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oang\Downloads\"/>
    </mc:Choice>
  </mc:AlternateContent>
  <xr:revisionPtr revIDLastSave="0" documentId="13_ncr:1_{3FF70F5D-98AF-431D-8A3C-B2C776034CA1}" xr6:coauthVersionLast="47" xr6:coauthVersionMax="47" xr10:uidLastSave="{00000000-0000-0000-0000-000000000000}"/>
  <bookViews>
    <workbookView xWindow="22932" yWindow="-108" windowWidth="23256" windowHeight="12456" activeTab="1" xr2:uid="{00000000-000D-0000-FFFF-FFFF00000000}"/>
  </bookViews>
  <sheets>
    <sheet name="00_HUONG_DAN" sheetId="1" r:id="rId1"/>
    <sheet name="01_THONG_TIN_PHIM" sheetId="2" r:id="rId2"/>
    <sheet name="02_KICH_BAN_NODES" sheetId="3" r:id="rId3"/>
    <sheet name="03_LUA_CHON" sheetId="4" r:id="rId4"/>
    <sheet name="04_DANH_MUC" sheetId="5" r:id="rId5"/>
    <sheet name="05_KIEM_TRA_QA" sheetId="6" r:id="rId6"/>
    <sheet name="06_DEV_MAPPI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8" i="6" l="1"/>
  <c r="F218" i="6" s="1"/>
  <c r="B217" i="6"/>
  <c r="A217" i="6"/>
  <c r="F217" i="6" s="1"/>
  <c r="F216" i="6"/>
  <c r="E216" i="6"/>
  <c r="D216" i="6"/>
  <c r="C216" i="6"/>
  <c r="A216" i="6"/>
  <c r="B216" i="6" s="1"/>
  <c r="A215" i="6"/>
  <c r="F215" i="6" s="1"/>
  <c r="A214" i="6"/>
  <c r="F214" i="6" s="1"/>
  <c r="F213" i="6"/>
  <c r="E213" i="6"/>
  <c r="A213" i="6"/>
  <c r="D213" i="6" s="1"/>
  <c r="A212" i="6"/>
  <c r="F212" i="6" s="1"/>
  <c r="C211" i="6"/>
  <c r="B211" i="6"/>
  <c r="A211" i="6"/>
  <c r="F211" i="6" s="1"/>
  <c r="A210" i="6"/>
  <c r="F210" i="6" s="1"/>
  <c r="B209" i="6"/>
  <c r="A209" i="6"/>
  <c r="F209" i="6" s="1"/>
  <c r="F208" i="6"/>
  <c r="E208" i="6"/>
  <c r="D208" i="6"/>
  <c r="C208" i="6"/>
  <c r="A208" i="6"/>
  <c r="B208" i="6" s="1"/>
  <c r="A207" i="6"/>
  <c r="F207" i="6" s="1"/>
  <c r="A206" i="6"/>
  <c r="F206" i="6" s="1"/>
  <c r="F205" i="6"/>
  <c r="E205" i="6"/>
  <c r="A205" i="6"/>
  <c r="D205" i="6" s="1"/>
  <c r="A204" i="6"/>
  <c r="F204" i="6" s="1"/>
  <c r="C203" i="6"/>
  <c r="B203" i="6"/>
  <c r="A203" i="6"/>
  <c r="F203" i="6" s="1"/>
  <c r="A202" i="6"/>
  <c r="F202" i="6" s="1"/>
  <c r="B201" i="6"/>
  <c r="A201" i="6"/>
  <c r="F201" i="6" s="1"/>
  <c r="F200" i="6"/>
  <c r="E200" i="6"/>
  <c r="D200" i="6"/>
  <c r="C200" i="6"/>
  <c r="A200" i="6"/>
  <c r="B200" i="6" s="1"/>
  <c r="A199" i="6"/>
  <c r="F199" i="6" s="1"/>
  <c r="A198" i="6"/>
  <c r="F198" i="6" s="1"/>
  <c r="F197" i="6"/>
  <c r="E197" i="6"/>
  <c r="A197" i="6"/>
  <c r="D197" i="6" s="1"/>
  <c r="A196" i="6"/>
  <c r="F196" i="6" s="1"/>
  <c r="C195" i="6"/>
  <c r="B195" i="6"/>
  <c r="A195" i="6"/>
  <c r="F195" i="6" s="1"/>
  <c r="A194" i="6"/>
  <c r="F194" i="6" s="1"/>
  <c r="B193" i="6"/>
  <c r="A193" i="6"/>
  <c r="F193" i="6" s="1"/>
  <c r="F192" i="6"/>
  <c r="E192" i="6"/>
  <c r="D192" i="6"/>
  <c r="C192" i="6"/>
  <c r="A192" i="6"/>
  <c r="B192" i="6" s="1"/>
  <c r="A191" i="6"/>
  <c r="F191" i="6" s="1"/>
  <c r="A190" i="6"/>
  <c r="F190" i="6" s="1"/>
  <c r="F189" i="6"/>
  <c r="E189" i="6"/>
  <c r="A189" i="6"/>
  <c r="D189" i="6" s="1"/>
  <c r="A188" i="6"/>
  <c r="F188" i="6" s="1"/>
  <c r="C187" i="6"/>
  <c r="B187" i="6"/>
  <c r="A187" i="6"/>
  <c r="F187" i="6" s="1"/>
  <c r="A186" i="6"/>
  <c r="F186" i="6" s="1"/>
  <c r="B185" i="6"/>
  <c r="A185" i="6"/>
  <c r="F185" i="6" s="1"/>
  <c r="F184" i="6"/>
  <c r="E184" i="6"/>
  <c r="D184" i="6"/>
  <c r="C184" i="6"/>
  <c r="A184" i="6"/>
  <c r="B184" i="6" s="1"/>
  <c r="A183" i="6"/>
  <c r="F183" i="6" s="1"/>
  <c r="A182" i="6"/>
  <c r="F182" i="6" s="1"/>
  <c r="F181" i="6"/>
  <c r="E181" i="6"/>
  <c r="A181" i="6"/>
  <c r="D181" i="6" s="1"/>
  <c r="A180" i="6"/>
  <c r="F180" i="6" s="1"/>
  <c r="C179" i="6"/>
  <c r="B179" i="6"/>
  <c r="A179" i="6"/>
  <c r="F179" i="6" s="1"/>
  <c r="A178" i="6"/>
  <c r="F178" i="6" s="1"/>
  <c r="B177" i="6"/>
  <c r="A177" i="6"/>
  <c r="F177" i="6" s="1"/>
  <c r="F176" i="6"/>
  <c r="E176" i="6"/>
  <c r="D176" i="6"/>
  <c r="C176" i="6"/>
  <c r="A176" i="6"/>
  <c r="B176" i="6" s="1"/>
  <c r="A175" i="6"/>
  <c r="F175" i="6" s="1"/>
  <c r="A174" i="6"/>
  <c r="F174" i="6" s="1"/>
  <c r="F173" i="6"/>
  <c r="E173" i="6"/>
  <c r="A173" i="6"/>
  <c r="D173" i="6" s="1"/>
  <c r="A172" i="6"/>
  <c r="F172" i="6" s="1"/>
  <c r="C171" i="6"/>
  <c r="B171" i="6"/>
  <c r="A171" i="6"/>
  <c r="F171" i="6" s="1"/>
  <c r="A170" i="6"/>
  <c r="F170" i="6" s="1"/>
  <c r="B169" i="6"/>
  <c r="A169" i="6"/>
  <c r="F169" i="6" s="1"/>
  <c r="F168" i="6"/>
  <c r="E168" i="6"/>
  <c r="D168" i="6"/>
  <c r="C168" i="6"/>
  <c r="A168" i="6"/>
  <c r="B168" i="6" s="1"/>
  <c r="A167" i="6"/>
  <c r="F167" i="6" s="1"/>
  <c r="A166" i="6"/>
  <c r="F166" i="6" s="1"/>
  <c r="F165" i="6"/>
  <c r="E165" i="6"/>
  <c r="A165" i="6"/>
  <c r="D165" i="6" s="1"/>
  <c r="A164" i="6"/>
  <c r="F164" i="6" s="1"/>
  <c r="C163" i="6"/>
  <c r="B163" i="6"/>
  <c r="A163" i="6"/>
  <c r="F163" i="6" s="1"/>
  <c r="A162" i="6"/>
  <c r="F162" i="6" s="1"/>
  <c r="B161" i="6"/>
  <c r="A161" i="6"/>
  <c r="F161" i="6" s="1"/>
  <c r="F160" i="6"/>
  <c r="E160" i="6"/>
  <c r="D160" i="6"/>
  <c r="C160" i="6"/>
  <c r="A160" i="6"/>
  <c r="B160" i="6" s="1"/>
  <c r="A159" i="6"/>
  <c r="F159" i="6" s="1"/>
  <c r="A158" i="6"/>
  <c r="F158" i="6" s="1"/>
  <c r="F157" i="6"/>
  <c r="E157" i="6"/>
  <c r="A157" i="6"/>
  <c r="D157" i="6" s="1"/>
  <c r="A156" i="6"/>
  <c r="F156" i="6" s="1"/>
  <c r="C155" i="6"/>
  <c r="B155" i="6"/>
  <c r="A155" i="6"/>
  <c r="F155" i="6" s="1"/>
  <c r="A154" i="6"/>
  <c r="F154" i="6" s="1"/>
  <c r="B153" i="6"/>
  <c r="A153" i="6"/>
  <c r="F153" i="6" s="1"/>
  <c r="F152" i="6"/>
  <c r="E152" i="6"/>
  <c r="D152" i="6"/>
  <c r="C152" i="6"/>
  <c r="A152" i="6"/>
  <c r="B152" i="6" s="1"/>
  <c r="A151" i="6"/>
  <c r="F151" i="6" s="1"/>
  <c r="A150" i="6"/>
  <c r="F150" i="6" s="1"/>
  <c r="F149" i="6"/>
  <c r="E149" i="6"/>
  <c r="A149" i="6"/>
  <c r="D149" i="6" s="1"/>
  <c r="A148" i="6"/>
  <c r="F148" i="6" s="1"/>
  <c r="C147" i="6"/>
  <c r="B147" i="6"/>
  <c r="A147" i="6"/>
  <c r="F147" i="6" s="1"/>
  <c r="A146" i="6"/>
  <c r="F146" i="6" s="1"/>
  <c r="B145" i="6"/>
  <c r="A145" i="6"/>
  <c r="F145" i="6" s="1"/>
  <c r="F144" i="6"/>
  <c r="E144" i="6"/>
  <c r="D144" i="6"/>
  <c r="C144" i="6"/>
  <c r="A144" i="6"/>
  <c r="B144" i="6" s="1"/>
  <c r="A143" i="6"/>
  <c r="F143" i="6" s="1"/>
  <c r="A142" i="6"/>
  <c r="F142" i="6" s="1"/>
  <c r="F141" i="6"/>
  <c r="E141" i="6"/>
  <c r="A141" i="6"/>
  <c r="D141" i="6" s="1"/>
  <c r="A140" i="6"/>
  <c r="F140" i="6" s="1"/>
  <c r="C139" i="6"/>
  <c r="B139" i="6"/>
  <c r="A139" i="6"/>
  <c r="F139" i="6" s="1"/>
  <c r="A138" i="6"/>
  <c r="F138" i="6" s="1"/>
  <c r="B137" i="6"/>
  <c r="A137" i="6"/>
  <c r="F137" i="6" s="1"/>
  <c r="F136" i="6"/>
  <c r="E136" i="6"/>
  <c r="D136" i="6"/>
  <c r="C136" i="6"/>
  <c r="A136" i="6"/>
  <c r="B136" i="6" s="1"/>
  <c r="A135" i="6"/>
  <c r="F135" i="6" s="1"/>
  <c r="A134" i="6"/>
  <c r="F134" i="6" s="1"/>
  <c r="F133" i="6"/>
  <c r="E133" i="6"/>
  <c r="A133" i="6"/>
  <c r="D133" i="6" s="1"/>
  <c r="A132" i="6"/>
  <c r="F132" i="6" s="1"/>
  <c r="C131" i="6"/>
  <c r="B131" i="6"/>
  <c r="A131" i="6"/>
  <c r="F131" i="6" s="1"/>
  <c r="A130" i="6"/>
  <c r="F130" i="6" s="1"/>
  <c r="B129" i="6"/>
  <c r="A129" i="6"/>
  <c r="F129" i="6" s="1"/>
  <c r="F128" i="6"/>
  <c r="E128" i="6"/>
  <c r="D128" i="6"/>
  <c r="C128" i="6"/>
  <c r="A128" i="6"/>
  <c r="B128" i="6" s="1"/>
  <c r="A127" i="6"/>
  <c r="F127" i="6" s="1"/>
  <c r="A126" i="6"/>
  <c r="F126" i="6" s="1"/>
  <c r="F125" i="6"/>
  <c r="E125" i="6"/>
  <c r="A125" i="6"/>
  <c r="D125" i="6" s="1"/>
  <c r="A124" i="6"/>
  <c r="F124" i="6" s="1"/>
  <c r="C123" i="6"/>
  <c r="B123" i="6"/>
  <c r="A123" i="6"/>
  <c r="F123" i="6" s="1"/>
  <c r="A122" i="6"/>
  <c r="F122" i="6" s="1"/>
  <c r="B121" i="6"/>
  <c r="A121" i="6"/>
  <c r="F121" i="6" s="1"/>
  <c r="F120" i="6"/>
  <c r="E120" i="6"/>
  <c r="D120" i="6"/>
  <c r="C120" i="6"/>
  <c r="A120" i="6"/>
  <c r="B120" i="6" s="1"/>
  <c r="A119" i="6"/>
  <c r="F119" i="6" s="1"/>
  <c r="A118" i="6"/>
  <c r="F118" i="6" s="1"/>
  <c r="F117" i="6"/>
  <c r="E117" i="6"/>
  <c r="A117" i="6"/>
  <c r="D117" i="6" s="1"/>
  <c r="A116" i="6"/>
  <c r="F116" i="6" s="1"/>
  <c r="C115" i="6"/>
  <c r="B115" i="6"/>
  <c r="A115" i="6"/>
  <c r="F115" i="6" s="1"/>
  <c r="A114" i="6"/>
  <c r="F114" i="6" s="1"/>
  <c r="B113" i="6"/>
  <c r="A113" i="6"/>
  <c r="F113" i="6" s="1"/>
  <c r="F112" i="6"/>
  <c r="E112" i="6"/>
  <c r="D112" i="6"/>
  <c r="C112" i="6"/>
  <c r="A112" i="6"/>
  <c r="B112" i="6" s="1"/>
  <c r="A111" i="6"/>
  <c r="F111" i="6" s="1"/>
  <c r="A110" i="6"/>
  <c r="F110" i="6" s="1"/>
  <c r="F109" i="6"/>
  <c r="E109" i="6"/>
  <c r="A109" i="6"/>
  <c r="D109" i="6" s="1"/>
  <c r="A108" i="6"/>
  <c r="F108" i="6" s="1"/>
  <c r="C107" i="6"/>
  <c r="B107" i="6"/>
  <c r="A107" i="6"/>
  <c r="F107" i="6" s="1"/>
  <c r="A106" i="6"/>
  <c r="F106" i="6" s="1"/>
  <c r="B105" i="6"/>
  <c r="A105" i="6"/>
  <c r="F105" i="6" s="1"/>
  <c r="F104" i="6"/>
  <c r="E104" i="6"/>
  <c r="D104" i="6"/>
  <c r="C104" i="6"/>
  <c r="A104" i="6"/>
  <c r="B104" i="6" s="1"/>
  <c r="A103" i="6"/>
  <c r="F103" i="6" s="1"/>
  <c r="A102" i="6"/>
  <c r="F102" i="6" s="1"/>
  <c r="F101" i="6"/>
  <c r="E101" i="6"/>
  <c r="A101" i="6"/>
  <c r="D101" i="6" s="1"/>
  <c r="A100" i="6"/>
  <c r="F100" i="6" s="1"/>
  <c r="C99" i="6"/>
  <c r="A99" i="6"/>
  <c r="F99" i="6" s="1"/>
  <c r="A98" i="6"/>
  <c r="F98" i="6" s="1"/>
  <c r="B97" i="6"/>
  <c r="A97" i="6"/>
  <c r="F97" i="6" s="1"/>
  <c r="F96" i="6"/>
  <c r="E96" i="6"/>
  <c r="D96" i="6"/>
  <c r="C96" i="6"/>
  <c r="A96" i="6"/>
  <c r="B96" i="6" s="1"/>
  <c r="A95" i="6"/>
  <c r="F95" i="6" s="1"/>
  <c r="A94" i="6"/>
  <c r="F94" i="6" s="1"/>
  <c r="F93" i="6"/>
  <c r="E93" i="6"/>
  <c r="A93" i="6"/>
  <c r="D93" i="6" s="1"/>
  <c r="A92" i="6"/>
  <c r="F92" i="6" s="1"/>
  <c r="C91" i="6"/>
  <c r="A91" i="6"/>
  <c r="F91" i="6" s="1"/>
  <c r="A90" i="6"/>
  <c r="F90" i="6" s="1"/>
  <c r="B89" i="6"/>
  <c r="A89" i="6"/>
  <c r="F89" i="6" s="1"/>
  <c r="F88" i="6"/>
  <c r="E88" i="6"/>
  <c r="D88" i="6"/>
  <c r="C88" i="6"/>
  <c r="A88" i="6"/>
  <c r="B88" i="6" s="1"/>
  <c r="A87" i="6"/>
  <c r="F87" i="6" s="1"/>
  <c r="A86" i="6"/>
  <c r="F86" i="6" s="1"/>
  <c r="F85" i="6"/>
  <c r="E85" i="6"/>
  <c r="A85" i="6"/>
  <c r="D85" i="6" s="1"/>
  <c r="A84" i="6"/>
  <c r="F84" i="6" s="1"/>
  <c r="C83" i="6"/>
  <c r="A83" i="6"/>
  <c r="F83" i="6" s="1"/>
  <c r="A82" i="6"/>
  <c r="F82" i="6" s="1"/>
  <c r="B81" i="6"/>
  <c r="A81" i="6"/>
  <c r="F81" i="6" s="1"/>
  <c r="F80" i="6"/>
  <c r="E80" i="6"/>
  <c r="D80" i="6"/>
  <c r="C80" i="6"/>
  <c r="A80" i="6"/>
  <c r="B80" i="6" s="1"/>
  <c r="A79" i="6"/>
  <c r="F79" i="6" s="1"/>
  <c r="A78" i="6"/>
  <c r="F78" i="6" s="1"/>
  <c r="F77" i="6"/>
  <c r="E77" i="6"/>
  <c r="A77" i="6"/>
  <c r="D77" i="6" s="1"/>
  <c r="A76" i="6"/>
  <c r="F76" i="6" s="1"/>
  <c r="C75" i="6"/>
  <c r="A75" i="6"/>
  <c r="F75" i="6" s="1"/>
  <c r="A74" i="6"/>
  <c r="F74" i="6" s="1"/>
  <c r="B73" i="6"/>
  <c r="A73" i="6"/>
  <c r="F73" i="6" s="1"/>
  <c r="F72" i="6"/>
  <c r="E72" i="6"/>
  <c r="D72" i="6"/>
  <c r="C72" i="6"/>
  <c r="A72" i="6"/>
  <c r="B72" i="6" s="1"/>
  <c r="A71" i="6"/>
  <c r="F71" i="6" s="1"/>
  <c r="A70" i="6"/>
  <c r="F70" i="6" s="1"/>
  <c r="F69" i="6"/>
  <c r="E69" i="6"/>
  <c r="A69" i="6"/>
  <c r="D69" i="6" s="1"/>
  <c r="A68" i="6"/>
  <c r="F68" i="6" s="1"/>
  <c r="C67" i="6"/>
  <c r="A67" i="6"/>
  <c r="F67" i="6" s="1"/>
  <c r="A66" i="6"/>
  <c r="F66" i="6" s="1"/>
  <c r="B65" i="6"/>
  <c r="A65" i="6"/>
  <c r="F65" i="6" s="1"/>
  <c r="F64" i="6"/>
  <c r="E64" i="6"/>
  <c r="D64" i="6"/>
  <c r="C64" i="6"/>
  <c r="A64" i="6"/>
  <c r="B64" i="6" s="1"/>
  <c r="A63" i="6"/>
  <c r="F63" i="6" s="1"/>
  <c r="A62" i="6"/>
  <c r="F62" i="6" s="1"/>
  <c r="F61" i="6"/>
  <c r="E61" i="6"/>
  <c r="A61" i="6"/>
  <c r="D61" i="6" s="1"/>
  <c r="A60" i="6"/>
  <c r="F60" i="6" s="1"/>
  <c r="C59" i="6"/>
  <c r="A59" i="6"/>
  <c r="F59" i="6" s="1"/>
  <c r="A58" i="6"/>
  <c r="F58" i="6" s="1"/>
  <c r="B57" i="6"/>
  <c r="A57" i="6"/>
  <c r="F57" i="6" s="1"/>
  <c r="F56" i="6"/>
  <c r="E56" i="6"/>
  <c r="D56" i="6"/>
  <c r="C56" i="6"/>
  <c r="A56" i="6"/>
  <c r="B56" i="6" s="1"/>
  <c r="A55" i="6"/>
  <c r="F55" i="6" s="1"/>
  <c r="A54" i="6"/>
  <c r="F54" i="6" s="1"/>
  <c r="F53" i="6"/>
  <c r="E53" i="6"/>
  <c r="A53" i="6"/>
  <c r="D53" i="6" s="1"/>
  <c r="A52" i="6"/>
  <c r="F52" i="6" s="1"/>
  <c r="C51" i="6"/>
  <c r="A51" i="6"/>
  <c r="F51" i="6" s="1"/>
  <c r="A50" i="6"/>
  <c r="F50" i="6" s="1"/>
  <c r="B49" i="6"/>
  <c r="A49" i="6"/>
  <c r="F49" i="6" s="1"/>
  <c r="F48" i="6"/>
  <c r="E48" i="6"/>
  <c r="D48" i="6"/>
  <c r="C48" i="6"/>
  <c r="A48" i="6"/>
  <c r="B48" i="6" s="1"/>
  <c r="A47" i="6"/>
  <c r="F47" i="6" s="1"/>
  <c r="A46" i="6"/>
  <c r="A45" i="6"/>
  <c r="D45" i="6" s="1"/>
  <c r="A44" i="6"/>
  <c r="C43" i="6"/>
  <c r="A43" i="6"/>
  <c r="A42" i="6"/>
  <c r="B41" i="6"/>
  <c r="A41" i="6"/>
  <c r="F41" i="6" s="1"/>
  <c r="F40" i="6"/>
  <c r="E40" i="6"/>
  <c r="D40" i="6"/>
  <c r="C40" i="6"/>
  <c r="A40" i="6"/>
  <c r="B40" i="6" s="1"/>
  <c r="A39" i="6"/>
  <c r="F39" i="6" s="1"/>
  <c r="A38" i="6"/>
  <c r="F38" i="6" s="1"/>
  <c r="A37" i="6"/>
  <c r="D37" i="6" s="1"/>
  <c r="A36" i="6"/>
  <c r="C35" i="6"/>
  <c r="A35" i="6"/>
  <c r="A34" i="6"/>
  <c r="B33" i="6"/>
  <c r="A33" i="6"/>
  <c r="D32" i="6"/>
  <c r="C32" i="6"/>
  <c r="A32" i="6"/>
  <c r="B32" i="6" s="1"/>
  <c r="E32" i="6" s="1"/>
  <c r="A31" i="6"/>
  <c r="F31" i="6" s="1"/>
  <c r="A30" i="6"/>
  <c r="F30" i="6" s="1"/>
  <c r="F29" i="6"/>
  <c r="E29" i="6"/>
  <c r="A29" i="6"/>
  <c r="D29" i="6" s="1"/>
  <c r="A28" i="6"/>
  <c r="F28" i="6" s="1"/>
  <c r="C27" i="6"/>
  <c r="A27" i="6"/>
  <c r="A26" i="6"/>
  <c r="B25" i="6"/>
  <c r="A25" i="6"/>
  <c r="D24" i="6"/>
  <c r="C24" i="6"/>
  <c r="A24" i="6"/>
  <c r="B24" i="6" s="1"/>
  <c r="E24" i="6" s="1"/>
  <c r="A23" i="6"/>
  <c r="A22" i="6"/>
  <c r="F21" i="6"/>
  <c r="E21" i="6"/>
  <c r="A21" i="6"/>
  <c r="D21" i="6" s="1"/>
  <c r="A20" i="6"/>
  <c r="F20" i="6" s="1"/>
  <c r="C19" i="6"/>
  <c r="A19" i="6"/>
  <c r="F19" i="6" s="1"/>
  <c r="F6" i="6"/>
  <c r="B10" i="6" s="1"/>
  <c r="C10" i="6" s="1"/>
  <c r="E6" i="6"/>
  <c r="D6" i="6"/>
  <c r="C6" i="6"/>
  <c r="B6" i="6"/>
  <c r="B13" i="6" s="1"/>
  <c r="C13" i="6" s="1"/>
  <c r="A6" i="6"/>
  <c r="K404" i="4"/>
  <c r="J404" i="4"/>
  <c r="K403" i="4"/>
  <c r="J403" i="4"/>
  <c r="K402" i="4"/>
  <c r="J402" i="4"/>
  <c r="K401" i="4"/>
  <c r="J401" i="4"/>
  <c r="K400" i="4"/>
  <c r="J400" i="4"/>
  <c r="K399" i="4"/>
  <c r="J399" i="4"/>
  <c r="K398" i="4"/>
  <c r="J398" i="4"/>
  <c r="K397" i="4"/>
  <c r="J397" i="4"/>
  <c r="K396" i="4"/>
  <c r="J396" i="4"/>
  <c r="K395" i="4"/>
  <c r="J395" i="4"/>
  <c r="K394" i="4"/>
  <c r="J394" i="4"/>
  <c r="K393" i="4"/>
  <c r="J393" i="4"/>
  <c r="K392" i="4"/>
  <c r="J392" i="4"/>
  <c r="K391" i="4"/>
  <c r="J391" i="4"/>
  <c r="K390" i="4"/>
  <c r="J390" i="4"/>
  <c r="K389" i="4"/>
  <c r="J389" i="4"/>
  <c r="K388" i="4"/>
  <c r="J388" i="4"/>
  <c r="K387" i="4"/>
  <c r="J387" i="4"/>
  <c r="K386" i="4"/>
  <c r="J386" i="4"/>
  <c r="K385" i="4"/>
  <c r="J385" i="4"/>
  <c r="K384" i="4"/>
  <c r="J384" i="4"/>
  <c r="K383" i="4"/>
  <c r="J383" i="4"/>
  <c r="K382" i="4"/>
  <c r="J382" i="4"/>
  <c r="K381" i="4"/>
  <c r="J381" i="4"/>
  <c r="K380" i="4"/>
  <c r="J380" i="4"/>
  <c r="K379" i="4"/>
  <c r="J379" i="4"/>
  <c r="K378" i="4"/>
  <c r="J378" i="4"/>
  <c r="K377" i="4"/>
  <c r="J377" i="4"/>
  <c r="K376" i="4"/>
  <c r="J376" i="4"/>
  <c r="K375" i="4"/>
  <c r="J375" i="4"/>
  <c r="K374" i="4"/>
  <c r="J374" i="4"/>
  <c r="K373" i="4"/>
  <c r="J373" i="4"/>
  <c r="K372" i="4"/>
  <c r="J372" i="4"/>
  <c r="K371" i="4"/>
  <c r="J371" i="4"/>
  <c r="K370" i="4"/>
  <c r="J370" i="4"/>
  <c r="K369" i="4"/>
  <c r="J369" i="4"/>
  <c r="K368" i="4"/>
  <c r="J368" i="4"/>
  <c r="K367" i="4"/>
  <c r="J367" i="4"/>
  <c r="K366" i="4"/>
  <c r="J366" i="4"/>
  <c r="K365" i="4"/>
  <c r="J365" i="4"/>
  <c r="K364" i="4"/>
  <c r="J364" i="4"/>
  <c r="K363" i="4"/>
  <c r="J363" i="4"/>
  <c r="K362" i="4"/>
  <c r="J362" i="4"/>
  <c r="K361" i="4"/>
  <c r="J361" i="4"/>
  <c r="K360" i="4"/>
  <c r="J360" i="4"/>
  <c r="K359" i="4"/>
  <c r="J359" i="4"/>
  <c r="K358" i="4"/>
  <c r="J358" i="4"/>
  <c r="K357" i="4"/>
  <c r="J357" i="4"/>
  <c r="K356" i="4"/>
  <c r="J356" i="4"/>
  <c r="K355" i="4"/>
  <c r="J355" i="4"/>
  <c r="K354" i="4"/>
  <c r="J354" i="4"/>
  <c r="K353" i="4"/>
  <c r="J353" i="4"/>
  <c r="K352" i="4"/>
  <c r="J352" i="4"/>
  <c r="K351" i="4"/>
  <c r="J351" i="4"/>
  <c r="K350" i="4"/>
  <c r="J350" i="4"/>
  <c r="K349" i="4"/>
  <c r="J349" i="4"/>
  <c r="K348" i="4"/>
  <c r="J348" i="4"/>
  <c r="K347" i="4"/>
  <c r="J347" i="4"/>
  <c r="K346" i="4"/>
  <c r="J346" i="4"/>
  <c r="K345" i="4"/>
  <c r="J345" i="4"/>
  <c r="K344" i="4"/>
  <c r="J344" i="4"/>
  <c r="K343" i="4"/>
  <c r="J343" i="4"/>
  <c r="K342" i="4"/>
  <c r="J342" i="4"/>
  <c r="K341" i="4"/>
  <c r="J341" i="4"/>
  <c r="K340" i="4"/>
  <c r="J340" i="4"/>
  <c r="K339" i="4"/>
  <c r="J339" i="4"/>
  <c r="K338" i="4"/>
  <c r="J338" i="4"/>
  <c r="K337" i="4"/>
  <c r="J337" i="4"/>
  <c r="K336" i="4"/>
  <c r="J336" i="4"/>
  <c r="K335" i="4"/>
  <c r="J335" i="4"/>
  <c r="K334" i="4"/>
  <c r="J334" i="4"/>
  <c r="K333" i="4"/>
  <c r="J333" i="4"/>
  <c r="K332" i="4"/>
  <c r="J332" i="4"/>
  <c r="K331" i="4"/>
  <c r="J331" i="4"/>
  <c r="K330" i="4"/>
  <c r="J330" i="4"/>
  <c r="K329" i="4"/>
  <c r="J329" i="4"/>
  <c r="K328" i="4"/>
  <c r="J328" i="4"/>
  <c r="K327" i="4"/>
  <c r="J327" i="4"/>
  <c r="K326" i="4"/>
  <c r="J326" i="4"/>
  <c r="K325" i="4"/>
  <c r="J325" i="4"/>
  <c r="K324" i="4"/>
  <c r="J324" i="4"/>
  <c r="K323" i="4"/>
  <c r="J323" i="4"/>
  <c r="K322" i="4"/>
  <c r="J322" i="4"/>
  <c r="K321" i="4"/>
  <c r="J321" i="4"/>
  <c r="K320" i="4"/>
  <c r="J320" i="4"/>
  <c r="K319" i="4"/>
  <c r="J319" i="4"/>
  <c r="K318" i="4"/>
  <c r="J318" i="4"/>
  <c r="K317" i="4"/>
  <c r="J317" i="4"/>
  <c r="K316" i="4"/>
  <c r="J316" i="4"/>
  <c r="K315" i="4"/>
  <c r="J315" i="4"/>
  <c r="K314" i="4"/>
  <c r="J314" i="4"/>
  <c r="K313" i="4"/>
  <c r="J313" i="4"/>
  <c r="K312" i="4"/>
  <c r="J312" i="4"/>
  <c r="K311" i="4"/>
  <c r="J311" i="4"/>
  <c r="K310" i="4"/>
  <c r="J310" i="4"/>
  <c r="K309" i="4"/>
  <c r="J309" i="4"/>
  <c r="K308" i="4"/>
  <c r="J308" i="4"/>
  <c r="K307" i="4"/>
  <c r="J307" i="4"/>
  <c r="K306" i="4"/>
  <c r="J306" i="4"/>
  <c r="K305" i="4"/>
  <c r="J305" i="4"/>
  <c r="K304" i="4"/>
  <c r="J304" i="4"/>
  <c r="K303" i="4"/>
  <c r="J303" i="4"/>
  <c r="K302" i="4"/>
  <c r="J302" i="4"/>
  <c r="K301" i="4"/>
  <c r="J301" i="4"/>
  <c r="K300" i="4"/>
  <c r="J300" i="4"/>
  <c r="K299" i="4"/>
  <c r="J299" i="4"/>
  <c r="K298" i="4"/>
  <c r="J298" i="4"/>
  <c r="K297" i="4"/>
  <c r="J297" i="4"/>
  <c r="K296" i="4"/>
  <c r="J296" i="4"/>
  <c r="K295" i="4"/>
  <c r="J295" i="4"/>
  <c r="K294" i="4"/>
  <c r="J294" i="4"/>
  <c r="K293" i="4"/>
  <c r="J293" i="4"/>
  <c r="K292" i="4"/>
  <c r="J292" i="4"/>
  <c r="K291" i="4"/>
  <c r="J291" i="4"/>
  <c r="K290" i="4"/>
  <c r="J290" i="4"/>
  <c r="K289" i="4"/>
  <c r="J289" i="4"/>
  <c r="K288" i="4"/>
  <c r="J288" i="4"/>
  <c r="K287" i="4"/>
  <c r="J287" i="4"/>
  <c r="K286" i="4"/>
  <c r="J286" i="4"/>
  <c r="K285" i="4"/>
  <c r="J285" i="4"/>
  <c r="K284" i="4"/>
  <c r="J284" i="4"/>
  <c r="K283" i="4"/>
  <c r="J283" i="4"/>
  <c r="K282" i="4"/>
  <c r="J282" i="4"/>
  <c r="K281" i="4"/>
  <c r="J281" i="4"/>
  <c r="K280" i="4"/>
  <c r="J280" i="4"/>
  <c r="K279" i="4"/>
  <c r="J279" i="4"/>
  <c r="K278" i="4"/>
  <c r="J278" i="4"/>
  <c r="K277" i="4"/>
  <c r="J277" i="4"/>
  <c r="K276" i="4"/>
  <c r="J276" i="4"/>
  <c r="K275" i="4"/>
  <c r="J275" i="4"/>
  <c r="K274" i="4"/>
  <c r="J274" i="4"/>
  <c r="K273" i="4"/>
  <c r="J273" i="4"/>
  <c r="K272" i="4"/>
  <c r="J272" i="4"/>
  <c r="K271" i="4"/>
  <c r="J271" i="4"/>
  <c r="K270" i="4"/>
  <c r="J270" i="4"/>
  <c r="K269" i="4"/>
  <c r="J269" i="4"/>
  <c r="K268" i="4"/>
  <c r="J268" i="4"/>
  <c r="K267" i="4"/>
  <c r="J267" i="4"/>
  <c r="K266" i="4"/>
  <c r="J266" i="4"/>
  <c r="K265" i="4"/>
  <c r="J265" i="4"/>
  <c r="K264" i="4"/>
  <c r="J264" i="4"/>
  <c r="K263" i="4"/>
  <c r="J263" i="4"/>
  <c r="K262" i="4"/>
  <c r="J262" i="4"/>
  <c r="K261" i="4"/>
  <c r="J261" i="4"/>
  <c r="K260" i="4"/>
  <c r="J260" i="4"/>
  <c r="K259" i="4"/>
  <c r="J259" i="4"/>
  <c r="K258" i="4"/>
  <c r="J258" i="4"/>
  <c r="K257" i="4"/>
  <c r="J257" i="4"/>
  <c r="K256" i="4"/>
  <c r="J256" i="4"/>
  <c r="K255" i="4"/>
  <c r="J255" i="4"/>
  <c r="K254" i="4"/>
  <c r="J254" i="4"/>
  <c r="K253" i="4"/>
  <c r="J253" i="4"/>
  <c r="K252" i="4"/>
  <c r="J252" i="4"/>
  <c r="K251" i="4"/>
  <c r="J251" i="4"/>
  <c r="K250" i="4"/>
  <c r="J250" i="4"/>
  <c r="K249" i="4"/>
  <c r="J249" i="4"/>
  <c r="K248" i="4"/>
  <c r="J248" i="4"/>
  <c r="K247" i="4"/>
  <c r="J247" i="4"/>
  <c r="K246" i="4"/>
  <c r="J246" i="4"/>
  <c r="K245" i="4"/>
  <c r="J245" i="4"/>
  <c r="K244" i="4"/>
  <c r="J244" i="4"/>
  <c r="K243" i="4"/>
  <c r="J243" i="4"/>
  <c r="K242" i="4"/>
  <c r="J242" i="4"/>
  <c r="K241" i="4"/>
  <c r="J241" i="4"/>
  <c r="K240" i="4"/>
  <c r="J240" i="4"/>
  <c r="K239" i="4"/>
  <c r="J239" i="4"/>
  <c r="K238" i="4"/>
  <c r="J238" i="4"/>
  <c r="K237" i="4"/>
  <c r="J237" i="4"/>
  <c r="K236" i="4"/>
  <c r="J236" i="4"/>
  <c r="K235" i="4"/>
  <c r="J235" i="4"/>
  <c r="K234" i="4"/>
  <c r="J234" i="4"/>
  <c r="K233" i="4"/>
  <c r="J233" i="4"/>
  <c r="K232" i="4"/>
  <c r="J232" i="4"/>
  <c r="K231" i="4"/>
  <c r="J231" i="4"/>
  <c r="K230" i="4"/>
  <c r="J230" i="4"/>
  <c r="K229" i="4"/>
  <c r="J229" i="4"/>
  <c r="K228" i="4"/>
  <c r="J228" i="4"/>
  <c r="K227" i="4"/>
  <c r="J227" i="4"/>
  <c r="K226" i="4"/>
  <c r="J226" i="4"/>
  <c r="K225" i="4"/>
  <c r="J225" i="4"/>
  <c r="K224" i="4"/>
  <c r="J224" i="4"/>
  <c r="K223" i="4"/>
  <c r="J223" i="4"/>
  <c r="K222" i="4"/>
  <c r="J222" i="4"/>
  <c r="K221" i="4"/>
  <c r="J221" i="4"/>
  <c r="K220" i="4"/>
  <c r="J220" i="4"/>
  <c r="K219" i="4"/>
  <c r="J219" i="4"/>
  <c r="K218" i="4"/>
  <c r="J218" i="4"/>
  <c r="K217" i="4"/>
  <c r="J217" i="4"/>
  <c r="K216" i="4"/>
  <c r="J216" i="4"/>
  <c r="K215" i="4"/>
  <c r="J215" i="4"/>
  <c r="K214" i="4"/>
  <c r="J214" i="4"/>
  <c r="K213" i="4"/>
  <c r="J213" i="4"/>
  <c r="K212" i="4"/>
  <c r="J212" i="4"/>
  <c r="K211" i="4"/>
  <c r="J211" i="4"/>
  <c r="K210" i="4"/>
  <c r="J210" i="4"/>
  <c r="K209" i="4"/>
  <c r="J209" i="4"/>
  <c r="K208" i="4"/>
  <c r="J208" i="4"/>
  <c r="K207" i="4"/>
  <c r="J207" i="4"/>
  <c r="K206" i="4"/>
  <c r="J206" i="4"/>
  <c r="K205" i="4"/>
  <c r="J205" i="4"/>
  <c r="K204" i="4"/>
  <c r="J204" i="4"/>
  <c r="K203" i="4"/>
  <c r="J203" i="4"/>
  <c r="K202" i="4"/>
  <c r="J202" i="4"/>
  <c r="K201" i="4"/>
  <c r="J201" i="4"/>
  <c r="K200" i="4"/>
  <c r="J200" i="4"/>
  <c r="K199" i="4"/>
  <c r="J199" i="4"/>
  <c r="K198" i="4"/>
  <c r="J198" i="4"/>
  <c r="K197" i="4"/>
  <c r="J197" i="4"/>
  <c r="K196" i="4"/>
  <c r="J196" i="4"/>
  <c r="K195" i="4"/>
  <c r="J195" i="4"/>
  <c r="K194" i="4"/>
  <c r="J194" i="4"/>
  <c r="K193" i="4"/>
  <c r="J193" i="4"/>
  <c r="K192" i="4"/>
  <c r="J192" i="4"/>
  <c r="K191" i="4"/>
  <c r="J191" i="4"/>
  <c r="K190" i="4"/>
  <c r="J190" i="4"/>
  <c r="K189" i="4"/>
  <c r="J189" i="4"/>
  <c r="K188" i="4"/>
  <c r="J188" i="4"/>
  <c r="K187" i="4"/>
  <c r="J187" i="4"/>
  <c r="K186" i="4"/>
  <c r="J186" i="4"/>
  <c r="K185" i="4"/>
  <c r="J185" i="4"/>
  <c r="K184" i="4"/>
  <c r="J184" i="4"/>
  <c r="K183" i="4"/>
  <c r="J183" i="4"/>
  <c r="K182" i="4"/>
  <c r="J182" i="4"/>
  <c r="K181" i="4"/>
  <c r="J181" i="4"/>
  <c r="K180" i="4"/>
  <c r="J180" i="4"/>
  <c r="K179" i="4"/>
  <c r="J179" i="4"/>
  <c r="K178" i="4"/>
  <c r="J178" i="4"/>
  <c r="K177" i="4"/>
  <c r="J177" i="4"/>
  <c r="K176" i="4"/>
  <c r="J176" i="4"/>
  <c r="K175" i="4"/>
  <c r="J175" i="4"/>
  <c r="K174" i="4"/>
  <c r="J174" i="4"/>
  <c r="K173" i="4"/>
  <c r="J173" i="4"/>
  <c r="K172" i="4"/>
  <c r="J172" i="4"/>
  <c r="K171" i="4"/>
  <c r="J171" i="4"/>
  <c r="K170" i="4"/>
  <c r="J170" i="4"/>
  <c r="K169" i="4"/>
  <c r="J169" i="4"/>
  <c r="K168" i="4"/>
  <c r="J168" i="4"/>
  <c r="K167" i="4"/>
  <c r="J167" i="4"/>
  <c r="K166" i="4"/>
  <c r="J166" i="4"/>
  <c r="K165" i="4"/>
  <c r="J165" i="4"/>
  <c r="K164" i="4"/>
  <c r="J164" i="4"/>
  <c r="K163" i="4"/>
  <c r="J163" i="4"/>
  <c r="K162" i="4"/>
  <c r="J162" i="4"/>
  <c r="K161" i="4"/>
  <c r="J161" i="4"/>
  <c r="K160" i="4"/>
  <c r="J160" i="4"/>
  <c r="K159" i="4"/>
  <c r="J159" i="4"/>
  <c r="K158" i="4"/>
  <c r="J158" i="4"/>
  <c r="K157" i="4"/>
  <c r="J157" i="4"/>
  <c r="K156" i="4"/>
  <c r="J156" i="4"/>
  <c r="K155" i="4"/>
  <c r="J155" i="4"/>
  <c r="K154" i="4"/>
  <c r="J154" i="4"/>
  <c r="K153" i="4"/>
  <c r="J153" i="4"/>
  <c r="K152" i="4"/>
  <c r="J152" i="4"/>
  <c r="K151" i="4"/>
  <c r="J151" i="4"/>
  <c r="K150" i="4"/>
  <c r="J150" i="4"/>
  <c r="K149" i="4"/>
  <c r="J149" i="4"/>
  <c r="K148" i="4"/>
  <c r="J148" i="4"/>
  <c r="K147" i="4"/>
  <c r="J147" i="4"/>
  <c r="K146" i="4"/>
  <c r="J146" i="4"/>
  <c r="K145" i="4"/>
  <c r="J145" i="4"/>
  <c r="K144" i="4"/>
  <c r="J144" i="4"/>
  <c r="K143" i="4"/>
  <c r="J143" i="4"/>
  <c r="K142" i="4"/>
  <c r="J142" i="4"/>
  <c r="K141" i="4"/>
  <c r="J141" i="4"/>
  <c r="K140" i="4"/>
  <c r="J140" i="4"/>
  <c r="K139" i="4"/>
  <c r="J139" i="4"/>
  <c r="K138" i="4"/>
  <c r="J138" i="4"/>
  <c r="K137" i="4"/>
  <c r="J137" i="4"/>
  <c r="K136" i="4"/>
  <c r="J136" i="4"/>
  <c r="K135" i="4"/>
  <c r="J135" i="4"/>
  <c r="K134" i="4"/>
  <c r="J134" i="4"/>
  <c r="K133" i="4"/>
  <c r="J133" i="4"/>
  <c r="K132" i="4"/>
  <c r="J132" i="4"/>
  <c r="K131" i="4"/>
  <c r="J131" i="4"/>
  <c r="K130" i="4"/>
  <c r="J130" i="4"/>
  <c r="K129" i="4"/>
  <c r="J129" i="4"/>
  <c r="K128" i="4"/>
  <c r="J128" i="4"/>
  <c r="K127" i="4"/>
  <c r="J127" i="4"/>
  <c r="K126" i="4"/>
  <c r="J126" i="4"/>
  <c r="K125" i="4"/>
  <c r="J125" i="4"/>
  <c r="K124" i="4"/>
  <c r="J124" i="4"/>
  <c r="K123" i="4"/>
  <c r="J123" i="4"/>
  <c r="K122" i="4"/>
  <c r="J122" i="4"/>
  <c r="K121" i="4"/>
  <c r="J121" i="4"/>
  <c r="K120" i="4"/>
  <c r="J120" i="4"/>
  <c r="K119" i="4"/>
  <c r="J119" i="4"/>
  <c r="K118" i="4"/>
  <c r="J118" i="4"/>
  <c r="K117" i="4"/>
  <c r="J117" i="4"/>
  <c r="K116" i="4"/>
  <c r="J116" i="4"/>
  <c r="K115" i="4"/>
  <c r="J115" i="4"/>
  <c r="K114" i="4"/>
  <c r="J114" i="4"/>
  <c r="K113" i="4"/>
  <c r="J113" i="4"/>
  <c r="K112" i="4"/>
  <c r="J112" i="4"/>
  <c r="K111" i="4"/>
  <c r="J111" i="4"/>
  <c r="K110" i="4"/>
  <c r="J110" i="4"/>
  <c r="K109" i="4"/>
  <c r="J109" i="4"/>
  <c r="K108" i="4"/>
  <c r="J108" i="4"/>
  <c r="K107" i="4"/>
  <c r="J107" i="4"/>
  <c r="K106" i="4"/>
  <c r="J106" i="4"/>
  <c r="K105" i="4"/>
  <c r="J105" i="4"/>
  <c r="K104" i="4"/>
  <c r="J104" i="4"/>
  <c r="K103" i="4"/>
  <c r="J103" i="4"/>
  <c r="K102" i="4"/>
  <c r="J102" i="4"/>
  <c r="K101" i="4"/>
  <c r="J101" i="4"/>
  <c r="K100" i="4"/>
  <c r="J100" i="4"/>
  <c r="K99" i="4"/>
  <c r="J99" i="4"/>
  <c r="K98" i="4"/>
  <c r="J98" i="4"/>
  <c r="K97" i="4"/>
  <c r="J97" i="4"/>
  <c r="K96" i="4"/>
  <c r="J96" i="4"/>
  <c r="K95" i="4"/>
  <c r="J95" i="4"/>
  <c r="K94" i="4"/>
  <c r="J94" i="4"/>
  <c r="K93" i="4"/>
  <c r="J93" i="4"/>
  <c r="K92" i="4"/>
  <c r="J92" i="4"/>
  <c r="K91" i="4"/>
  <c r="J91" i="4"/>
  <c r="K90" i="4"/>
  <c r="J90" i="4"/>
  <c r="K89" i="4"/>
  <c r="J89" i="4"/>
  <c r="K88" i="4"/>
  <c r="J88" i="4"/>
  <c r="K87" i="4"/>
  <c r="J87" i="4"/>
  <c r="K86" i="4"/>
  <c r="J86" i="4"/>
  <c r="K85" i="4"/>
  <c r="J85" i="4"/>
  <c r="K84" i="4"/>
  <c r="J84" i="4"/>
  <c r="K83" i="4"/>
  <c r="J83" i="4"/>
  <c r="K82" i="4"/>
  <c r="J82" i="4"/>
  <c r="K81" i="4"/>
  <c r="J81" i="4"/>
  <c r="K80" i="4"/>
  <c r="J80" i="4"/>
  <c r="K79" i="4"/>
  <c r="J79" i="4"/>
  <c r="K78" i="4"/>
  <c r="J78" i="4"/>
  <c r="K77" i="4"/>
  <c r="J77" i="4"/>
  <c r="K76" i="4"/>
  <c r="J76" i="4"/>
  <c r="K75" i="4"/>
  <c r="J75" i="4"/>
  <c r="K74" i="4"/>
  <c r="J74" i="4"/>
  <c r="K73" i="4"/>
  <c r="J73" i="4"/>
  <c r="K72" i="4"/>
  <c r="J72" i="4"/>
  <c r="K71" i="4"/>
  <c r="J71" i="4"/>
  <c r="K70" i="4"/>
  <c r="J70" i="4"/>
  <c r="K69" i="4"/>
  <c r="J69" i="4"/>
  <c r="K68" i="4"/>
  <c r="J68" i="4"/>
  <c r="K67" i="4"/>
  <c r="J67" i="4"/>
  <c r="K66" i="4"/>
  <c r="J66" i="4"/>
  <c r="K65" i="4"/>
  <c r="J65" i="4"/>
  <c r="K64" i="4"/>
  <c r="J64" i="4"/>
  <c r="K63" i="4"/>
  <c r="J63" i="4"/>
  <c r="K62" i="4"/>
  <c r="J62" i="4"/>
  <c r="K61" i="4"/>
  <c r="J61" i="4"/>
  <c r="K60" i="4"/>
  <c r="J60" i="4"/>
  <c r="K59" i="4"/>
  <c r="J59" i="4"/>
  <c r="K58" i="4"/>
  <c r="J58" i="4"/>
  <c r="K57" i="4"/>
  <c r="J57" i="4"/>
  <c r="K56" i="4"/>
  <c r="J56" i="4"/>
  <c r="K55" i="4"/>
  <c r="J55" i="4"/>
  <c r="K54" i="4"/>
  <c r="J54" i="4" s="1"/>
  <c r="K53" i="4"/>
  <c r="J53" i="4" s="1"/>
  <c r="K52" i="4"/>
  <c r="J52" i="4" s="1"/>
  <c r="K51" i="4"/>
  <c r="J51" i="4" s="1"/>
  <c r="K50" i="4"/>
  <c r="J50" i="4"/>
  <c r="K49" i="4"/>
  <c r="J49" i="4" s="1"/>
  <c r="K48" i="4"/>
  <c r="J48" i="4"/>
  <c r="K47" i="4"/>
  <c r="J47" i="4" s="1"/>
  <c r="K46" i="4"/>
  <c r="J46" i="4" s="1"/>
  <c r="K45" i="4"/>
  <c r="J45" i="4" s="1"/>
  <c r="K44" i="4"/>
  <c r="J44" i="4" s="1"/>
  <c r="K43" i="4"/>
  <c r="J43" i="4" s="1"/>
  <c r="K42" i="4"/>
  <c r="J42" i="4"/>
  <c r="K41" i="4"/>
  <c r="J41" i="4" s="1"/>
  <c r="K40" i="4"/>
  <c r="J40" i="4"/>
  <c r="K39" i="4"/>
  <c r="J39" i="4" s="1"/>
  <c r="K38" i="4"/>
  <c r="J38" i="4" s="1"/>
  <c r="K37" i="4"/>
  <c r="J37" i="4" s="1"/>
  <c r="K36" i="4"/>
  <c r="J36" i="4" s="1"/>
  <c r="K35" i="4"/>
  <c r="J35" i="4" s="1"/>
  <c r="K34" i="4"/>
  <c r="J34" i="4"/>
  <c r="K33" i="4"/>
  <c r="J33" i="4" s="1"/>
  <c r="K32" i="4"/>
  <c r="J32" i="4"/>
  <c r="K31" i="4"/>
  <c r="J31" i="4" s="1"/>
  <c r="K30" i="4"/>
  <c r="J30" i="4" s="1"/>
  <c r="K29" i="4"/>
  <c r="J29" i="4" s="1"/>
  <c r="K28" i="4"/>
  <c r="J28" i="4" s="1"/>
  <c r="K27" i="4"/>
  <c r="J27" i="4" s="1"/>
  <c r="K26" i="4"/>
  <c r="J26" i="4"/>
  <c r="K25" i="4"/>
  <c r="J25" i="4" s="1"/>
  <c r="K24" i="4"/>
  <c r="J24" i="4"/>
  <c r="K23" i="4"/>
  <c r="J23" i="4" s="1"/>
  <c r="K22" i="4"/>
  <c r="J22" i="4" s="1"/>
  <c r="K21" i="4"/>
  <c r="J21" i="4" s="1"/>
  <c r="K20" i="4"/>
  <c r="J20" i="4" s="1"/>
  <c r="K19" i="4"/>
  <c r="J19" i="4" s="1"/>
  <c r="K18" i="4"/>
  <c r="J18" i="4"/>
  <c r="K17" i="4"/>
  <c r="J17" i="4" s="1"/>
  <c r="K16" i="4"/>
  <c r="J16" i="4"/>
  <c r="K15" i="4"/>
  <c r="J15" i="4" s="1"/>
  <c r="K14" i="4"/>
  <c r="J14" i="4" s="1"/>
  <c r="K13" i="4"/>
  <c r="J13" i="4" s="1"/>
  <c r="K12" i="4"/>
  <c r="J12" i="4" s="1"/>
  <c r="K11" i="4"/>
  <c r="J11" i="4" s="1"/>
  <c r="K10" i="4"/>
  <c r="J10" i="4"/>
  <c r="K9" i="4"/>
  <c r="J9" i="4" s="1"/>
  <c r="K8" i="4"/>
  <c r="J8" i="4"/>
  <c r="K7" i="4"/>
  <c r="J7" i="4" s="1"/>
  <c r="K6" i="4"/>
  <c r="J6" i="4" s="1"/>
  <c r="K5" i="4"/>
  <c r="J5" i="4" s="1"/>
  <c r="N204" i="3"/>
  <c r="M204" i="3"/>
  <c r="N203" i="3"/>
  <c r="M203" i="3"/>
  <c r="N202" i="3"/>
  <c r="M202" i="3"/>
  <c r="N201" i="3"/>
  <c r="M201" i="3"/>
  <c r="N200" i="3"/>
  <c r="M200" i="3"/>
  <c r="N199" i="3"/>
  <c r="M199" i="3"/>
  <c r="N198" i="3"/>
  <c r="M198" i="3"/>
  <c r="N197" i="3"/>
  <c r="M197" i="3"/>
  <c r="N196" i="3"/>
  <c r="M196" i="3"/>
  <c r="N195" i="3"/>
  <c r="M195" i="3"/>
  <c r="N194" i="3"/>
  <c r="M194" i="3"/>
  <c r="N193" i="3"/>
  <c r="M193" i="3"/>
  <c r="N192" i="3"/>
  <c r="M192" i="3"/>
  <c r="N191" i="3"/>
  <c r="M191" i="3"/>
  <c r="N190" i="3"/>
  <c r="M190" i="3"/>
  <c r="N189" i="3"/>
  <c r="M189" i="3"/>
  <c r="N188" i="3"/>
  <c r="M188" i="3"/>
  <c r="N187" i="3"/>
  <c r="M187" i="3"/>
  <c r="N186" i="3"/>
  <c r="M186" i="3"/>
  <c r="N185" i="3"/>
  <c r="M185" i="3"/>
  <c r="N184" i="3"/>
  <c r="M184" i="3"/>
  <c r="N183" i="3"/>
  <c r="M183" i="3"/>
  <c r="N182" i="3"/>
  <c r="M182" i="3"/>
  <c r="N181" i="3"/>
  <c r="M181" i="3"/>
  <c r="N180" i="3"/>
  <c r="M180" i="3"/>
  <c r="N179" i="3"/>
  <c r="M179" i="3"/>
  <c r="N178" i="3"/>
  <c r="M178" i="3"/>
  <c r="N177" i="3"/>
  <c r="M177" i="3"/>
  <c r="N176" i="3"/>
  <c r="M176" i="3"/>
  <c r="N175" i="3"/>
  <c r="M175" i="3"/>
  <c r="N174" i="3"/>
  <c r="M174" i="3"/>
  <c r="N173" i="3"/>
  <c r="M173" i="3"/>
  <c r="N172" i="3"/>
  <c r="M172" i="3"/>
  <c r="N171" i="3"/>
  <c r="M171" i="3"/>
  <c r="N170" i="3"/>
  <c r="M170" i="3"/>
  <c r="N169" i="3"/>
  <c r="M169" i="3"/>
  <c r="N168" i="3"/>
  <c r="M168" i="3"/>
  <c r="N167" i="3"/>
  <c r="M167" i="3"/>
  <c r="N166" i="3"/>
  <c r="M166" i="3"/>
  <c r="N165" i="3"/>
  <c r="M165" i="3"/>
  <c r="N164" i="3"/>
  <c r="M164" i="3"/>
  <c r="N163" i="3"/>
  <c r="M163" i="3"/>
  <c r="N162" i="3"/>
  <c r="M162" i="3"/>
  <c r="N161" i="3"/>
  <c r="M161" i="3"/>
  <c r="N160" i="3"/>
  <c r="M160" i="3"/>
  <c r="N159" i="3"/>
  <c r="M159" i="3"/>
  <c r="N158" i="3"/>
  <c r="M158" i="3"/>
  <c r="N157" i="3"/>
  <c r="M157" i="3"/>
  <c r="N156" i="3"/>
  <c r="M156" i="3"/>
  <c r="N155" i="3"/>
  <c r="M155" i="3"/>
  <c r="N154" i="3"/>
  <c r="M154" i="3"/>
  <c r="N153" i="3"/>
  <c r="M153" i="3"/>
  <c r="N152" i="3"/>
  <c r="M152" i="3"/>
  <c r="N151" i="3"/>
  <c r="M151" i="3"/>
  <c r="N150" i="3"/>
  <c r="M150" i="3"/>
  <c r="N149" i="3"/>
  <c r="M149" i="3"/>
  <c r="N148" i="3"/>
  <c r="M148" i="3"/>
  <c r="N147" i="3"/>
  <c r="M147" i="3"/>
  <c r="N146" i="3"/>
  <c r="M146" i="3"/>
  <c r="N145" i="3"/>
  <c r="M145" i="3"/>
  <c r="N144" i="3"/>
  <c r="M144" i="3"/>
  <c r="N143" i="3"/>
  <c r="M143" i="3"/>
  <c r="N142" i="3"/>
  <c r="M142" i="3"/>
  <c r="N141" i="3"/>
  <c r="M141" i="3"/>
  <c r="N140" i="3"/>
  <c r="M140" i="3"/>
  <c r="N139" i="3"/>
  <c r="M139" i="3"/>
  <c r="N138" i="3"/>
  <c r="M138" i="3"/>
  <c r="N137" i="3"/>
  <c r="M137" i="3"/>
  <c r="N136" i="3"/>
  <c r="M136" i="3"/>
  <c r="N135" i="3"/>
  <c r="M135" i="3"/>
  <c r="N134" i="3"/>
  <c r="M134" i="3"/>
  <c r="N133" i="3"/>
  <c r="M133" i="3"/>
  <c r="N132" i="3"/>
  <c r="M132" i="3"/>
  <c r="N131" i="3"/>
  <c r="M131" i="3"/>
  <c r="N130" i="3"/>
  <c r="M130" i="3"/>
  <c r="N129" i="3"/>
  <c r="M129" i="3"/>
  <c r="N128" i="3"/>
  <c r="M128" i="3"/>
  <c r="N127" i="3"/>
  <c r="M127" i="3"/>
  <c r="N126" i="3"/>
  <c r="M126" i="3"/>
  <c r="N125" i="3"/>
  <c r="M125" i="3"/>
  <c r="N124" i="3"/>
  <c r="M124" i="3"/>
  <c r="N123" i="3"/>
  <c r="M123" i="3"/>
  <c r="N122" i="3"/>
  <c r="M122" i="3"/>
  <c r="N121" i="3"/>
  <c r="M121" i="3"/>
  <c r="N120" i="3"/>
  <c r="M120" i="3"/>
  <c r="N119" i="3"/>
  <c r="M119" i="3"/>
  <c r="N118" i="3"/>
  <c r="M118" i="3"/>
  <c r="N117" i="3"/>
  <c r="M117" i="3"/>
  <c r="N116" i="3"/>
  <c r="M116" i="3"/>
  <c r="N115" i="3"/>
  <c r="M115" i="3"/>
  <c r="N114" i="3"/>
  <c r="M114" i="3"/>
  <c r="N113" i="3"/>
  <c r="M113" i="3"/>
  <c r="N112" i="3"/>
  <c r="M112" i="3"/>
  <c r="N111" i="3"/>
  <c r="M111" i="3"/>
  <c r="N110" i="3"/>
  <c r="M110" i="3"/>
  <c r="N109" i="3"/>
  <c r="M109" i="3"/>
  <c r="N108" i="3"/>
  <c r="M108" i="3"/>
  <c r="N107" i="3"/>
  <c r="M107" i="3"/>
  <c r="N106" i="3"/>
  <c r="M106" i="3"/>
  <c r="N105" i="3"/>
  <c r="M105" i="3"/>
  <c r="N104" i="3"/>
  <c r="M104" i="3"/>
  <c r="N103" i="3"/>
  <c r="M103" i="3"/>
  <c r="N102" i="3"/>
  <c r="M102" i="3"/>
  <c r="N101" i="3"/>
  <c r="M101" i="3"/>
  <c r="N100" i="3"/>
  <c r="M100" i="3"/>
  <c r="N99" i="3"/>
  <c r="M99" i="3"/>
  <c r="N98" i="3"/>
  <c r="M98" i="3"/>
  <c r="N97" i="3"/>
  <c r="M97" i="3"/>
  <c r="N96" i="3"/>
  <c r="M96" i="3"/>
  <c r="N95" i="3"/>
  <c r="M95" i="3"/>
  <c r="N94" i="3"/>
  <c r="M94" i="3"/>
  <c r="N93" i="3"/>
  <c r="M93" i="3"/>
  <c r="N92" i="3"/>
  <c r="M92" i="3"/>
  <c r="N91" i="3"/>
  <c r="M91" i="3"/>
  <c r="N90" i="3"/>
  <c r="M90" i="3"/>
  <c r="N89" i="3"/>
  <c r="M89" i="3"/>
  <c r="N88" i="3"/>
  <c r="M88" i="3"/>
  <c r="N87" i="3"/>
  <c r="M87" i="3"/>
  <c r="N86" i="3"/>
  <c r="M86" i="3"/>
  <c r="N85" i="3"/>
  <c r="M85" i="3"/>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c r="N36" i="3"/>
  <c r="M36" i="3"/>
  <c r="N35" i="3"/>
  <c r="M35" i="3" s="1"/>
  <c r="N34" i="3"/>
  <c r="M34" i="3"/>
  <c r="N33" i="3"/>
  <c r="M33" i="3" s="1"/>
  <c r="N32" i="3"/>
  <c r="M32" i="3"/>
  <c r="N31" i="3"/>
  <c r="M31" i="3" s="1"/>
  <c r="N30" i="3"/>
  <c r="M30" i="3" s="1"/>
  <c r="N29" i="3"/>
  <c r="M29" i="3" s="1"/>
  <c r="N28" i="3"/>
  <c r="M28" i="3" s="1"/>
  <c r="N27" i="3"/>
  <c r="M27" i="3" s="1"/>
  <c r="N26" i="3"/>
  <c r="M26" i="3"/>
  <c r="N25" i="3"/>
  <c r="M25" i="3" s="1"/>
  <c r="N24" i="3"/>
  <c r="M24" i="3"/>
  <c r="N23" i="3"/>
  <c r="M23" i="3" s="1"/>
  <c r="N22" i="3"/>
  <c r="M22" i="3" s="1"/>
  <c r="N21" i="3"/>
  <c r="M21" i="3" s="1"/>
  <c r="N20" i="3"/>
  <c r="M20" i="3" s="1"/>
  <c r="N19" i="3"/>
  <c r="M19" i="3" s="1"/>
  <c r="N18" i="3"/>
  <c r="M18" i="3"/>
  <c r="N17" i="3"/>
  <c r="M17" i="3" s="1"/>
  <c r="N16" i="3"/>
  <c r="M16" i="3"/>
  <c r="N15" i="3"/>
  <c r="M15" i="3" s="1"/>
  <c r="N14" i="3"/>
  <c r="M14" i="3" s="1"/>
  <c r="N13" i="3"/>
  <c r="M13" i="3" s="1"/>
  <c r="N12" i="3"/>
  <c r="M12" i="3" s="1"/>
  <c r="N11" i="3"/>
  <c r="M11" i="3" s="1"/>
  <c r="N10" i="3"/>
  <c r="M10" i="3"/>
  <c r="N9" i="3"/>
  <c r="M9" i="3" s="1"/>
  <c r="N8" i="3"/>
  <c r="M8" i="3"/>
  <c r="N7" i="3"/>
  <c r="M7" i="3" s="1"/>
  <c r="N6" i="3"/>
  <c r="M6" i="3" s="1"/>
  <c r="N5" i="3"/>
  <c r="M5" i="3" s="1"/>
  <c r="C21" i="2"/>
  <c r="B21" i="2"/>
  <c r="B20" i="2"/>
  <c r="C20" i="2" s="1"/>
  <c r="B22" i="2" s="1"/>
  <c r="F24" i="6" l="1"/>
  <c r="G6" i="6"/>
  <c r="B11" i="6" s="1"/>
  <c r="C11" i="6" s="1"/>
  <c r="F32" i="6"/>
  <c r="F27" i="6"/>
  <c r="F46" i="6"/>
  <c r="H6" i="6"/>
  <c r="B12" i="6" s="1"/>
  <c r="C12" i="6" s="1"/>
  <c r="B14" i="6"/>
  <c r="C14" i="6" s="1"/>
  <c r="B15" i="6" s="1"/>
  <c r="C15" i="6" s="1"/>
  <c r="C22" i="2"/>
  <c r="B19" i="6"/>
  <c r="B27" i="6"/>
  <c r="B35" i="6"/>
  <c r="F35" i="6" s="1"/>
  <c r="B43" i="6"/>
  <c r="F43" i="6" s="1"/>
  <c r="B51" i="6"/>
  <c r="B59" i="6"/>
  <c r="B67" i="6"/>
  <c r="B75" i="6"/>
  <c r="B83" i="6"/>
  <c r="B91" i="6"/>
  <c r="B99" i="6"/>
  <c r="D19" i="6"/>
  <c r="B22" i="6"/>
  <c r="D27" i="6"/>
  <c r="B30" i="6"/>
  <c r="D35" i="6"/>
  <c r="E35" i="6" s="1"/>
  <c r="B38" i="6"/>
  <c r="D43" i="6"/>
  <c r="E43" i="6" s="1"/>
  <c r="B46" i="6"/>
  <c r="D51" i="6"/>
  <c r="B54" i="6"/>
  <c r="D59" i="6"/>
  <c r="B62" i="6"/>
  <c r="D67" i="6"/>
  <c r="B70" i="6"/>
  <c r="D75" i="6"/>
  <c r="B78" i="6"/>
  <c r="D83" i="6"/>
  <c r="B86" i="6"/>
  <c r="D91" i="6"/>
  <c r="B94" i="6"/>
  <c r="D99" i="6"/>
  <c r="B102" i="6"/>
  <c r="D107" i="6"/>
  <c r="B110" i="6"/>
  <c r="D115" i="6"/>
  <c r="B118" i="6"/>
  <c r="D123" i="6"/>
  <c r="B126" i="6"/>
  <c r="D131" i="6"/>
  <c r="B134" i="6"/>
  <c r="D139" i="6"/>
  <c r="B142" i="6"/>
  <c r="D147" i="6"/>
  <c r="B150" i="6"/>
  <c r="D155" i="6"/>
  <c r="B158" i="6"/>
  <c r="D163" i="6"/>
  <c r="B166" i="6"/>
  <c r="D171" i="6"/>
  <c r="B174" i="6"/>
  <c r="D179" i="6"/>
  <c r="B182" i="6"/>
  <c r="D187" i="6"/>
  <c r="B190" i="6"/>
  <c r="D195" i="6"/>
  <c r="B198" i="6"/>
  <c r="D203" i="6"/>
  <c r="B206" i="6"/>
  <c r="D211" i="6"/>
  <c r="B214" i="6"/>
  <c r="E19" i="6"/>
  <c r="C22" i="6"/>
  <c r="F22" i="6" s="1"/>
  <c r="E27" i="6"/>
  <c r="C30" i="6"/>
  <c r="C38" i="6"/>
  <c r="C46" i="6"/>
  <c r="E46" i="6" s="1"/>
  <c r="E51" i="6"/>
  <c r="C54" i="6"/>
  <c r="E59" i="6"/>
  <c r="C62" i="6"/>
  <c r="E67" i="6"/>
  <c r="C70" i="6"/>
  <c r="E75" i="6"/>
  <c r="C78" i="6"/>
  <c r="E83" i="6"/>
  <c r="C86" i="6"/>
  <c r="E91" i="6"/>
  <c r="C94" i="6"/>
  <c r="E99" i="6"/>
  <c r="C102" i="6"/>
  <c r="E107" i="6"/>
  <c r="C110" i="6"/>
  <c r="E115" i="6"/>
  <c r="C118" i="6"/>
  <c r="E123" i="6"/>
  <c r="C126" i="6"/>
  <c r="E131" i="6"/>
  <c r="C134" i="6"/>
  <c r="E139" i="6"/>
  <c r="C142" i="6"/>
  <c r="E147" i="6"/>
  <c r="C150" i="6"/>
  <c r="E155" i="6"/>
  <c r="C158" i="6"/>
  <c r="E163" i="6"/>
  <c r="C166" i="6"/>
  <c r="E171" i="6"/>
  <c r="C174" i="6"/>
  <c r="E179" i="6"/>
  <c r="C182" i="6"/>
  <c r="E187" i="6"/>
  <c r="C190" i="6"/>
  <c r="E195" i="6"/>
  <c r="C198" i="6"/>
  <c r="E203" i="6"/>
  <c r="C206" i="6"/>
  <c r="E211" i="6"/>
  <c r="C214" i="6"/>
  <c r="D22" i="6"/>
  <c r="E22" i="6" s="1"/>
  <c r="D30" i="6"/>
  <c r="D38" i="6"/>
  <c r="D46" i="6"/>
  <c r="D54" i="6"/>
  <c r="D62" i="6"/>
  <c r="D70" i="6"/>
  <c r="D78" i="6"/>
  <c r="D86" i="6"/>
  <c r="D94" i="6"/>
  <c r="D102" i="6"/>
  <c r="D110" i="6"/>
  <c r="D118" i="6"/>
  <c r="D126" i="6"/>
  <c r="D134" i="6"/>
  <c r="D142" i="6"/>
  <c r="D150" i="6"/>
  <c r="D158" i="6"/>
  <c r="D166" i="6"/>
  <c r="D174" i="6"/>
  <c r="D182" i="6"/>
  <c r="D190" i="6"/>
  <c r="D198" i="6"/>
  <c r="D206" i="6"/>
  <c r="D214" i="6"/>
  <c r="C25" i="6"/>
  <c r="E25" i="6" s="1"/>
  <c r="E30" i="6"/>
  <c r="C33" i="6"/>
  <c r="F33" i="6" s="1"/>
  <c r="E38" i="6"/>
  <c r="C41" i="6"/>
  <c r="C49" i="6"/>
  <c r="E54" i="6"/>
  <c r="C57" i="6"/>
  <c r="E62" i="6"/>
  <c r="C65" i="6"/>
  <c r="E70" i="6"/>
  <c r="C73" i="6"/>
  <c r="E78" i="6"/>
  <c r="C81" i="6"/>
  <c r="E86" i="6"/>
  <c r="C89" i="6"/>
  <c r="E94" i="6"/>
  <c r="C97" i="6"/>
  <c r="E102" i="6"/>
  <c r="C105" i="6"/>
  <c r="E110" i="6"/>
  <c r="C113" i="6"/>
  <c r="E118" i="6"/>
  <c r="C121" i="6"/>
  <c r="E126" i="6"/>
  <c r="C129" i="6"/>
  <c r="E134" i="6"/>
  <c r="C137" i="6"/>
  <c r="E142" i="6"/>
  <c r="C145" i="6"/>
  <c r="E150" i="6"/>
  <c r="C153" i="6"/>
  <c r="E158" i="6"/>
  <c r="C161" i="6"/>
  <c r="E166" i="6"/>
  <c r="C169" i="6"/>
  <c r="E174" i="6"/>
  <c r="C177" i="6"/>
  <c r="E182" i="6"/>
  <c r="C185" i="6"/>
  <c r="E190" i="6"/>
  <c r="C193" i="6"/>
  <c r="E198" i="6"/>
  <c r="C201" i="6"/>
  <c r="E206" i="6"/>
  <c r="C209" i="6"/>
  <c r="E214" i="6"/>
  <c r="C217" i="6"/>
  <c r="B20" i="6"/>
  <c r="D25" i="6"/>
  <c r="B28" i="6"/>
  <c r="D33" i="6"/>
  <c r="B36" i="6"/>
  <c r="D41" i="6"/>
  <c r="B44" i="6"/>
  <c r="D49" i="6"/>
  <c r="B52" i="6"/>
  <c r="D57" i="6"/>
  <c r="B60" i="6"/>
  <c r="D65" i="6"/>
  <c r="B68" i="6"/>
  <c r="D73" i="6"/>
  <c r="B76" i="6"/>
  <c r="D81" i="6"/>
  <c r="B84" i="6"/>
  <c r="D89" i="6"/>
  <c r="B92" i="6"/>
  <c r="D97" i="6"/>
  <c r="B100" i="6"/>
  <c r="D105" i="6"/>
  <c r="B108" i="6"/>
  <c r="D113" i="6"/>
  <c r="B116" i="6"/>
  <c r="D121" i="6"/>
  <c r="B124" i="6"/>
  <c r="D129" i="6"/>
  <c r="B132" i="6"/>
  <c r="D137" i="6"/>
  <c r="B140" i="6"/>
  <c r="D145" i="6"/>
  <c r="B148" i="6"/>
  <c r="D153" i="6"/>
  <c r="B156" i="6"/>
  <c r="D161" i="6"/>
  <c r="B164" i="6"/>
  <c r="D169" i="6"/>
  <c r="B172" i="6"/>
  <c r="D177" i="6"/>
  <c r="B180" i="6"/>
  <c r="D185" i="6"/>
  <c r="B188" i="6"/>
  <c r="D193" i="6"/>
  <c r="B196" i="6"/>
  <c r="D201" i="6"/>
  <c r="B204" i="6"/>
  <c r="D209" i="6"/>
  <c r="B212" i="6"/>
  <c r="D217" i="6"/>
  <c r="C20" i="6"/>
  <c r="C28" i="6"/>
  <c r="E33" i="6"/>
  <c r="C36" i="6"/>
  <c r="F36" i="6" s="1"/>
  <c r="E41" i="6"/>
  <c r="C44" i="6"/>
  <c r="F44" i="6" s="1"/>
  <c r="E49" i="6"/>
  <c r="C52" i="6"/>
  <c r="E57" i="6"/>
  <c r="C60" i="6"/>
  <c r="E65" i="6"/>
  <c r="C68" i="6"/>
  <c r="E73" i="6"/>
  <c r="C76" i="6"/>
  <c r="E81" i="6"/>
  <c r="C84" i="6"/>
  <c r="E89" i="6"/>
  <c r="C92" i="6"/>
  <c r="E97" i="6"/>
  <c r="C100" i="6"/>
  <c r="E105" i="6"/>
  <c r="C108" i="6"/>
  <c r="E113" i="6"/>
  <c r="C116" i="6"/>
  <c r="E121" i="6"/>
  <c r="C124" i="6"/>
  <c r="E129" i="6"/>
  <c r="C132" i="6"/>
  <c r="E137" i="6"/>
  <c r="C140" i="6"/>
  <c r="E145" i="6"/>
  <c r="C148" i="6"/>
  <c r="E153" i="6"/>
  <c r="C156" i="6"/>
  <c r="E161" i="6"/>
  <c r="C164" i="6"/>
  <c r="E169" i="6"/>
  <c r="C172" i="6"/>
  <c r="E177" i="6"/>
  <c r="C180" i="6"/>
  <c r="E185" i="6"/>
  <c r="C188" i="6"/>
  <c r="E193" i="6"/>
  <c r="C196" i="6"/>
  <c r="E201" i="6"/>
  <c r="C204" i="6"/>
  <c r="E209" i="6"/>
  <c r="C212" i="6"/>
  <c r="E217" i="6"/>
  <c r="D20" i="6"/>
  <c r="B23" i="6"/>
  <c r="E23" i="6" s="1"/>
  <c r="D28" i="6"/>
  <c r="B31" i="6"/>
  <c r="D36" i="6"/>
  <c r="E36" i="6" s="1"/>
  <c r="B39" i="6"/>
  <c r="D44" i="6"/>
  <c r="B47" i="6"/>
  <c r="D52" i="6"/>
  <c r="B55" i="6"/>
  <c r="D60" i="6"/>
  <c r="B63" i="6"/>
  <c r="D68" i="6"/>
  <c r="B71" i="6"/>
  <c r="D76" i="6"/>
  <c r="B79" i="6"/>
  <c r="D84" i="6"/>
  <c r="B87" i="6"/>
  <c r="D92" i="6"/>
  <c r="B95" i="6"/>
  <c r="D100" i="6"/>
  <c r="B103" i="6"/>
  <c r="D108" i="6"/>
  <c r="B111" i="6"/>
  <c r="D116" i="6"/>
  <c r="B119" i="6"/>
  <c r="D124" i="6"/>
  <c r="B127" i="6"/>
  <c r="D132" i="6"/>
  <c r="B135" i="6"/>
  <c r="D140" i="6"/>
  <c r="B143" i="6"/>
  <c r="D148" i="6"/>
  <c r="B151" i="6"/>
  <c r="D156" i="6"/>
  <c r="B159" i="6"/>
  <c r="D164" i="6"/>
  <c r="B167" i="6"/>
  <c r="D172" i="6"/>
  <c r="B175" i="6"/>
  <c r="D180" i="6"/>
  <c r="B183" i="6"/>
  <c r="D188" i="6"/>
  <c r="B191" i="6"/>
  <c r="D196" i="6"/>
  <c r="B199" i="6"/>
  <c r="D204" i="6"/>
  <c r="B207" i="6"/>
  <c r="D212" i="6"/>
  <c r="B215" i="6"/>
  <c r="E20" i="6"/>
  <c r="C23" i="6"/>
  <c r="F23" i="6" s="1"/>
  <c r="E28" i="6"/>
  <c r="C31" i="6"/>
  <c r="C39" i="6"/>
  <c r="C47" i="6"/>
  <c r="E52" i="6"/>
  <c r="C55" i="6"/>
  <c r="E60" i="6"/>
  <c r="C63" i="6"/>
  <c r="E68" i="6"/>
  <c r="C71" i="6"/>
  <c r="E76" i="6"/>
  <c r="C79" i="6"/>
  <c r="E84" i="6"/>
  <c r="C87" i="6"/>
  <c r="E92" i="6"/>
  <c r="C95" i="6"/>
  <c r="E100" i="6"/>
  <c r="C103" i="6"/>
  <c r="E108" i="6"/>
  <c r="C111" i="6"/>
  <c r="E116" i="6"/>
  <c r="C119" i="6"/>
  <c r="E124" i="6"/>
  <c r="C127" i="6"/>
  <c r="E132" i="6"/>
  <c r="C135" i="6"/>
  <c r="E140" i="6"/>
  <c r="C143" i="6"/>
  <c r="E148" i="6"/>
  <c r="C151" i="6"/>
  <c r="E156" i="6"/>
  <c r="C159" i="6"/>
  <c r="E164" i="6"/>
  <c r="C167" i="6"/>
  <c r="E172" i="6"/>
  <c r="C175" i="6"/>
  <c r="E180" i="6"/>
  <c r="C183" i="6"/>
  <c r="E188" i="6"/>
  <c r="C191" i="6"/>
  <c r="E196" i="6"/>
  <c r="C199" i="6"/>
  <c r="E204" i="6"/>
  <c r="C207" i="6"/>
  <c r="E212" i="6"/>
  <c r="C215" i="6"/>
  <c r="D23" i="6"/>
  <c r="B26" i="6"/>
  <c r="D31" i="6"/>
  <c r="B34" i="6"/>
  <c r="D39" i="6"/>
  <c r="B42" i="6"/>
  <c r="D47" i="6"/>
  <c r="B50" i="6"/>
  <c r="D55" i="6"/>
  <c r="B58" i="6"/>
  <c r="D63" i="6"/>
  <c r="B66" i="6"/>
  <c r="D71" i="6"/>
  <c r="B74" i="6"/>
  <c r="D79" i="6"/>
  <c r="B82" i="6"/>
  <c r="D87" i="6"/>
  <c r="B90" i="6"/>
  <c r="D95" i="6"/>
  <c r="B98" i="6"/>
  <c r="D103" i="6"/>
  <c r="B106" i="6"/>
  <c r="D111" i="6"/>
  <c r="B114" i="6"/>
  <c r="D119" i="6"/>
  <c r="B122" i="6"/>
  <c r="D127" i="6"/>
  <c r="B130" i="6"/>
  <c r="D135" i="6"/>
  <c r="B138" i="6"/>
  <c r="D143" i="6"/>
  <c r="B146" i="6"/>
  <c r="D151" i="6"/>
  <c r="B154" i="6"/>
  <c r="D159" i="6"/>
  <c r="B162" i="6"/>
  <c r="D167" i="6"/>
  <c r="B170" i="6"/>
  <c r="D175" i="6"/>
  <c r="B178" i="6"/>
  <c r="D183" i="6"/>
  <c r="B186" i="6"/>
  <c r="D191" i="6"/>
  <c r="B194" i="6"/>
  <c r="D199" i="6"/>
  <c r="B202" i="6"/>
  <c r="D207" i="6"/>
  <c r="B210" i="6"/>
  <c r="D215" i="6"/>
  <c r="B218" i="6"/>
  <c r="C26" i="6"/>
  <c r="F26" i="6" s="1"/>
  <c r="E31" i="6"/>
  <c r="C34" i="6"/>
  <c r="F34" i="6" s="1"/>
  <c r="E39" i="6"/>
  <c r="C42" i="6"/>
  <c r="E42" i="6" s="1"/>
  <c r="E47" i="6"/>
  <c r="C50" i="6"/>
  <c r="E55" i="6"/>
  <c r="C58" i="6"/>
  <c r="E63" i="6"/>
  <c r="C66" i="6"/>
  <c r="E71" i="6"/>
  <c r="C74" i="6"/>
  <c r="E79" i="6"/>
  <c r="C82" i="6"/>
  <c r="E87" i="6"/>
  <c r="C90" i="6"/>
  <c r="E95" i="6"/>
  <c r="C98" i="6"/>
  <c r="E103" i="6"/>
  <c r="C106" i="6"/>
  <c r="E111" i="6"/>
  <c r="C114" i="6"/>
  <c r="E119" i="6"/>
  <c r="C122" i="6"/>
  <c r="E127" i="6"/>
  <c r="C130" i="6"/>
  <c r="E135" i="6"/>
  <c r="C138" i="6"/>
  <c r="E143" i="6"/>
  <c r="C146" i="6"/>
  <c r="E151" i="6"/>
  <c r="C154" i="6"/>
  <c r="E159" i="6"/>
  <c r="C162" i="6"/>
  <c r="E167" i="6"/>
  <c r="C170" i="6"/>
  <c r="E175" i="6"/>
  <c r="C178" i="6"/>
  <c r="E183" i="6"/>
  <c r="C186" i="6"/>
  <c r="E191" i="6"/>
  <c r="C194" i="6"/>
  <c r="E199" i="6"/>
  <c r="C202" i="6"/>
  <c r="E207" i="6"/>
  <c r="C210" i="6"/>
  <c r="E215" i="6"/>
  <c r="C218" i="6"/>
  <c r="B21" i="6"/>
  <c r="D26" i="6"/>
  <c r="E26" i="6" s="1"/>
  <c r="B29" i="6"/>
  <c r="D34" i="6"/>
  <c r="B37" i="6"/>
  <c r="D42" i="6"/>
  <c r="B45" i="6"/>
  <c r="D50" i="6"/>
  <c r="B53" i="6"/>
  <c r="D58" i="6"/>
  <c r="B61" i="6"/>
  <c r="D66" i="6"/>
  <c r="B69" i="6"/>
  <c r="D74" i="6"/>
  <c r="B77" i="6"/>
  <c r="D82" i="6"/>
  <c r="B85" i="6"/>
  <c r="D90" i="6"/>
  <c r="B93" i="6"/>
  <c r="D98" i="6"/>
  <c r="B101" i="6"/>
  <c r="D106" i="6"/>
  <c r="B109" i="6"/>
  <c r="D114" i="6"/>
  <c r="B117" i="6"/>
  <c r="D122" i="6"/>
  <c r="B125" i="6"/>
  <c r="D130" i="6"/>
  <c r="B133" i="6"/>
  <c r="D138" i="6"/>
  <c r="B141" i="6"/>
  <c r="D146" i="6"/>
  <c r="B149" i="6"/>
  <c r="D154" i="6"/>
  <c r="B157" i="6"/>
  <c r="D162" i="6"/>
  <c r="B165" i="6"/>
  <c r="D170" i="6"/>
  <c r="B173" i="6"/>
  <c r="D178" i="6"/>
  <c r="B181" i="6"/>
  <c r="D186" i="6"/>
  <c r="B189" i="6"/>
  <c r="D194" i="6"/>
  <c r="B197" i="6"/>
  <c r="D202" i="6"/>
  <c r="B205" i="6"/>
  <c r="D210" i="6"/>
  <c r="B213" i="6"/>
  <c r="D218" i="6"/>
  <c r="C21" i="6"/>
  <c r="C29" i="6"/>
  <c r="E34" i="6"/>
  <c r="C37" i="6"/>
  <c r="C45" i="6"/>
  <c r="E50" i="6"/>
  <c r="C53" i="6"/>
  <c r="E58" i="6"/>
  <c r="C61" i="6"/>
  <c r="E66" i="6"/>
  <c r="C69" i="6"/>
  <c r="E74" i="6"/>
  <c r="C77" i="6"/>
  <c r="E82" i="6"/>
  <c r="C85" i="6"/>
  <c r="E90" i="6"/>
  <c r="C93" i="6"/>
  <c r="E98" i="6"/>
  <c r="C101" i="6"/>
  <c r="E106" i="6"/>
  <c r="C109" i="6"/>
  <c r="E114" i="6"/>
  <c r="C117" i="6"/>
  <c r="E122" i="6"/>
  <c r="C125" i="6"/>
  <c r="E130" i="6"/>
  <c r="C133" i="6"/>
  <c r="E138" i="6"/>
  <c r="C141" i="6"/>
  <c r="E146" i="6"/>
  <c r="C149" i="6"/>
  <c r="E154" i="6"/>
  <c r="C157" i="6"/>
  <c r="E162" i="6"/>
  <c r="C165" i="6"/>
  <c r="E170" i="6"/>
  <c r="C173" i="6"/>
  <c r="E178" i="6"/>
  <c r="C181" i="6"/>
  <c r="E186" i="6"/>
  <c r="C189" i="6"/>
  <c r="E194" i="6"/>
  <c r="C197" i="6"/>
  <c r="E202" i="6"/>
  <c r="C205" i="6"/>
  <c r="E210" i="6"/>
  <c r="C213" i="6"/>
  <c r="E218" i="6"/>
  <c r="E44" i="6" l="1"/>
  <c r="F25" i="6"/>
  <c r="F45" i="6"/>
  <c r="E45" i="6"/>
  <c r="F42" i="6"/>
  <c r="F37" i="6"/>
  <c r="E37" i="6"/>
</calcChain>
</file>

<file path=xl/sharedStrings.xml><?xml version="1.0" encoding="utf-8"?>
<sst xmlns="http://schemas.openxmlformats.org/spreadsheetml/2006/main" count="1008" uniqueCount="540">
  <si>
    <t xml:space="preserve">MẪU NHẬP KỊCH BẢN GAME TƯƠNG TÁC </t>
  </si>
  <si>
    <t>Workbook chuẩn hóa cấu trúc từ 15-movie-template.ts. Team tài liệu nhập ô màu vàng; team dev dùng các bảng dữ liệu đã chuẩn hóa để dựng mảng script JSON/TypeScript và upsert movie.</t>
  </si>
  <si>
    <t>1. QUY TRÌNH SỬ DỤNG</t>
  </si>
  <si>
    <t>Bước</t>
  </si>
  <si>
    <t>Người thực hiện</t>
  </si>
  <si>
    <t>Thao tác</t>
  </si>
  <si>
    <t>Kết quả cần đạt</t>
  </si>
  <si>
    <t>Không được làm</t>
  </si>
  <si>
    <t>Team tài liệu</t>
  </si>
  <si>
    <t>Điền 01_THONG_TIN_Game</t>
  </si>
  <si>
    <t>Đủ mã chương, mục, tiêu đề và thông tin seed</t>
  </si>
  <si>
    <t>Không đổi tên trường kỹ thuật</t>
  </si>
  <si>
    <t>Điền 02_KICH_BAN_NODES theo NodeOrder</t>
  </si>
  <si>
    <t>Mỗi dòng là 1 scene/say/choice/act/end</t>
  </si>
  <si>
    <t>Không gộp nhiều node trong một dòng</t>
  </si>
  <si>
    <t>Điền 03_LUA_CHON theo ChoiceNodeId</t>
  </si>
  <si>
    <t>Mỗi choice có 2–4 phương án và đúng quy tắc ChoiceMode</t>
  </si>
  <si>
    <t>Không bỏ phản hồi phương án</t>
  </si>
  <si>
    <t>Reviewer</t>
  </si>
  <si>
    <t>Kiểm tra 05_KIEM_TRA_QA</t>
  </si>
  <si>
    <t>Không còn lỗi cấu trúc; checklist chuyên môn đạt</t>
  </si>
  <si>
    <t>Không bàn giao khi còn CẦN SỬA</t>
  </si>
  <si>
    <t>Team dev</t>
  </si>
  <si>
    <t>Chuyển đổi theo 06_DEV_MAPPING</t>
  </si>
  <si>
    <t>Seed chạy được và upsert theo muc</t>
  </si>
  <si>
    <t>Không tự thay đổi nội dung chuyên môn</t>
  </si>
  <si>
    <t>2. QUY ƯỚC MÀU VÀ TRẠNG THÁI</t>
  </si>
  <si>
    <t>Màu/Trạng thái</t>
  </si>
  <si>
    <t>Ý nghĩa</t>
  </si>
  <si>
    <t>Hành động</t>
  </si>
  <si>
    <t>Ô màu vàng</t>
  </si>
  <si>
    <t>Dữ liệu team tài liệu được phép nhập/sửa</t>
  </si>
  <si>
    <t>Điền nội dung, không xóa tiêu đề cột</t>
  </si>
  <si>
    <t>Ô màu xám</t>
  </si>
  <si>
    <t>Công thức hoặc thông tin kỹ thuật</t>
  </si>
  <si>
    <t>Không sửa</t>
  </si>
  <si>
    <t>HỢP LỆ</t>
  </si>
  <si>
    <t>Dòng đạt kiểm tra cấu trúc cơ bản</t>
  </si>
  <si>
    <t>Chuyển sang review chuyên môn</t>
  </si>
  <si>
    <t>CẦN SỬA</t>
  </si>
  <si>
    <t>Thiếu dữ liệu, sai liên kết hoặc sai quy tắc</t>
  </si>
  <si>
    <t>Đọc cột Lỗi cấu trúc và chỉnh lại</t>
  </si>
  <si>
    <t>3. QUY TẮC NỘI DUNG BẮT BUỘC</t>
  </si>
  <si>
    <t>Nhóm</t>
  </si>
  <si>
    <t>Quy tắc</t>
  </si>
  <si>
    <t>Mức độ</t>
  </si>
  <si>
    <t>Lý do</t>
  </si>
  <si>
    <t>Cấu trúc game</t>
  </si>
  <si>
    <t>Thông thường 2–4 màn; mỗi màn bắt đầu bằng scene, kết thúc bằng act; toàn game có đúng 1 end.</t>
  </si>
  <si>
    <t>Bắt buộc</t>
  </si>
  <si>
    <t>Khớp ScriptNode trong template.</t>
  </si>
  <si>
    <t>Choice kiến thức</t>
  </si>
  <si>
    <t>ChoiceMode = Kiến thức: 2–4 phương án và đúng 1 IsCorrect = Có.</t>
  </si>
  <si>
    <t>Dùng để kiểm tra và chấm đúng/sai.</t>
  </si>
  <si>
    <t>Choice tương tác</t>
  </si>
  <si>
    <t>ChoiceMode = Tương tác: 2–4 phương án và không đánh dấu đáp án đúng; có thể dùng dc.</t>
  </si>
  <si>
    <t>Khớp các lựa chọn thái độ/thiện cảm trong kịch bản mẫu.</t>
  </si>
  <si>
    <t>Phản hồi</t>
  </si>
  <si>
    <t>Mọi phương án phải có ReplyText; phương án sai của câu kiến thức phải giải thích vì sao sai.</t>
  </si>
  <si>
    <t>Bảo đảm giá trị học tập.</t>
  </si>
  <si>
    <t>Nhân vật</t>
  </si>
  <si>
    <t>Chỉ dùng SpeakerKey trong danh mục; nhân vật mới phải được dev bổ sung vào CHARACTERS.</t>
  </si>
  <si>
    <t>Tránh key không tồn tại.</t>
  </si>
  <si>
    <t>Cảnh nền</t>
  </si>
  <si>
    <t>Chỉ dùng Background trong danh mục; cảnh mới cần asset/SVG được dev xác nhận.</t>
  </si>
  <si>
    <t>Tránh thiếu tài nguyên giao diện.</t>
  </si>
  <si>
    <t>Văn bản</t>
  </si>
  <si>
    <t>Không dùng HTML; câu hỏi không đánh đố; lời thoại tự nhiên, phù hợp vai trò.</t>
  </si>
  <si>
    <t>Khuyến nghị cao</t>
  </si>
  <si>
    <t>Theo nguyên tắc biên soạn của template.</t>
  </si>
  <si>
    <t>Thứ tự</t>
  </si>
  <si>
    <t>NodeOrder và NodeId phải duy nhất; option sắp xếp bằng OptionOrder.</t>
  </si>
  <si>
    <t>Bảo toàn thứ tự mảng script/opts.</t>
  </si>
  <si>
    <t>4. TRƯỜNG HỢP ĐẶC BIỆT</t>
  </si>
  <si>
    <t>Tình huống</t>
  </si>
  <si>
    <t>Cách xử lý</t>
  </si>
  <si>
    <t>Lời dẫn chuyện</t>
  </si>
  <si>
    <t>NodeType = say, SpeakerKey = narr, Mood để trống.</t>
  </si>
  <si>
    <t>Choice mở đầu kiểu “Bạn sẵn sàng chứ?”</t>
  </si>
  <si>
    <t>Chọn ChoiceMode = Tương tác; IsCorrect của mọi option = Không; dùng dc nếu cần.</t>
  </si>
  <si>
    <t>Thêm nhân vật/cảnh nền</t>
  </si>
  <si>
    <t>Bổ sung tại 04_DANH_MUC, ghi rõ cần dev bổ sung và chỉ dùng sau khi được duyệt.</t>
  </si>
  <si>
    <t>Điểm thiện cảm dc</t>
  </si>
  <si>
    <t>Nhập số nguyên dương/âm khi cần; để trống để dùng cơ chế mặc định.</t>
  </si>
  <si>
    <t>Thông tin mẫu</t>
  </si>
  <si>
    <t>Giá trị</t>
  </si>
  <si>
    <t>Nguồn cấu trúc</t>
  </si>
  <si>
    <t>15-movie-template.ts</t>
  </si>
  <si>
    <t>Phiên bản workbook</t>
  </si>
  <si>
    <t>1.1.0 — 2026-07-10</t>
  </si>
  <si>
    <t>01 — THÔNG TIN game / THÔNG SỐ SEED</t>
  </si>
  <si>
    <t>Điền cột Giá trị. Trường có Bắt buộc = Có phải hoàn thành trước khi bàn giao.</t>
  </si>
  <si>
    <t>Trường kỹ thuật</t>
  </si>
  <si>
    <t>Ví dụ</t>
  </si>
  <si>
    <t>Quy tắc / Ghi chú</t>
  </si>
  <si>
    <t>chapterCode</t>
  </si>
  <si>
    <t>Có</t>
  </si>
  <si>
    <t>2</t>
  </si>
  <si>
    <t>Phải tồn tại trong bảng chapter trước khi seed.</t>
  </si>
  <si>
    <t>muc</t>
  </si>
  <si>
    <t>2.1</t>
  </si>
  <si>
    <t>Khóa nghiệp vụ dùng tìm movie hiện có để update/create.</t>
  </si>
  <si>
    <t>movieTitle</t>
  </si>
  <si>
    <t>game tương tác: Hàng hóa và tiền tệ</t>
  </si>
  <si>
    <t>Tên hiển thị của game.</t>
  </si>
  <si>
    <t>seedFunctionName</t>
  </si>
  <si>
    <t>seedMovieChuong2</t>
  </si>
  <si>
    <t>camelCase, không dấu, duy nhất.</t>
  </si>
  <si>
    <t>outputFileName</t>
  </si>
  <si>
    <t>16-movie-chuong-2.ts</t>
  </si>
  <si>
    <t>Tên file TypeScript sau chuyển đổi.</t>
  </si>
  <si>
    <t>seedLogLabel</t>
  </si>
  <si>
    <t>Interactive Movies (Chương 2)</t>
  </si>
  <si>
    <t>Nhãn dùng trong seedLog().</t>
  </si>
  <si>
    <t>author</t>
  </si>
  <si>
    <t>Nguyễn Văn A</t>
  </si>
  <si>
    <t>Người biên soạn.</t>
  </si>
  <si>
    <t>reviewer</t>
  </si>
  <si>
    <t>Trần Thị B</t>
  </si>
  <si>
    <t>Người duyệt nội dung.</t>
  </si>
  <si>
    <t>version</t>
  </si>
  <si>
    <t>1.1</t>
  </si>
  <si>
    <t>Tăng version khi chỉnh sau bàn giao.</t>
  </si>
  <si>
    <t>documentStatus</t>
  </si>
  <si>
    <t>Đã duyệt</t>
  </si>
  <si>
    <t>Chỉ bàn giao khi Đã duyệt.</t>
  </si>
  <si>
    <t>sourceReference</t>
  </si>
  <si>
    <t>Không</t>
  </si>
  <si>
    <t>Giáo trình Chương 2, trang 30–45</t>
  </si>
  <si>
    <t>Nguồn chuyên môn.</t>
  </si>
  <si>
    <t>changeSummary</t>
  </si>
  <si>
    <t>Tạo mới kịch bản Chương 2</t>
  </si>
  <si>
    <t>Tóm tắt thay đổi.</t>
  </si>
  <si>
    <t>KIỂM TRA NHANH</t>
  </si>
  <si>
    <t>Chỉ số</t>
  </si>
  <si>
    <t>Trạng thái</t>
  </si>
  <si>
    <t>Trường bắt buộc còn trống</t>
  </si>
  <si>
    <t>Trạng thái tài liệu</t>
  </si>
  <si>
    <t>Sẵn sàng bàn giao dev</t>
  </si>
  <si>
    <t>Ghi chú</t>
  </si>
  <si>
    <t>Công thức chỉ kiểm tra cấu trúc; reviewer vẫn phải kiểm tra kiến thức.</t>
  </si>
  <si>
    <t>02 — KỊCH BẢN: DANH SÁCH SCRIPT NODE</t>
  </si>
  <si>
    <t>Mỗi dòng là một ScriptNode. ChoiceMode chỉ dùng để QA/biên soạn và không cần ghi vào object TypeScript.</t>
  </si>
  <si>
    <t>NodeOrder*</t>
  </si>
  <si>
    <t>NodeId*</t>
  </si>
  <si>
    <t>ActNo</t>
  </si>
  <si>
    <t>NodeType*</t>
  </si>
  <si>
    <t>ChoiceMode</t>
  </si>
  <si>
    <t>Background</t>
  </si>
  <si>
    <t>SceneName</t>
  </si>
  <si>
    <t>SpeakerKey</t>
  </si>
  <si>
    <t>Mood</t>
  </si>
  <si>
    <t>Text / Question</t>
  </si>
  <si>
    <t>ActRoman</t>
  </si>
  <si>
    <t>Ghi chú biên soạn</t>
  </si>
  <si>
    <t>Lỗi cấu trúc</t>
  </si>
  <si>
    <t>03 — PHƯƠNG ÁN CHO CÁC NODE CHOICE</t>
  </si>
  <si>
    <t>Choice kiến thức: đúng 1 đáp án. Choice tương tác: không có đáp án đúng, có thể nhập dc để thay đổi thiện cảm.</t>
  </si>
  <si>
    <t>ChoiceNodeId*</t>
  </si>
  <si>
    <t>OptionOrder*</t>
  </si>
  <si>
    <t>OptionText*</t>
  </si>
  <si>
    <t>IsCorrect*</t>
  </si>
  <si>
    <t>dc</t>
  </si>
  <si>
    <t>ReplySpeaker*</t>
  </si>
  <si>
    <t>ReplyMood</t>
  </si>
  <si>
    <t>ReplyText*</t>
  </si>
  <si>
    <t>04 — DANH MỤC KỸ THUẬT DÙNG CHUNG</t>
  </si>
  <si>
    <t>Các vùng danh mục là nguồn dropdown. Dòng trống phía dưới dành cho tài nguyên mới đã được dev xác nhận.</t>
  </si>
  <si>
    <t>NHÂN VẬT</t>
  </si>
  <si>
    <t>CẢNH NỀN</t>
  </si>
  <si>
    <t>MOOD</t>
  </si>
  <si>
    <t>NODE TYPE</t>
  </si>
  <si>
    <t>Tên hiển thị</t>
  </si>
  <si>
    <t>Vai trò</t>
  </si>
  <si>
    <t>BackgroundKey</t>
  </si>
  <si>
    <t>Mô tả</t>
  </si>
  <si>
    <t>Tình trạng asset</t>
  </si>
  <si>
    <t>MoodKey</t>
  </si>
  <si>
    <t>Ý nghĩa gợi ý</t>
  </si>
  <si>
    <t>NodeType</t>
  </si>
  <si>
    <t>Trường bắt buộc</t>
  </si>
  <si>
    <t>Object đầu ra</t>
  </si>
  <si>
    <t>narr</t>
  </si>
  <si>
    <t>thukho</t>
  </si>
  <si>
    <t>Thư khố / tầng hầm lưu trữ, tông nâu ấm</t>
  </si>
  <si>
    <t>Có sẵn</t>
  </si>
  <si>
    <t>neutral</t>
  </si>
  <si>
    <t>Bình thường / trung lập</t>
  </si>
  <si>
    <t>scene</t>
  </si>
  <si>
    <t>ActNo, Background, SceneName</t>
  </si>
  <si>
    <t>{ t: "scene", bg, act, name }</t>
  </si>
  <si>
    <t>you</t>
  </si>
  <si>
    <t>Bạn</t>
  </si>
  <si>
    <t>Trợ lý nghiên cứu</t>
  </si>
  <si>
    <t>hoithao</t>
  </si>
  <si>
    <t>Hội trường / hội thảo, tông tím xanh</t>
  </si>
  <si>
    <t>happy</t>
  </si>
  <si>
    <t>Vui / khích lệ</t>
  </si>
  <si>
    <t>say</t>
  </si>
  <si>
    <t>SpeakerKey, Text; Mood trừ narr</t>
  </si>
  <si>
    <t>{ t: "say", who, mood?, text }</t>
  </si>
  <si>
    <t>lam</t>
  </si>
  <si>
    <t>GS. Lâm</t>
  </si>
  <si>
    <t>Người hướng dẫn</t>
  </si>
  <si>
    <t>buctham</t>
  </si>
  <si>
    <t>Bục thẩm / khán phòng, tông đỏ trầm</t>
  </si>
  <si>
    <t>concern</t>
  </si>
  <si>
    <t>Quan ngại / sửa sai nhẹ nhàng</t>
  </si>
  <si>
    <t>choice</t>
  </si>
  <si>
    <t>ChoiceMode, SpeakerKey, Mood, Question + options</t>
  </si>
  <si>
    <t>{ t: "choice", who, mood, q, opts }</t>
  </si>
  <si>
    <t>an</t>
  </si>
  <si>
    <t>Thủ thư An</t>
  </si>
  <si>
    <t>Thủ thư lưu trữ</t>
  </si>
  <si>
    <t>stern</t>
  </si>
  <si>
    <t>Nghiêm khắc / phản biện</t>
  </si>
  <si>
    <t>act</t>
  </si>
  <si>
    <t>{ t: "act", n }</t>
  </si>
  <si>
    <t>khoa</t>
  </si>
  <si>
    <t>TS. Khoa</t>
  </si>
  <si>
    <t>Phản biện viên</t>
  </si>
  <si>
    <t>end</t>
  </si>
  <si>
    <t>Không có trường phụ</t>
  </si>
  <si>
    <t>{ t: "end" }</t>
  </si>
  <si>
    <t>minh</t>
  </si>
  <si>
    <t>SV. Minh</t>
  </si>
  <si>
    <t>Sinh viên</t>
  </si>
  <si>
    <t>05 — KIỂM TRA CHẤT LƯỢNG TRƯỚC KHI BÀN GIAO</t>
  </si>
  <si>
    <t>QA tự động kiểm tra cấu trúc; reviewer vẫn cần duyệt kiến thức, chính tả và tính tự nhiên.</t>
  </si>
  <si>
    <t>TỔNG QUAN</t>
  </si>
  <si>
    <t>Tổng node</t>
  </si>
  <si>
    <t>Scene</t>
  </si>
  <si>
    <t>Say</t>
  </si>
  <si>
    <t>Choice</t>
  </si>
  <si>
    <t>Act</t>
  </si>
  <si>
    <t>End</t>
  </si>
  <si>
    <t>Lỗi node</t>
  </si>
  <si>
    <t>Lỗi option</t>
  </si>
  <si>
    <t>CÁC ĐIỀU KIỆN BẮT BUỘC</t>
  </si>
  <si>
    <t>Kiểm tra</t>
  </si>
  <si>
    <t>Kết quả</t>
  </si>
  <si>
    <t>Có đúng 1 node end</t>
  </si>
  <si>
    <t>Giữ đúng một end ở cuối phim.</t>
  </si>
  <si>
    <t>Không có lỗi node</t>
  </si>
  <si>
    <t>Xem cột Lỗi cấu trúc sheet 02.</t>
  </si>
  <si>
    <t>Không có lỗi option</t>
  </si>
  <si>
    <t>Xem cột Lỗi cấu trúc sheet 03.</t>
  </si>
  <si>
    <t>Số scene thông thường 2–4</t>
  </si>
  <si>
    <t>Ngoài khoảng cần reviewer xác nhận.</t>
  </si>
  <si>
    <t>Metadata sẵn sàng</t>
  </si>
  <si>
    <t>Hoàn tất sheet 01 và Đã duyệt.</t>
  </si>
  <si>
    <t>KẾT LUẬN BÀN GIAO</t>
  </si>
  <si>
    <t>Chỉ bàn giao khi SẴN SÀNG.</t>
  </si>
  <si>
    <t>KIỂM TRA TỪNG CHOICE NODE</t>
  </si>
  <si>
    <t>CHECKLIST REVIEWER</t>
  </si>
  <si>
    <t>ChoiceNodeId</t>
  </si>
  <si>
    <t>Số option</t>
  </si>
  <si>
    <t>Số đáp án đúng</t>
  </si>
  <si>
    <t>Lỗi</t>
  </si>
  <si>
    <t>Mục review</t>
  </si>
  <si>
    <t>Xác nhận</t>
  </si>
  <si>
    <t>Kiến thức đúng nguồn</t>
  </si>
  <si>
    <t>Chưa kiểm tra</t>
  </si>
  <si>
    <t>Câu hỏi không đánh đố</t>
  </si>
  <si>
    <t>Phản hồi sai có giải thích</t>
  </si>
  <si>
    <t>Lời thoại tự nhiên, đúng vai</t>
  </si>
  <si>
    <t>Không có HTML / lỗi chính tả</t>
  </si>
  <si>
    <t>Tên màn và chuyển cảnh hợp lý</t>
  </si>
  <si>
    <t>Đã chạy thử seed ở môi trường dev</t>
  </si>
  <si>
    <t>06 — MAPPING EXCEL → TYPESCRIPT / PRISMA SEED</t>
  </si>
  <si>
    <t>Dành cho dev. ChoiceMode là metadata biên soạn, chỉ dùng để validate và không xuất vào ScriptNode.</t>
  </si>
  <si>
    <t>1. MAPPING THÔNG TIN MOVIE</t>
  </si>
  <si>
    <t>Excel</t>
  </si>
  <si>
    <t>Biến seed</t>
  </si>
  <si>
    <t>Prisma / Mục đích</t>
  </si>
  <si>
    <t>01!chapterCode</t>
  </si>
  <si>
    <t>chapter.findUnique({ where: { code } })</t>
  </si>
  <si>
    <t>Không tìm thấy chapter thì cảnh báo và return.</t>
  </si>
  <si>
    <t>01!muc</t>
  </si>
  <si>
    <t>movie.findFirst({ where: { muc } })</t>
  </si>
  <si>
    <t>Khóa xác định update/create.</t>
  </si>
  <si>
    <t>01!movieTitle</t>
  </si>
  <si>
    <t>movie.title</t>
  </si>
  <si>
    <t>Tên hiển thị.</t>
  </si>
  <si>
    <t>01!seedFunctionName</t>
  </si>
  <si>
    <t>Tên export function</t>
  </si>
  <si>
    <t>Đăng ký vào seed/index.ts</t>
  </si>
  <si>
    <t>Phải duy nhất.</t>
  </si>
  <si>
    <t>01!seedLogLabel</t>
  </si>
  <si>
    <t>seedLog(label, 1)</t>
  </si>
  <si>
    <t>Log seed</t>
  </si>
  <si>
    <t>Đổi theo chương.</t>
  </si>
  <si>
    <t>2. MAPPING SCRIPT NODE</t>
  </si>
  <si>
    <t>Excel fields</t>
  </si>
  <si>
    <t>Bỏ qua khi rỗng</t>
  </si>
  <si>
    <t>Liên kết option</t>
  </si>
  <si>
    <t>Background, ActNo, SceneName</t>
  </si>
  <si>
    <t>{ t:"scene", bg, act, name }</t>
  </si>
  <si>
    <t>NodeOrder</t>
  </si>
  <si>
    <t>Đủ 3 trường</t>
  </si>
  <si>
    <t>Đầu màn.</t>
  </si>
  <si>
    <t>SpeakerKey, Mood, Text</t>
  </si>
  <si>
    <t>{ t:"say", who, mood?, text }</t>
  </si>
  <si>
    <t>mood</t>
  </si>
  <si>
    <t>who/text bắt buộc</t>
  </si>
  <si>
    <t>narr thường không có mood.</t>
  </si>
  <si>
    <t>SpeakerKey, Mood, Question</t>
  </si>
  <si>
    <t>{ t:"choice", who, mood, q, opts }</t>
  </si>
  <si>
    <t>Join 03 theo ChoiceNodeId</t>
  </si>
  <si>
    <t>NodeOrder + OptionOrder</t>
  </si>
  <si>
    <t>2–4 opts, theo ChoiceMode</t>
  </si>
  <si>
    <t>Không xuất ChoiceMode.</t>
  </si>
  <si>
    <t>{ t:"act", n }</t>
  </si>
  <si>
    <t>n bắt buộc</t>
  </si>
  <si>
    <t>Cuối màn.</t>
  </si>
  <si>
    <t>{ t:"end" }</t>
  </si>
  <si>
    <t>Tất cả</t>
  </si>
  <si>
    <t>Đúng 1 node</t>
  </si>
  <si>
    <t>Cuối phim.</t>
  </si>
  <si>
    <t>3. MAPPING CHOICE OPTION</t>
  </si>
  <si>
    <t>Excel field</t>
  </si>
  <si>
    <t>Output field</t>
  </si>
  <si>
    <t>Lưu ý</t>
  </si>
  <si>
    <t>OptionText</t>
  </si>
  <si>
    <t>text</t>
  </si>
  <si>
    <t>Giữ nguyên chuỗi</t>
  </si>
  <si>
    <t>Em sẵn sàng.</t>
  </si>
  <si>
    <t>Không tự thêm A/B/C nếu UI không yêu cầu.</t>
  </si>
  <si>
    <t>IsCorrect</t>
  </si>
  <si>
    <t>correct</t>
  </si>
  <si>
    <t>Chỉ xuất correct:true khi "Có"</t>
  </si>
  <si>
    <t>true</t>
  </si>
  <si>
    <t>Tương tác: tất cả = Không; không xuất false.</t>
  </si>
  <si>
    <t>Chỉ xuất khi có số</t>
  </si>
  <si>
    <t>8 hoặc -2</t>
  </si>
  <si>
    <t>Dùng cho thiện cảm.</t>
  </si>
  <si>
    <t>ReplySpeaker</t>
  </si>
  <si>
    <t>reply.who</t>
  </si>
  <si>
    <t>Key hợp lệ</t>
  </si>
  <si>
    <t>reply.t luôn là say.</t>
  </si>
  <si>
    <t>reply.mood</t>
  </si>
  <si>
    <t>Bỏ qua nếu trống</t>
  </si>
  <si>
    <t>narr thường trống.</t>
  </si>
  <si>
    <t>ReplyText</t>
  </si>
  <si>
    <t>reply.text</t>
  </si>
  <si>
    <t>Giữ nguyên</t>
  </si>
  <si>
    <t>Tinh thần tốt.</t>
  </si>
  <si>
    <t>Sai kiến thức cần giải thích.</t>
  </si>
  <si>
    <t>4. THUẬT TOÁN CHUYỂN ĐỔI ĐỀ XUẤT</t>
  </si>
  <si>
    <t>Xử lý</t>
  </si>
  <si>
    <t>Chi tiết</t>
  </si>
  <si>
    <t>Đọc metadata</t>
  </si>
  <si>
    <t>Lấy chapterCode, muc, movieTitle, tên hàm/file.</t>
  </si>
  <si>
    <t>Đọc node</t>
  </si>
  <si>
    <t>Bỏ NodeOrder trống; sort tăng dần; kiểm tra NodeId duy nhất.</t>
  </si>
  <si>
    <t>Đọc option</t>
  </si>
  <si>
    <t>Bỏ ChoiceNodeId trống; group theo ID; sort OptionOrder.</t>
  </si>
  <si>
    <t>Dựng script</t>
  </si>
  <si>
    <t>Switch NodeType; choice gắn opts đã group; bỏ ChoiceMode.</t>
  </si>
  <si>
    <t>Tạo option</t>
  </si>
  <si>
    <t>correct chỉ khi Có; dc/mood chỉ khi có giá trị; reply luôn t=say.</t>
  </si>
  <si>
    <t>Upsert movie</t>
  </si>
  <si>
    <t>Tìm chapter; tìm movie theo muc; update hoặc create.</t>
  </si>
  <si>
    <t>Đăng ký seed</t>
  </si>
  <si>
    <t>Import và gọi hàm trong services/src/seed/index.ts.</t>
  </si>
  <si>
    <t>5. MẪU OBJECT ĐẦU RA</t>
  </si>
  <si>
    <t>Loại</t>
  </si>
  <si>
    <t>Ví dụ TypeScript / JSON tương ứng</t>
  </si>
  <si>
    <t>{ t: "scene", bg: "thukho", act: 1, name: "Màn I · Nguồn gốc" }</t>
  </si>
  <si>
    <t>{ t: "say", who: "lam", mood: "neutral", text: "Chào trợ lý mới." }</t>
  </si>
  <si>
    <t>{ t: "choice", who: "lam", mood: "neutral", q: "...", opts: [ /* từ sheet 03 */ ] }</t>
  </si>
  <si>
    <t>{ t: "act", n: "I" }</t>
  </si>
  <si>
    <t>5</t>
  </si>
  <si>
    <t>5.2</t>
  </si>
  <si>
    <t>Game tương tác: Hoàn thiện thể chế kinh tế thị trường định hướng xã hội chủ nghĩa</t>
  </si>
  <si>
    <t>seedMovieChuong5Muc52</t>
  </si>
  <si>
    <t>16-movie-chuong-5-muc-5-2.ts</t>
  </si>
  <si>
    <t>Interactive Movies (Chương 5 - Mục 5.2)</t>
  </si>
  <si>
    <t>1.0</t>
  </si>
  <si>
    <t>Đang soạn</t>
  </si>
  <si>
    <t>Giáo trình Kinh tế chính trị Mác - Lênin, Chương 5, Mục 5.2, trang gốc 117–123.</t>
  </si>
  <si>
    <t>Bao phủ khái niệm, sự cần thiết và các nội dung hoàn thiện thể chế.</t>
  </si>
  <si>
    <t>N001</t>
  </si>
  <si>
    <t>Màn I · Thể chế và yêu cầu hoàn thiện</t>
  </si>
  <si>
    <t>Bắt đầu màn 1</t>
  </si>
  <si>
    <t>N002</t>
  </si>
  <si>
    <t>Trong kho hồ sơ chính sách, từng ngăn kéo mang nhãn luật pháp, chủ thể và cơ chế vận hành. Hệ thống cảnh báo cho biết một số quy định còn chồng chéo và hiệu lực thực thi chưa cao.</t>
  </si>
  <si>
    <t>N003</t>
  </si>
  <si>
    <t>Thể chế không chỉ là luật mà còn gồm chủ thể, bộ máy và cơ chế bảo đảm quy tắc được thực hiện.</t>
  </si>
  <si>
    <t>N004</t>
  </si>
  <si>
    <t>Tương tác</t>
  </si>
  <si>
    <t>Bạn muốn kiểm tra hồ sơ nào trước?</t>
  </si>
  <si>
    <t>Nhập option ở sheet 03</t>
  </si>
  <si>
    <t>N005</t>
  </si>
  <si>
    <t>Kiến thức</t>
  </si>
  <si>
    <t>Thể chế được hiểu là gì?</t>
  </si>
  <si>
    <t>N006</t>
  </si>
  <si>
    <t>Thể chế kinh tế gồm những bộ phận cơ bản nào?</t>
  </si>
  <si>
    <t>N007</t>
  </si>
  <si>
    <t>Thể chế kinh tế thị trường định hướng xã hội chủ nghĩa có chức năng cốt lõi nào?</t>
  </si>
  <si>
    <t>N008</t>
  </si>
  <si>
    <t>Vì sao Việt Nam phải tiếp tục hoàn thiện thể chế?</t>
  </si>
  <si>
    <t>N009</t>
  </si>
  <si>
    <t>Yêu cầu nào phản ánh chất lượng của một thể chế kinh tế tốt?</t>
  </si>
  <si>
    <t>N010</t>
  </si>
  <si>
    <t>I</t>
  </si>
  <si>
    <t>Kết thúc màn I</t>
  </si>
  <si>
    <t>N011</t>
  </si>
  <si>
    <t>Màn II · Sở hữu, thành phần kinh tế và thị trường</t>
  </si>
  <si>
    <t>Bắt đầu màn 2</t>
  </si>
  <si>
    <t>N012</t>
  </si>
  <si>
    <t>Một bàn thiết kế hiện ra với các mô-đun quyền tài sản, đất đai, tài sản công, sở hữu trí tuệ, hợp đồng, doanh nghiệp và các loại thị trường.</t>
  </si>
  <si>
    <t>N013</t>
  </si>
  <si>
    <t>Hoàn thiện thể chế phải tạo an toàn pháp lý cho tài sản và một mặt bằng cạnh tranh lành mạnh.</t>
  </si>
  <si>
    <t>N014</t>
  </si>
  <si>
    <t>Quyền tài sản cần được thể chế hóa đầy đủ gồm những quyền nào?</t>
  </si>
  <si>
    <t>N015</t>
  </si>
  <si>
    <t>Nội dung nào thuộc hoàn thiện thể chế về sở hữu?</t>
  </si>
  <si>
    <t>N016</t>
  </si>
  <si>
    <t>Hoàn thiện thể chế phát triển các thành phần kinh tế cần tuân theo nguyên tắc nào?</t>
  </si>
  <si>
    <t>N017</t>
  </si>
  <si>
    <t>Môi trường đầu tư, kinh doanh phù hợp cần có đặc điểm nào?</t>
  </si>
  <si>
    <t>N018</t>
  </si>
  <si>
    <t>Để các yếu tố và các loại thị trường vận hành đồng bộ, cần làm gì?</t>
  </si>
  <si>
    <t>N019</t>
  </si>
  <si>
    <t>Vai trò của cơ chế giá được hiểu đúng như thế nào?</t>
  </si>
  <si>
    <t>N020</t>
  </si>
  <si>
    <t>II</t>
  </si>
  <si>
    <t>Kết thúc màn II</t>
  </si>
  <si>
    <t>N021</t>
  </si>
  <si>
    <t>Màn III · Thể chế cho phát triển bền vững và hội nhập</t>
  </si>
  <si>
    <t>Bắt đầu màn 3</t>
  </si>
  <si>
    <t>N022</t>
  </si>
  <si>
    <t>Phiên phản biện cuối cùng tập trung vào tiến bộ xã hội, hội nhập quốc tế và vai trò của hệ thống chính trị trong xây dựng, thực thi thể chế.</t>
  </si>
  <si>
    <t>N023</t>
  </si>
  <si>
    <t>Một thể chế chỉ có giá trị khi tạo cơ hội phát triển, bảo vệ lợi ích quốc gia và được thực thi có trách nhiệm.</t>
  </si>
  <si>
    <t>N024</t>
  </si>
  <si>
    <t>Hoàn thiện thể chế để gắn tăng trưởng với tiến bộ và công bằng xã hội cần hướng tới điều gì?</t>
  </si>
  <si>
    <t>N025</t>
  </si>
  <si>
    <t>Hoàn thiện thể chế hội nhập kinh tế quốc tế cần chú trọng nội dung nào?</t>
  </si>
  <si>
    <t>N026</t>
  </si>
  <si>
    <t>Vai trò của Đảng, Nhà nước và nhân dân trong hoàn thiện thể chế được thể hiện như thế nào?</t>
  </si>
  <si>
    <t>N027</t>
  </si>
  <si>
    <t>Nguyên tắc nào giúp quá trình hoàn thiện thể chế đạt hiệu quả thực chất?</t>
  </si>
  <si>
    <t>N028</t>
  </si>
  <si>
    <t>Tình huống nào cho thấy thể chế chưa hoàn thiện?</t>
  </si>
  <si>
    <t>N029</t>
  </si>
  <si>
    <t>Bạn đã hoàn thành mục 5.2: khái niệm, sự cần thiết và các nội dung trọng tâm của hoàn thiện thể chế.</t>
  </si>
  <si>
    <t>N030</t>
  </si>
  <si>
    <t>III</t>
  </si>
  <si>
    <t>Kết thúc màn III</t>
  </si>
  <si>
    <t>N031</t>
  </si>
  <si>
    <t>Kết thúc toàn bộ game</t>
  </si>
  <si>
    <t>Khái niệm thể chế và lý do phải tiếp tục hoàn thiện.</t>
  </si>
  <si>
    <t>Tốt. Nắm nền tảng sẽ giúp bạn không đồng nhất thể chế với một văn bản riêng lẻ.</t>
  </si>
  <si>
    <t>Quyền tài sản, doanh nghiệp và các loại thị trường.</t>
  </si>
  <si>
    <t>Được. Sau đó ta sẽ đặt các bộ phận này vào toàn bộ hệ thống thể chế.</t>
  </si>
  <si>
    <t>Hệ thống các quy tắc, luật pháp, bộ máy quản lý và cơ chế vận hành nhằm điều chỉnh hoạt động của con người trong một chế độ xã hội.</t>
  </si>
  <si>
    <t>Chính xác. Thể chế bao gồm cả quy tắc, tổ chức và cơ chế thực thi.</t>
  </si>
  <si>
    <t>Đáp án đúng</t>
  </si>
  <si>
    <t>Chỉ là tập hợp mục tiêu và khẩu hiệu, không cần cơ chế thực hiện.</t>
  </si>
  <si>
    <t>Chưa đúng. Thể chế bao gồm cả quy tắc, tổ chức và cơ chế thực thi.</t>
  </si>
  <si>
    <t>Đáp án nhiễu</t>
  </si>
  <si>
    <t>Chỉ là cơ cấu tổ chức của cơ quan nhà nước, không liên quan luật pháp.</t>
  </si>
  <si>
    <t>Hệ thống pháp luật và quy tắc kinh tế; các chủ thể kinh tế; các cơ chế, phương pháp và thủ tục thực hiện quy định.</t>
  </si>
  <si>
    <t>Chính xác. Các quy tắc, chủ thể và cơ chế thực thi liên kết thành một hệ thống điều chỉnh hoạt động kinh tế.</t>
  </si>
  <si>
    <t>Chỉ gồm doanh nghiệp và người tiêu dùng.</t>
  </si>
  <si>
    <t>Chưa đúng. Các quy tắc, chủ thể và cơ chế thực thi liên kết thành một hệ thống điều chỉnh hoạt động kinh tế.</t>
  </si>
  <si>
    <t>Chỉ gồm chính sách tài khóa và tiền tệ.</t>
  </si>
  <si>
    <t>Vận hành đồng bộ các yếu tố và loại thị trường, điều chỉnh hoạt động và quan hệ lợi ích theo mục tiêu dân giàu, nước mạnh, dân chủ, công bằng, văn minh.</t>
  </si>
  <si>
    <t>Chính xác. Thể chế phải phát huy thị trường đồng thời giữ vững định hướng xã hội chủ nghĩa.</t>
  </si>
  <si>
    <t>Loại bỏ cạnh tranh và thay mọi quyết định thị trường bằng mệnh lệnh hành chính.</t>
  </si>
  <si>
    <t>Chưa đúng. Thể chế phải phát huy thị trường đồng thời giữ vững định hướng xã hội chủ nghĩa.</t>
  </si>
  <si>
    <t>Chỉ bảo vệ lợi ích của cơ quan quản lý.</t>
  </si>
  <si>
    <t>Vì hệ thống còn chưa đồng bộ, chưa đầy đủ, hiệu lực thực thi chưa cao và một số yếu tố, loại thị trường phát triển chưa hoàn chỉnh.</t>
  </si>
  <si>
    <t>Chính xác. Hoàn thiện thể chế nhằm tháo gỡ bất cập, giảm chi phí và nâng hiệu lực quản lý.</t>
  </si>
  <si>
    <t>Vì Việt Nam chưa có bất kỳ luật kinh tế hay chủ thể thị trường nào.</t>
  </si>
  <si>
    <t>Chưa đúng. Hoàn thiện thể chế nhằm tháo gỡ bất cập, giảm chi phí và nâng hiệu lực quản lý.</t>
  </si>
  <si>
    <t>Vì càng nhiều thủ tục và giấy phép thì nền kinh tế càng hiệu quả.</t>
  </si>
  <si>
    <t>Đồng bộ, minh bạch, ổn định, khả thi và có cơ chế tổ chức thực hiện, giám sát hiệu quả.</t>
  </si>
  <si>
    <t>Chính xác. Chất lượng thể chế phụ thuộc cả nội dung quy định lẫn năng lực thực thi.</t>
  </si>
  <si>
    <t>Quy định thường xuyên thay đổi và chỉ một số chủ thể có thể tiếp cận.</t>
  </si>
  <si>
    <t>Chưa đúng. Chất lượng thể chế phụ thuộc cả nội dung quy định lẫn năng lực thực thi.</t>
  </si>
  <si>
    <t>Ban hành nhiều văn bản dù chồng chéo và mâu thuẫn.</t>
  </si>
  <si>
    <t>Quyền sở hữu, quyền sử dụng, quyền định đoạt và quyền hưởng lợi từ tài sản.</t>
  </si>
  <si>
    <t>Chính xác. Các quyền tài sản phải được xác lập rõ, bảo vệ và có khả năng giao dịch minh bạch.</t>
  </si>
  <si>
    <t>Chỉ có quyền chiếm giữ tài sản.</t>
  </si>
  <si>
    <t>Chưa đúng. Các quyền tài sản phải được xác lập rõ, bảo vệ và có khả năng giao dịch minh bạch.</t>
  </si>
  <si>
    <t>Chỉ cơ quan nhà nước mới có quyền tài sản được pháp luật bảo vệ.</t>
  </si>
  <si>
    <t>Hoàn thiện pháp luật về đất đai, tài nguyên, vốn nhà nước, tài sản công, sở hữu trí tuệ, hợp đồng, đăng ký tài sản và giải quyết tranh chấp.</t>
  </si>
  <si>
    <t>Chính xác. An toàn quyền sở hữu và xử lý tranh chấp là nền tảng của niềm tin thị trường.</t>
  </si>
  <si>
    <t>Bãi bỏ đăng ký tài sản và cơ chế giải quyết tranh chấp.</t>
  </si>
  <si>
    <t>Chưa đúng. An toàn quyền sở hữu và xử lý tranh chấp là nền tảng của niềm tin thị trường.</t>
  </si>
  <si>
    <t>Không cần bảo vệ sở hữu trí tuệ.</t>
  </si>
  <si>
    <t>Bảo đảm bình đẳng trước pháp luật; nâng cao hiệu quả kinh tế nhà nước; tạo điều kiện phát triển kinh tế tư nhân, tập thể và các thành phần khác.</t>
  </si>
  <si>
    <t>Chính xác. Mọi thành phần phải được phát huy đúng vai trò trong một mặt bằng pháp lý minh bạch.</t>
  </si>
  <si>
    <t>Duy trì đặc quyền tùy tiện cho một số doanh nghiệp.</t>
  </si>
  <si>
    <t>Chưa đúng. Mọi thành phần phải được phát huy đúng vai trò trong một mặt bằng pháp lý minh bạch.</t>
  </si>
  <si>
    <t>Không cần nâng cao hiệu quả doanh nghiệp nhà nước.</t>
  </si>
  <si>
    <t>Minh bạch, ổn định, dễ dự đoán; tôn trọng quyền tự do kinh doanh; cải cách thủ tục và ngăn độc quyền, gian lận.</t>
  </si>
  <si>
    <t>Chính xác. Môi trường tốt phải giảm chi phí tuân thủ, bảo vệ quyền hợp pháp và tạo cạnh tranh công bằng.</t>
  </si>
  <si>
    <t>Thủ tục càng phức tạp càng tốt.</t>
  </si>
  <si>
    <t>Chưa đúng. Môi trường tốt phải giảm chi phí tuân thủ, bảo vệ quyền hợp pháp và tạo cạnh tranh công bằng.</t>
  </si>
  <si>
    <t>Không cần công khai quy định.</t>
  </si>
  <si>
    <t>Hoàn thiện cơ chế giá, cạnh tranh và phát triển thị trường hàng hóa, vốn, lao động, khoa học - công nghệ, bất động sản cùng các thị trường liên quan.</t>
  </si>
  <si>
    <t>Chính xác. Nền kinh tế hiện đại cần các loại thị trường liên thông để phân bổ nguồn lực.</t>
  </si>
  <si>
    <t>Ấn định cứng mọi mức giá trong thời gian dài.</t>
  </si>
  <si>
    <t>Chưa đúng. Nền kinh tế hiện đại cần các loại thị trường liên thông để phân bổ nguồn lực.</t>
  </si>
  <si>
    <t>Chỉ phát triển thị trường hàng hóa.</t>
  </si>
  <si>
    <t>Giá chủ yếu hình thành theo tín hiệu thị trường; Nhà nước điều tiết minh bạch đối với những lĩnh vực và trường hợp cần thiết.</t>
  </si>
  <si>
    <t>Chính xác. Cơ chế giá phải phản ánh cung cầu và chi phí, đồng thời xử lý phù hợp các thất bại thị trường.</t>
  </si>
  <si>
    <t>Mọi giá cả phải do một cơ quan ấn định bất kể cung cầu.</t>
  </si>
  <si>
    <t>Chưa đúng. Cơ chế giá phải phản ánh cung cầu và chi phí, đồng thời xử lý phù hợp các thất bại thị trường.</t>
  </si>
  <si>
    <t>Nhà nước không bao giờ được sử dụng công cụ điều tiết giá.</t>
  </si>
  <si>
    <t>Kết hợp phát triển nhanh, bền vững với phát triển xã hội; tạo cơ hội tham gia và thụ hưởng, hoàn thiện an sinh và dịch vụ xã hội.</t>
  </si>
  <si>
    <t>Chính xác. Thể chế phải vừa tạo động lực kinh tế vừa bảo đảm cơ hội và an sinh.</t>
  </si>
  <si>
    <t>Chỉ tập trung tăng trưởng, các vấn đề xã hội để thị trường tự xử lý.</t>
  </si>
  <si>
    <t>Chưa đúng. Thể chế phải vừa tạo động lực kinh tế vừa bảo đảm cơ hội và an sinh.</t>
  </si>
  <si>
    <t>Thực hiện bình quân cào bằng, không xét đóng góp.</t>
  </si>
  <si>
    <t>Rà soát pháp luật phù hợp cam kết, đa phương hóa quan hệ, nâng năng lực cạnh tranh và khả năng phản ứng trước biến động.</t>
  </si>
  <si>
    <t>Chính xác. Hội nhập hiệu quả đòi hỏi pháp luật tương thích, năng lực thực thi và bảo vệ lợi ích quốc gia.</t>
  </si>
  <si>
    <t>Phụ thuộc hoàn toàn vào một thị trường lớn.</t>
  </si>
  <si>
    <t>Chưa đúng. Hội nhập hiệu quả đòi hỏi pháp luật tương thích, năng lực thực thi và bảo vệ lợi ích quốc gia.</t>
  </si>
  <si>
    <t>Ký cam kết nhưng không cần nội luật hóa hay thực hiện.</t>
  </si>
  <si>
    <t>Nâng cao năng lực lãnh đạo của Đảng; phát huy vai trò xây dựng, tổ chức thực hiện của Nhà nước; phát huy quyền làm chủ và giám sát của nhân dân.</t>
  </si>
  <si>
    <t>Chính xác. Quá trình hoàn thiện thể chế cần định hướng, năng lực nhà nước và đồng thuận xã hội.</t>
  </si>
  <si>
    <t>Chỉ cơ quan quản lý quyết định, người dân và doanh nghiệp không cần tham gia.</t>
  </si>
  <si>
    <t>Chưa đúng. Quá trình hoàn thiện thể chế cần định hướng, năng lực nhà nước và đồng thuận xã hội.</t>
  </si>
  <si>
    <t>Chuyển toàn bộ quyền điều tiết cho các tổ chức quốc tế.</t>
  </si>
  <si>
    <t>Thực hiện đồng bộ nhưng có trọng tâm; công khai, minh bạch, nhất quán; gắn xây dựng quy định với trách nhiệm thực thi.</t>
  </si>
  <si>
    <t>Chính xác. Chất lượng thể chế được đo bằng tính rõ ràng, khả thi và hiệu quả thực thi.</t>
  </si>
  <si>
    <t>Ban hành càng nhiều quy định càng tốt dù chồng chéo.</t>
  </si>
  <si>
    <t>Chưa đúng. Chất lượng thể chế được đo bằng tính rõ ràng, khả thi và hiệu quả thực thi.</t>
  </si>
  <si>
    <t>Chỉ sửa luật khi xảy ra khủng hoảng.</t>
  </si>
  <si>
    <t>Hai văn bản quy định mâu thuẫn, thủ tục thiếu minh bạch và cơ quan thực thi giải thích khác nhau.</t>
  </si>
  <si>
    <t>Chính xác. Chồng chéo và tùy nghi thực thi làm tăng chi phí, rủi ro và giảm niềm tin.</t>
  </si>
  <si>
    <t>Quyền và nghĩa vụ được công khai, thủ tục thống nhất.</t>
  </si>
  <si>
    <t>Chưa đúng. Chồng chéo và tùy nghi thực thi làm tăng chi phí, rủi ro và giảm niềm tin.</t>
  </si>
  <si>
    <t>Các chủ thể được bình đẳng tiếp cận thông tin và cơ hội.</t>
  </si>
  <si>
    <t>Lê Đặng Nhật Huy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</si>
</sst>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FFFFFF"/>
      <name val="Carlito"/>
    </font>
    <font>
      <i/>
      <sz val="10"/>
      <color rgb="FF17365D"/>
      <name val="Carlito"/>
    </font>
    <font>
      <b/>
      <sz val="11"/>
      <color rgb="FFFFFFFF"/>
      <name val="Carlito"/>
    </font>
    <font>
      <b/>
      <sz val="10"/>
      <color rgb="FFFFFFFF"/>
      <name val="Carlito"/>
    </font>
    <font>
      <b/>
      <sz val="14"/>
      <color rgb="FF17365D"/>
      <name val="Carlito"/>
    </font>
    <font>
      <sz val="11"/>
      <name val="Carlito"/>
    </font>
  </fonts>
  <fills count="11">
    <fill>
      <patternFill patternType="none"/>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E7E6E6"/>
      </patternFill>
    </fill>
    <fill>
      <patternFill patternType="solid">
        <fgColor rgb="FFE2F0D9"/>
      </patternFill>
    </fill>
    <fill>
      <patternFill patternType="solid">
        <fgColor rgb="FFFCE4D6"/>
      </patternFill>
    </fill>
    <fill>
      <patternFill patternType="solid">
        <fgColor rgb="FFFFF9E6"/>
      </patternFill>
    </fill>
  </fills>
  <borders count="1">
    <border>
      <left/>
      <right/>
      <top/>
      <bottom/>
      <diagonal/>
    </border>
  </borders>
  <cellStyleXfs count="3">
    <xf numFmtId="0" fontId="0" fillId="0" borderId="0"/>
    <xf numFmtId="0" fontId="6" fillId="0" borderId="0"/>
    <xf numFmtId="0" fontId="6" fillId="0" borderId="0"/>
  </cellStyleXfs>
  <cellXfs count="21">
    <xf numFmtId="0" fontId="0" fillId="0" borderId="0" xfId="0"/>
    <xf numFmtId="0" fontId="4" fillId="5"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0" fontId="0" fillId="0" borderId="0" xfId="1" applyFont="1" applyAlignment="1">
      <alignment horizontal="center" vertical="top" wrapText="1"/>
    </xf>
    <xf numFmtId="0" fontId="0" fillId="6" borderId="0" xfId="1" applyFont="1" applyFill="1" applyAlignment="1">
      <alignment wrapText="1"/>
    </xf>
    <xf numFmtId="0" fontId="0" fillId="7" borderId="0" xfId="1" applyFont="1" applyFill="1" applyAlignment="1">
      <alignment wrapText="1"/>
    </xf>
    <xf numFmtId="0" fontId="0" fillId="8" borderId="0" xfId="1" applyFont="1" applyFill="1" applyAlignment="1">
      <alignment wrapText="1"/>
    </xf>
    <xf numFmtId="0" fontId="0" fillId="9" borderId="0" xfId="1" applyFont="1" applyFill="1" applyAlignment="1">
      <alignment wrapText="1"/>
    </xf>
    <xf numFmtId="0" fontId="0" fillId="0" borderId="0" xfId="1" applyFont="1" applyAlignment="1">
      <alignment horizontal="center" wrapText="1"/>
    </xf>
    <xf numFmtId="0" fontId="0" fillId="3" borderId="0" xfId="1" applyFont="1" applyFill="1" applyAlignment="1">
      <alignment wrapText="1"/>
    </xf>
    <xf numFmtId="0" fontId="0" fillId="10" borderId="0" xfId="1" applyFont="1" applyFill="1" applyAlignment="1">
      <alignment wrapText="1"/>
    </xf>
    <xf numFmtId="0" fontId="0" fillId="3" borderId="0" xfId="1" applyFont="1" applyFill="1" applyAlignment="1">
      <alignment horizontal="center" wrapText="1"/>
    </xf>
    <xf numFmtId="0" fontId="0" fillId="6" borderId="0" xfId="1" applyFont="1" applyFill="1" applyAlignment="1">
      <alignment horizontal="center" wrapText="1"/>
    </xf>
    <xf numFmtId="0" fontId="5" fillId="3" borderId="0" xfId="1" applyFont="1" applyFill="1" applyAlignment="1">
      <alignment horizontal="center"/>
    </xf>
    <xf numFmtId="0" fontId="0" fillId="6" borderId="0" xfId="2" applyFont="1" applyFill="1" applyAlignment="1">
      <alignment wrapText="1"/>
    </xf>
    <xf numFmtId="0" fontId="0" fillId="6" borderId="0" xfId="2" applyFont="1" applyFill="1" applyAlignment="1">
      <alignment horizontal="center" wrapText="1"/>
    </xf>
    <xf numFmtId="0" fontId="0" fillId="7" borderId="0" xfId="2" applyFont="1" applyFill="1" applyAlignment="1">
      <alignment wrapText="1"/>
    </xf>
    <xf numFmtId="0" fontId="3" fillId="4" borderId="0" xfId="1" applyFont="1" applyFill="1" applyAlignment="1">
      <alignment vertical="center"/>
    </xf>
    <xf numFmtId="0" fontId="1" fillId="2" borderId="0" xfId="1" applyFont="1" applyFill="1" applyAlignment="1">
      <alignment horizontal="center" vertical="center"/>
    </xf>
    <xf numFmtId="0" fontId="2" fillId="3" borderId="0" xfId="1" applyFont="1" applyFill="1" applyAlignment="1">
      <alignment vertical="center" wrapText="1"/>
    </xf>
  </cellXfs>
  <cellStyles count="3">
    <cellStyle name="Bình thường" xfId="2" xr:uid="{00000000-0005-0000-0000-000000000000}"/>
    <cellStyle name="Normal" xfId="0" builtinId="0"/>
    <cellStyle name="Normal 2" xfId="1" xr:uid="{00000000-0005-0000-0000-000001000000}"/>
  </cellStyles>
  <dxfs count="22">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9C6500"/>
      </font>
      <fill>
        <patternFill>
          <bgColor rgb="FFFFF2CC"/>
        </patternFill>
      </fill>
    </dxf>
    <dxf>
      <font>
        <b/>
        <color rgb="FFC00000"/>
      </font>
      <fill>
        <patternFill>
          <bgColor rgb="FFFCE4D6"/>
        </patternFill>
      </fill>
    </dxf>
    <dxf>
      <font>
        <b/>
        <color rgb="FF548235"/>
      </font>
      <fill>
        <patternFill>
          <bgColor rgb="FFE2F0D9"/>
        </patternFill>
      </fill>
    </dxf>
    <dxf>
      <font>
        <b/>
        <color rgb="FF548235"/>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ont>
        <b/>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ill>
        <patternFill>
          <bgColor rgb="FFE2F0D9"/>
        </patternFill>
      </fill>
    </dxf>
    <dxf>
      <fill>
        <patternFill>
          <bgColor rgb="FFE4DFEC"/>
        </patternFill>
      </fill>
    </dxf>
    <dxf>
      <fill>
        <patternFill>
          <bgColor rgb="FFD9EAF7"/>
        </patternFill>
      </fill>
    </dxf>
    <dxf>
      <font>
        <b/>
        <color rgb="FFC00000"/>
      </font>
      <fill>
        <patternFill>
          <bgColor rgb="FFFCE4D6"/>
        </patternFill>
      </fill>
    </dxf>
    <dxf>
      <font>
        <b/>
        <color rgb="FF548235"/>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vieMetadataTable" displayName="MovieMetadataTable" ref="A4:E16">
  <tableColumns count="5">
    <tableColumn id="1" xr3:uid="{00000000-0010-0000-0000-000001000000}" name="Trường kỹ thuật"/>
    <tableColumn id="2" xr3:uid="{00000000-0010-0000-0000-000002000000}" name="Bắt buộc"/>
    <tableColumn id="3" xr3:uid="{00000000-0010-0000-0000-000003000000}" name="Giá trị"/>
    <tableColumn id="4" xr3:uid="{00000000-0010-0000-0000-000004000000}" name="Ví dụ"/>
    <tableColumn id="5" xr3:uid="{00000000-0010-0000-0000-000005000000}" name="Quy tắc / 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iptNodesTable" displayName="ScriptNodesTable" ref="A4:N204">
  <tableColumns count="14">
    <tableColumn id="1" xr3:uid="{00000000-0010-0000-0100-000001000000}" name="NodeOrder*"/>
    <tableColumn id="2" xr3:uid="{00000000-0010-0000-0100-000002000000}" name="NodeId*"/>
    <tableColumn id="3" xr3:uid="{00000000-0010-0000-0100-000003000000}" name="ActNo"/>
    <tableColumn id="4" xr3:uid="{00000000-0010-0000-0100-000004000000}" name="NodeType*"/>
    <tableColumn id="5" xr3:uid="{00000000-0010-0000-0100-000005000000}" name="ChoiceMode"/>
    <tableColumn id="6" xr3:uid="{00000000-0010-0000-0100-000006000000}" name="Background"/>
    <tableColumn id="7" xr3:uid="{00000000-0010-0000-0100-000007000000}" name="SceneName"/>
    <tableColumn id="8" xr3:uid="{00000000-0010-0000-0100-000008000000}" name="SpeakerKey"/>
    <tableColumn id="9" xr3:uid="{00000000-0010-0000-0100-000009000000}" name="Mood"/>
    <tableColumn id="10" xr3:uid="{00000000-0010-0000-0100-00000A000000}" name="Text / Question"/>
    <tableColumn id="11" xr3:uid="{00000000-0010-0000-0100-00000B000000}" name="ActRoman"/>
    <tableColumn id="12" xr3:uid="{00000000-0010-0000-0100-00000C000000}" name="Ghi chú biên soạn"/>
    <tableColumn id="13" xr3:uid="{00000000-0010-0000-0100-00000D000000}" name="Trạng thái"/>
    <tableColumn id="14" xr3:uid="{00000000-0010-0000-0100-00000E000000}" name="Lỗi cấu trú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oiceOptionsTable" displayName="ChoiceOptionsTable" ref="A4:K404">
  <tableColumns count="11">
    <tableColumn id="1" xr3:uid="{00000000-0010-0000-0200-000001000000}" name="ChoiceNodeId*"/>
    <tableColumn id="2" xr3:uid="{00000000-0010-0000-0200-000002000000}" name="OptionOrder*"/>
    <tableColumn id="3" xr3:uid="{00000000-0010-0000-0200-000003000000}" name="OptionText*"/>
    <tableColumn id="4" xr3:uid="{00000000-0010-0000-0200-000004000000}" name="IsCorrect*"/>
    <tableColumn id="5" xr3:uid="{00000000-0010-0000-0200-000005000000}" name="dc"/>
    <tableColumn id="6" xr3:uid="{00000000-0010-0000-0200-000006000000}" name="ReplySpeaker*"/>
    <tableColumn id="7" xr3:uid="{00000000-0010-0000-0200-000007000000}" name="ReplyMood"/>
    <tableColumn id="8" xr3:uid="{00000000-0010-0000-0200-000008000000}" name="ReplyText*"/>
    <tableColumn id="9" xr3:uid="{00000000-0010-0000-0200-000009000000}" name="Ghi chú"/>
    <tableColumn id="10" xr3:uid="{00000000-0010-0000-0200-00000A000000}" name="Trạng thái"/>
    <tableColumn id="11" xr3:uid="{00000000-0010-0000-0200-00000B000000}" name="Lỗi cấu trúc"/>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racterCatalogTable" displayName="CharacterCatalogTable" ref="A5:C20">
  <tableColumns count="3">
    <tableColumn id="1" xr3:uid="{00000000-0010-0000-0300-000001000000}" name="SpeakerKey"/>
    <tableColumn id="2" xr3:uid="{00000000-0010-0000-0300-000002000000}" name="Tên hiển thị"/>
    <tableColumn id="3" xr3:uid="{00000000-0010-0000-0300-000003000000}" name="Vai trò"/>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eneCatalogTable" displayName="SceneCatalogTable" ref="D5:F20">
  <tableColumns count="3">
    <tableColumn id="1" xr3:uid="{00000000-0010-0000-0400-000001000000}" name="BackgroundKey"/>
    <tableColumn id="2" xr3:uid="{00000000-0010-0000-0400-000002000000}" name="Mô tả"/>
    <tableColumn id="3" xr3:uid="{00000000-0010-0000-0400-000003000000}" name="Tình trạng asse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odCatalogTable" displayName="MoodCatalogTable" ref="G5:H9">
  <tableColumns count="2">
    <tableColumn id="1" xr3:uid="{00000000-0010-0000-0500-000001000000}" name="MoodKey"/>
    <tableColumn id="2" xr3:uid="{00000000-0010-0000-0500-000002000000}" name="Ý nghĩa gợi ý"/>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odeTypeCatalogTable" displayName="NodeTypeCatalogTable" ref="J5:L10">
  <tableColumns count="3">
    <tableColumn id="1" xr3:uid="{00000000-0010-0000-0600-000001000000}" name="NodeType"/>
    <tableColumn id="2" xr3:uid="{00000000-0010-0000-0600-000002000000}" name="Trường bắt buộc"/>
    <tableColumn id="3" xr3:uid="{00000000-0010-0000-0600-000003000000}" name="Object đầu r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sqref="A1:H1"/>
    </sheetView>
  </sheetViews>
  <sheetFormatPr defaultRowHeight="14.25"/>
  <cols>
    <col min="1" max="1" width="18" customWidth="1"/>
    <col min="2" max="2" width="26" customWidth="1"/>
    <col min="3" max="3" width="40" customWidth="1"/>
    <col min="4" max="4" width="38" customWidth="1"/>
    <col min="5" max="5" width="24" customWidth="1"/>
    <col min="6" max="8" width="4" customWidth="1"/>
  </cols>
  <sheetData>
    <row r="1" spans="1:8" ht="30" customHeight="1">
      <c r="A1" s="19" t="s">
        <v>0</v>
      </c>
      <c r="B1" s="19"/>
      <c r="C1" s="19"/>
      <c r="D1" s="19"/>
      <c r="E1" s="19"/>
      <c r="F1" s="19"/>
      <c r="G1" s="19"/>
      <c r="H1" s="19"/>
    </row>
    <row r="2" spans="1:8" ht="36" customHeight="1">
      <c r="A2" s="20" t="s">
        <v>1</v>
      </c>
      <c r="B2" s="20"/>
      <c r="C2" s="20"/>
      <c r="D2" s="20"/>
      <c r="E2" s="20"/>
      <c r="F2" s="20"/>
      <c r="G2" s="20"/>
      <c r="H2" s="20"/>
    </row>
    <row r="4" spans="1:8" ht="24" customHeight="1">
      <c r="A4" s="18" t="s">
        <v>2</v>
      </c>
      <c r="B4" s="18"/>
      <c r="C4" s="18"/>
      <c r="D4" s="18"/>
      <c r="E4" s="18"/>
      <c r="F4" s="18"/>
      <c r="G4" s="18"/>
      <c r="H4" s="18"/>
    </row>
    <row r="5" spans="1:8" ht="39.950000000000003" customHeight="1">
      <c r="A5" s="1" t="s">
        <v>3</v>
      </c>
      <c r="B5" s="1" t="s">
        <v>4</v>
      </c>
      <c r="C5" s="1" t="s">
        <v>5</v>
      </c>
      <c r="D5" s="1" t="s">
        <v>6</v>
      </c>
      <c r="E5" s="1" t="s">
        <v>7</v>
      </c>
      <c r="F5" s="1"/>
      <c r="G5" s="1"/>
      <c r="H5" s="1"/>
    </row>
    <row r="6" spans="1:8" ht="28.5">
      <c r="A6" s="4">
        <v>1</v>
      </c>
      <c r="B6" s="3" t="s">
        <v>8</v>
      </c>
      <c r="C6" s="3" t="s">
        <v>9</v>
      </c>
      <c r="D6" s="3" t="s">
        <v>10</v>
      </c>
      <c r="E6" s="3" t="s">
        <v>11</v>
      </c>
      <c r="F6" s="3"/>
      <c r="G6" s="3"/>
      <c r="H6" s="3"/>
    </row>
    <row r="7" spans="1:8" ht="28.5">
      <c r="A7" s="4">
        <v>2</v>
      </c>
      <c r="B7" s="3" t="s">
        <v>8</v>
      </c>
      <c r="C7" s="3" t="s">
        <v>12</v>
      </c>
      <c r="D7" s="3" t="s">
        <v>13</v>
      </c>
      <c r="E7" s="3" t="s">
        <v>14</v>
      </c>
      <c r="F7" s="3"/>
      <c r="G7" s="3"/>
      <c r="H7" s="3"/>
    </row>
    <row r="8" spans="1:8" ht="28.5">
      <c r="A8" s="4">
        <v>3</v>
      </c>
      <c r="B8" s="3" t="s">
        <v>8</v>
      </c>
      <c r="C8" s="3" t="s">
        <v>15</v>
      </c>
      <c r="D8" s="3" t="s">
        <v>16</v>
      </c>
      <c r="E8" s="3" t="s">
        <v>17</v>
      </c>
      <c r="F8" s="3"/>
      <c r="G8" s="3"/>
      <c r="H8" s="3"/>
    </row>
    <row r="9" spans="1:8" ht="28.5">
      <c r="A9" s="4">
        <v>4</v>
      </c>
      <c r="B9" s="3" t="s">
        <v>18</v>
      </c>
      <c r="C9" s="3" t="s">
        <v>19</v>
      </c>
      <c r="D9" s="3" t="s">
        <v>20</v>
      </c>
      <c r="E9" s="3" t="s">
        <v>21</v>
      </c>
      <c r="F9" s="3"/>
      <c r="G9" s="3"/>
      <c r="H9" s="3"/>
    </row>
    <row r="10" spans="1:8" ht="28.5">
      <c r="A10" s="4">
        <v>5</v>
      </c>
      <c r="B10" s="3" t="s">
        <v>22</v>
      </c>
      <c r="C10" s="3" t="s">
        <v>23</v>
      </c>
      <c r="D10" s="3" t="s">
        <v>24</v>
      </c>
      <c r="E10" s="3" t="s">
        <v>25</v>
      </c>
      <c r="F10" s="3"/>
      <c r="G10" s="3"/>
      <c r="H10" s="3"/>
    </row>
    <row r="12" spans="1:8" ht="24" customHeight="1">
      <c r="A12" s="18" t="s">
        <v>26</v>
      </c>
      <c r="B12" s="18"/>
      <c r="C12" s="18"/>
      <c r="D12" s="18"/>
      <c r="E12" s="18"/>
      <c r="F12" s="18"/>
      <c r="G12" s="18"/>
      <c r="H12" s="18"/>
    </row>
    <row r="13" spans="1:8" ht="39.950000000000003" customHeight="1">
      <c r="A13" s="1" t="s">
        <v>27</v>
      </c>
      <c r="B13" s="1" t="s">
        <v>28</v>
      </c>
      <c r="C13" s="1" t="s">
        <v>29</v>
      </c>
      <c r="D13" s="1"/>
      <c r="E13" s="1"/>
      <c r="F13" s="1"/>
      <c r="G13" s="1"/>
      <c r="H13" s="1"/>
    </row>
    <row r="14" spans="1:8" ht="28.5">
      <c r="A14" s="5" t="s">
        <v>30</v>
      </c>
      <c r="B14" s="2" t="s">
        <v>31</v>
      </c>
      <c r="C14" s="2" t="s">
        <v>32</v>
      </c>
      <c r="D14" s="2"/>
      <c r="E14" s="2"/>
      <c r="F14" s="2"/>
      <c r="G14" s="2"/>
      <c r="H14" s="2"/>
    </row>
    <row r="15" spans="1:8" ht="28.5">
      <c r="A15" s="6" t="s">
        <v>33</v>
      </c>
      <c r="B15" s="2" t="s">
        <v>34</v>
      </c>
      <c r="C15" s="2" t="s">
        <v>35</v>
      </c>
      <c r="D15" s="2"/>
      <c r="E15" s="2"/>
      <c r="F15" s="2"/>
      <c r="G15" s="2"/>
      <c r="H15" s="2"/>
    </row>
    <row r="16" spans="1:8" ht="28.5">
      <c r="A16" s="7" t="s">
        <v>36</v>
      </c>
      <c r="B16" s="2" t="s">
        <v>37</v>
      </c>
      <c r="C16" s="2" t="s">
        <v>38</v>
      </c>
      <c r="D16" s="2"/>
      <c r="E16" s="2"/>
      <c r="F16" s="2"/>
      <c r="G16" s="2"/>
      <c r="H16" s="2"/>
    </row>
    <row r="17" spans="1:8" ht="28.5">
      <c r="A17" s="8" t="s">
        <v>39</v>
      </c>
      <c r="B17" s="2" t="s">
        <v>40</v>
      </c>
      <c r="C17" s="2" t="s">
        <v>41</v>
      </c>
      <c r="D17" s="2"/>
      <c r="E17" s="2"/>
      <c r="F17" s="2"/>
      <c r="G17" s="2"/>
      <c r="H17" s="2"/>
    </row>
    <row r="19" spans="1:8" ht="24" customHeight="1">
      <c r="A19" s="18" t="s">
        <v>42</v>
      </c>
      <c r="B19" s="18"/>
      <c r="C19" s="18"/>
      <c r="D19" s="18"/>
      <c r="E19" s="18"/>
      <c r="F19" s="18"/>
      <c r="G19" s="18"/>
      <c r="H19" s="18"/>
    </row>
    <row r="20" spans="1:8" ht="39.950000000000003" customHeight="1">
      <c r="A20" s="1" t="s">
        <v>43</v>
      </c>
      <c r="B20" s="1" t="s">
        <v>44</v>
      </c>
      <c r="C20" s="1" t="s">
        <v>45</v>
      </c>
      <c r="D20" s="1" t="s">
        <v>46</v>
      </c>
      <c r="E20" s="1"/>
      <c r="F20" s="1"/>
      <c r="G20" s="1"/>
      <c r="H20" s="1"/>
    </row>
    <row r="21" spans="1:8" ht="57">
      <c r="A21" s="2" t="s">
        <v>47</v>
      </c>
      <c r="B21" s="2" t="s">
        <v>48</v>
      </c>
      <c r="C21" s="9" t="s">
        <v>49</v>
      </c>
      <c r="D21" s="2" t="s">
        <v>50</v>
      </c>
      <c r="E21" s="2"/>
      <c r="F21" s="2"/>
      <c r="G21" s="2"/>
      <c r="H21" s="2"/>
    </row>
    <row r="22" spans="1:8" ht="42.75">
      <c r="A22" s="2" t="s">
        <v>51</v>
      </c>
      <c r="B22" s="2" t="s">
        <v>52</v>
      </c>
      <c r="C22" s="9" t="s">
        <v>49</v>
      </c>
      <c r="D22" s="2" t="s">
        <v>53</v>
      </c>
      <c r="E22" s="2"/>
      <c r="F22" s="2"/>
      <c r="G22" s="2"/>
      <c r="H22" s="2"/>
    </row>
    <row r="23" spans="1:8" ht="57">
      <c r="A23" s="2" t="s">
        <v>54</v>
      </c>
      <c r="B23" s="2" t="s">
        <v>55</v>
      </c>
      <c r="C23" s="9" t="s">
        <v>49</v>
      </c>
      <c r="D23" s="2" t="s">
        <v>56</v>
      </c>
      <c r="E23" s="2"/>
      <c r="F23" s="2"/>
      <c r="G23" s="2"/>
      <c r="H23" s="2"/>
    </row>
    <row r="24" spans="1:8" ht="57">
      <c r="A24" s="2" t="s">
        <v>57</v>
      </c>
      <c r="B24" s="2" t="s">
        <v>58</v>
      </c>
      <c r="C24" s="9" t="s">
        <v>49</v>
      </c>
      <c r="D24" s="2" t="s">
        <v>59</v>
      </c>
      <c r="E24" s="2"/>
      <c r="F24" s="2"/>
      <c r="G24" s="2"/>
      <c r="H24" s="2"/>
    </row>
    <row r="25" spans="1:8" ht="57">
      <c r="A25" s="2" t="s">
        <v>60</v>
      </c>
      <c r="B25" s="2" t="s">
        <v>61</v>
      </c>
      <c r="C25" s="9" t="s">
        <v>49</v>
      </c>
      <c r="D25" s="2" t="s">
        <v>62</v>
      </c>
      <c r="E25" s="2"/>
      <c r="F25" s="2"/>
      <c r="G25" s="2"/>
      <c r="H25" s="2"/>
    </row>
    <row r="26" spans="1:8" ht="57">
      <c r="A26" s="2" t="s">
        <v>63</v>
      </c>
      <c r="B26" s="2" t="s">
        <v>64</v>
      </c>
      <c r="C26" s="9" t="s">
        <v>49</v>
      </c>
      <c r="D26" s="2" t="s">
        <v>65</v>
      </c>
      <c r="E26" s="2"/>
      <c r="F26" s="2"/>
      <c r="G26" s="2"/>
      <c r="H26" s="2"/>
    </row>
    <row r="27" spans="1:8" ht="42.75">
      <c r="A27" s="2" t="s">
        <v>66</v>
      </c>
      <c r="B27" s="2" t="s">
        <v>67</v>
      </c>
      <c r="C27" s="9" t="s">
        <v>68</v>
      </c>
      <c r="D27" s="2" t="s">
        <v>69</v>
      </c>
      <c r="E27" s="2"/>
      <c r="F27" s="2"/>
      <c r="G27" s="2"/>
      <c r="H27" s="2"/>
    </row>
    <row r="28" spans="1:8" ht="42.75">
      <c r="A28" s="2" t="s">
        <v>70</v>
      </c>
      <c r="B28" s="2" t="s">
        <v>71</v>
      </c>
      <c r="C28" s="9" t="s">
        <v>49</v>
      </c>
      <c r="D28" s="2" t="s">
        <v>72</v>
      </c>
      <c r="E28" s="2"/>
      <c r="F28" s="2"/>
      <c r="G28" s="2"/>
      <c r="H28" s="2"/>
    </row>
    <row r="30" spans="1:8" ht="24" customHeight="1">
      <c r="A30" s="18" t="s">
        <v>73</v>
      </c>
      <c r="B30" s="18"/>
      <c r="C30" s="18"/>
      <c r="D30" s="18"/>
      <c r="E30" s="18"/>
      <c r="F30" s="18"/>
      <c r="G30" s="18"/>
      <c r="H30" s="18"/>
    </row>
    <row r="31" spans="1:8" ht="39.950000000000003" customHeight="1">
      <c r="A31" s="1" t="s">
        <v>74</v>
      </c>
      <c r="B31" s="1" t="s">
        <v>75</v>
      </c>
      <c r="C31" s="1"/>
      <c r="D31" s="1"/>
      <c r="E31" s="1"/>
      <c r="F31" s="1"/>
      <c r="G31" s="1"/>
      <c r="H31" s="1"/>
    </row>
    <row r="32" spans="1:8" ht="28.5">
      <c r="A32" s="2" t="s">
        <v>76</v>
      </c>
      <c r="B32" s="2" t="s">
        <v>77</v>
      </c>
      <c r="C32" s="2"/>
      <c r="D32" s="2"/>
      <c r="E32" s="2"/>
      <c r="F32" s="2"/>
      <c r="G32" s="2"/>
      <c r="H32" s="2"/>
    </row>
    <row r="33" spans="1:8" ht="42.75">
      <c r="A33" s="2" t="s">
        <v>78</v>
      </c>
      <c r="B33" s="2" t="s">
        <v>79</v>
      </c>
      <c r="C33" s="2"/>
      <c r="D33" s="2"/>
      <c r="E33" s="2"/>
      <c r="F33" s="2"/>
      <c r="G33" s="2"/>
      <c r="H33" s="2"/>
    </row>
    <row r="34" spans="1:8" ht="42.75">
      <c r="A34" s="2" t="s">
        <v>80</v>
      </c>
      <c r="B34" s="2" t="s">
        <v>81</v>
      </c>
      <c r="C34" s="2"/>
      <c r="D34" s="2"/>
      <c r="E34" s="2"/>
      <c r="F34" s="2"/>
      <c r="G34" s="2"/>
      <c r="H34" s="2"/>
    </row>
    <row r="35" spans="1:8" ht="42.75">
      <c r="A35" s="2" t="s">
        <v>82</v>
      </c>
      <c r="B35" s="2" t="s">
        <v>83</v>
      </c>
      <c r="C35" s="2"/>
      <c r="D35" s="2"/>
      <c r="E35" s="2"/>
      <c r="F35" s="2"/>
      <c r="G35" s="2"/>
      <c r="H35" s="2"/>
    </row>
    <row r="37" spans="1:8" ht="39.950000000000003" customHeight="1">
      <c r="A37" s="1" t="s">
        <v>84</v>
      </c>
      <c r="B37" s="1" t="s">
        <v>85</v>
      </c>
      <c r="C37" s="1"/>
      <c r="D37" s="1"/>
      <c r="E37" s="1"/>
      <c r="F37" s="1"/>
      <c r="G37" s="1"/>
      <c r="H37" s="1"/>
    </row>
    <row r="38" spans="1:8">
      <c r="A38" t="s">
        <v>86</v>
      </c>
      <c r="B38" t="s">
        <v>87</v>
      </c>
    </row>
    <row r="39" spans="1:8">
      <c r="A39" t="s">
        <v>88</v>
      </c>
      <c r="B39" t="s">
        <v>89</v>
      </c>
    </row>
  </sheetData>
  <mergeCells count="6">
    <mergeCell ref="A30:H30"/>
    <mergeCell ref="A1:H1"/>
    <mergeCell ref="A2:H2"/>
    <mergeCell ref="A4:H4"/>
    <mergeCell ref="A12:H12"/>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abSelected="1" workbookViewId="0">
      <selection activeCell="C13" sqref="C13"/>
    </sheetView>
  </sheetViews>
  <sheetFormatPr defaultRowHeight="14.25"/>
  <cols>
    <col min="1" max="1" width="24" customWidth="1"/>
    <col min="2" max="2" width="12" customWidth="1"/>
    <col min="3" max="3" width="55" customWidth="1"/>
    <col min="4" max="4" width="34" customWidth="1"/>
    <col min="5" max="5" width="48" customWidth="1"/>
  </cols>
  <sheetData>
    <row r="1" spans="1:5" ht="19.149999999999999" customHeight="1">
      <c r="A1" s="19" t="s">
        <v>90</v>
      </c>
      <c r="B1" s="19"/>
      <c r="C1" s="19"/>
      <c r="D1" s="19"/>
      <c r="E1" s="19"/>
    </row>
    <row r="2" spans="1:5" ht="36" customHeight="1">
      <c r="A2" s="20" t="s">
        <v>91</v>
      </c>
      <c r="B2" s="20"/>
      <c r="C2" s="20"/>
      <c r="D2" s="20"/>
      <c r="E2" s="20"/>
    </row>
    <row r="4" spans="1:5" ht="15" customHeight="1">
      <c r="A4" s="1" t="s">
        <v>92</v>
      </c>
      <c r="B4" s="1" t="s">
        <v>49</v>
      </c>
      <c r="C4" s="1" t="s">
        <v>85</v>
      </c>
      <c r="D4" s="1" t="s">
        <v>93</v>
      </c>
      <c r="E4" s="1" t="s">
        <v>94</v>
      </c>
    </row>
    <row r="5" spans="1:5" ht="15" customHeight="1">
      <c r="A5" s="10" t="s">
        <v>95</v>
      </c>
      <c r="B5" s="12" t="s">
        <v>96</v>
      </c>
      <c r="C5" s="15" t="s">
        <v>372</v>
      </c>
      <c r="D5" s="11" t="s">
        <v>97</v>
      </c>
      <c r="E5" s="11" t="s">
        <v>98</v>
      </c>
    </row>
    <row r="6" spans="1:5" ht="15" customHeight="1">
      <c r="A6" s="10" t="s">
        <v>99</v>
      </c>
      <c r="B6" s="12" t="s">
        <v>96</v>
      </c>
      <c r="C6" s="15" t="s">
        <v>373</v>
      </c>
      <c r="D6" s="11" t="s">
        <v>100</v>
      </c>
      <c r="E6" s="11" t="s">
        <v>101</v>
      </c>
    </row>
    <row r="7" spans="1:5" ht="26.45" customHeight="1">
      <c r="A7" s="10" t="s">
        <v>102</v>
      </c>
      <c r="B7" s="12" t="s">
        <v>96</v>
      </c>
      <c r="C7" s="15" t="s">
        <v>374</v>
      </c>
      <c r="D7" s="11" t="s">
        <v>103</v>
      </c>
      <c r="E7" s="11" t="s">
        <v>104</v>
      </c>
    </row>
    <row r="8" spans="1:5" ht="15" customHeight="1">
      <c r="A8" s="10" t="s">
        <v>105</v>
      </c>
      <c r="B8" s="12" t="s">
        <v>96</v>
      </c>
      <c r="C8" s="15" t="s">
        <v>375</v>
      </c>
      <c r="D8" s="11" t="s">
        <v>106</v>
      </c>
      <c r="E8" s="11" t="s">
        <v>107</v>
      </c>
    </row>
    <row r="9" spans="1:5" ht="15" customHeight="1">
      <c r="A9" s="10" t="s">
        <v>108</v>
      </c>
      <c r="B9" s="12" t="s">
        <v>96</v>
      </c>
      <c r="C9" s="15" t="s">
        <v>376</v>
      </c>
      <c r="D9" s="11" t="s">
        <v>109</v>
      </c>
      <c r="E9" s="11" t="s">
        <v>110</v>
      </c>
    </row>
    <row r="10" spans="1:5" ht="15" customHeight="1">
      <c r="A10" s="10" t="s">
        <v>111</v>
      </c>
      <c r="B10" s="12" t="s">
        <v>96</v>
      </c>
      <c r="C10" s="15" t="s">
        <v>377</v>
      </c>
      <c r="D10" s="11" t="s">
        <v>112</v>
      </c>
      <c r="E10" s="11" t="s">
        <v>113</v>
      </c>
    </row>
    <row r="11" spans="1:5" ht="15" customHeight="1">
      <c r="A11" s="10" t="s">
        <v>114</v>
      </c>
      <c r="B11" s="12" t="s">
        <v>96</v>
      </c>
      <c r="C11" s="15" t="s">
        <v>539</v>
      </c>
      <c r="D11" s="11" t="s">
        <v>115</v>
      </c>
      <c r="E11" s="11" t="s">
        <v>116</v>
      </c>
    </row>
    <row r="12" spans="1:5" ht="15" customHeight="1">
      <c r="A12" s="10" t="s">
        <v>117</v>
      </c>
      <c r="B12" s="12" t="s">
        <v>96</v>
      </c>
      <c r="C12" s="15" t="s">
        <v>539</v>
      </c>
      <c r="D12" s="11" t="s">
        <v>118</v>
      </c>
      <c r="E12" s="11" t="s">
        <v>119</v>
      </c>
    </row>
    <row r="13" spans="1:5" ht="15" customHeight="1">
      <c r="A13" s="10" t="s">
        <v>120</v>
      </c>
      <c r="B13" s="12" t="s">
        <v>96</v>
      </c>
      <c r="C13" s="15" t="s">
        <v>378</v>
      </c>
      <c r="D13" s="11" t="s">
        <v>121</v>
      </c>
      <c r="E13" s="11" t="s">
        <v>122</v>
      </c>
    </row>
    <row r="14" spans="1:5" ht="15" customHeight="1">
      <c r="A14" s="10" t="s">
        <v>123</v>
      </c>
      <c r="B14" s="12" t="s">
        <v>96</v>
      </c>
      <c r="C14" s="15" t="s">
        <v>379</v>
      </c>
      <c r="D14" s="11" t="s">
        <v>124</v>
      </c>
      <c r="E14" s="11" t="s">
        <v>125</v>
      </c>
    </row>
    <row r="15" spans="1:5" ht="26.45" customHeight="1">
      <c r="A15" s="10" t="s">
        <v>126</v>
      </c>
      <c r="B15" s="12" t="s">
        <v>127</v>
      </c>
      <c r="C15" s="15" t="s">
        <v>380</v>
      </c>
      <c r="D15" s="11" t="s">
        <v>128</v>
      </c>
      <c r="E15" s="11" t="s">
        <v>129</v>
      </c>
    </row>
    <row r="16" spans="1:5" ht="15" customHeight="1">
      <c r="A16" s="10" t="s">
        <v>130</v>
      </c>
      <c r="B16" s="12" t="s">
        <v>127</v>
      </c>
      <c r="C16" s="15" t="s">
        <v>381</v>
      </c>
      <c r="D16" s="11" t="s">
        <v>131</v>
      </c>
      <c r="E16" s="11" t="s">
        <v>132</v>
      </c>
    </row>
    <row r="18" spans="1:5" ht="15" customHeight="1">
      <c r="A18" s="18" t="s">
        <v>133</v>
      </c>
      <c r="B18" s="18"/>
      <c r="C18" s="18"/>
      <c r="D18" s="18"/>
      <c r="E18" s="18"/>
    </row>
    <row r="19" spans="1:5" ht="15" customHeight="1">
      <c r="A19" s="1" t="s">
        <v>134</v>
      </c>
      <c r="B19" s="1" t="s">
        <v>85</v>
      </c>
      <c r="C19" s="1" t="s">
        <v>135</v>
      </c>
    </row>
    <row r="20" spans="1:5" ht="15" customHeight="1">
      <c r="A20" s="2" t="s">
        <v>136</v>
      </c>
      <c r="B20" s="6">
        <f>COUNTBLANK(C5:C14)</f>
        <v>0</v>
      </c>
      <c r="C20" s="6" t="str">
        <f>IF(B20=0,"HỢP LỆ","CẦN SỬA")</f>
        <v>HỢP LỆ</v>
      </c>
    </row>
    <row r="21" spans="1:5" ht="15" customHeight="1">
      <c r="A21" s="2" t="s">
        <v>137</v>
      </c>
      <c r="B21" s="6" t="str">
        <f>C14</f>
        <v>Đang soạn</v>
      </c>
      <c r="C21" s="6" t="str">
        <f>IF(B21="Đã duyệt","HỢP LỆ","CHƯA DUYỆT")</f>
        <v>CHƯA DUYỆT</v>
      </c>
    </row>
    <row r="22" spans="1:5" ht="15" customHeight="1">
      <c r="A22" s="2" t="s">
        <v>138</v>
      </c>
      <c r="B22" s="6" t="str">
        <f>IF(AND(C20="HỢP LỆ",C21="HỢP LỆ"),"CÓ","KHÔNG")</f>
        <v>KHÔNG</v>
      </c>
      <c r="C22" s="6" t="str">
        <f>IF(B22="CÓ","HỢP LỆ","CẦN SỬA")</f>
        <v>CẦN SỬA</v>
      </c>
    </row>
    <row r="23" spans="1:5" ht="66" customHeight="1">
      <c r="A23" s="2" t="s">
        <v>139</v>
      </c>
      <c r="B23" s="2" t="s">
        <v>140</v>
      </c>
      <c r="C23" s="2"/>
    </row>
  </sheetData>
  <mergeCells count="3">
    <mergeCell ref="A1:E1"/>
    <mergeCell ref="A2:E2"/>
    <mergeCell ref="A18:E18"/>
  </mergeCells>
  <conditionalFormatting sqref="C20:C22">
    <cfRule type="expression" dxfId="21" priority="1">
      <formula>C20="HỢP LỆ"</formula>
    </cfRule>
    <cfRule type="expression" dxfId="20" priority="2">
      <formula>OR(C20="CẦN SỬA",C20="CHƯA DUYỆT")</formula>
    </cfRule>
  </conditionalFormatting>
  <dataValidations count="1">
    <dataValidation type="list" sqref="C14" xr:uid="{00000000-0002-0000-0100-000000000000}">
      <formula1>"Đang soạn,Chờ review,Cần chỉnh sửa,Đã duyệt"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4"/>
  <sheetViews>
    <sheetView workbookViewId="0"/>
  </sheetViews>
  <sheetFormatPr defaultRowHeight="14.25"/>
  <cols>
    <col min="1" max="1" width="11" customWidth="1"/>
    <col min="2" max="2" width="12" customWidth="1"/>
    <col min="3" max="3" width="8" customWidth="1"/>
    <col min="4" max="4" width="12" customWidth="1"/>
    <col min="5" max="6" width="14" customWidth="1"/>
    <col min="7" max="7" width="29" customWidth="1"/>
    <col min="8" max="8" width="13" customWidth="1"/>
    <col min="9" max="9" width="12" customWidth="1"/>
    <col min="10" max="10" width="64" customWidth="1"/>
    <col min="11" max="11" width="11" customWidth="1"/>
    <col min="12" max="12" width="23" customWidth="1"/>
    <col min="13" max="13" width="13" customWidth="1"/>
    <col min="14" max="14" width="31" customWidth="1"/>
  </cols>
  <sheetData>
    <row r="1" spans="1:14" ht="30" customHeight="1">
      <c r="A1" s="19" t="s">
        <v>141</v>
      </c>
      <c r="B1" s="19"/>
      <c r="C1" s="19"/>
      <c r="D1" s="19"/>
      <c r="E1" s="19"/>
      <c r="F1" s="19"/>
      <c r="G1" s="19"/>
      <c r="H1" s="19"/>
      <c r="I1" s="19"/>
      <c r="J1" s="19"/>
      <c r="K1" s="19"/>
      <c r="L1" s="19"/>
      <c r="M1" s="19"/>
      <c r="N1" s="19"/>
    </row>
    <row r="2" spans="1:14" ht="36" customHeight="1">
      <c r="A2" s="20" t="s">
        <v>142</v>
      </c>
      <c r="B2" s="20"/>
      <c r="C2" s="20"/>
      <c r="D2" s="20"/>
      <c r="E2" s="20"/>
      <c r="F2" s="20"/>
      <c r="G2" s="20"/>
      <c r="H2" s="20"/>
      <c r="I2" s="20"/>
      <c r="J2" s="20"/>
      <c r="K2" s="20"/>
      <c r="L2" s="20"/>
      <c r="M2" s="20"/>
      <c r="N2" s="20"/>
    </row>
    <row r="4" spans="1:14" ht="39.950000000000003" customHeight="1">
      <c r="A4" s="1" t="s">
        <v>143</v>
      </c>
      <c r="B4" s="1" t="s">
        <v>144</v>
      </c>
      <c r="C4" s="1" t="s">
        <v>145</v>
      </c>
      <c r="D4" s="1" t="s">
        <v>146</v>
      </c>
      <c r="E4" s="1" t="s">
        <v>147</v>
      </c>
      <c r="F4" s="1" t="s">
        <v>148</v>
      </c>
      <c r="G4" s="1" t="s">
        <v>149</v>
      </c>
      <c r="H4" s="1" t="s">
        <v>150</v>
      </c>
      <c r="I4" s="1" t="s">
        <v>151</v>
      </c>
      <c r="J4" s="1" t="s">
        <v>152</v>
      </c>
      <c r="K4" s="1" t="s">
        <v>153</v>
      </c>
      <c r="L4" s="1" t="s">
        <v>154</v>
      </c>
      <c r="M4" s="1" t="s">
        <v>135</v>
      </c>
      <c r="N4" s="1" t="s">
        <v>155</v>
      </c>
    </row>
    <row r="5" spans="1:14" ht="15" customHeight="1">
      <c r="A5" s="16">
        <v>1</v>
      </c>
      <c r="B5" s="16" t="s">
        <v>382</v>
      </c>
      <c r="C5" s="16">
        <v>1</v>
      </c>
      <c r="D5" s="16" t="s">
        <v>188</v>
      </c>
      <c r="E5" s="16"/>
      <c r="F5" s="15" t="s">
        <v>183</v>
      </c>
      <c r="G5" s="15" t="s">
        <v>383</v>
      </c>
      <c r="H5" s="15"/>
      <c r="I5" s="15"/>
      <c r="J5" s="15"/>
      <c r="K5" s="15"/>
      <c r="L5" s="15" t="s">
        <v>384</v>
      </c>
      <c r="M5" s="17" t="str">
        <f t="shared" ref="M5:M36" si="0">IF(A5="","",IF(N5="","HỢP LỆ","CẦN SỬA"))</f>
        <v>HỢP LỆ</v>
      </c>
      <c r="N5" s="17" t="str">
        <f t="shared" ref="N5:N36" si="1">IF(A5="","",IF(B5="","Thiếu NodeId",IF(D5="","Thiếu NodeType",IF(COUNTIF($B$5:$B$204,B5)&gt;1,"NodeId bị trùng",IF(COUNTIF($A$5:$A$204,A5)&gt;1,"NodeOrder bị trùng",IF(AND(D5="scene",OR(C5="",F5="",G5="")),"scene cần ActNo, Background, SceneName",IF(AND(D5="say",OR(H5="",J5="")),"say cần SpeakerKey và Text",IF(AND(D5="choice",OR(E5="",H5="",I5="",J5="")),"choice cần ChoiceMode, SpeakerKey, Mood, Question",IF(AND(D5="act",K5=""),"act cần số La Mã",IF(AND(D5="end",COUNTIF($D$5:$D$204,"end")&lt;&gt;1),"Phải có đúng 1 node end",""))))))))))</f>
        <v/>
      </c>
    </row>
    <row r="6" spans="1:14" ht="39.6" customHeight="1">
      <c r="A6" s="16">
        <v>2</v>
      </c>
      <c r="B6" s="16" t="s">
        <v>385</v>
      </c>
      <c r="C6" s="16">
        <v>1</v>
      </c>
      <c r="D6" s="16" t="s">
        <v>198</v>
      </c>
      <c r="E6" s="16"/>
      <c r="F6" s="15"/>
      <c r="G6" s="15"/>
      <c r="H6" s="15" t="s">
        <v>182</v>
      </c>
      <c r="I6" s="15"/>
      <c r="J6" s="15" t="s">
        <v>386</v>
      </c>
      <c r="K6" s="15"/>
      <c r="L6" s="15"/>
      <c r="M6" s="17" t="str">
        <f t="shared" si="0"/>
        <v>HỢP LỆ</v>
      </c>
      <c r="N6" s="17" t="str">
        <f t="shared" si="1"/>
        <v/>
      </c>
    </row>
    <row r="7" spans="1:14" ht="26.45" customHeight="1">
      <c r="A7" s="16">
        <v>3</v>
      </c>
      <c r="B7" s="16" t="s">
        <v>387</v>
      </c>
      <c r="C7" s="16">
        <v>1</v>
      </c>
      <c r="D7" s="16" t="s">
        <v>198</v>
      </c>
      <c r="E7" s="16"/>
      <c r="F7" s="15"/>
      <c r="G7" s="15"/>
      <c r="H7" s="15" t="s">
        <v>201</v>
      </c>
      <c r="I7" s="15" t="s">
        <v>186</v>
      </c>
      <c r="J7" s="15" t="s">
        <v>388</v>
      </c>
      <c r="K7" s="15"/>
      <c r="L7" s="15"/>
      <c r="M7" s="17" t="str">
        <f t="shared" si="0"/>
        <v>HỢP LỆ</v>
      </c>
      <c r="N7" s="17" t="str">
        <f t="shared" si="1"/>
        <v/>
      </c>
    </row>
    <row r="8" spans="1:14" ht="15" customHeight="1">
      <c r="A8" s="16">
        <v>4</v>
      </c>
      <c r="B8" s="16" t="s">
        <v>389</v>
      </c>
      <c r="C8" s="16">
        <v>1</v>
      </c>
      <c r="D8" s="16" t="s">
        <v>208</v>
      </c>
      <c r="E8" s="16" t="s">
        <v>390</v>
      </c>
      <c r="F8" s="15"/>
      <c r="G8" s="15"/>
      <c r="H8" s="15" t="s">
        <v>201</v>
      </c>
      <c r="I8" s="15" t="s">
        <v>186</v>
      </c>
      <c r="J8" s="15" t="s">
        <v>391</v>
      </c>
      <c r="K8" s="15"/>
      <c r="L8" s="15" t="s">
        <v>392</v>
      </c>
      <c r="M8" s="17" t="str">
        <f t="shared" si="0"/>
        <v>HỢP LỆ</v>
      </c>
      <c r="N8" s="17" t="str">
        <f t="shared" si="1"/>
        <v/>
      </c>
    </row>
    <row r="9" spans="1:14" ht="15" customHeight="1">
      <c r="A9" s="16">
        <v>5</v>
      </c>
      <c r="B9" s="16" t="s">
        <v>393</v>
      </c>
      <c r="C9" s="16">
        <v>1</v>
      </c>
      <c r="D9" s="16" t="s">
        <v>208</v>
      </c>
      <c r="E9" s="16" t="s">
        <v>394</v>
      </c>
      <c r="F9" s="15"/>
      <c r="G9" s="15"/>
      <c r="H9" s="15" t="s">
        <v>211</v>
      </c>
      <c r="I9" s="15" t="s">
        <v>186</v>
      </c>
      <c r="J9" s="15" t="s">
        <v>395</v>
      </c>
      <c r="K9" s="15"/>
      <c r="L9" s="15" t="s">
        <v>392</v>
      </c>
      <c r="M9" s="17" t="str">
        <f t="shared" si="0"/>
        <v>HỢP LỆ</v>
      </c>
      <c r="N9" s="17" t="str">
        <f t="shared" si="1"/>
        <v/>
      </c>
    </row>
    <row r="10" spans="1:14" ht="15" customHeight="1">
      <c r="A10" s="16">
        <v>6</v>
      </c>
      <c r="B10" s="16" t="s">
        <v>396</v>
      </c>
      <c r="C10" s="16">
        <v>1</v>
      </c>
      <c r="D10" s="16" t="s">
        <v>208</v>
      </c>
      <c r="E10" s="16" t="s">
        <v>394</v>
      </c>
      <c r="F10" s="15"/>
      <c r="G10" s="15"/>
      <c r="H10" s="15" t="s">
        <v>218</v>
      </c>
      <c r="I10" s="15" t="s">
        <v>186</v>
      </c>
      <c r="J10" s="15" t="s">
        <v>397</v>
      </c>
      <c r="K10" s="15"/>
      <c r="L10" s="15" t="s">
        <v>392</v>
      </c>
      <c r="M10" s="17" t="str">
        <f t="shared" si="0"/>
        <v>HỢP LỆ</v>
      </c>
      <c r="N10" s="17" t="str">
        <f t="shared" si="1"/>
        <v/>
      </c>
    </row>
    <row r="11" spans="1:14" ht="15" customHeight="1">
      <c r="A11" s="16">
        <v>7</v>
      </c>
      <c r="B11" s="16" t="s">
        <v>398</v>
      </c>
      <c r="C11" s="16">
        <v>1</v>
      </c>
      <c r="D11" s="16" t="s">
        <v>208</v>
      </c>
      <c r="E11" s="16" t="s">
        <v>394</v>
      </c>
      <c r="F11" s="15"/>
      <c r="G11" s="15"/>
      <c r="H11" s="15" t="s">
        <v>201</v>
      </c>
      <c r="I11" s="15" t="s">
        <v>186</v>
      </c>
      <c r="J11" s="15" t="s">
        <v>399</v>
      </c>
      <c r="K11" s="15"/>
      <c r="L11" s="15" t="s">
        <v>392</v>
      </c>
      <c r="M11" s="17" t="str">
        <f t="shared" si="0"/>
        <v>HỢP LỆ</v>
      </c>
      <c r="N11" s="17" t="str">
        <f t="shared" si="1"/>
        <v/>
      </c>
    </row>
    <row r="12" spans="1:14" ht="15" customHeight="1">
      <c r="A12" s="16">
        <v>8</v>
      </c>
      <c r="B12" s="16" t="s">
        <v>400</v>
      </c>
      <c r="C12" s="16">
        <v>1</v>
      </c>
      <c r="D12" s="16" t="s">
        <v>208</v>
      </c>
      <c r="E12" s="16" t="s">
        <v>394</v>
      </c>
      <c r="F12" s="15"/>
      <c r="G12" s="15"/>
      <c r="H12" s="15" t="s">
        <v>218</v>
      </c>
      <c r="I12" s="15" t="s">
        <v>186</v>
      </c>
      <c r="J12" s="15" t="s">
        <v>401</v>
      </c>
      <c r="K12" s="15"/>
      <c r="L12" s="15" t="s">
        <v>392</v>
      </c>
      <c r="M12" s="17" t="str">
        <f t="shared" si="0"/>
        <v>HỢP LỆ</v>
      </c>
      <c r="N12" s="17" t="str">
        <f t="shared" si="1"/>
        <v/>
      </c>
    </row>
    <row r="13" spans="1:14" ht="15" customHeight="1">
      <c r="A13" s="16">
        <v>9</v>
      </c>
      <c r="B13" s="16" t="s">
        <v>402</v>
      </c>
      <c r="C13" s="16">
        <v>1</v>
      </c>
      <c r="D13" s="16" t="s">
        <v>208</v>
      </c>
      <c r="E13" s="16" t="s">
        <v>394</v>
      </c>
      <c r="F13" s="15"/>
      <c r="G13" s="15"/>
      <c r="H13" s="15" t="s">
        <v>211</v>
      </c>
      <c r="I13" s="15" t="s">
        <v>186</v>
      </c>
      <c r="J13" s="15" t="s">
        <v>403</v>
      </c>
      <c r="K13" s="15"/>
      <c r="L13" s="15" t="s">
        <v>392</v>
      </c>
      <c r="M13" s="17" t="str">
        <f t="shared" si="0"/>
        <v>HỢP LỆ</v>
      </c>
      <c r="N13" s="17" t="str">
        <f t="shared" si="1"/>
        <v/>
      </c>
    </row>
    <row r="14" spans="1:14" ht="15" customHeight="1">
      <c r="A14" s="16">
        <v>10</v>
      </c>
      <c r="B14" s="16" t="s">
        <v>404</v>
      </c>
      <c r="C14" s="16">
        <v>1</v>
      </c>
      <c r="D14" s="16" t="s">
        <v>216</v>
      </c>
      <c r="E14" s="16"/>
      <c r="F14" s="15"/>
      <c r="G14" s="15"/>
      <c r="H14" s="15"/>
      <c r="I14" s="15"/>
      <c r="J14" s="15"/>
      <c r="K14" s="15" t="s">
        <v>405</v>
      </c>
      <c r="L14" s="15" t="s">
        <v>406</v>
      </c>
      <c r="M14" s="17" t="str">
        <f t="shared" si="0"/>
        <v>HỢP LỆ</v>
      </c>
      <c r="N14" s="17" t="str">
        <f t="shared" si="1"/>
        <v/>
      </c>
    </row>
    <row r="15" spans="1:14" ht="26.45" customHeight="1">
      <c r="A15" s="16">
        <v>11</v>
      </c>
      <c r="B15" s="16" t="s">
        <v>407</v>
      </c>
      <c r="C15" s="16">
        <v>2</v>
      </c>
      <c r="D15" s="16" t="s">
        <v>188</v>
      </c>
      <c r="E15" s="16"/>
      <c r="F15" s="15" t="s">
        <v>194</v>
      </c>
      <c r="G15" s="15" t="s">
        <v>408</v>
      </c>
      <c r="H15" s="15"/>
      <c r="I15" s="15"/>
      <c r="J15" s="15"/>
      <c r="K15" s="15"/>
      <c r="L15" s="15" t="s">
        <v>409</v>
      </c>
      <c r="M15" s="17" t="str">
        <f t="shared" si="0"/>
        <v>HỢP LỆ</v>
      </c>
      <c r="N15" s="17" t="str">
        <f t="shared" si="1"/>
        <v/>
      </c>
    </row>
    <row r="16" spans="1:14" ht="26.45" customHeight="1">
      <c r="A16" s="16">
        <v>12</v>
      </c>
      <c r="B16" s="16" t="s">
        <v>410</v>
      </c>
      <c r="C16" s="16">
        <v>2</v>
      </c>
      <c r="D16" s="16" t="s">
        <v>198</v>
      </c>
      <c r="E16" s="16"/>
      <c r="F16" s="15"/>
      <c r="G16" s="15"/>
      <c r="H16" s="15" t="s">
        <v>182</v>
      </c>
      <c r="I16" s="15"/>
      <c r="J16" s="15" t="s">
        <v>411</v>
      </c>
      <c r="K16" s="15"/>
      <c r="L16" s="15"/>
      <c r="M16" s="17" t="str">
        <f t="shared" si="0"/>
        <v>HỢP LỆ</v>
      </c>
      <c r="N16" s="17" t="str">
        <f t="shared" si="1"/>
        <v/>
      </c>
    </row>
    <row r="17" spans="1:14" ht="26.45" customHeight="1">
      <c r="A17" s="16">
        <v>13</v>
      </c>
      <c r="B17" s="16" t="s">
        <v>412</v>
      </c>
      <c r="C17" s="16">
        <v>2</v>
      </c>
      <c r="D17" s="16" t="s">
        <v>198</v>
      </c>
      <c r="E17" s="16"/>
      <c r="F17" s="15"/>
      <c r="G17" s="15"/>
      <c r="H17" s="15" t="s">
        <v>211</v>
      </c>
      <c r="I17" s="15" t="s">
        <v>186</v>
      </c>
      <c r="J17" s="15" t="s">
        <v>413</v>
      </c>
      <c r="K17" s="15"/>
      <c r="L17" s="15"/>
      <c r="M17" s="17" t="str">
        <f t="shared" si="0"/>
        <v>HỢP LỆ</v>
      </c>
      <c r="N17" s="17" t="str">
        <f t="shared" si="1"/>
        <v/>
      </c>
    </row>
    <row r="18" spans="1:14" ht="15" customHeight="1">
      <c r="A18" s="16">
        <v>14</v>
      </c>
      <c r="B18" s="16" t="s">
        <v>414</v>
      </c>
      <c r="C18" s="16">
        <v>2</v>
      </c>
      <c r="D18" s="16" t="s">
        <v>208</v>
      </c>
      <c r="E18" s="16" t="s">
        <v>394</v>
      </c>
      <c r="F18" s="15"/>
      <c r="G18" s="15"/>
      <c r="H18" s="15" t="s">
        <v>211</v>
      </c>
      <c r="I18" s="15" t="s">
        <v>186</v>
      </c>
      <c r="J18" s="15" t="s">
        <v>415</v>
      </c>
      <c r="K18" s="15"/>
      <c r="L18" s="15" t="s">
        <v>392</v>
      </c>
      <c r="M18" s="17" t="str">
        <f t="shared" si="0"/>
        <v>HỢP LỆ</v>
      </c>
      <c r="N18" s="17" t="str">
        <f t="shared" si="1"/>
        <v/>
      </c>
    </row>
    <row r="19" spans="1:14" ht="15" customHeight="1">
      <c r="A19" s="16">
        <v>15</v>
      </c>
      <c r="B19" s="16" t="s">
        <v>416</v>
      </c>
      <c r="C19" s="16">
        <v>2</v>
      </c>
      <c r="D19" s="16" t="s">
        <v>208</v>
      </c>
      <c r="E19" s="16" t="s">
        <v>394</v>
      </c>
      <c r="F19" s="15"/>
      <c r="G19" s="15"/>
      <c r="H19" s="15" t="s">
        <v>201</v>
      </c>
      <c r="I19" s="15" t="s">
        <v>186</v>
      </c>
      <c r="J19" s="15" t="s">
        <v>417</v>
      </c>
      <c r="K19" s="15"/>
      <c r="L19" s="15" t="s">
        <v>392</v>
      </c>
      <c r="M19" s="17" t="str">
        <f t="shared" si="0"/>
        <v>HỢP LỆ</v>
      </c>
      <c r="N19" s="17" t="str">
        <f t="shared" si="1"/>
        <v/>
      </c>
    </row>
    <row r="20" spans="1:14" ht="15" customHeight="1">
      <c r="A20" s="16">
        <v>16</v>
      </c>
      <c r="B20" s="16" t="s">
        <v>418</v>
      </c>
      <c r="C20" s="16">
        <v>2</v>
      </c>
      <c r="D20" s="16" t="s">
        <v>208</v>
      </c>
      <c r="E20" s="16" t="s">
        <v>394</v>
      </c>
      <c r="F20" s="15"/>
      <c r="G20" s="15"/>
      <c r="H20" s="15" t="s">
        <v>218</v>
      </c>
      <c r="I20" s="15" t="s">
        <v>186</v>
      </c>
      <c r="J20" s="15" t="s">
        <v>419</v>
      </c>
      <c r="K20" s="15"/>
      <c r="L20" s="15" t="s">
        <v>392</v>
      </c>
      <c r="M20" s="17" t="str">
        <f t="shared" si="0"/>
        <v>HỢP LỆ</v>
      </c>
      <c r="N20" s="17" t="str">
        <f t="shared" si="1"/>
        <v/>
      </c>
    </row>
    <row r="21" spans="1:14" ht="15" customHeight="1">
      <c r="A21" s="16">
        <v>17</v>
      </c>
      <c r="B21" s="16" t="s">
        <v>420</v>
      </c>
      <c r="C21" s="16">
        <v>2</v>
      </c>
      <c r="D21" s="16" t="s">
        <v>208</v>
      </c>
      <c r="E21" s="16" t="s">
        <v>394</v>
      </c>
      <c r="F21" s="15"/>
      <c r="G21" s="15"/>
      <c r="H21" s="15" t="s">
        <v>211</v>
      </c>
      <c r="I21" s="15" t="s">
        <v>186</v>
      </c>
      <c r="J21" s="15" t="s">
        <v>421</v>
      </c>
      <c r="K21" s="15"/>
      <c r="L21" s="15" t="s">
        <v>392</v>
      </c>
      <c r="M21" s="17" t="str">
        <f t="shared" si="0"/>
        <v>HỢP LỆ</v>
      </c>
      <c r="N21" s="17" t="str">
        <f t="shared" si="1"/>
        <v/>
      </c>
    </row>
    <row r="22" spans="1:14" ht="15" customHeight="1">
      <c r="A22" s="16">
        <v>18</v>
      </c>
      <c r="B22" s="16" t="s">
        <v>422</v>
      </c>
      <c r="C22" s="16">
        <v>2</v>
      </c>
      <c r="D22" s="16" t="s">
        <v>208</v>
      </c>
      <c r="E22" s="16" t="s">
        <v>394</v>
      </c>
      <c r="F22" s="15"/>
      <c r="G22" s="15"/>
      <c r="H22" s="15" t="s">
        <v>201</v>
      </c>
      <c r="I22" s="15" t="s">
        <v>186</v>
      </c>
      <c r="J22" s="15" t="s">
        <v>423</v>
      </c>
      <c r="K22" s="15"/>
      <c r="L22" s="15" t="s">
        <v>392</v>
      </c>
      <c r="M22" s="17" t="str">
        <f t="shared" si="0"/>
        <v>HỢP LỆ</v>
      </c>
      <c r="N22" s="17" t="str">
        <f t="shared" si="1"/>
        <v/>
      </c>
    </row>
    <row r="23" spans="1:14" ht="15" customHeight="1">
      <c r="A23" s="16">
        <v>19</v>
      </c>
      <c r="B23" s="16" t="s">
        <v>424</v>
      </c>
      <c r="C23" s="16">
        <v>2</v>
      </c>
      <c r="D23" s="16" t="s">
        <v>208</v>
      </c>
      <c r="E23" s="16" t="s">
        <v>394</v>
      </c>
      <c r="F23" s="15"/>
      <c r="G23" s="15"/>
      <c r="H23" s="15" t="s">
        <v>224</v>
      </c>
      <c r="I23" s="15" t="s">
        <v>186</v>
      </c>
      <c r="J23" s="15" t="s">
        <v>425</v>
      </c>
      <c r="K23" s="15"/>
      <c r="L23" s="15" t="s">
        <v>392</v>
      </c>
      <c r="M23" s="17" t="str">
        <f t="shared" si="0"/>
        <v>HỢP LỆ</v>
      </c>
      <c r="N23" s="17" t="str">
        <f t="shared" si="1"/>
        <v/>
      </c>
    </row>
    <row r="24" spans="1:14" ht="15" customHeight="1">
      <c r="A24" s="16">
        <v>20</v>
      </c>
      <c r="B24" s="16" t="s">
        <v>426</v>
      </c>
      <c r="C24" s="16">
        <v>2</v>
      </c>
      <c r="D24" s="16" t="s">
        <v>216</v>
      </c>
      <c r="E24" s="16"/>
      <c r="F24" s="15"/>
      <c r="G24" s="15"/>
      <c r="H24" s="15"/>
      <c r="I24" s="15"/>
      <c r="J24" s="15"/>
      <c r="K24" s="15" t="s">
        <v>427</v>
      </c>
      <c r="L24" s="15" t="s">
        <v>428</v>
      </c>
      <c r="M24" s="17" t="str">
        <f t="shared" si="0"/>
        <v>HỢP LỆ</v>
      </c>
      <c r="N24" s="17" t="str">
        <f t="shared" si="1"/>
        <v/>
      </c>
    </row>
    <row r="25" spans="1:14" ht="26.45" customHeight="1">
      <c r="A25" s="16">
        <v>21</v>
      </c>
      <c r="B25" s="16" t="s">
        <v>429</v>
      </c>
      <c r="C25" s="16">
        <v>3</v>
      </c>
      <c r="D25" s="16" t="s">
        <v>188</v>
      </c>
      <c r="E25" s="16"/>
      <c r="F25" s="15" t="s">
        <v>204</v>
      </c>
      <c r="G25" s="15" t="s">
        <v>430</v>
      </c>
      <c r="H25" s="15"/>
      <c r="I25" s="15"/>
      <c r="J25" s="15"/>
      <c r="K25" s="15"/>
      <c r="L25" s="15" t="s">
        <v>431</v>
      </c>
      <c r="M25" s="17" t="str">
        <f t="shared" si="0"/>
        <v>HỢP LỆ</v>
      </c>
      <c r="N25" s="17" t="str">
        <f t="shared" si="1"/>
        <v/>
      </c>
    </row>
    <row r="26" spans="1:14" ht="26.45" customHeight="1">
      <c r="A26" s="16">
        <v>22</v>
      </c>
      <c r="B26" s="16" t="s">
        <v>432</v>
      </c>
      <c r="C26" s="16">
        <v>3</v>
      </c>
      <c r="D26" s="16" t="s">
        <v>198</v>
      </c>
      <c r="E26" s="16"/>
      <c r="F26" s="15"/>
      <c r="G26" s="15"/>
      <c r="H26" s="15" t="s">
        <v>182</v>
      </c>
      <c r="I26" s="15"/>
      <c r="J26" s="15" t="s">
        <v>433</v>
      </c>
      <c r="K26" s="15"/>
      <c r="L26" s="15"/>
      <c r="M26" s="17" t="str">
        <f t="shared" si="0"/>
        <v>HỢP LỆ</v>
      </c>
      <c r="N26" s="17" t="str">
        <f t="shared" si="1"/>
        <v/>
      </c>
    </row>
    <row r="27" spans="1:14" ht="26.45" customHeight="1">
      <c r="A27" s="16">
        <v>23</v>
      </c>
      <c r="B27" s="16" t="s">
        <v>434</v>
      </c>
      <c r="C27" s="16">
        <v>3</v>
      </c>
      <c r="D27" s="16" t="s">
        <v>198</v>
      </c>
      <c r="E27" s="16"/>
      <c r="F27" s="15"/>
      <c r="G27" s="15"/>
      <c r="H27" s="15" t="s">
        <v>218</v>
      </c>
      <c r="I27" s="15" t="s">
        <v>214</v>
      </c>
      <c r="J27" s="15" t="s">
        <v>435</v>
      </c>
      <c r="K27" s="15"/>
      <c r="L27" s="15"/>
      <c r="M27" s="17" t="str">
        <f t="shared" si="0"/>
        <v>HỢP LỆ</v>
      </c>
      <c r="N27" s="17" t="str">
        <f t="shared" si="1"/>
        <v/>
      </c>
    </row>
    <row r="28" spans="1:14" ht="26.45" customHeight="1">
      <c r="A28" s="16">
        <v>24</v>
      </c>
      <c r="B28" s="16" t="s">
        <v>436</v>
      </c>
      <c r="C28" s="16">
        <v>3</v>
      </c>
      <c r="D28" s="16" t="s">
        <v>208</v>
      </c>
      <c r="E28" s="16" t="s">
        <v>394</v>
      </c>
      <c r="F28" s="15"/>
      <c r="G28" s="15"/>
      <c r="H28" s="15" t="s">
        <v>218</v>
      </c>
      <c r="I28" s="15" t="s">
        <v>186</v>
      </c>
      <c r="J28" s="15" t="s">
        <v>437</v>
      </c>
      <c r="K28" s="15"/>
      <c r="L28" s="15" t="s">
        <v>392</v>
      </c>
      <c r="M28" s="17" t="str">
        <f t="shared" si="0"/>
        <v>HỢP LỆ</v>
      </c>
      <c r="N28" s="17" t="str">
        <f t="shared" si="1"/>
        <v/>
      </c>
    </row>
    <row r="29" spans="1:14" ht="15" customHeight="1">
      <c r="A29" s="16">
        <v>25</v>
      </c>
      <c r="B29" s="16" t="s">
        <v>438</v>
      </c>
      <c r="C29" s="16">
        <v>3</v>
      </c>
      <c r="D29" s="16" t="s">
        <v>208</v>
      </c>
      <c r="E29" s="16" t="s">
        <v>394</v>
      </c>
      <c r="F29" s="15"/>
      <c r="G29" s="15"/>
      <c r="H29" s="15" t="s">
        <v>211</v>
      </c>
      <c r="I29" s="15" t="s">
        <v>186</v>
      </c>
      <c r="J29" s="15" t="s">
        <v>439</v>
      </c>
      <c r="K29" s="15"/>
      <c r="L29" s="15" t="s">
        <v>392</v>
      </c>
      <c r="M29" s="17" t="str">
        <f t="shared" si="0"/>
        <v>HỢP LỆ</v>
      </c>
      <c r="N29" s="17" t="str">
        <f t="shared" si="1"/>
        <v/>
      </c>
    </row>
    <row r="30" spans="1:14" ht="26.45" customHeight="1">
      <c r="A30" s="16">
        <v>26</v>
      </c>
      <c r="B30" s="16" t="s">
        <v>440</v>
      </c>
      <c r="C30" s="16">
        <v>3</v>
      </c>
      <c r="D30" s="16" t="s">
        <v>208</v>
      </c>
      <c r="E30" s="16" t="s">
        <v>394</v>
      </c>
      <c r="F30" s="15"/>
      <c r="G30" s="15"/>
      <c r="H30" s="15" t="s">
        <v>201</v>
      </c>
      <c r="I30" s="15" t="s">
        <v>186</v>
      </c>
      <c r="J30" s="15" t="s">
        <v>441</v>
      </c>
      <c r="K30" s="15"/>
      <c r="L30" s="15" t="s">
        <v>392</v>
      </c>
      <c r="M30" s="17" t="str">
        <f t="shared" si="0"/>
        <v>HỢP LỆ</v>
      </c>
      <c r="N30" s="17" t="str">
        <f t="shared" si="1"/>
        <v/>
      </c>
    </row>
    <row r="31" spans="1:14" ht="15" customHeight="1">
      <c r="A31" s="16">
        <v>27</v>
      </c>
      <c r="B31" s="16" t="s">
        <v>442</v>
      </c>
      <c r="C31" s="16">
        <v>3</v>
      </c>
      <c r="D31" s="16" t="s">
        <v>208</v>
      </c>
      <c r="E31" s="16" t="s">
        <v>394</v>
      </c>
      <c r="F31" s="15"/>
      <c r="G31" s="15"/>
      <c r="H31" s="15" t="s">
        <v>218</v>
      </c>
      <c r="I31" s="15" t="s">
        <v>186</v>
      </c>
      <c r="J31" s="15" t="s">
        <v>443</v>
      </c>
      <c r="K31" s="15"/>
      <c r="L31" s="15" t="s">
        <v>392</v>
      </c>
      <c r="M31" s="17" t="str">
        <f t="shared" si="0"/>
        <v>HỢP LỆ</v>
      </c>
      <c r="N31" s="17" t="str">
        <f t="shared" si="1"/>
        <v/>
      </c>
    </row>
    <row r="32" spans="1:14" ht="15" customHeight="1">
      <c r="A32" s="16">
        <v>28</v>
      </c>
      <c r="B32" s="16" t="s">
        <v>444</v>
      </c>
      <c r="C32" s="16">
        <v>3</v>
      </c>
      <c r="D32" s="16" t="s">
        <v>208</v>
      </c>
      <c r="E32" s="16" t="s">
        <v>394</v>
      </c>
      <c r="F32" s="15"/>
      <c r="G32" s="15"/>
      <c r="H32" s="15" t="s">
        <v>224</v>
      </c>
      <c r="I32" s="15" t="s">
        <v>186</v>
      </c>
      <c r="J32" s="15" t="s">
        <v>445</v>
      </c>
      <c r="K32" s="15"/>
      <c r="L32" s="15" t="s">
        <v>392</v>
      </c>
      <c r="M32" s="17" t="str">
        <f t="shared" si="0"/>
        <v>HỢP LỆ</v>
      </c>
      <c r="N32" s="17" t="str">
        <f t="shared" si="1"/>
        <v/>
      </c>
    </row>
    <row r="33" spans="1:14" ht="26.45" customHeight="1">
      <c r="A33" s="16">
        <v>29</v>
      </c>
      <c r="B33" s="16" t="s">
        <v>446</v>
      </c>
      <c r="C33" s="16">
        <v>3</v>
      </c>
      <c r="D33" s="16" t="s">
        <v>198</v>
      </c>
      <c r="E33" s="16"/>
      <c r="F33" s="15"/>
      <c r="G33" s="15"/>
      <c r="H33" s="15" t="s">
        <v>201</v>
      </c>
      <c r="I33" s="15" t="s">
        <v>196</v>
      </c>
      <c r="J33" s="15" t="s">
        <v>447</v>
      </c>
      <c r="K33" s="15"/>
      <c r="L33" s="15"/>
      <c r="M33" s="17" t="str">
        <f t="shared" si="0"/>
        <v>HỢP LỆ</v>
      </c>
      <c r="N33" s="17" t="str">
        <f t="shared" si="1"/>
        <v/>
      </c>
    </row>
    <row r="34" spans="1:14" ht="15" customHeight="1">
      <c r="A34" s="16">
        <v>30</v>
      </c>
      <c r="B34" s="16" t="s">
        <v>448</v>
      </c>
      <c r="C34" s="16">
        <v>3</v>
      </c>
      <c r="D34" s="16" t="s">
        <v>216</v>
      </c>
      <c r="E34" s="16"/>
      <c r="F34" s="15"/>
      <c r="G34" s="15"/>
      <c r="H34" s="15"/>
      <c r="I34" s="15"/>
      <c r="J34" s="15"/>
      <c r="K34" s="15" t="s">
        <v>449</v>
      </c>
      <c r="L34" s="15" t="s">
        <v>450</v>
      </c>
      <c r="M34" s="17" t="str">
        <f t="shared" si="0"/>
        <v>HỢP LỆ</v>
      </c>
      <c r="N34" s="17" t="str">
        <f t="shared" si="1"/>
        <v/>
      </c>
    </row>
    <row r="35" spans="1:14" ht="15" customHeight="1">
      <c r="A35" s="16">
        <v>31</v>
      </c>
      <c r="B35" s="16" t="s">
        <v>451</v>
      </c>
      <c r="C35" s="16"/>
      <c r="D35" s="16" t="s">
        <v>221</v>
      </c>
      <c r="E35" s="16"/>
      <c r="F35" s="15"/>
      <c r="G35" s="15"/>
      <c r="H35" s="15"/>
      <c r="I35" s="15"/>
      <c r="J35" s="15"/>
      <c r="K35" s="15"/>
      <c r="L35" s="15" t="s">
        <v>452</v>
      </c>
      <c r="M35" s="17" t="str">
        <f t="shared" si="0"/>
        <v>HỢP LỆ</v>
      </c>
      <c r="N35" s="17" t="str">
        <f t="shared" si="1"/>
        <v/>
      </c>
    </row>
    <row r="36" spans="1:14">
      <c r="A36" s="13"/>
      <c r="B36" s="13"/>
      <c r="C36" s="13"/>
      <c r="D36" s="13"/>
      <c r="E36" s="13"/>
      <c r="F36" s="5"/>
      <c r="G36" s="5"/>
      <c r="H36" s="5"/>
      <c r="I36" s="5"/>
      <c r="J36" s="5"/>
      <c r="K36" s="5"/>
      <c r="L36" s="5"/>
      <c r="M36" s="6" t="str">
        <f t="shared" si="0"/>
        <v/>
      </c>
      <c r="N36" s="6" t="str">
        <f t="shared" si="1"/>
        <v/>
      </c>
    </row>
    <row r="37" spans="1:14">
      <c r="A37" s="13"/>
      <c r="B37" s="13"/>
      <c r="C37" s="13"/>
      <c r="D37" s="13"/>
      <c r="E37" s="13"/>
      <c r="F37" s="5"/>
      <c r="G37" s="5"/>
      <c r="H37" s="5"/>
      <c r="I37" s="5"/>
      <c r="J37" s="5"/>
      <c r="K37" s="5"/>
      <c r="L37" s="5"/>
      <c r="M37" s="6" t="str">
        <f t="shared" ref="M37:M68" si="2">IF(A37="","",IF(N37="","HỢP LỆ","CẦN SỬA"))</f>
        <v/>
      </c>
      <c r="N37" s="6" t="str">
        <f t="shared" ref="N37:N68" si="3">IF(A37="","",IF(B37="","Thiếu NodeId",IF(D37="","Thiếu NodeType",IF(COUNTIF($B$5:$B$204,B37)&gt;1,"NodeId bị trùng",IF(COUNTIF($A$5:$A$204,A37)&gt;1,"NodeOrder bị trùng",IF(AND(D37="scene",OR(C37="",F37="",G37="")),"scene cần ActNo, Background, SceneName",IF(AND(D37="say",OR(H37="",J37="")),"say cần SpeakerKey và Text",IF(AND(D37="choice",OR(E37="",H37="",I37="",J37="")),"choice cần ChoiceMode, SpeakerKey, Mood, Question",IF(AND(D37="act",K37=""),"act cần số La Mã",IF(AND(D37="end",COUNTIF($D$5:$D$204,"end")&lt;&gt;1),"Phải có đúng 1 node end",""))))))))))</f>
        <v/>
      </c>
    </row>
    <row r="38" spans="1:14">
      <c r="A38" s="13"/>
      <c r="B38" s="13"/>
      <c r="C38" s="13"/>
      <c r="D38" s="13"/>
      <c r="E38" s="13"/>
      <c r="F38" s="5"/>
      <c r="G38" s="5"/>
      <c r="H38" s="5"/>
      <c r="I38" s="5"/>
      <c r="J38" s="5"/>
      <c r="K38" s="5"/>
      <c r="L38" s="5"/>
      <c r="M38" s="6" t="str">
        <f t="shared" si="2"/>
        <v/>
      </c>
      <c r="N38" s="6" t="str">
        <f t="shared" si="3"/>
        <v/>
      </c>
    </row>
    <row r="39" spans="1:14">
      <c r="A39" s="13"/>
      <c r="B39" s="13"/>
      <c r="C39" s="13"/>
      <c r="D39" s="13"/>
      <c r="E39" s="13"/>
      <c r="F39" s="5"/>
      <c r="G39" s="5"/>
      <c r="H39" s="5"/>
      <c r="I39" s="5"/>
      <c r="J39" s="5"/>
      <c r="K39" s="5"/>
      <c r="L39" s="5"/>
      <c r="M39" s="6" t="str">
        <f t="shared" si="2"/>
        <v/>
      </c>
      <c r="N39" s="6" t="str">
        <f t="shared" si="3"/>
        <v/>
      </c>
    </row>
    <row r="40" spans="1:14">
      <c r="A40" s="13"/>
      <c r="B40" s="13"/>
      <c r="C40" s="13"/>
      <c r="D40" s="13"/>
      <c r="E40" s="13"/>
      <c r="F40" s="5"/>
      <c r="G40" s="5"/>
      <c r="H40" s="5"/>
      <c r="I40" s="5"/>
      <c r="J40" s="5"/>
      <c r="K40" s="5"/>
      <c r="L40" s="5"/>
      <c r="M40" s="6" t="str">
        <f t="shared" si="2"/>
        <v/>
      </c>
      <c r="N40" s="6" t="str">
        <f t="shared" si="3"/>
        <v/>
      </c>
    </row>
    <row r="41" spans="1:14">
      <c r="A41" s="13"/>
      <c r="B41" s="13"/>
      <c r="C41" s="13"/>
      <c r="D41" s="13"/>
      <c r="E41" s="13"/>
      <c r="F41" s="5"/>
      <c r="G41" s="5"/>
      <c r="H41" s="5"/>
      <c r="I41" s="5"/>
      <c r="J41" s="5"/>
      <c r="K41" s="5"/>
      <c r="L41" s="5"/>
      <c r="M41" s="6" t="str">
        <f t="shared" si="2"/>
        <v/>
      </c>
      <c r="N41" s="6" t="str">
        <f t="shared" si="3"/>
        <v/>
      </c>
    </row>
    <row r="42" spans="1:14">
      <c r="A42" s="13"/>
      <c r="B42" s="13"/>
      <c r="C42" s="13"/>
      <c r="D42" s="13"/>
      <c r="E42" s="13"/>
      <c r="F42" s="5"/>
      <c r="G42" s="5"/>
      <c r="H42" s="5"/>
      <c r="I42" s="5"/>
      <c r="J42" s="5"/>
      <c r="K42" s="5"/>
      <c r="L42" s="5"/>
      <c r="M42" s="6" t="str">
        <f t="shared" si="2"/>
        <v/>
      </c>
      <c r="N42" s="6" t="str">
        <f t="shared" si="3"/>
        <v/>
      </c>
    </row>
    <row r="43" spans="1:14">
      <c r="A43" s="13"/>
      <c r="B43" s="13"/>
      <c r="C43" s="13"/>
      <c r="D43" s="13"/>
      <c r="E43" s="13"/>
      <c r="F43" s="5"/>
      <c r="G43" s="5"/>
      <c r="H43" s="5"/>
      <c r="I43" s="5"/>
      <c r="J43" s="5"/>
      <c r="K43" s="5"/>
      <c r="L43" s="5"/>
      <c r="M43" s="6" t="str">
        <f t="shared" si="2"/>
        <v/>
      </c>
      <c r="N43" s="6" t="str">
        <f t="shared" si="3"/>
        <v/>
      </c>
    </row>
    <row r="44" spans="1:14">
      <c r="A44" s="13"/>
      <c r="B44" s="13"/>
      <c r="C44" s="13"/>
      <c r="D44" s="13"/>
      <c r="E44" s="13"/>
      <c r="F44" s="5"/>
      <c r="G44" s="5"/>
      <c r="H44" s="5"/>
      <c r="I44" s="5"/>
      <c r="J44" s="5"/>
      <c r="K44" s="5"/>
      <c r="L44" s="5"/>
      <c r="M44" s="6" t="str">
        <f t="shared" si="2"/>
        <v/>
      </c>
      <c r="N44" s="6" t="str">
        <f t="shared" si="3"/>
        <v/>
      </c>
    </row>
    <row r="45" spans="1:14">
      <c r="A45" s="13"/>
      <c r="B45" s="13"/>
      <c r="C45" s="13"/>
      <c r="D45" s="13"/>
      <c r="E45" s="13"/>
      <c r="F45" s="5"/>
      <c r="G45" s="5"/>
      <c r="H45" s="5"/>
      <c r="I45" s="5"/>
      <c r="J45" s="5"/>
      <c r="K45" s="5"/>
      <c r="L45" s="5"/>
      <c r="M45" s="6" t="str">
        <f t="shared" si="2"/>
        <v/>
      </c>
      <c r="N45" s="6" t="str">
        <f t="shared" si="3"/>
        <v/>
      </c>
    </row>
    <row r="46" spans="1:14">
      <c r="A46" s="13"/>
      <c r="B46" s="13"/>
      <c r="C46" s="13"/>
      <c r="D46" s="13"/>
      <c r="E46" s="13"/>
      <c r="F46" s="5"/>
      <c r="G46" s="5"/>
      <c r="H46" s="5"/>
      <c r="I46" s="5"/>
      <c r="J46" s="5"/>
      <c r="K46" s="5"/>
      <c r="L46" s="5"/>
      <c r="M46" s="6" t="str">
        <f t="shared" si="2"/>
        <v/>
      </c>
      <c r="N46" s="6" t="str">
        <f t="shared" si="3"/>
        <v/>
      </c>
    </row>
    <row r="47" spans="1:14">
      <c r="A47" s="13"/>
      <c r="B47" s="13"/>
      <c r="C47" s="13"/>
      <c r="D47" s="13"/>
      <c r="E47" s="13"/>
      <c r="F47" s="5"/>
      <c r="G47" s="5"/>
      <c r="H47" s="5"/>
      <c r="I47" s="5"/>
      <c r="J47" s="5"/>
      <c r="K47" s="5"/>
      <c r="L47" s="5"/>
      <c r="M47" s="6" t="str">
        <f t="shared" si="2"/>
        <v/>
      </c>
      <c r="N47" s="6" t="str">
        <f t="shared" si="3"/>
        <v/>
      </c>
    </row>
    <row r="48" spans="1:14">
      <c r="A48" s="13"/>
      <c r="B48" s="13"/>
      <c r="C48" s="13"/>
      <c r="D48" s="13"/>
      <c r="E48" s="13"/>
      <c r="F48" s="5"/>
      <c r="G48" s="5"/>
      <c r="H48" s="5"/>
      <c r="I48" s="5"/>
      <c r="J48" s="5"/>
      <c r="K48" s="5"/>
      <c r="L48" s="5"/>
      <c r="M48" s="6" t="str">
        <f t="shared" si="2"/>
        <v/>
      </c>
      <c r="N48" s="6" t="str">
        <f t="shared" si="3"/>
        <v/>
      </c>
    </row>
    <row r="49" spans="1:14">
      <c r="A49" s="13"/>
      <c r="B49" s="13"/>
      <c r="C49" s="13"/>
      <c r="D49" s="13"/>
      <c r="E49" s="13"/>
      <c r="F49" s="5"/>
      <c r="G49" s="5"/>
      <c r="H49" s="5"/>
      <c r="I49" s="5"/>
      <c r="J49" s="5"/>
      <c r="K49" s="5"/>
      <c r="L49" s="5"/>
      <c r="M49" s="6" t="str">
        <f t="shared" si="2"/>
        <v/>
      </c>
      <c r="N49" s="6" t="str">
        <f t="shared" si="3"/>
        <v/>
      </c>
    </row>
    <row r="50" spans="1:14">
      <c r="A50" s="13"/>
      <c r="B50" s="13"/>
      <c r="C50" s="13"/>
      <c r="D50" s="13"/>
      <c r="E50" s="13"/>
      <c r="F50" s="5"/>
      <c r="G50" s="5"/>
      <c r="H50" s="5"/>
      <c r="I50" s="5"/>
      <c r="J50" s="5"/>
      <c r="K50" s="5"/>
      <c r="L50" s="5"/>
      <c r="M50" s="6" t="str">
        <f t="shared" si="2"/>
        <v/>
      </c>
      <c r="N50" s="6" t="str">
        <f t="shared" si="3"/>
        <v/>
      </c>
    </row>
    <row r="51" spans="1:14">
      <c r="A51" s="13"/>
      <c r="B51" s="13"/>
      <c r="C51" s="13"/>
      <c r="D51" s="13"/>
      <c r="E51" s="13"/>
      <c r="F51" s="5"/>
      <c r="G51" s="5"/>
      <c r="H51" s="5"/>
      <c r="I51" s="5"/>
      <c r="J51" s="5"/>
      <c r="K51" s="5"/>
      <c r="L51" s="5"/>
      <c r="M51" s="6" t="str">
        <f t="shared" si="2"/>
        <v/>
      </c>
      <c r="N51" s="6" t="str">
        <f t="shared" si="3"/>
        <v/>
      </c>
    </row>
    <row r="52" spans="1:14">
      <c r="A52" s="13"/>
      <c r="B52" s="13"/>
      <c r="C52" s="13"/>
      <c r="D52" s="13"/>
      <c r="E52" s="13"/>
      <c r="F52" s="5"/>
      <c r="G52" s="5"/>
      <c r="H52" s="5"/>
      <c r="I52" s="5"/>
      <c r="J52" s="5"/>
      <c r="K52" s="5"/>
      <c r="L52" s="5"/>
      <c r="M52" s="6" t="str">
        <f t="shared" si="2"/>
        <v/>
      </c>
      <c r="N52" s="6" t="str">
        <f t="shared" si="3"/>
        <v/>
      </c>
    </row>
    <row r="53" spans="1:14">
      <c r="A53" s="13"/>
      <c r="B53" s="13"/>
      <c r="C53" s="13"/>
      <c r="D53" s="13"/>
      <c r="E53" s="13"/>
      <c r="F53" s="5"/>
      <c r="G53" s="5"/>
      <c r="H53" s="5"/>
      <c r="I53" s="5"/>
      <c r="J53" s="5"/>
      <c r="K53" s="5"/>
      <c r="L53" s="5"/>
      <c r="M53" s="6" t="str">
        <f t="shared" si="2"/>
        <v/>
      </c>
      <c r="N53" s="6" t="str">
        <f t="shared" si="3"/>
        <v/>
      </c>
    </row>
    <row r="54" spans="1:14">
      <c r="A54" s="13"/>
      <c r="B54" s="13"/>
      <c r="C54" s="13"/>
      <c r="D54" s="13"/>
      <c r="E54" s="13"/>
      <c r="F54" s="5"/>
      <c r="G54" s="5"/>
      <c r="H54" s="5"/>
      <c r="I54" s="5"/>
      <c r="J54" s="5"/>
      <c r="K54" s="5"/>
      <c r="L54" s="5"/>
      <c r="M54" s="6" t="str">
        <f t="shared" si="2"/>
        <v/>
      </c>
      <c r="N54" s="6" t="str">
        <f t="shared" si="3"/>
        <v/>
      </c>
    </row>
    <row r="55" spans="1:14">
      <c r="A55" s="13"/>
      <c r="B55" s="13"/>
      <c r="C55" s="13"/>
      <c r="D55" s="13"/>
      <c r="E55" s="13"/>
      <c r="F55" s="5"/>
      <c r="G55" s="5"/>
      <c r="H55" s="5"/>
      <c r="I55" s="5"/>
      <c r="J55" s="5"/>
      <c r="K55" s="5"/>
      <c r="L55" s="5"/>
      <c r="M55" s="6" t="str">
        <f t="shared" si="2"/>
        <v/>
      </c>
      <c r="N55" s="6" t="str">
        <f t="shared" si="3"/>
        <v/>
      </c>
    </row>
    <row r="56" spans="1:14">
      <c r="A56" s="13"/>
      <c r="B56" s="13"/>
      <c r="C56" s="13"/>
      <c r="D56" s="13"/>
      <c r="E56" s="13"/>
      <c r="F56" s="5"/>
      <c r="G56" s="5"/>
      <c r="H56" s="5"/>
      <c r="I56" s="5"/>
      <c r="J56" s="5"/>
      <c r="K56" s="5"/>
      <c r="L56" s="5"/>
      <c r="M56" s="6" t="str">
        <f t="shared" si="2"/>
        <v/>
      </c>
      <c r="N56" s="6" t="str">
        <f t="shared" si="3"/>
        <v/>
      </c>
    </row>
    <row r="57" spans="1:14">
      <c r="A57" s="13"/>
      <c r="B57" s="13"/>
      <c r="C57" s="13"/>
      <c r="D57" s="13"/>
      <c r="E57" s="13"/>
      <c r="F57" s="5"/>
      <c r="G57" s="5"/>
      <c r="H57" s="5"/>
      <c r="I57" s="5"/>
      <c r="J57" s="5"/>
      <c r="K57" s="5"/>
      <c r="L57" s="5"/>
      <c r="M57" s="6" t="str">
        <f t="shared" si="2"/>
        <v/>
      </c>
      <c r="N57" s="6" t="str">
        <f t="shared" si="3"/>
        <v/>
      </c>
    </row>
    <row r="58" spans="1:14">
      <c r="A58" s="13"/>
      <c r="B58" s="13"/>
      <c r="C58" s="13"/>
      <c r="D58" s="13"/>
      <c r="E58" s="13"/>
      <c r="F58" s="5"/>
      <c r="G58" s="5"/>
      <c r="H58" s="5"/>
      <c r="I58" s="5"/>
      <c r="J58" s="5"/>
      <c r="K58" s="5"/>
      <c r="L58" s="5"/>
      <c r="M58" s="6" t="str">
        <f t="shared" si="2"/>
        <v/>
      </c>
      <c r="N58" s="6" t="str">
        <f t="shared" si="3"/>
        <v/>
      </c>
    </row>
    <row r="59" spans="1:14">
      <c r="A59" s="13"/>
      <c r="B59" s="13"/>
      <c r="C59" s="13"/>
      <c r="D59" s="13"/>
      <c r="E59" s="13"/>
      <c r="F59" s="5"/>
      <c r="G59" s="5"/>
      <c r="H59" s="5"/>
      <c r="I59" s="5"/>
      <c r="J59" s="5"/>
      <c r="K59" s="5"/>
      <c r="L59" s="5"/>
      <c r="M59" s="6" t="str">
        <f t="shared" si="2"/>
        <v/>
      </c>
      <c r="N59" s="6" t="str">
        <f t="shared" si="3"/>
        <v/>
      </c>
    </row>
    <row r="60" spans="1:14">
      <c r="A60" s="13"/>
      <c r="B60" s="13"/>
      <c r="C60" s="13"/>
      <c r="D60" s="13"/>
      <c r="E60" s="13"/>
      <c r="F60" s="5"/>
      <c r="G60" s="5"/>
      <c r="H60" s="5"/>
      <c r="I60" s="5"/>
      <c r="J60" s="5"/>
      <c r="K60" s="5"/>
      <c r="L60" s="5"/>
      <c r="M60" s="6" t="str">
        <f t="shared" si="2"/>
        <v/>
      </c>
      <c r="N60" s="6" t="str">
        <f t="shared" si="3"/>
        <v/>
      </c>
    </row>
    <row r="61" spans="1:14">
      <c r="A61" s="13"/>
      <c r="B61" s="13"/>
      <c r="C61" s="13"/>
      <c r="D61" s="13"/>
      <c r="E61" s="13"/>
      <c r="F61" s="5"/>
      <c r="G61" s="5"/>
      <c r="H61" s="5"/>
      <c r="I61" s="5"/>
      <c r="J61" s="5"/>
      <c r="K61" s="5"/>
      <c r="L61" s="5"/>
      <c r="M61" s="6" t="str">
        <f t="shared" si="2"/>
        <v/>
      </c>
      <c r="N61" s="6" t="str">
        <f t="shared" si="3"/>
        <v/>
      </c>
    </row>
    <row r="62" spans="1:14">
      <c r="A62" s="13"/>
      <c r="B62" s="13"/>
      <c r="C62" s="13"/>
      <c r="D62" s="13"/>
      <c r="E62" s="13"/>
      <c r="F62" s="5"/>
      <c r="G62" s="5"/>
      <c r="H62" s="5"/>
      <c r="I62" s="5"/>
      <c r="J62" s="5"/>
      <c r="K62" s="5"/>
      <c r="L62" s="5"/>
      <c r="M62" s="6" t="str">
        <f t="shared" si="2"/>
        <v/>
      </c>
      <c r="N62" s="6" t="str">
        <f t="shared" si="3"/>
        <v/>
      </c>
    </row>
    <row r="63" spans="1:14">
      <c r="A63" s="13"/>
      <c r="B63" s="13"/>
      <c r="C63" s="13"/>
      <c r="D63" s="13"/>
      <c r="E63" s="13"/>
      <c r="F63" s="5"/>
      <c r="G63" s="5"/>
      <c r="H63" s="5"/>
      <c r="I63" s="5"/>
      <c r="J63" s="5"/>
      <c r="K63" s="5"/>
      <c r="L63" s="5"/>
      <c r="M63" s="6" t="str">
        <f t="shared" si="2"/>
        <v/>
      </c>
      <c r="N63" s="6" t="str">
        <f t="shared" si="3"/>
        <v/>
      </c>
    </row>
    <row r="64" spans="1:14">
      <c r="A64" s="13"/>
      <c r="B64" s="13"/>
      <c r="C64" s="13"/>
      <c r="D64" s="13"/>
      <c r="E64" s="13"/>
      <c r="F64" s="5"/>
      <c r="G64" s="5"/>
      <c r="H64" s="5"/>
      <c r="I64" s="5"/>
      <c r="J64" s="5"/>
      <c r="K64" s="5"/>
      <c r="L64" s="5"/>
      <c r="M64" s="6" t="str">
        <f t="shared" si="2"/>
        <v/>
      </c>
      <c r="N64" s="6" t="str">
        <f t="shared" si="3"/>
        <v/>
      </c>
    </row>
    <row r="65" spans="1:14">
      <c r="A65" s="13"/>
      <c r="B65" s="13"/>
      <c r="C65" s="13"/>
      <c r="D65" s="13"/>
      <c r="E65" s="13"/>
      <c r="F65" s="5"/>
      <c r="G65" s="5"/>
      <c r="H65" s="5"/>
      <c r="I65" s="5"/>
      <c r="J65" s="5"/>
      <c r="K65" s="5"/>
      <c r="L65" s="5"/>
      <c r="M65" s="6" t="str">
        <f t="shared" si="2"/>
        <v/>
      </c>
      <c r="N65" s="6" t="str">
        <f t="shared" si="3"/>
        <v/>
      </c>
    </row>
    <row r="66" spans="1:14">
      <c r="A66" s="13"/>
      <c r="B66" s="13"/>
      <c r="C66" s="13"/>
      <c r="D66" s="13"/>
      <c r="E66" s="13"/>
      <c r="F66" s="5"/>
      <c r="G66" s="5"/>
      <c r="H66" s="5"/>
      <c r="I66" s="5"/>
      <c r="J66" s="5"/>
      <c r="K66" s="5"/>
      <c r="L66" s="5"/>
      <c r="M66" s="6" t="str">
        <f t="shared" si="2"/>
        <v/>
      </c>
      <c r="N66" s="6" t="str">
        <f t="shared" si="3"/>
        <v/>
      </c>
    </row>
    <row r="67" spans="1:14">
      <c r="A67" s="13"/>
      <c r="B67" s="13"/>
      <c r="C67" s="13"/>
      <c r="D67" s="13"/>
      <c r="E67" s="13"/>
      <c r="F67" s="5"/>
      <c r="G67" s="5"/>
      <c r="H67" s="5"/>
      <c r="I67" s="5"/>
      <c r="J67" s="5"/>
      <c r="K67" s="5"/>
      <c r="L67" s="5"/>
      <c r="M67" s="6" t="str">
        <f t="shared" si="2"/>
        <v/>
      </c>
      <c r="N67" s="6" t="str">
        <f t="shared" si="3"/>
        <v/>
      </c>
    </row>
    <row r="68" spans="1:14">
      <c r="A68" s="13"/>
      <c r="B68" s="13"/>
      <c r="C68" s="13"/>
      <c r="D68" s="13"/>
      <c r="E68" s="13"/>
      <c r="F68" s="5"/>
      <c r="G68" s="5"/>
      <c r="H68" s="5"/>
      <c r="I68" s="5"/>
      <c r="J68" s="5"/>
      <c r="K68" s="5"/>
      <c r="L68" s="5"/>
      <c r="M68" s="6" t="str">
        <f t="shared" si="2"/>
        <v/>
      </c>
      <c r="N68" s="6" t="str">
        <f t="shared" si="3"/>
        <v/>
      </c>
    </row>
    <row r="69" spans="1:14">
      <c r="A69" s="13"/>
      <c r="B69" s="13"/>
      <c r="C69" s="13"/>
      <c r="D69" s="13"/>
      <c r="E69" s="13"/>
      <c r="F69" s="5"/>
      <c r="G69" s="5"/>
      <c r="H69" s="5"/>
      <c r="I69" s="5"/>
      <c r="J69" s="5"/>
      <c r="K69" s="5"/>
      <c r="L69" s="5"/>
      <c r="M69" s="6" t="str">
        <f t="shared" ref="M69:M100" si="4">IF(A69="","",IF(N69="","HỢP LỆ","CẦN SỬA"))</f>
        <v/>
      </c>
      <c r="N69" s="6" t="str">
        <f t="shared" ref="N69:N100" si="5">IF(A69="","",IF(B69="","Thiếu NodeId",IF(D69="","Thiếu NodeType",IF(COUNTIF($B$5:$B$204,B69)&gt;1,"NodeId bị trùng",IF(COUNTIF($A$5:$A$204,A69)&gt;1,"NodeOrder bị trùng",IF(AND(D69="scene",OR(C69="",F69="",G69="")),"scene cần ActNo, Background, SceneName",IF(AND(D69="say",OR(H69="",J69="")),"say cần SpeakerKey và Text",IF(AND(D69="choice",OR(E69="",H69="",I69="",J69="")),"choice cần ChoiceMode, SpeakerKey, Mood, Question",IF(AND(D69="act",K69=""),"act cần số La Mã",IF(AND(D69="end",COUNTIF($D$5:$D$204,"end")&lt;&gt;1),"Phải có đúng 1 node end",""))))))))))</f>
        <v/>
      </c>
    </row>
    <row r="70" spans="1:14">
      <c r="A70" s="13"/>
      <c r="B70" s="13"/>
      <c r="C70" s="13"/>
      <c r="D70" s="13"/>
      <c r="E70" s="13"/>
      <c r="F70" s="5"/>
      <c r="G70" s="5"/>
      <c r="H70" s="5"/>
      <c r="I70" s="5"/>
      <c r="J70" s="5"/>
      <c r="K70" s="5"/>
      <c r="L70" s="5"/>
      <c r="M70" s="6" t="str">
        <f t="shared" si="4"/>
        <v/>
      </c>
      <c r="N70" s="6" t="str">
        <f t="shared" si="5"/>
        <v/>
      </c>
    </row>
    <row r="71" spans="1:14">
      <c r="A71" s="13"/>
      <c r="B71" s="13"/>
      <c r="C71" s="13"/>
      <c r="D71" s="13"/>
      <c r="E71" s="13"/>
      <c r="F71" s="5"/>
      <c r="G71" s="5"/>
      <c r="H71" s="5"/>
      <c r="I71" s="5"/>
      <c r="J71" s="5"/>
      <c r="K71" s="5"/>
      <c r="L71" s="5"/>
      <c r="M71" s="6" t="str">
        <f t="shared" si="4"/>
        <v/>
      </c>
      <c r="N71" s="6" t="str">
        <f t="shared" si="5"/>
        <v/>
      </c>
    </row>
    <row r="72" spans="1:14">
      <c r="A72" s="13"/>
      <c r="B72" s="13"/>
      <c r="C72" s="13"/>
      <c r="D72" s="13"/>
      <c r="E72" s="13"/>
      <c r="F72" s="5"/>
      <c r="G72" s="5"/>
      <c r="H72" s="5"/>
      <c r="I72" s="5"/>
      <c r="J72" s="5"/>
      <c r="K72" s="5"/>
      <c r="L72" s="5"/>
      <c r="M72" s="6" t="str">
        <f t="shared" si="4"/>
        <v/>
      </c>
      <c r="N72" s="6" t="str">
        <f t="shared" si="5"/>
        <v/>
      </c>
    </row>
    <row r="73" spans="1:14">
      <c r="A73" s="13"/>
      <c r="B73" s="13"/>
      <c r="C73" s="13"/>
      <c r="D73" s="13"/>
      <c r="E73" s="13"/>
      <c r="F73" s="5"/>
      <c r="G73" s="5"/>
      <c r="H73" s="5"/>
      <c r="I73" s="5"/>
      <c r="J73" s="5"/>
      <c r="K73" s="5"/>
      <c r="L73" s="5"/>
      <c r="M73" s="6" t="str">
        <f t="shared" si="4"/>
        <v/>
      </c>
      <c r="N73" s="6" t="str">
        <f t="shared" si="5"/>
        <v/>
      </c>
    </row>
    <row r="74" spans="1:14">
      <c r="A74" s="13"/>
      <c r="B74" s="13"/>
      <c r="C74" s="13"/>
      <c r="D74" s="13"/>
      <c r="E74" s="13"/>
      <c r="F74" s="5"/>
      <c r="G74" s="5"/>
      <c r="H74" s="5"/>
      <c r="I74" s="5"/>
      <c r="J74" s="5"/>
      <c r="K74" s="5"/>
      <c r="L74" s="5"/>
      <c r="M74" s="6" t="str">
        <f t="shared" si="4"/>
        <v/>
      </c>
      <c r="N74" s="6" t="str">
        <f t="shared" si="5"/>
        <v/>
      </c>
    </row>
    <row r="75" spans="1:14">
      <c r="A75" s="13"/>
      <c r="B75" s="13"/>
      <c r="C75" s="13"/>
      <c r="D75" s="13"/>
      <c r="E75" s="13"/>
      <c r="F75" s="5"/>
      <c r="G75" s="5"/>
      <c r="H75" s="5"/>
      <c r="I75" s="5"/>
      <c r="J75" s="5"/>
      <c r="K75" s="5"/>
      <c r="L75" s="5"/>
      <c r="M75" s="6" t="str">
        <f t="shared" si="4"/>
        <v/>
      </c>
      <c r="N75" s="6" t="str">
        <f t="shared" si="5"/>
        <v/>
      </c>
    </row>
    <row r="76" spans="1:14">
      <c r="A76" s="13"/>
      <c r="B76" s="13"/>
      <c r="C76" s="13"/>
      <c r="D76" s="13"/>
      <c r="E76" s="13"/>
      <c r="F76" s="5"/>
      <c r="G76" s="5"/>
      <c r="H76" s="5"/>
      <c r="I76" s="5"/>
      <c r="J76" s="5"/>
      <c r="K76" s="5"/>
      <c r="L76" s="5"/>
      <c r="M76" s="6" t="str">
        <f t="shared" si="4"/>
        <v/>
      </c>
      <c r="N76" s="6" t="str">
        <f t="shared" si="5"/>
        <v/>
      </c>
    </row>
    <row r="77" spans="1:14">
      <c r="A77" s="13"/>
      <c r="B77" s="13"/>
      <c r="C77" s="13"/>
      <c r="D77" s="13"/>
      <c r="E77" s="13"/>
      <c r="F77" s="5"/>
      <c r="G77" s="5"/>
      <c r="H77" s="5"/>
      <c r="I77" s="5"/>
      <c r="J77" s="5"/>
      <c r="K77" s="5"/>
      <c r="L77" s="5"/>
      <c r="M77" s="6" t="str">
        <f t="shared" si="4"/>
        <v/>
      </c>
      <c r="N77" s="6" t="str">
        <f t="shared" si="5"/>
        <v/>
      </c>
    </row>
    <row r="78" spans="1:14">
      <c r="A78" s="13"/>
      <c r="B78" s="13"/>
      <c r="C78" s="13"/>
      <c r="D78" s="13"/>
      <c r="E78" s="13"/>
      <c r="F78" s="5"/>
      <c r="G78" s="5"/>
      <c r="H78" s="5"/>
      <c r="I78" s="5"/>
      <c r="J78" s="5"/>
      <c r="K78" s="5"/>
      <c r="L78" s="5"/>
      <c r="M78" s="6" t="str">
        <f t="shared" si="4"/>
        <v/>
      </c>
      <c r="N78" s="6" t="str">
        <f t="shared" si="5"/>
        <v/>
      </c>
    </row>
    <row r="79" spans="1:14">
      <c r="A79" s="13"/>
      <c r="B79" s="13"/>
      <c r="C79" s="13"/>
      <c r="D79" s="13"/>
      <c r="E79" s="13"/>
      <c r="F79" s="5"/>
      <c r="G79" s="5"/>
      <c r="H79" s="5"/>
      <c r="I79" s="5"/>
      <c r="J79" s="5"/>
      <c r="K79" s="5"/>
      <c r="L79" s="5"/>
      <c r="M79" s="6" t="str">
        <f t="shared" si="4"/>
        <v/>
      </c>
      <c r="N79" s="6" t="str">
        <f t="shared" si="5"/>
        <v/>
      </c>
    </row>
    <row r="80" spans="1:14">
      <c r="A80" s="13"/>
      <c r="B80" s="13"/>
      <c r="C80" s="13"/>
      <c r="D80" s="13"/>
      <c r="E80" s="13"/>
      <c r="F80" s="5"/>
      <c r="G80" s="5"/>
      <c r="H80" s="5"/>
      <c r="I80" s="5"/>
      <c r="J80" s="5"/>
      <c r="K80" s="5"/>
      <c r="L80" s="5"/>
      <c r="M80" s="6" t="str">
        <f t="shared" si="4"/>
        <v/>
      </c>
      <c r="N80" s="6" t="str">
        <f t="shared" si="5"/>
        <v/>
      </c>
    </row>
    <row r="81" spans="1:14">
      <c r="A81" s="13"/>
      <c r="B81" s="13"/>
      <c r="C81" s="13"/>
      <c r="D81" s="13"/>
      <c r="E81" s="13"/>
      <c r="F81" s="5"/>
      <c r="G81" s="5"/>
      <c r="H81" s="5"/>
      <c r="I81" s="5"/>
      <c r="J81" s="5"/>
      <c r="K81" s="5"/>
      <c r="L81" s="5"/>
      <c r="M81" s="6" t="str">
        <f t="shared" si="4"/>
        <v/>
      </c>
      <c r="N81" s="6" t="str">
        <f t="shared" si="5"/>
        <v/>
      </c>
    </row>
    <row r="82" spans="1:14">
      <c r="A82" s="13"/>
      <c r="B82" s="13"/>
      <c r="C82" s="13"/>
      <c r="D82" s="13"/>
      <c r="E82" s="13"/>
      <c r="F82" s="5"/>
      <c r="G82" s="5"/>
      <c r="H82" s="5"/>
      <c r="I82" s="5"/>
      <c r="J82" s="5"/>
      <c r="K82" s="5"/>
      <c r="L82" s="5"/>
      <c r="M82" s="6" t="str">
        <f t="shared" si="4"/>
        <v/>
      </c>
      <c r="N82" s="6" t="str">
        <f t="shared" si="5"/>
        <v/>
      </c>
    </row>
    <row r="83" spans="1:14">
      <c r="A83" s="13"/>
      <c r="B83" s="13"/>
      <c r="C83" s="13"/>
      <c r="D83" s="13"/>
      <c r="E83" s="13"/>
      <c r="F83" s="5"/>
      <c r="G83" s="5"/>
      <c r="H83" s="5"/>
      <c r="I83" s="5"/>
      <c r="J83" s="5"/>
      <c r="K83" s="5"/>
      <c r="L83" s="5"/>
      <c r="M83" s="6" t="str">
        <f t="shared" si="4"/>
        <v/>
      </c>
      <c r="N83" s="6" t="str">
        <f t="shared" si="5"/>
        <v/>
      </c>
    </row>
    <row r="84" spans="1:14">
      <c r="A84" s="13"/>
      <c r="B84" s="13"/>
      <c r="C84" s="13"/>
      <c r="D84" s="13"/>
      <c r="E84" s="13"/>
      <c r="F84" s="5"/>
      <c r="G84" s="5"/>
      <c r="H84" s="5"/>
      <c r="I84" s="5"/>
      <c r="J84" s="5"/>
      <c r="K84" s="5"/>
      <c r="L84" s="5"/>
      <c r="M84" s="6" t="str">
        <f t="shared" si="4"/>
        <v/>
      </c>
      <c r="N84" s="6" t="str">
        <f t="shared" si="5"/>
        <v/>
      </c>
    </row>
    <row r="85" spans="1:14">
      <c r="A85" s="13"/>
      <c r="B85" s="13"/>
      <c r="C85" s="13"/>
      <c r="D85" s="13"/>
      <c r="E85" s="13"/>
      <c r="F85" s="5"/>
      <c r="G85" s="5"/>
      <c r="H85" s="5"/>
      <c r="I85" s="5"/>
      <c r="J85" s="5"/>
      <c r="K85" s="5"/>
      <c r="L85" s="5"/>
      <c r="M85" s="6" t="str">
        <f t="shared" si="4"/>
        <v/>
      </c>
      <c r="N85" s="6" t="str">
        <f t="shared" si="5"/>
        <v/>
      </c>
    </row>
    <row r="86" spans="1:14">
      <c r="A86" s="13"/>
      <c r="B86" s="13"/>
      <c r="C86" s="13"/>
      <c r="D86" s="13"/>
      <c r="E86" s="13"/>
      <c r="F86" s="5"/>
      <c r="G86" s="5"/>
      <c r="H86" s="5"/>
      <c r="I86" s="5"/>
      <c r="J86" s="5"/>
      <c r="K86" s="5"/>
      <c r="L86" s="5"/>
      <c r="M86" s="6" t="str">
        <f t="shared" si="4"/>
        <v/>
      </c>
      <c r="N86" s="6" t="str">
        <f t="shared" si="5"/>
        <v/>
      </c>
    </row>
    <row r="87" spans="1:14">
      <c r="A87" s="13"/>
      <c r="B87" s="13"/>
      <c r="C87" s="13"/>
      <c r="D87" s="13"/>
      <c r="E87" s="13"/>
      <c r="F87" s="5"/>
      <c r="G87" s="5"/>
      <c r="H87" s="5"/>
      <c r="I87" s="5"/>
      <c r="J87" s="5"/>
      <c r="K87" s="5"/>
      <c r="L87" s="5"/>
      <c r="M87" s="6" t="str">
        <f t="shared" si="4"/>
        <v/>
      </c>
      <c r="N87" s="6" t="str">
        <f t="shared" si="5"/>
        <v/>
      </c>
    </row>
    <row r="88" spans="1:14">
      <c r="A88" s="13"/>
      <c r="B88" s="13"/>
      <c r="C88" s="13"/>
      <c r="D88" s="13"/>
      <c r="E88" s="13"/>
      <c r="F88" s="5"/>
      <c r="G88" s="5"/>
      <c r="H88" s="5"/>
      <c r="I88" s="5"/>
      <c r="J88" s="5"/>
      <c r="K88" s="5"/>
      <c r="L88" s="5"/>
      <c r="M88" s="6" t="str">
        <f t="shared" si="4"/>
        <v/>
      </c>
      <c r="N88" s="6" t="str">
        <f t="shared" si="5"/>
        <v/>
      </c>
    </row>
    <row r="89" spans="1:14">
      <c r="A89" s="13"/>
      <c r="B89" s="13"/>
      <c r="C89" s="13"/>
      <c r="D89" s="13"/>
      <c r="E89" s="13"/>
      <c r="F89" s="5"/>
      <c r="G89" s="5"/>
      <c r="H89" s="5"/>
      <c r="I89" s="5"/>
      <c r="J89" s="5"/>
      <c r="K89" s="5"/>
      <c r="L89" s="5"/>
      <c r="M89" s="6" t="str">
        <f t="shared" si="4"/>
        <v/>
      </c>
      <c r="N89" s="6" t="str">
        <f t="shared" si="5"/>
        <v/>
      </c>
    </row>
    <row r="90" spans="1:14">
      <c r="A90" s="13"/>
      <c r="B90" s="13"/>
      <c r="C90" s="13"/>
      <c r="D90" s="13"/>
      <c r="E90" s="13"/>
      <c r="F90" s="5"/>
      <c r="G90" s="5"/>
      <c r="H90" s="5"/>
      <c r="I90" s="5"/>
      <c r="J90" s="5"/>
      <c r="K90" s="5"/>
      <c r="L90" s="5"/>
      <c r="M90" s="6" t="str">
        <f t="shared" si="4"/>
        <v/>
      </c>
      <c r="N90" s="6" t="str">
        <f t="shared" si="5"/>
        <v/>
      </c>
    </row>
    <row r="91" spans="1:14">
      <c r="A91" s="13"/>
      <c r="B91" s="13"/>
      <c r="C91" s="13"/>
      <c r="D91" s="13"/>
      <c r="E91" s="13"/>
      <c r="F91" s="5"/>
      <c r="G91" s="5"/>
      <c r="H91" s="5"/>
      <c r="I91" s="5"/>
      <c r="J91" s="5"/>
      <c r="K91" s="5"/>
      <c r="L91" s="5"/>
      <c r="M91" s="6" t="str">
        <f t="shared" si="4"/>
        <v/>
      </c>
      <c r="N91" s="6" t="str">
        <f t="shared" si="5"/>
        <v/>
      </c>
    </row>
    <row r="92" spans="1:14">
      <c r="A92" s="13"/>
      <c r="B92" s="13"/>
      <c r="C92" s="13"/>
      <c r="D92" s="13"/>
      <c r="E92" s="13"/>
      <c r="F92" s="5"/>
      <c r="G92" s="5"/>
      <c r="H92" s="5"/>
      <c r="I92" s="5"/>
      <c r="J92" s="5"/>
      <c r="K92" s="5"/>
      <c r="L92" s="5"/>
      <c r="M92" s="6" t="str">
        <f t="shared" si="4"/>
        <v/>
      </c>
      <c r="N92" s="6" t="str">
        <f t="shared" si="5"/>
        <v/>
      </c>
    </row>
    <row r="93" spans="1:14">
      <c r="A93" s="13"/>
      <c r="B93" s="13"/>
      <c r="C93" s="13"/>
      <c r="D93" s="13"/>
      <c r="E93" s="13"/>
      <c r="F93" s="5"/>
      <c r="G93" s="5"/>
      <c r="H93" s="5"/>
      <c r="I93" s="5"/>
      <c r="J93" s="5"/>
      <c r="K93" s="5"/>
      <c r="L93" s="5"/>
      <c r="M93" s="6" t="str">
        <f t="shared" si="4"/>
        <v/>
      </c>
      <c r="N93" s="6" t="str">
        <f t="shared" si="5"/>
        <v/>
      </c>
    </row>
    <row r="94" spans="1:14">
      <c r="A94" s="13"/>
      <c r="B94" s="13"/>
      <c r="C94" s="13"/>
      <c r="D94" s="13"/>
      <c r="E94" s="13"/>
      <c r="F94" s="5"/>
      <c r="G94" s="5"/>
      <c r="H94" s="5"/>
      <c r="I94" s="5"/>
      <c r="J94" s="5"/>
      <c r="K94" s="5"/>
      <c r="L94" s="5"/>
      <c r="M94" s="6" t="str">
        <f t="shared" si="4"/>
        <v/>
      </c>
      <c r="N94" s="6" t="str">
        <f t="shared" si="5"/>
        <v/>
      </c>
    </row>
    <row r="95" spans="1:14">
      <c r="A95" s="13"/>
      <c r="B95" s="13"/>
      <c r="C95" s="13"/>
      <c r="D95" s="13"/>
      <c r="E95" s="13"/>
      <c r="F95" s="5"/>
      <c r="G95" s="5"/>
      <c r="H95" s="5"/>
      <c r="I95" s="5"/>
      <c r="J95" s="5"/>
      <c r="K95" s="5"/>
      <c r="L95" s="5"/>
      <c r="M95" s="6" t="str">
        <f t="shared" si="4"/>
        <v/>
      </c>
      <c r="N95" s="6" t="str">
        <f t="shared" si="5"/>
        <v/>
      </c>
    </row>
    <row r="96" spans="1:14">
      <c r="A96" s="13"/>
      <c r="B96" s="13"/>
      <c r="C96" s="13"/>
      <c r="D96" s="13"/>
      <c r="E96" s="13"/>
      <c r="F96" s="5"/>
      <c r="G96" s="5"/>
      <c r="H96" s="5"/>
      <c r="I96" s="5"/>
      <c r="J96" s="5"/>
      <c r="K96" s="5"/>
      <c r="L96" s="5"/>
      <c r="M96" s="6" t="str">
        <f t="shared" si="4"/>
        <v/>
      </c>
      <c r="N96" s="6" t="str">
        <f t="shared" si="5"/>
        <v/>
      </c>
    </row>
    <row r="97" spans="1:14">
      <c r="A97" s="13"/>
      <c r="B97" s="13"/>
      <c r="C97" s="13"/>
      <c r="D97" s="13"/>
      <c r="E97" s="13"/>
      <c r="F97" s="5"/>
      <c r="G97" s="5"/>
      <c r="H97" s="5"/>
      <c r="I97" s="5"/>
      <c r="J97" s="5"/>
      <c r="K97" s="5"/>
      <c r="L97" s="5"/>
      <c r="M97" s="6" t="str">
        <f t="shared" si="4"/>
        <v/>
      </c>
      <c r="N97" s="6" t="str">
        <f t="shared" si="5"/>
        <v/>
      </c>
    </row>
    <row r="98" spans="1:14">
      <c r="A98" s="13"/>
      <c r="B98" s="13"/>
      <c r="C98" s="13"/>
      <c r="D98" s="13"/>
      <c r="E98" s="13"/>
      <c r="F98" s="5"/>
      <c r="G98" s="5"/>
      <c r="H98" s="5"/>
      <c r="I98" s="5"/>
      <c r="J98" s="5"/>
      <c r="K98" s="5"/>
      <c r="L98" s="5"/>
      <c r="M98" s="6" t="str">
        <f t="shared" si="4"/>
        <v/>
      </c>
      <c r="N98" s="6" t="str">
        <f t="shared" si="5"/>
        <v/>
      </c>
    </row>
    <row r="99" spans="1:14">
      <c r="A99" s="13"/>
      <c r="B99" s="13"/>
      <c r="C99" s="13"/>
      <c r="D99" s="13"/>
      <c r="E99" s="13"/>
      <c r="F99" s="5"/>
      <c r="G99" s="5"/>
      <c r="H99" s="5"/>
      <c r="I99" s="5"/>
      <c r="J99" s="5"/>
      <c r="K99" s="5"/>
      <c r="L99" s="5"/>
      <c r="M99" s="6" t="str">
        <f t="shared" si="4"/>
        <v/>
      </c>
      <c r="N99" s="6" t="str">
        <f t="shared" si="5"/>
        <v/>
      </c>
    </row>
    <row r="100" spans="1:14">
      <c r="A100" s="13"/>
      <c r="B100" s="13"/>
      <c r="C100" s="13"/>
      <c r="D100" s="13"/>
      <c r="E100" s="13"/>
      <c r="F100" s="5"/>
      <c r="G100" s="5"/>
      <c r="H100" s="5"/>
      <c r="I100" s="5"/>
      <c r="J100" s="5"/>
      <c r="K100" s="5"/>
      <c r="L100" s="5"/>
      <c r="M100" s="6" t="str">
        <f t="shared" si="4"/>
        <v/>
      </c>
      <c r="N100" s="6" t="str">
        <f t="shared" si="5"/>
        <v/>
      </c>
    </row>
    <row r="101" spans="1:14">
      <c r="A101" s="13"/>
      <c r="B101" s="13"/>
      <c r="C101" s="13"/>
      <c r="D101" s="13"/>
      <c r="E101" s="13"/>
      <c r="F101" s="5"/>
      <c r="G101" s="5"/>
      <c r="H101" s="5"/>
      <c r="I101" s="5"/>
      <c r="J101" s="5"/>
      <c r="K101" s="5"/>
      <c r="L101" s="5"/>
      <c r="M101" s="6" t="str">
        <f t="shared" ref="M101:M132" si="6">IF(A101="","",IF(N101="","HỢP LỆ","CẦN SỬA"))</f>
        <v/>
      </c>
      <c r="N101" s="6" t="str">
        <f t="shared" ref="N101:N132" si="7">IF(A101="","",IF(B101="","Thiếu NodeId",IF(D101="","Thiếu NodeType",IF(COUNTIF($B$5:$B$204,B101)&gt;1,"NodeId bị trùng",IF(COUNTIF($A$5:$A$204,A101)&gt;1,"NodeOrder bị trùng",IF(AND(D101="scene",OR(C101="",F101="",G101="")),"scene cần ActNo, Background, SceneName",IF(AND(D101="say",OR(H101="",J101="")),"say cần SpeakerKey và Text",IF(AND(D101="choice",OR(E101="",H101="",I101="",J101="")),"choice cần ChoiceMode, SpeakerKey, Mood, Question",IF(AND(D101="act",K101=""),"act cần số La Mã",IF(AND(D101="end",COUNTIF($D$5:$D$204,"end")&lt;&gt;1),"Phải có đúng 1 node end",""))))))))))</f>
        <v/>
      </c>
    </row>
    <row r="102" spans="1:14">
      <c r="A102" s="13"/>
      <c r="B102" s="13"/>
      <c r="C102" s="13"/>
      <c r="D102" s="13"/>
      <c r="E102" s="13"/>
      <c r="F102" s="5"/>
      <c r="G102" s="5"/>
      <c r="H102" s="5"/>
      <c r="I102" s="5"/>
      <c r="J102" s="5"/>
      <c r="K102" s="5"/>
      <c r="L102" s="5"/>
      <c r="M102" s="6" t="str">
        <f t="shared" si="6"/>
        <v/>
      </c>
      <c r="N102" s="6" t="str">
        <f t="shared" si="7"/>
        <v/>
      </c>
    </row>
    <row r="103" spans="1:14">
      <c r="A103" s="13"/>
      <c r="B103" s="13"/>
      <c r="C103" s="13"/>
      <c r="D103" s="13"/>
      <c r="E103" s="13"/>
      <c r="F103" s="5"/>
      <c r="G103" s="5"/>
      <c r="H103" s="5"/>
      <c r="I103" s="5"/>
      <c r="J103" s="5"/>
      <c r="K103" s="5"/>
      <c r="L103" s="5"/>
      <c r="M103" s="6" t="str">
        <f t="shared" si="6"/>
        <v/>
      </c>
      <c r="N103" s="6" t="str">
        <f t="shared" si="7"/>
        <v/>
      </c>
    </row>
    <row r="104" spans="1:14">
      <c r="A104" s="13"/>
      <c r="B104" s="13"/>
      <c r="C104" s="13"/>
      <c r="D104" s="13"/>
      <c r="E104" s="13"/>
      <c r="F104" s="5"/>
      <c r="G104" s="5"/>
      <c r="H104" s="5"/>
      <c r="I104" s="5"/>
      <c r="J104" s="5"/>
      <c r="K104" s="5"/>
      <c r="L104" s="5"/>
      <c r="M104" s="6" t="str">
        <f t="shared" si="6"/>
        <v/>
      </c>
      <c r="N104" s="6" t="str">
        <f t="shared" si="7"/>
        <v/>
      </c>
    </row>
    <row r="105" spans="1:14">
      <c r="A105" s="13"/>
      <c r="B105" s="13"/>
      <c r="C105" s="13"/>
      <c r="D105" s="13"/>
      <c r="E105" s="13"/>
      <c r="F105" s="5"/>
      <c r="G105" s="5"/>
      <c r="H105" s="5"/>
      <c r="I105" s="5"/>
      <c r="J105" s="5"/>
      <c r="K105" s="5"/>
      <c r="L105" s="5"/>
      <c r="M105" s="6" t="str">
        <f t="shared" si="6"/>
        <v/>
      </c>
      <c r="N105" s="6" t="str">
        <f t="shared" si="7"/>
        <v/>
      </c>
    </row>
    <row r="106" spans="1:14">
      <c r="A106" s="13"/>
      <c r="B106" s="13"/>
      <c r="C106" s="13"/>
      <c r="D106" s="13"/>
      <c r="E106" s="13"/>
      <c r="F106" s="5"/>
      <c r="G106" s="5"/>
      <c r="H106" s="5"/>
      <c r="I106" s="5"/>
      <c r="J106" s="5"/>
      <c r="K106" s="5"/>
      <c r="L106" s="5"/>
      <c r="M106" s="6" t="str">
        <f t="shared" si="6"/>
        <v/>
      </c>
      <c r="N106" s="6" t="str">
        <f t="shared" si="7"/>
        <v/>
      </c>
    </row>
    <row r="107" spans="1:14">
      <c r="A107" s="13"/>
      <c r="B107" s="13"/>
      <c r="C107" s="13"/>
      <c r="D107" s="13"/>
      <c r="E107" s="13"/>
      <c r="F107" s="5"/>
      <c r="G107" s="5"/>
      <c r="H107" s="5"/>
      <c r="I107" s="5"/>
      <c r="J107" s="5"/>
      <c r="K107" s="5"/>
      <c r="L107" s="5"/>
      <c r="M107" s="6" t="str">
        <f t="shared" si="6"/>
        <v/>
      </c>
      <c r="N107" s="6" t="str">
        <f t="shared" si="7"/>
        <v/>
      </c>
    </row>
    <row r="108" spans="1:14">
      <c r="A108" s="13"/>
      <c r="B108" s="13"/>
      <c r="C108" s="13"/>
      <c r="D108" s="13"/>
      <c r="E108" s="13"/>
      <c r="F108" s="5"/>
      <c r="G108" s="5"/>
      <c r="H108" s="5"/>
      <c r="I108" s="5"/>
      <c r="J108" s="5"/>
      <c r="K108" s="5"/>
      <c r="L108" s="5"/>
      <c r="M108" s="6" t="str">
        <f t="shared" si="6"/>
        <v/>
      </c>
      <c r="N108" s="6" t="str">
        <f t="shared" si="7"/>
        <v/>
      </c>
    </row>
    <row r="109" spans="1:14">
      <c r="A109" s="13"/>
      <c r="B109" s="13"/>
      <c r="C109" s="13"/>
      <c r="D109" s="13"/>
      <c r="E109" s="13"/>
      <c r="F109" s="5"/>
      <c r="G109" s="5"/>
      <c r="H109" s="5"/>
      <c r="I109" s="5"/>
      <c r="J109" s="5"/>
      <c r="K109" s="5"/>
      <c r="L109" s="5"/>
      <c r="M109" s="6" t="str">
        <f t="shared" si="6"/>
        <v/>
      </c>
      <c r="N109" s="6" t="str">
        <f t="shared" si="7"/>
        <v/>
      </c>
    </row>
    <row r="110" spans="1:14">
      <c r="A110" s="13"/>
      <c r="B110" s="13"/>
      <c r="C110" s="13"/>
      <c r="D110" s="13"/>
      <c r="E110" s="13"/>
      <c r="F110" s="5"/>
      <c r="G110" s="5"/>
      <c r="H110" s="5"/>
      <c r="I110" s="5"/>
      <c r="J110" s="5"/>
      <c r="K110" s="5"/>
      <c r="L110" s="5"/>
      <c r="M110" s="6" t="str">
        <f t="shared" si="6"/>
        <v/>
      </c>
      <c r="N110" s="6" t="str">
        <f t="shared" si="7"/>
        <v/>
      </c>
    </row>
    <row r="111" spans="1:14">
      <c r="A111" s="13"/>
      <c r="B111" s="13"/>
      <c r="C111" s="13"/>
      <c r="D111" s="13"/>
      <c r="E111" s="13"/>
      <c r="F111" s="5"/>
      <c r="G111" s="5"/>
      <c r="H111" s="5"/>
      <c r="I111" s="5"/>
      <c r="J111" s="5"/>
      <c r="K111" s="5"/>
      <c r="L111" s="5"/>
      <c r="M111" s="6" t="str">
        <f t="shared" si="6"/>
        <v/>
      </c>
      <c r="N111" s="6" t="str">
        <f t="shared" si="7"/>
        <v/>
      </c>
    </row>
    <row r="112" spans="1:14">
      <c r="A112" s="13"/>
      <c r="B112" s="13"/>
      <c r="C112" s="13"/>
      <c r="D112" s="13"/>
      <c r="E112" s="13"/>
      <c r="F112" s="5"/>
      <c r="G112" s="5"/>
      <c r="H112" s="5"/>
      <c r="I112" s="5"/>
      <c r="J112" s="5"/>
      <c r="K112" s="5"/>
      <c r="L112" s="5"/>
      <c r="M112" s="6" t="str">
        <f t="shared" si="6"/>
        <v/>
      </c>
      <c r="N112" s="6" t="str">
        <f t="shared" si="7"/>
        <v/>
      </c>
    </row>
    <row r="113" spans="1:14">
      <c r="A113" s="13"/>
      <c r="B113" s="13"/>
      <c r="C113" s="13"/>
      <c r="D113" s="13"/>
      <c r="E113" s="13"/>
      <c r="F113" s="5"/>
      <c r="G113" s="5"/>
      <c r="H113" s="5"/>
      <c r="I113" s="5"/>
      <c r="J113" s="5"/>
      <c r="K113" s="5"/>
      <c r="L113" s="5"/>
      <c r="M113" s="6" t="str">
        <f t="shared" si="6"/>
        <v/>
      </c>
      <c r="N113" s="6" t="str">
        <f t="shared" si="7"/>
        <v/>
      </c>
    </row>
    <row r="114" spans="1:14">
      <c r="A114" s="13"/>
      <c r="B114" s="13"/>
      <c r="C114" s="13"/>
      <c r="D114" s="13"/>
      <c r="E114" s="13"/>
      <c r="F114" s="5"/>
      <c r="G114" s="5"/>
      <c r="H114" s="5"/>
      <c r="I114" s="5"/>
      <c r="J114" s="5"/>
      <c r="K114" s="5"/>
      <c r="L114" s="5"/>
      <c r="M114" s="6" t="str">
        <f t="shared" si="6"/>
        <v/>
      </c>
      <c r="N114" s="6" t="str">
        <f t="shared" si="7"/>
        <v/>
      </c>
    </row>
    <row r="115" spans="1:14">
      <c r="A115" s="13"/>
      <c r="B115" s="13"/>
      <c r="C115" s="13"/>
      <c r="D115" s="13"/>
      <c r="E115" s="13"/>
      <c r="F115" s="5"/>
      <c r="G115" s="5"/>
      <c r="H115" s="5"/>
      <c r="I115" s="5"/>
      <c r="J115" s="5"/>
      <c r="K115" s="5"/>
      <c r="L115" s="5"/>
      <c r="M115" s="6" t="str">
        <f t="shared" si="6"/>
        <v/>
      </c>
      <c r="N115" s="6" t="str">
        <f t="shared" si="7"/>
        <v/>
      </c>
    </row>
    <row r="116" spans="1:14">
      <c r="A116" s="13"/>
      <c r="B116" s="13"/>
      <c r="C116" s="13"/>
      <c r="D116" s="13"/>
      <c r="E116" s="13"/>
      <c r="F116" s="5"/>
      <c r="G116" s="5"/>
      <c r="H116" s="5"/>
      <c r="I116" s="5"/>
      <c r="J116" s="5"/>
      <c r="K116" s="5"/>
      <c r="L116" s="5"/>
      <c r="M116" s="6" t="str">
        <f t="shared" si="6"/>
        <v/>
      </c>
      <c r="N116" s="6" t="str">
        <f t="shared" si="7"/>
        <v/>
      </c>
    </row>
    <row r="117" spans="1:14">
      <c r="A117" s="13"/>
      <c r="B117" s="13"/>
      <c r="C117" s="13"/>
      <c r="D117" s="13"/>
      <c r="E117" s="13"/>
      <c r="F117" s="5"/>
      <c r="G117" s="5"/>
      <c r="H117" s="5"/>
      <c r="I117" s="5"/>
      <c r="J117" s="5"/>
      <c r="K117" s="5"/>
      <c r="L117" s="5"/>
      <c r="M117" s="6" t="str">
        <f t="shared" si="6"/>
        <v/>
      </c>
      <c r="N117" s="6" t="str">
        <f t="shared" si="7"/>
        <v/>
      </c>
    </row>
    <row r="118" spans="1:14">
      <c r="A118" s="13"/>
      <c r="B118" s="13"/>
      <c r="C118" s="13"/>
      <c r="D118" s="13"/>
      <c r="E118" s="13"/>
      <c r="F118" s="5"/>
      <c r="G118" s="5"/>
      <c r="H118" s="5"/>
      <c r="I118" s="5"/>
      <c r="J118" s="5"/>
      <c r="K118" s="5"/>
      <c r="L118" s="5"/>
      <c r="M118" s="6" t="str">
        <f t="shared" si="6"/>
        <v/>
      </c>
      <c r="N118" s="6" t="str">
        <f t="shared" si="7"/>
        <v/>
      </c>
    </row>
    <row r="119" spans="1:14">
      <c r="A119" s="13"/>
      <c r="B119" s="13"/>
      <c r="C119" s="13"/>
      <c r="D119" s="13"/>
      <c r="E119" s="13"/>
      <c r="F119" s="5"/>
      <c r="G119" s="5"/>
      <c r="H119" s="5"/>
      <c r="I119" s="5"/>
      <c r="J119" s="5"/>
      <c r="K119" s="5"/>
      <c r="L119" s="5"/>
      <c r="M119" s="6" t="str">
        <f t="shared" si="6"/>
        <v/>
      </c>
      <c r="N119" s="6" t="str">
        <f t="shared" si="7"/>
        <v/>
      </c>
    </row>
    <row r="120" spans="1:14">
      <c r="A120" s="13"/>
      <c r="B120" s="13"/>
      <c r="C120" s="13"/>
      <c r="D120" s="13"/>
      <c r="E120" s="13"/>
      <c r="F120" s="5"/>
      <c r="G120" s="5"/>
      <c r="H120" s="5"/>
      <c r="I120" s="5"/>
      <c r="J120" s="5"/>
      <c r="K120" s="5"/>
      <c r="L120" s="5"/>
      <c r="M120" s="6" t="str">
        <f t="shared" si="6"/>
        <v/>
      </c>
      <c r="N120" s="6" t="str">
        <f t="shared" si="7"/>
        <v/>
      </c>
    </row>
    <row r="121" spans="1:14">
      <c r="A121" s="13"/>
      <c r="B121" s="13"/>
      <c r="C121" s="13"/>
      <c r="D121" s="13"/>
      <c r="E121" s="13"/>
      <c r="F121" s="5"/>
      <c r="G121" s="5"/>
      <c r="H121" s="5"/>
      <c r="I121" s="5"/>
      <c r="J121" s="5"/>
      <c r="K121" s="5"/>
      <c r="L121" s="5"/>
      <c r="M121" s="6" t="str">
        <f t="shared" si="6"/>
        <v/>
      </c>
      <c r="N121" s="6" t="str">
        <f t="shared" si="7"/>
        <v/>
      </c>
    </row>
    <row r="122" spans="1:14">
      <c r="A122" s="13"/>
      <c r="B122" s="13"/>
      <c r="C122" s="13"/>
      <c r="D122" s="13"/>
      <c r="E122" s="13"/>
      <c r="F122" s="5"/>
      <c r="G122" s="5"/>
      <c r="H122" s="5"/>
      <c r="I122" s="5"/>
      <c r="J122" s="5"/>
      <c r="K122" s="5"/>
      <c r="L122" s="5"/>
      <c r="M122" s="6" t="str">
        <f t="shared" si="6"/>
        <v/>
      </c>
      <c r="N122" s="6" t="str">
        <f t="shared" si="7"/>
        <v/>
      </c>
    </row>
    <row r="123" spans="1:14">
      <c r="A123" s="13"/>
      <c r="B123" s="13"/>
      <c r="C123" s="13"/>
      <c r="D123" s="13"/>
      <c r="E123" s="13"/>
      <c r="F123" s="5"/>
      <c r="G123" s="5"/>
      <c r="H123" s="5"/>
      <c r="I123" s="5"/>
      <c r="J123" s="5"/>
      <c r="K123" s="5"/>
      <c r="L123" s="5"/>
      <c r="M123" s="6" t="str">
        <f t="shared" si="6"/>
        <v/>
      </c>
      <c r="N123" s="6" t="str">
        <f t="shared" si="7"/>
        <v/>
      </c>
    </row>
    <row r="124" spans="1:14">
      <c r="A124" s="13"/>
      <c r="B124" s="13"/>
      <c r="C124" s="13"/>
      <c r="D124" s="13"/>
      <c r="E124" s="13"/>
      <c r="F124" s="5"/>
      <c r="G124" s="5"/>
      <c r="H124" s="5"/>
      <c r="I124" s="5"/>
      <c r="J124" s="5"/>
      <c r="K124" s="5"/>
      <c r="L124" s="5"/>
      <c r="M124" s="6" t="str">
        <f t="shared" si="6"/>
        <v/>
      </c>
      <c r="N124" s="6" t="str">
        <f t="shared" si="7"/>
        <v/>
      </c>
    </row>
    <row r="125" spans="1:14">
      <c r="A125" s="13"/>
      <c r="B125" s="13"/>
      <c r="C125" s="13"/>
      <c r="D125" s="13"/>
      <c r="E125" s="13"/>
      <c r="F125" s="5"/>
      <c r="G125" s="5"/>
      <c r="H125" s="5"/>
      <c r="I125" s="5"/>
      <c r="J125" s="5"/>
      <c r="K125" s="5"/>
      <c r="L125" s="5"/>
      <c r="M125" s="6" t="str">
        <f t="shared" si="6"/>
        <v/>
      </c>
      <c r="N125" s="6" t="str">
        <f t="shared" si="7"/>
        <v/>
      </c>
    </row>
    <row r="126" spans="1:14">
      <c r="A126" s="13"/>
      <c r="B126" s="13"/>
      <c r="C126" s="13"/>
      <c r="D126" s="13"/>
      <c r="E126" s="13"/>
      <c r="F126" s="5"/>
      <c r="G126" s="5"/>
      <c r="H126" s="5"/>
      <c r="I126" s="5"/>
      <c r="J126" s="5"/>
      <c r="K126" s="5"/>
      <c r="L126" s="5"/>
      <c r="M126" s="6" t="str">
        <f t="shared" si="6"/>
        <v/>
      </c>
      <c r="N126" s="6" t="str">
        <f t="shared" si="7"/>
        <v/>
      </c>
    </row>
    <row r="127" spans="1:14">
      <c r="A127" s="13"/>
      <c r="B127" s="13"/>
      <c r="C127" s="13"/>
      <c r="D127" s="13"/>
      <c r="E127" s="13"/>
      <c r="F127" s="5"/>
      <c r="G127" s="5"/>
      <c r="H127" s="5"/>
      <c r="I127" s="5"/>
      <c r="J127" s="5"/>
      <c r="K127" s="5"/>
      <c r="L127" s="5"/>
      <c r="M127" s="6" t="str">
        <f t="shared" si="6"/>
        <v/>
      </c>
      <c r="N127" s="6" t="str">
        <f t="shared" si="7"/>
        <v/>
      </c>
    </row>
    <row r="128" spans="1:14">
      <c r="A128" s="13"/>
      <c r="B128" s="13"/>
      <c r="C128" s="13"/>
      <c r="D128" s="13"/>
      <c r="E128" s="13"/>
      <c r="F128" s="5"/>
      <c r="G128" s="5"/>
      <c r="H128" s="5"/>
      <c r="I128" s="5"/>
      <c r="J128" s="5"/>
      <c r="K128" s="5"/>
      <c r="L128" s="5"/>
      <c r="M128" s="6" t="str">
        <f t="shared" si="6"/>
        <v/>
      </c>
      <c r="N128" s="6" t="str">
        <f t="shared" si="7"/>
        <v/>
      </c>
    </row>
    <row r="129" spans="1:14">
      <c r="A129" s="13"/>
      <c r="B129" s="13"/>
      <c r="C129" s="13"/>
      <c r="D129" s="13"/>
      <c r="E129" s="13"/>
      <c r="F129" s="5"/>
      <c r="G129" s="5"/>
      <c r="H129" s="5"/>
      <c r="I129" s="5"/>
      <c r="J129" s="5"/>
      <c r="K129" s="5"/>
      <c r="L129" s="5"/>
      <c r="M129" s="6" t="str">
        <f t="shared" si="6"/>
        <v/>
      </c>
      <c r="N129" s="6" t="str">
        <f t="shared" si="7"/>
        <v/>
      </c>
    </row>
    <row r="130" spans="1:14">
      <c r="A130" s="13"/>
      <c r="B130" s="13"/>
      <c r="C130" s="13"/>
      <c r="D130" s="13"/>
      <c r="E130" s="13"/>
      <c r="F130" s="5"/>
      <c r="G130" s="5"/>
      <c r="H130" s="5"/>
      <c r="I130" s="5"/>
      <c r="J130" s="5"/>
      <c r="K130" s="5"/>
      <c r="L130" s="5"/>
      <c r="M130" s="6" t="str">
        <f t="shared" si="6"/>
        <v/>
      </c>
      <c r="N130" s="6" t="str">
        <f t="shared" si="7"/>
        <v/>
      </c>
    </row>
    <row r="131" spans="1:14">
      <c r="A131" s="13"/>
      <c r="B131" s="13"/>
      <c r="C131" s="13"/>
      <c r="D131" s="13"/>
      <c r="E131" s="13"/>
      <c r="F131" s="5"/>
      <c r="G131" s="5"/>
      <c r="H131" s="5"/>
      <c r="I131" s="5"/>
      <c r="J131" s="5"/>
      <c r="K131" s="5"/>
      <c r="L131" s="5"/>
      <c r="M131" s="6" t="str">
        <f t="shared" si="6"/>
        <v/>
      </c>
      <c r="N131" s="6" t="str">
        <f t="shared" si="7"/>
        <v/>
      </c>
    </row>
    <row r="132" spans="1:14">
      <c r="A132" s="13"/>
      <c r="B132" s="13"/>
      <c r="C132" s="13"/>
      <c r="D132" s="13"/>
      <c r="E132" s="13"/>
      <c r="F132" s="5"/>
      <c r="G132" s="5"/>
      <c r="H132" s="5"/>
      <c r="I132" s="5"/>
      <c r="J132" s="5"/>
      <c r="K132" s="5"/>
      <c r="L132" s="5"/>
      <c r="M132" s="6" t="str">
        <f t="shared" si="6"/>
        <v/>
      </c>
      <c r="N132" s="6" t="str">
        <f t="shared" si="7"/>
        <v/>
      </c>
    </row>
    <row r="133" spans="1:14">
      <c r="A133" s="13"/>
      <c r="B133" s="13"/>
      <c r="C133" s="13"/>
      <c r="D133" s="13"/>
      <c r="E133" s="13"/>
      <c r="F133" s="5"/>
      <c r="G133" s="5"/>
      <c r="H133" s="5"/>
      <c r="I133" s="5"/>
      <c r="J133" s="5"/>
      <c r="K133" s="5"/>
      <c r="L133" s="5"/>
      <c r="M133" s="6" t="str">
        <f t="shared" ref="M133:M164" si="8">IF(A133="","",IF(N133="","HỢP LỆ","CẦN SỬA"))</f>
        <v/>
      </c>
      <c r="N133" s="6" t="str">
        <f t="shared" ref="N133:N164" si="9">IF(A133="","",IF(B133="","Thiếu NodeId",IF(D133="","Thiếu NodeType",IF(COUNTIF($B$5:$B$204,B133)&gt;1,"NodeId bị trùng",IF(COUNTIF($A$5:$A$204,A133)&gt;1,"NodeOrder bị trùng",IF(AND(D133="scene",OR(C133="",F133="",G133="")),"scene cần ActNo, Background, SceneName",IF(AND(D133="say",OR(H133="",J133="")),"say cần SpeakerKey và Text",IF(AND(D133="choice",OR(E133="",H133="",I133="",J133="")),"choice cần ChoiceMode, SpeakerKey, Mood, Question",IF(AND(D133="act",K133=""),"act cần số La Mã",IF(AND(D133="end",COUNTIF($D$5:$D$204,"end")&lt;&gt;1),"Phải có đúng 1 node end",""))))))))))</f>
        <v/>
      </c>
    </row>
    <row r="134" spans="1:14">
      <c r="A134" s="13"/>
      <c r="B134" s="13"/>
      <c r="C134" s="13"/>
      <c r="D134" s="13"/>
      <c r="E134" s="13"/>
      <c r="F134" s="5"/>
      <c r="G134" s="5"/>
      <c r="H134" s="5"/>
      <c r="I134" s="5"/>
      <c r="J134" s="5"/>
      <c r="K134" s="5"/>
      <c r="L134" s="5"/>
      <c r="M134" s="6" t="str">
        <f t="shared" si="8"/>
        <v/>
      </c>
      <c r="N134" s="6" t="str">
        <f t="shared" si="9"/>
        <v/>
      </c>
    </row>
    <row r="135" spans="1:14">
      <c r="A135" s="13"/>
      <c r="B135" s="13"/>
      <c r="C135" s="13"/>
      <c r="D135" s="13"/>
      <c r="E135" s="13"/>
      <c r="F135" s="5"/>
      <c r="G135" s="5"/>
      <c r="H135" s="5"/>
      <c r="I135" s="5"/>
      <c r="J135" s="5"/>
      <c r="K135" s="5"/>
      <c r="L135" s="5"/>
      <c r="M135" s="6" t="str">
        <f t="shared" si="8"/>
        <v/>
      </c>
      <c r="N135" s="6" t="str">
        <f t="shared" si="9"/>
        <v/>
      </c>
    </row>
    <row r="136" spans="1:14">
      <c r="A136" s="13"/>
      <c r="B136" s="13"/>
      <c r="C136" s="13"/>
      <c r="D136" s="13"/>
      <c r="E136" s="13"/>
      <c r="F136" s="5"/>
      <c r="G136" s="5"/>
      <c r="H136" s="5"/>
      <c r="I136" s="5"/>
      <c r="J136" s="5"/>
      <c r="K136" s="5"/>
      <c r="L136" s="5"/>
      <c r="M136" s="6" t="str">
        <f t="shared" si="8"/>
        <v/>
      </c>
      <c r="N136" s="6" t="str">
        <f t="shared" si="9"/>
        <v/>
      </c>
    </row>
    <row r="137" spans="1:14">
      <c r="A137" s="13"/>
      <c r="B137" s="13"/>
      <c r="C137" s="13"/>
      <c r="D137" s="13"/>
      <c r="E137" s="13"/>
      <c r="F137" s="5"/>
      <c r="G137" s="5"/>
      <c r="H137" s="5"/>
      <c r="I137" s="5"/>
      <c r="J137" s="5"/>
      <c r="K137" s="5"/>
      <c r="L137" s="5"/>
      <c r="M137" s="6" t="str">
        <f t="shared" si="8"/>
        <v/>
      </c>
      <c r="N137" s="6" t="str">
        <f t="shared" si="9"/>
        <v/>
      </c>
    </row>
    <row r="138" spans="1:14">
      <c r="A138" s="13"/>
      <c r="B138" s="13"/>
      <c r="C138" s="13"/>
      <c r="D138" s="13"/>
      <c r="E138" s="13"/>
      <c r="F138" s="5"/>
      <c r="G138" s="5"/>
      <c r="H138" s="5"/>
      <c r="I138" s="5"/>
      <c r="J138" s="5"/>
      <c r="K138" s="5"/>
      <c r="L138" s="5"/>
      <c r="M138" s="6" t="str">
        <f t="shared" si="8"/>
        <v/>
      </c>
      <c r="N138" s="6" t="str">
        <f t="shared" si="9"/>
        <v/>
      </c>
    </row>
    <row r="139" spans="1:14">
      <c r="A139" s="13"/>
      <c r="B139" s="13"/>
      <c r="C139" s="13"/>
      <c r="D139" s="13"/>
      <c r="E139" s="13"/>
      <c r="F139" s="5"/>
      <c r="G139" s="5"/>
      <c r="H139" s="5"/>
      <c r="I139" s="5"/>
      <c r="J139" s="5"/>
      <c r="K139" s="5"/>
      <c r="L139" s="5"/>
      <c r="M139" s="6" t="str">
        <f t="shared" si="8"/>
        <v/>
      </c>
      <c r="N139" s="6" t="str">
        <f t="shared" si="9"/>
        <v/>
      </c>
    </row>
    <row r="140" spans="1:14">
      <c r="A140" s="13"/>
      <c r="B140" s="13"/>
      <c r="C140" s="13"/>
      <c r="D140" s="13"/>
      <c r="E140" s="13"/>
      <c r="F140" s="5"/>
      <c r="G140" s="5"/>
      <c r="H140" s="5"/>
      <c r="I140" s="5"/>
      <c r="J140" s="5"/>
      <c r="K140" s="5"/>
      <c r="L140" s="5"/>
      <c r="M140" s="6" t="str">
        <f t="shared" si="8"/>
        <v/>
      </c>
      <c r="N140" s="6" t="str">
        <f t="shared" si="9"/>
        <v/>
      </c>
    </row>
    <row r="141" spans="1:14">
      <c r="A141" s="13"/>
      <c r="B141" s="13"/>
      <c r="C141" s="13"/>
      <c r="D141" s="13"/>
      <c r="E141" s="13"/>
      <c r="F141" s="5"/>
      <c r="G141" s="5"/>
      <c r="H141" s="5"/>
      <c r="I141" s="5"/>
      <c r="J141" s="5"/>
      <c r="K141" s="5"/>
      <c r="L141" s="5"/>
      <c r="M141" s="6" t="str">
        <f t="shared" si="8"/>
        <v/>
      </c>
      <c r="N141" s="6" t="str">
        <f t="shared" si="9"/>
        <v/>
      </c>
    </row>
    <row r="142" spans="1:14">
      <c r="A142" s="13"/>
      <c r="B142" s="13"/>
      <c r="C142" s="13"/>
      <c r="D142" s="13"/>
      <c r="E142" s="13"/>
      <c r="F142" s="5"/>
      <c r="G142" s="5"/>
      <c r="H142" s="5"/>
      <c r="I142" s="5"/>
      <c r="J142" s="5"/>
      <c r="K142" s="5"/>
      <c r="L142" s="5"/>
      <c r="M142" s="6" t="str">
        <f t="shared" si="8"/>
        <v/>
      </c>
      <c r="N142" s="6" t="str">
        <f t="shared" si="9"/>
        <v/>
      </c>
    </row>
    <row r="143" spans="1:14">
      <c r="A143" s="13"/>
      <c r="B143" s="13"/>
      <c r="C143" s="13"/>
      <c r="D143" s="13"/>
      <c r="E143" s="13"/>
      <c r="F143" s="5"/>
      <c r="G143" s="5"/>
      <c r="H143" s="5"/>
      <c r="I143" s="5"/>
      <c r="J143" s="5"/>
      <c r="K143" s="5"/>
      <c r="L143" s="5"/>
      <c r="M143" s="6" t="str">
        <f t="shared" si="8"/>
        <v/>
      </c>
      <c r="N143" s="6" t="str">
        <f t="shared" si="9"/>
        <v/>
      </c>
    </row>
    <row r="144" spans="1:14">
      <c r="A144" s="13"/>
      <c r="B144" s="13"/>
      <c r="C144" s="13"/>
      <c r="D144" s="13"/>
      <c r="E144" s="13"/>
      <c r="F144" s="5"/>
      <c r="G144" s="5"/>
      <c r="H144" s="5"/>
      <c r="I144" s="5"/>
      <c r="J144" s="5"/>
      <c r="K144" s="5"/>
      <c r="L144" s="5"/>
      <c r="M144" s="6" t="str">
        <f t="shared" si="8"/>
        <v/>
      </c>
      <c r="N144" s="6" t="str">
        <f t="shared" si="9"/>
        <v/>
      </c>
    </row>
    <row r="145" spans="1:14">
      <c r="A145" s="13"/>
      <c r="B145" s="13"/>
      <c r="C145" s="13"/>
      <c r="D145" s="13"/>
      <c r="E145" s="13"/>
      <c r="F145" s="5"/>
      <c r="G145" s="5"/>
      <c r="H145" s="5"/>
      <c r="I145" s="5"/>
      <c r="J145" s="5"/>
      <c r="K145" s="5"/>
      <c r="L145" s="5"/>
      <c r="M145" s="6" t="str">
        <f t="shared" si="8"/>
        <v/>
      </c>
      <c r="N145" s="6" t="str">
        <f t="shared" si="9"/>
        <v/>
      </c>
    </row>
    <row r="146" spans="1:14">
      <c r="A146" s="13"/>
      <c r="B146" s="13"/>
      <c r="C146" s="13"/>
      <c r="D146" s="13"/>
      <c r="E146" s="13"/>
      <c r="F146" s="5"/>
      <c r="G146" s="5"/>
      <c r="H146" s="5"/>
      <c r="I146" s="5"/>
      <c r="J146" s="5"/>
      <c r="K146" s="5"/>
      <c r="L146" s="5"/>
      <c r="M146" s="6" t="str">
        <f t="shared" si="8"/>
        <v/>
      </c>
      <c r="N146" s="6" t="str">
        <f t="shared" si="9"/>
        <v/>
      </c>
    </row>
    <row r="147" spans="1:14">
      <c r="A147" s="13"/>
      <c r="B147" s="13"/>
      <c r="C147" s="13"/>
      <c r="D147" s="13"/>
      <c r="E147" s="13"/>
      <c r="F147" s="5"/>
      <c r="G147" s="5"/>
      <c r="H147" s="5"/>
      <c r="I147" s="5"/>
      <c r="J147" s="5"/>
      <c r="K147" s="5"/>
      <c r="L147" s="5"/>
      <c r="M147" s="6" t="str">
        <f t="shared" si="8"/>
        <v/>
      </c>
      <c r="N147" s="6" t="str">
        <f t="shared" si="9"/>
        <v/>
      </c>
    </row>
    <row r="148" spans="1:14">
      <c r="A148" s="13"/>
      <c r="B148" s="13"/>
      <c r="C148" s="13"/>
      <c r="D148" s="13"/>
      <c r="E148" s="13"/>
      <c r="F148" s="5"/>
      <c r="G148" s="5"/>
      <c r="H148" s="5"/>
      <c r="I148" s="5"/>
      <c r="J148" s="5"/>
      <c r="K148" s="5"/>
      <c r="L148" s="5"/>
      <c r="M148" s="6" t="str">
        <f t="shared" si="8"/>
        <v/>
      </c>
      <c r="N148" s="6" t="str">
        <f t="shared" si="9"/>
        <v/>
      </c>
    </row>
    <row r="149" spans="1:14">
      <c r="A149" s="13"/>
      <c r="B149" s="13"/>
      <c r="C149" s="13"/>
      <c r="D149" s="13"/>
      <c r="E149" s="13"/>
      <c r="F149" s="5"/>
      <c r="G149" s="5"/>
      <c r="H149" s="5"/>
      <c r="I149" s="5"/>
      <c r="J149" s="5"/>
      <c r="K149" s="5"/>
      <c r="L149" s="5"/>
      <c r="M149" s="6" t="str">
        <f t="shared" si="8"/>
        <v/>
      </c>
      <c r="N149" s="6" t="str">
        <f t="shared" si="9"/>
        <v/>
      </c>
    </row>
    <row r="150" spans="1:14">
      <c r="A150" s="13"/>
      <c r="B150" s="13"/>
      <c r="C150" s="13"/>
      <c r="D150" s="13"/>
      <c r="E150" s="13"/>
      <c r="F150" s="5"/>
      <c r="G150" s="5"/>
      <c r="H150" s="5"/>
      <c r="I150" s="5"/>
      <c r="J150" s="5"/>
      <c r="K150" s="5"/>
      <c r="L150" s="5"/>
      <c r="M150" s="6" t="str">
        <f t="shared" si="8"/>
        <v/>
      </c>
      <c r="N150" s="6" t="str">
        <f t="shared" si="9"/>
        <v/>
      </c>
    </row>
    <row r="151" spans="1:14">
      <c r="A151" s="13"/>
      <c r="B151" s="13"/>
      <c r="C151" s="13"/>
      <c r="D151" s="13"/>
      <c r="E151" s="13"/>
      <c r="F151" s="5"/>
      <c r="G151" s="5"/>
      <c r="H151" s="5"/>
      <c r="I151" s="5"/>
      <c r="J151" s="5"/>
      <c r="K151" s="5"/>
      <c r="L151" s="5"/>
      <c r="M151" s="6" t="str">
        <f t="shared" si="8"/>
        <v/>
      </c>
      <c r="N151" s="6" t="str">
        <f t="shared" si="9"/>
        <v/>
      </c>
    </row>
    <row r="152" spans="1:14">
      <c r="A152" s="13"/>
      <c r="B152" s="13"/>
      <c r="C152" s="13"/>
      <c r="D152" s="13"/>
      <c r="E152" s="13"/>
      <c r="F152" s="5"/>
      <c r="G152" s="5"/>
      <c r="H152" s="5"/>
      <c r="I152" s="5"/>
      <c r="J152" s="5"/>
      <c r="K152" s="5"/>
      <c r="L152" s="5"/>
      <c r="M152" s="6" t="str">
        <f t="shared" si="8"/>
        <v/>
      </c>
      <c r="N152" s="6" t="str">
        <f t="shared" si="9"/>
        <v/>
      </c>
    </row>
    <row r="153" spans="1:14">
      <c r="A153" s="13"/>
      <c r="B153" s="13"/>
      <c r="C153" s="13"/>
      <c r="D153" s="13"/>
      <c r="E153" s="13"/>
      <c r="F153" s="5"/>
      <c r="G153" s="5"/>
      <c r="H153" s="5"/>
      <c r="I153" s="5"/>
      <c r="J153" s="5"/>
      <c r="K153" s="5"/>
      <c r="L153" s="5"/>
      <c r="M153" s="6" t="str">
        <f t="shared" si="8"/>
        <v/>
      </c>
      <c r="N153" s="6" t="str">
        <f t="shared" si="9"/>
        <v/>
      </c>
    </row>
    <row r="154" spans="1:14">
      <c r="A154" s="13"/>
      <c r="B154" s="13"/>
      <c r="C154" s="13"/>
      <c r="D154" s="13"/>
      <c r="E154" s="13"/>
      <c r="F154" s="5"/>
      <c r="G154" s="5"/>
      <c r="H154" s="5"/>
      <c r="I154" s="5"/>
      <c r="J154" s="5"/>
      <c r="K154" s="5"/>
      <c r="L154" s="5"/>
      <c r="M154" s="6" t="str">
        <f t="shared" si="8"/>
        <v/>
      </c>
      <c r="N154" s="6" t="str">
        <f t="shared" si="9"/>
        <v/>
      </c>
    </row>
    <row r="155" spans="1:14">
      <c r="A155" s="13"/>
      <c r="B155" s="13"/>
      <c r="C155" s="13"/>
      <c r="D155" s="13"/>
      <c r="E155" s="13"/>
      <c r="F155" s="5"/>
      <c r="G155" s="5"/>
      <c r="H155" s="5"/>
      <c r="I155" s="5"/>
      <c r="J155" s="5"/>
      <c r="K155" s="5"/>
      <c r="L155" s="5"/>
      <c r="M155" s="6" t="str">
        <f t="shared" si="8"/>
        <v/>
      </c>
      <c r="N155" s="6" t="str">
        <f t="shared" si="9"/>
        <v/>
      </c>
    </row>
    <row r="156" spans="1:14">
      <c r="A156" s="13"/>
      <c r="B156" s="13"/>
      <c r="C156" s="13"/>
      <c r="D156" s="13"/>
      <c r="E156" s="13"/>
      <c r="F156" s="5"/>
      <c r="G156" s="5"/>
      <c r="H156" s="5"/>
      <c r="I156" s="5"/>
      <c r="J156" s="5"/>
      <c r="K156" s="5"/>
      <c r="L156" s="5"/>
      <c r="M156" s="6" t="str">
        <f t="shared" si="8"/>
        <v/>
      </c>
      <c r="N156" s="6" t="str">
        <f t="shared" si="9"/>
        <v/>
      </c>
    </row>
    <row r="157" spans="1:14">
      <c r="A157" s="13"/>
      <c r="B157" s="13"/>
      <c r="C157" s="13"/>
      <c r="D157" s="13"/>
      <c r="E157" s="13"/>
      <c r="F157" s="5"/>
      <c r="G157" s="5"/>
      <c r="H157" s="5"/>
      <c r="I157" s="5"/>
      <c r="J157" s="5"/>
      <c r="K157" s="5"/>
      <c r="L157" s="5"/>
      <c r="M157" s="6" t="str">
        <f t="shared" si="8"/>
        <v/>
      </c>
      <c r="N157" s="6" t="str">
        <f t="shared" si="9"/>
        <v/>
      </c>
    </row>
    <row r="158" spans="1:14">
      <c r="A158" s="13"/>
      <c r="B158" s="13"/>
      <c r="C158" s="13"/>
      <c r="D158" s="13"/>
      <c r="E158" s="13"/>
      <c r="F158" s="5"/>
      <c r="G158" s="5"/>
      <c r="H158" s="5"/>
      <c r="I158" s="5"/>
      <c r="J158" s="5"/>
      <c r="K158" s="5"/>
      <c r="L158" s="5"/>
      <c r="M158" s="6" t="str">
        <f t="shared" si="8"/>
        <v/>
      </c>
      <c r="N158" s="6" t="str">
        <f t="shared" si="9"/>
        <v/>
      </c>
    </row>
    <row r="159" spans="1:14">
      <c r="A159" s="13"/>
      <c r="B159" s="13"/>
      <c r="C159" s="13"/>
      <c r="D159" s="13"/>
      <c r="E159" s="13"/>
      <c r="F159" s="5"/>
      <c r="G159" s="5"/>
      <c r="H159" s="5"/>
      <c r="I159" s="5"/>
      <c r="J159" s="5"/>
      <c r="K159" s="5"/>
      <c r="L159" s="5"/>
      <c r="M159" s="6" t="str">
        <f t="shared" si="8"/>
        <v/>
      </c>
      <c r="N159" s="6" t="str">
        <f t="shared" si="9"/>
        <v/>
      </c>
    </row>
    <row r="160" spans="1:14">
      <c r="A160" s="13"/>
      <c r="B160" s="13"/>
      <c r="C160" s="13"/>
      <c r="D160" s="13"/>
      <c r="E160" s="13"/>
      <c r="F160" s="5"/>
      <c r="G160" s="5"/>
      <c r="H160" s="5"/>
      <c r="I160" s="5"/>
      <c r="J160" s="5"/>
      <c r="K160" s="5"/>
      <c r="L160" s="5"/>
      <c r="M160" s="6" t="str">
        <f t="shared" si="8"/>
        <v/>
      </c>
      <c r="N160" s="6" t="str">
        <f t="shared" si="9"/>
        <v/>
      </c>
    </row>
    <row r="161" spans="1:14">
      <c r="A161" s="13"/>
      <c r="B161" s="13"/>
      <c r="C161" s="13"/>
      <c r="D161" s="13"/>
      <c r="E161" s="13"/>
      <c r="F161" s="5"/>
      <c r="G161" s="5"/>
      <c r="H161" s="5"/>
      <c r="I161" s="5"/>
      <c r="J161" s="5"/>
      <c r="K161" s="5"/>
      <c r="L161" s="5"/>
      <c r="M161" s="6" t="str">
        <f t="shared" si="8"/>
        <v/>
      </c>
      <c r="N161" s="6" t="str">
        <f t="shared" si="9"/>
        <v/>
      </c>
    </row>
    <row r="162" spans="1:14">
      <c r="A162" s="13"/>
      <c r="B162" s="13"/>
      <c r="C162" s="13"/>
      <c r="D162" s="13"/>
      <c r="E162" s="13"/>
      <c r="F162" s="5"/>
      <c r="G162" s="5"/>
      <c r="H162" s="5"/>
      <c r="I162" s="5"/>
      <c r="J162" s="5"/>
      <c r="K162" s="5"/>
      <c r="L162" s="5"/>
      <c r="M162" s="6" t="str">
        <f t="shared" si="8"/>
        <v/>
      </c>
      <c r="N162" s="6" t="str">
        <f t="shared" si="9"/>
        <v/>
      </c>
    </row>
    <row r="163" spans="1:14">
      <c r="A163" s="13"/>
      <c r="B163" s="13"/>
      <c r="C163" s="13"/>
      <c r="D163" s="13"/>
      <c r="E163" s="13"/>
      <c r="F163" s="5"/>
      <c r="G163" s="5"/>
      <c r="H163" s="5"/>
      <c r="I163" s="5"/>
      <c r="J163" s="5"/>
      <c r="K163" s="5"/>
      <c r="L163" s="5"/>
      <c r="M163" s="6" t="str">
        <f t="shared" si="8"/>
        <v/>
      </c>
      <c r="N163" s="6" t="str">
        <f t="shared" si="9"/>
        <v/>
      </c>
    </row>
    <row r="164" spans="1:14">
      <c r="A164" s="13"/>
      <c r="B164" s="13"/>
      <c r="C164" s="13"/>
      <c r="D164" s="13"/>
      <c r="E164" s="13"/>
      <c r="F164" s="5"/>
      <c r="G164" s="5"/>
      <c r="H164" s="5"/>
      <c r="I164" s="5"/>
      <c r="J164" s="5"/>
      <c r="K164" s="5"/>
      <c r="L164" s="5"/>
      <c r="M164" s="6" t="str">
        <f t="shared" si="8"/>
        <v/>
      </c>
      <c r="N164" s="6" t="str">
        <f t="shared" si="9"/>
        <v/>
      </c>
    </row>
    <row r="165" spans="1:14">
      <c r="A165" s="13"/>
      <c r="B165" s="13"/>
      <c r="C165" s="13"/>
      <c r="D165" s="13"/>
      <c r="E165" s="13"/>
      <c r="F165" s="5"/>
      <c r="G165" s="5"/>
      <c r="H165" s="5"/>
      <c r="I165" s="5"/>
      <c r="J165" s="5"/>
      <c r="K165" s="5"/>
      <c r="L165" s="5"/>
      <c r="M165" s="6" t="str">
        <f t="shared" ref="M165:M196" si="10">IF(A165="","",IF(N165="","HỢP LỆ","CẦN SỬA"))</f>
        <v/>
      </c>
      <c r="N165" s="6" t="str">
        <f t="shared" ref="N165:N196" si="11">IF(A165="","",IF(B165="","Thiếu NodeId",IF(D165="","Thiếu NodeType",IF(COUNTIF($B$5:$B$204,B165)&gt;1,"NodeId bị trùng",IF(COUNTIF($A$5:$A$204,A165)&gt;1,"NodeOrder bị trùng",IF(AND(D165="scene",OR(C165="",F165="",G165="")),"scene cần ActNo, Background, SceneName",IF(AND(D165="say",OR(H165="",J165="")),"say cần SpeakerKey và Text",IF(AND(D165="choice",OR(E165="",H165="",I165="",J165="")),"choice cần ChoiceMode, SpeakerKey, Mood, Question",IF(AND(D165="act",K165=""),"act cần số La Mã",IF(AND(D165="end",COUNTIF($D$5:$D$204,"end")&lt;&gt;1),"Phải có đúng 1 node end",""))))))))))</f>
        <v/>
      </c>
    </row>
    <row r="166" spans="1:14">
      <c r="A166" s="13"/>
      <c r="B166" s="13"/>
      <c r="C166" s="13"/>
      <c r="D166" s="13"/>
      <c r="E166" s="13"/>
      <c r="F166" s="5"/>
      <c r="G166" s="5"/>
      <c r="H166" s="5"/>
      <c r="I166" s="5"/>
      <c r="J166" s="5"/>
      <c r="K166" s="5"/>
      <c r="L166" s="5"/>
      <c r="M166" s="6" t="str">
        <f t="shared" si="10"/>
        <v/>
      </c>
      <c r="N166" s="6" t="str">
        <f t="shared" si="11"/>
        <v/>
      </c>
    </row>
    <row r="167" spans="1:14">
      <c r="A167" s="13"/>
      <c r="B167" s="13"/>
      <c r="C167" s="13"/>
      <c r="D167" s="13"/>
      <c r="E167" s="13"/>
      <c r="F167" s="5"/>
      <c r="G167" s="5"/>
      <c r="H167" s="5"/>
      <c r="I167" s="5"/>
      <c r="J167" s="5"/>
      <c r="K167" s="5"/>
      <c r="L167" s="5"/>
      <c r="M167" s="6" t="str">
        <f t="shared" si="10"/>
        <v/>
      </c>
      <c r="N167" s="6" t="str">
        <f t="shared" si="11"/>
        <v/>
      </c>
    </row>
    <row r="168" spans="1:14">
      <c r="A168" s="13"/>
      <c r="B168" s="13"/>
      <c r="C168" s="13"/>
      <c r="D168" s="13"/>
      <c r="E168" s="13"/>
      <c r="F168" s="5"/>
      <c r="G168" s="5"/>
      <c r="H168" s="5"/>
      <c r="I168" s="5"/>
      <c r="J168" s="5"/>
      <c r="K168" s="5"/>
      <c r="L168" s="5"/>
      <c r="M168" s="6" t="str">
        <f t="shared" si="10"/>
        <v/>
      </c>
      <c r="N168" s="6" t="str">
        <f t="shared" si="11"/>
        <v/>
      </c>
    </row>
    <row r="169" spans="1:14">
      <c r="A169" s="13"/>
      <c r="B169" s="13"/>
      <c r="C169" s="13"/>
      <c r="D169" s="13"/>
      <c r="E169" s="13"/>
      <c r="F169" s="5"/>
      <c r="G169" s="5"/>
      <c r="H169" s="5"/>
      <c r="I169" s="5"/>
      <c r="J169" s="5"/>
      <c r="K169" s="5"/>
      <c r="L169" s="5"/>
      <c r="M169" s="6" t="str">
        <f t="shared" si="10"/>
        <v/>
      </c>
      <c r="N169" s="6" t="str">
        <f t="shared" si="11"/>
        <v/>
      </c>
    </row>
    <row r="170" spans="1:14">
      <c r="A170" s="13"/>
      <c r="B170" s="13"/>
      <c r="C170" s="13"/>
      <c r="D170" s="13"/>
      <c r="E170" s="13"/>
      <c r="F170" s="5"/>
      <c r="G170" s="5"/>
      <c r="H170" s="5"/>
      <c r="I170" s="5"/>
      <c r="J170" s="5"/>
      <c r="K170" s="5"/>
      <c r="L170" s="5"/>
      <c r="M170" s="6" t="str">
        <f t="shared" si="10"/>
        <v/>
      </c>
      <c r="N170" s="6" t="str">
        <f t="shared" si="11"/>
        <v/>
      </c>
    </row>
    <row r="171" spans="1:14">
      <c r="A171" s="13"/>
      <c r="B171" s="13"/>
      <c r="C171" s="13"/>
      <c r="D171" s="13"/>
      <c r="E171" s="13"/>
      <c r="F171" s="5"/>
      <c r="G171" s="5"/>
      <c r="H171" s="5"/>
      <c r="I171" s="5"/>
      <c r="J171" s="5"/>
      <c r="K171" s="5"/>
      <c r="L171" s="5"/>
      <c r="M171" s="6" t="str">
        <f t="shared" si="10"/>
        <v/>
      </c>
      <c r="N171" s="6" t="str">
        <f t="shared" si="11"/>
        <v/>
      </c>
    </row>
    <row r="172" spans="1:14">
      <c r="A172" s="13"/>
      <c r="B172" s="13"/>
      <c r="C172" s="13"/>
      <c r="D172" s="13"/>
      <c r="E172" s="13"/>
      <c r="F172" s="5"/>
      <c r="G172" s="5"/>
      <c r="H172" s="5"/>
      <c r="I172" s="5"/>
      <c r="J172" s="5"/>
      <c r="K172" s="5"/>
      <c r="L172" s="5"/>
      <c r="M172" s="6" t="str">
        <f t="shared" si="10"/>
        <v/>
      </c>
      <c r="N172" s="6" t="str">
        <f t="shared" si="11"/>
        <v/>
      </c>
    </row>
    <row r="173" spans="1:14">
      <c r="A173" s="13"/>
      <c r="B173" s="13"/>
      <c r="C173" s="13"/>
      <c r="D173" s="13"/>
      <c r="E173" s="13"/>
      <c r="F173" s="5"/>
      <c r="G173" s="5"/>
      <c r="H173" s="5"/>
      <c r="I173" s="5"/>
      <c r="J173" s="5"/>
      <c r="K173" s="5"/>
      <c r="L173" s="5"/>
      <c r="M173" s="6" t="str">
        <f t="shared" si="10"/>
        <v/>
      </c>
      <c r="N173" s="6" t="str">
        <f t="shared" si="11"/>
        <v/>
      </c>
    </row>
    <row r="174" spans="1:14">
      <c r="A174" s="13"/>
      <c r="B174" s="13"/>
      <c r="C174" s="13"/>
      <c r="D174" s="13"/>
      <c r="E174" s="13"/>
      <c r="F174" s="5"/>
      <c r="G174" s="5"/>
      <c r="H174" s="5"/>
      <c r="I174" s="5"/>
      <c r="J174" s="5"/>
      <c r="K174" s="5"/>
      <c r="L174" s="5"/>
      <c r="M174" s="6" t="str">
        <f t="shared" si="10"/>
        <v/>
      </c>
      <c r="N174" s="6" t="str">
        <f t="shared" si="11"/>
        <v/>
      </c>
    </row>
    <row r="175" spans="1:14">
      <c r="A175" s="13"/>
      <c r="B175" s="13"/>
      <c r="C175" s="13"/>
      <c r="D175" s="13"/>
      <c r="E175" s="13"/>
      <c r="F175" s="5"/>
      <c r="G175" s="5"/>
      <c r="H175" s="5"/>
      <c r="I175" s="5"/>
      <c r="J175" s="5"/>
      <c r="K175" s="5"/>
      <c r="L175" s="5"/>
      <c r="M175" s="6" t="str">
        <f t="shared" si="10"/>
        <v/>
      </c>
      <c r="N175" s="6" t="str">
        <f t="shared" si="11"/>
        <v/>
      </c>
    </row>
    <row r="176" spans="1:14">
      <c r="A176" s="13"/>
      <c r="B176" s="13"/>
      <c r="C176" s="13"/>
      <c r="D176" s="13"/>
      <c r="E176" s="13"/>
      <c r="F176" s="5"/>
      <c r="G176" s="5"/>
      <c r="H176" s="5"/>
      <c r="I176" s="5"/>
      <c r="J176" s="5"/>
      <c r="K176" s="5"/>
      <c r="L176" s="5"/>
      <c r="M176" s="6" t="str">
        <f t="shared" si="10"/>
        <v/>
      </c>
      <c r="N176" s="6" t="str">
        <f t="shared" si="11"/>
        <v/>
      </c>
    </row>
    <row r="177" spans="1:14">
      <c r="A177" s="13"/>
      <c r="B177" s="13"/>
      <c r="C177" s="13"/>
      <c r="D177" s="13"/>
      <c r="E177" s="13"/>
      <c r="F177" s="5"/>
      <c r="G177" s="5"/>
      <c r="H177" s="5"/>
      <c r="I177" s="5"/>
      <c r="J177" s="5"/>
      <c r="K177" s="5"/>
      <c r="L177" s="5"/>
      <c r="M177" s="6" t="str">
        <f t="shared" si="10"/>
        <v/>
      </c>
      <c r="N177" s="6" t="str">
        <f t="shared" si="11"/>
        <v/>
      </c>
    </row>
    <row r="178" spans="1:14">
      <c r="A178" s="13"/>
      <c r="B178" s="13"/>
      <c r="C178" s="13"/>
      <c r="D178" s="13"/>
      <c r="E178" s="13"/>
      <c r="F178" s="5"/>
      <c r="G178" s="5"/>
      <c r="H178" s="5"/>
      <c r="I178" s="5"/>
      <c r="J178" s="5"/>
      <c r="K178" s="5"/>
      <c r="L178" s="5"/>
      <c r="M178" s="6" t="str">
        <f t="shared" si="10"/>
        <v/>
      </c>
      <c r="N178" s="6" t="str">
        <f t="shared" si="11"/>
        <v/>
      </c>
    </row>
    <row r="179" spans="1:14">
      <c r="A179" s="13"/>
      <c r="B179" s="13"/>
      <c r="C179" s="13"/>
      <c r="D179" s="13"/>
      <c r="E179" s="13"/>
      <c r="F179" s="5"/>
      <c r="G179" s="5"/>
      <c r="H179" s="5"/>
      <c r="I179" s="5"/>
      <c r="J179" s="5"/>
      <c r="K179" s="5"/>
      <c r="L179" s="5"/>
      <c r="M179" s="6" t="str">
        <f t="shared" si="10"/>
        <v/>
      </c>
      <c r="N179" s="6" t="str">
        <f t="shared" si="11"/>
        <v/>
      </c>
    </row>
    <row r="180" spans="1:14">
      <c r="A180" s="13"/>
      <c r="B180" s="13"/>
      <c r="C180" s="13"/>
      <c r="D180" s="13"/>
      <c r="E180" s="13"/>
      <c r="F180" s="5"/>
      <c r="G180" s="5"/>
      <c r="H180" s="5"/>
      <c r="I180" s="5"/>
      <c r="J180" s="5"/>
      <c r="K180" s="5"/>
      <c r="L180" s="5"/>
      <c r="M180" s="6" t="str">
        <f t="shared" si="10"/>
        <v/>
      </c>
      <c r="N180" s="6" t="str">
        <f t="shared" si="11"/>
        <v/>
      </c>
    </row>
    <row r="181" spans="1:14">
      <c r="A181" s="13"/>
      <c r="B181" s="13"/>
      <c r="C181" s="13"/>
      <c r="D181" s="13"/>
      <c r="E181" s="13"/>
      <c r="F181" s="5"/>
      <c r="G181" s="5"/>
      <c r="H181" s="5"/>
      <c r="I181" s="5"/>
      <c r="J181" s="5"/>
      <c r="K181" s="5"/>
      <c r="L181" s="5"/>
      <c r="M181" s="6" t="str">
        <f t="shared" si="10"/>
        <v/>
      </c>
      <c r="N181" s="6" t="str">
        <f t="shared" si="11"/>
        <v/>
      </c>
    </row>
    <row r="182" spans="1:14">
      <c r="A182" s="13"/>
      <c r="B182" s="13"/>
      <c r="C182" s="13"/>
      <c r="D182" s="13"/>
      <c r="E182" s="13"/>
      <c r="F182" s="5"/>
      <c r="G182" s="5"/>
      <c r="H182" s="5"/>
      <c r="I182" s="5"/>
      <c r="J182" s="5"/>
      <c r="K182" s="5"/>
      <c r="L182" s="5"/>
      <c r="M182" s="6" t="str">
        <f t="shared" si="10"/>
        <v/>
      </c>
      <c r="N182" s="6" t="str">
        <f t="shared" si="11"/>
        <v/>
      </c>
    </row>
    <row r="183" spans="1:14">
      <c r="A183" s="13"/>
      <c r="B183" s="13"/>
      <c r="C183" s="13"/>
      <c r="D183" s="13"/>
      <c r="E183" s="13"/>
      <c r="F183" s="5"/>
      <c r="G183" s="5"/>
      <c r="H183" s="5"/>
      <c r="I183" s="5"/>
      <c r="J183" s="5"/>
      <c r="K183" s="5"/>
      <c r="L183" s="5"/>
      <c r="M183" s="6" t="str">
        <f t="shared" si="10"/>
        <v/>
      </c>
      <c r="N183" s="6" t="str">
        <f t="shared" si="11"/>
        <v/>
      </c>
    </row>
    <row r="184" spans="1:14">
      <c r="A184" s="13"/>
      <c r="B184" s="13"/>
      <c r="C184" s="13"/>
      <c r="D184" s="13"/>
      <c r="E184" s="13"/>
      <c r="F184" s="5"/>
      <c r="G184" s="5"/>
      <c r="H184" s="5"/>
      <c r="I184" s="5"/>
      <c r="J184" s="5"/>
      <c r="K184" s="5"/>
      <c r="L184" s="5"/>
      <c r="M184" s="6" t="str">
        <f t="shared" si="10"/>
        <v/>
      </c>
      <c r="N184" s="6" t="str">
        <f t="shared" si="11"/>
        <v/>
      </c>
    </row>
    <row r="185" spans="1:14">
      <c r="A185" s="13"/>
      <c r="B185" s="13"/>
      <c r="C185" s="13"/>
      <c r="D185" s="13"/>
      <c r="E185" s="13"/>
      <c r="F185" s="5"/>
      <c r="G185" s="5"/>
      <c r="H185" s="5"/>
      <c r="I185" s="5"/>
      <c r="J185" s="5"/>
      <c r="K185" s="5"/>
      <c r="L185" s="5"/>
      <c r="M185" s="6" t="str">
        <f t="shared" si="10"/>
        <v/>
      </c>
      <c r="N185" s="6" t="str">
        <f t="shared" si="11"/>
        <v/>
      </c>
    </row>
    <row r="186" spans="1:14">
      <c r="A186" s="13"/>
      <c r="B186" s="13"/>
      <c r="C186" s="13"/>
      <c r="D186" s="13"/>
      <c r="E186" s="13"/>
      <c r="F186" s="5"/>
      <c r="G186" s="5"/>
      <c r="H186" s="5"/>
      <c r="I186" s="5"/>
      <c r="J186" s="5"/>
      <c r="K186" s="5"/>
      <c r="L186" s="5"/>
      <c r="M186" s="6" t="str">
        <f t="shared" si="10"/>
        <v/>
      </c>
      <c r="N186" s="6" t="str">
        <f t="shared" si="11"/>
        <v/>
      </c>
    </row>
    <row r="187" spans="1:14">
      <c r="A187" s="13"/>
      <c r="B187" s="13"/>
      <c r="C187" s="13"/>
      <c r="D187" s="13"/>
      <c r="E187" s="13"/>
      <c r="F187" s="5"/>
      <c r="G187" s="5"/>
      <c r="H187" s="5"/>
      <c r="I187" s="5"/>
      <c r="J187" s="5"/>
      <c r="K187" s="5"/>
      <c r="L187" s="5"/>
      <c r="M187" s="6" t="str">
        <f t="shared" si="10"/>
        <v/>
      </c>
      <c r="N187" s="6" t="str">
        <f t="shared" si="11"/>
        <v/>
      </c>
    </row>
    <row r="188" spans="1:14">
      <c r="A188" s="13"/>
      <c r="B188" s="13"/>
      <c r="C188" s="13"/>
      <c r="D188" s="13"/>
      <c r="E188" s="13"/>
      <c r="F188" s="5"/>
      <c r="G188" s="5"/>
      <c r="H188" s="5"/>
      <c r="I188" s="5"/>
      <c r="J188" s="5"/>
      <c r="K188" s="5"/>
      <c r="L188" s="5"/>
      <c r="M188" s="6" t="str">
        <f t="shared" si="10"/>
        <v/>
      </c>
      <c r="N188" s="6" t="str">
        <f t="shared" si="11"/>
        <v/>
      </c>
    </row>
    <row r="189" spans="1:14">
      <c r="A189" s="13"/>
      <c r="B189" s="13"/>
      <c r="C189" s="13"/>
      <c r="D189" s="13"/>
      <c r="E189" s="13"/>
      <c r="F189" s="5"/>
      <c r="G189" s="5"/>
      <c r="H189" s="5"/>
      <c r="I189" s="5"/>
      <c r="J189" s="5"/>
      <c r="K189" s="5"/>
      <c r="L189" s="5"/>
      <c r="M189" s="6" t="str">
        <f t="shared" si="10"/>
        <v/>
      </c>
      <c r="N189" s="6" t="str">
        <f t="shared" si="11"/>
        <v/>
      </c>
    </row>
    <row r="190" spans="1:14">
      <c r="A190" s="13"/>
      <c r="B190" s="13"/>
      <c r="C190" s="13"/>
      <c r="D190" s="13"/>
      <c r="E190" s="13"/>
      <c r="F190" s="5"/>
      <c r="G190" s="5"/>
      <c r="H190" s="5"/>
      <c r="I190" s="5"/>
      <c r="J190" s="5"/>
      <c r="K190" s="5"/>
      <c r="L190" s="5"/>
      <c r="M190" s="6" t="str">
        <f t="shared" si="10"/>
        <v/>
      </c>
      <c r="N190" s="6" t="str">
        <f t="shared" si="11"/>
        <v/>
      </c>
    </row>
    <row r="191" spans="1:14">
      <c r="A191" s="13"/>
      <c r="B191" s="13"/>
      <c r="C191" s="13"/>
      <c r="D191" s="13"/>
      <c r="E191" s="13"/>
      <c r="F191" s="5"/>
      <c r="G191" s="5"/>
      <c r="H191" s="5"/>
      <c r="I191" s="5"/>
      <c r="J191" s="5"/>
      <c r="K191" s="5"/>
      <c r="L191" s="5"/>
      <c r="M191" s="6" t="str">
        <f t="shared" si="10"/>
        <v/>
      </c>
      <c r="N191" s="6" t="str">
        <f t="shared" si="11"/>
        <v/>
      </c>
    </row>
    <row r="192" spans="1:14">
      <c r="A192" s="13"/>
      <c r="B192" s="13"/>
      <c r="C192" s="13"/>
      <c r="D192" s="13"/>
      <c r="E192" s="13"/>
      <c r="F192" s="5"/>
      <c r="G192" s="5"/>
      <c r="H192" s="5"/>
      <c r="I192" s="5"/>
      <c r="J192" s="5"/>
      <c r="K192" s="5"/>
      <c r="L192" s="5"/>
      <c r="M192" s="6" t="str">
        <f t="shared" si="10"/>
        <v/>
      </c>
      <c r="N192" s="6" t="str">
        <f t="shared" si="11"/>
        <v/>
      </c>
    </row>
    <row r="193" spans="1:14">
      <c r="A193" s="13"/>
      <c r="B193" s="13"/>
      <c r="C193" s="13"/>
      <c r="D193" s="13"/>
      <c r="E193" s="13"/>
      <c r="F193" s="5"/>
      <c r="G193" s="5"/>
      <c r="H193" s="5"/>
      <c r="I193" s="5"/>
      <c r="J193" s="5"/>
      <c r="K193" s="5"/>
      <c r="L193" s="5"/>
      <c r="M193" s="6" t="str">
        <f t="shared" si="10"/>
        <v/>
      </c>
      <c r="N193" s="6" t="str">
        <f t="shared" si="11"/>
        <v/>
      </c>
    </row>
    <row r="194" spans="1:14">
      <c r="A194" s="13"/>
      <c r="B194" s="13"/>
      <c r="C194" s="13"/>
      <c r="D194" s="13"/>
      <c r="E194" s="13"/>
      <c r="F194" s="5"/>
      <c r="G194" s="5"/>
      <c r="H194" s="5"/>
      <c r="I194" s="5"/>
      <c r="J194" s="5"/>
      <c r="K194" s="5"/>
      <c r="L194" s="5"/>
      <c r="M194" s="6" t="str">
        <f t="shared" si="10"/>
        <v/>
      </c>
      <c r="N194" s="6" t="str">
        <f t="shared" si="11"/>
        <v/>
      </c>
    </row>
    <row r="195" spans="1:14">
      <c r="A195" s="13"/>
      <c r="B195" s="13"/>
      <c r="C195" s="13"/>
      <c r="D195" s="13"/>
      <c r="E195" s="13"/>
      <c r="F195" s="5"/>
      <c r="G195" s="5"/>
      <c r="H195" s="5"/>
      <c r="I195" s="5"/>
      <c r="J195" s="5"/>
      <c r="K195" s="5"/>
      <c r="L195" s="5"/>
      <c r="M195" s="6" t="str">
        <f t="shared" si="10"/>
        <v/>
      </c>
      <c r="N195" s="6" t="str">
        <f t="shared" si="11"/>
        <v/>
      </c>
    </row>
    <row r="196" spans="1:14">
      <c r="A196" s="13"/>
      <c r="B196" s="13"/>
      <c r="C196" s="13"/>
      <c r="D196" s="13"/>
      <c r="E196" s="13"/>
      <c r="F196" s="5"/>
      <c r="G196" s="5"/>
      <c r="H196" s="5"/>
      <c r="I196" s="5"/>
      <c r="J196" s="5"/>
      <c r="K196" s="5"/>
      <c r="L196" s="5"/>
      <c r="M196" s="6" t="str">
        <f t="shared" si="10"/>
        <v/>
      </c>
      <c r="N196" s="6" t="str">
        <f t="shared" si="11"/>
        <v/>
      </c>
    </row>
    <row r="197" spans="1:14">
      <c r="A197" s="13"/>
      <c r="B197" s="13"/>
      <c r="C197" s="13"/>
      <c r="D197" s="13"/>
      <c r="E197" s="13"/>
      <c r="F197" s="5"/>
      <c r="G197" s="5"/>
      <c r="H197" s="5"/>
      <c r="I197" s="5"/>
      <c r="J197" s="5"/>
      <c r="K197" s="5"/>
      <c r="L197" s="5"/>
      <c r="M197" s="6" t="str">
        <f t="shared" ref="M197:M228" si="12">IF(A197="","",IF(N197="","HỢP LỆ","CẦN SỬA"))</f>
        <v/>
      </c>
      <c r="N197" s="6" t="str">
        <f t="shared" ref="N197:N204" si="13">IF(A197="","",IF(B197="","Thiếu NodeId",IF(D197="","Thiếu NodeType",IF(COUNTIF($B$5:$B$204,B197)&gt;1,"NodeId bị trùng",IF(COUNTIF($A$5:$A$204,A197)&gt;1,"NodeOrder bị trùng",IF(AND(D197="scene",OR(C197="",F197="",G197="")),"scene cần ActNo, Background, SceneName",IF(AND(D197="say",OR(H197="",J197="")),"say cần SpeakerKey và Text",IF(AND(D197="choice",OR(E197="",H197="",I197="",J197="")),"choice cần ChoiceMode, SpeakerKey, Mood, Question",IF(AND(D197="act",K197=""),"act cần số La Mã",IF(AND(D197="end",COUNTIF($D$5:$D$204,"end")&lt;&gt;1),"Phải có đúng 1 node end",""))))))))))</f>
        <v/>
      </c>
    </row>
    <row r="198" spans="1:14">
      <c r="A198" s="13"/>
      <c r="B198" s="13"/>
      <c r="C198" s="13"/>
      <c r="D198" s="13"/>
      <c r="E198" s="13"/>
      <c r="F198" s="5"/>
      <c r="G198" s="5"/>
      <c r="H198" s="5"/>
      <c r="I198" s="5"/>
      <c r="J198" s="5"/>
      <c r="K198" s="5"/>
      <c r="L198" s="5"/>
      <c r="M198" s="6" t="str">
        <f t="shared" si="12"/>
        <v/>
      </c>
      <c r="N198" s="6" t="str">
        <f t="shared" si="13"/>
        <v/>
      </c>
    </row>
    <row r="199" spans="1:14">
      <c r="A199" s="13"/>
      <c r="B199" s="13"/>
      <c r="C199" s="13"/>
      <c r="D199" s="13"/>
      <c r="E199" s="13"/>
      <c r="F199" s="5"/>
      <c r="G199" s="5"/>
      <c r="H199" s="5"/>
      <c r="I199" s="5"/>
      <c r="J199" s="5"/>
      <c r="K199" s="5"/>
      <c r="L199" s="5"/>
      <c r="M199" s="6" t="str">
        <f t="shared" si="12"/>
        <v/>
      </c>
      <c r="N199" s="6" t="str">
        <f t="shared" si="13"/>
        <v/>
      </c>
    </row>
    <row r="200" spans="1:14">
      <c r="A200" s="13"/>
      <c r="B200" s="13"/>
      <c r="C200" s="13"/>
      <c r="D200" s="13"/>
      <c r="E200" s="13"/>
      <c r="F200" s="5"/>
      <c r="G200" s="5"/>
      <c r="H200" s="5"/>
      <c r="I200" s="5"/>
      <c r="J200" s="5"/>
      <c r="K200" s="5"/>
      <c r="L200" s="5"/>
      <c r="M200" s="6" t="str">
        <f t="shared" si="12"/>
        <v/>
      </c>
      <c r="N200" s="6" t="str">
        <f t="shared" si="13"/>
        <v/>
      </c>
    </row>
    <row r="201" spans="1:14">
      <c r="A201" s="13"/>
      <c r="B201" s="13"/>
      <c r="C201" s="13"/>
      <c r="D201" s="13"/>
      <c r="E201" s="13"/>
      <c r="F201" s="5"/>
      <c r="G201" s="5"/>
      <c r="H201" s="5"/>
      <c r="I201" s="5"/>
      <c r="J201" s="5"/>
      <c r="K201" s="5"/>
      <c r="L201" s="5"/>
      <c r="M201" s="6" t="str">
        <f t="shared" si="12"/>
        <v/>
      </c>
      <c r="N201" s="6" t="str">
        <f t="shared" si="13"/>
        <v/>
      </c>
    </row>
    <row r="202" spans="1:14">
      <c r="A202" s="13"/>
      <c r="B202" s="13"/>
      <c r="C202" s="13"/>
      <c r="D202" s="13"/>
      <c r="E202" s="13"/>
      <c r="F202" s="5"/>
      <c r="G202" s="5"/>
      <c r="H202" s="5"/>
      <c r="I202" s="5"/>
      <c r="J202" s="5"/>
      <c r="K202" s="5"/>
      <c r="L202" s="5"/>
      <c r="M202" s="6" t="str">
        <f t="shared" si="12"/>
        <v/>
      </c>
      <c r="N202" s="6" t="str">
        <f t="shared" si="13"/>
        <v/>
      </c>
    </row>
    <row r="203" spans="1:14">
      <c r="A203" s="13"/>
      <c r="B203" s="13"/>
      <c r="C203" s="13"/>
      <c r="D203" s="13"/>
      <c r="E203" s="13"/>
      <c r="F203" s="5"/>
      <c r="G203" s="5"/>
      <c r="H203" s="5"/>
      <c r="I203" s="5"/>
      <c r="J203" s="5"/>
      <c r="K203" s="5"/>
      <c r="L203" s="5"/>
      <c r="M203" s="6" t="str">
        <f t="shared" si="12"/>
        <v/>
      </c>
      <c r="N203" s="6" t="str">
        <f t="shared" si="13"/>
        <v/>
      </c>
    </row>
    <row r="204" spans="1:14">
      <c r="A204" s="13"/>
      <c r="B204" s="13"/>
      <c r="C204" s="13"/>
      <c r="D204" s="13"/>
      <c r="E204" s="13"/>
      <c r="F204" s="5"/>
      <c r="G204" s="5"/>
      <c r="H204" s="5"/>
      <c r="I204" s="5"/>
      <c r="J204" s="5"/>
      <c r="K204" s="5"/>
      <c r="L204" s="5"/>
      <c r="M204" s="6" t="str">
        <f t="shared" si="12"/>
        <v/>
      </c>
      <c r="N204" s="6" t="str">
        <f t="shared" si="13"/>
        <v/>
      </c>
    </row>
  </sheetData>
  <mergeCells count="2">
    <mergeCell ref="A1:N1"/>
    <mergeCell ref="A2:N2"/>
  </mergeCells>
  <conditionalFormatting sqref="D5:D204">
    <cfRule type="expression" dxfId="19" priority="4">
      <formula>D5="scene"</formula>
    </cfRule>
    <cfRule type="expression" dxfId="18" priority="5">
      <formula>D5="choice"</formula>
    </cfRule>
    <cfRule type="expression" dxfId="17" priority="6">
      <formula>D5="end"</formula>
    </cfRule>
  </conditionalFormatting>
  <conditionalFormatting sqref="E5:E204">
    <cfRule type="expression" dxfId="16" priority="7">
      <formula>E5="Tương tác"</formula>
    </cfRule>
  </conditionalFormatting>
  <conditionalFormatting sqref="M5:M204">
    <cfRule type="expression" dxfId="15" priority="1">
      <formula>M5="HỢP LỆ"</formula>
    </cfRule>
    <cfRule type="expression" dxfId="14" priority="2">
      <formula>M5="CẦN SỬA"</formula>
    </cfRule>
  </conditionalFormatting>
  <conditionalFormatting sqref="N5:N204">
    <cfRule type="expression" dxfId="13" priority="3">
      <formula>N5&lt;&gt;""</formula>
    </cfRule>
  </conditionalFormatting>
  <dataValidations count="2">
    <dataValidation type="list" sqref="E5:E204" xr:uid="{00000000-0002-0000-0200-000000000000}">
      <formula1>"Kiến thức,Tương tác"</formula1>
    </dataValidation>
    <dataValidation type="list" sqref="K5:K204" xr:uid="{00000000-0002-0000-0200-000001000000}">
      <formula1>"I,II,III,IV,V,VI,VII,VIII,IX,X"</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04"/>
  <sheetViews>
    <sheetView workbookViewId="0"/>
  </sheetViews>
  <sheetFormatPr defaultRowHeight="14.25"/>
  <cols>
    <col min="1" max="1" width="16" customWidth="1"/>
    <col min="2" max="2" width="13" customWidth="1"/>
    <col min="3" max="3" width="55" customWidth="1"/>
    <col min="4" max="4" width="12" customWidth="1"/>
    <col min="5" max="5" width="9" customWidth="1"/>
    <col min="6" max="6" width="16" customWidth="1"/>
    <col min="7" max="7" width="13" customWidth="1"/>
    <col min="8" max="8" width="62" customWidth="1"/>
    <col min="9" max="9" width="22" customWidth="1"/>
    <col min="10" max="10" width="13" customWidth="1"/>
    <col min="11" max="11" width="31" customWidth="1"/>
  </cols>
  <sheetData>
    <row r="1" spans="1:11" ht="30" customHeight="1">
      <c r="A1" s="19" t="s">
        <v>156</v>
      </c>
      <c r="B1" s="19"/>
      <c r="C1" s="19"/>
      <c r="D1" s="19"/>
      <c r="E1" s="19"/>
      <c r="F1" s="19"/>
      <c r="G1" s="19"/>
      <c r="H1" s="19"/>
      <c r="I1" s="19"/>
      <c r="J1" s="19"/>
      <c r="K1" s="19"/>
    </row>
    <row r="2" spans="1:11" ht="36" customHeight="1">
      <c r="A2" s="20" t="s">
        <v>157</v>
      </c>
      <c r="B2" s="20"/>
      <c r="C2" s="20"/>
      <c r="D2" s="20"/>
      <c r="E2" s="20"/>
      <c r="F2" s="20"/>
      <c r="G2" s="20"/>
      <c r="H2" s="20"/>
      <c r="I2" s="20"/>
      <c r="J2" s="20"/>
      <c r="K2" s="20"/>
    </row>
    <row r="4" spans="1:11" ht="39.950000000000003" customHeight="1">
      <c r="A4" s="1" t="s">
        <v>158</v>
      </c>
      <c r="B4" s="1" t="s">
        <v>159</v>
      </c>
      <c r="C4" s="1" t="s">
        <v>160</v>
      </c>
      <c r="D4" s="1" t="s">
        <v>161</v>
      </c>
      <c r="E4" s="1" t="s">
        <v>162</v>
      </c>
      <c r="F4" s="1" t="s">
        <v>163</v>
      </c>
      <c r="G4" s="1" t="s">
        <v>164</v>
      </c>
      <c r="H4" s="1" t="s">
        <v>165</v>
      </c>
      <c r="I4" s="1" t="s">
        <v>139</v>
      </c>
      <c r="J4" s="1" t="s">
        <v>135</v>
      </c>
      <c r="K4" s="1" t="s">
        <v>155</v>
      </c>
    </row>
    <row r="5" spans="1:11" ht="15" customHeight="1">
      <c r="A5" s="16" t="s">
        <v>389</v>
      </c>
      <c r="B5" s="16">
        <v>1</v>
      </c>
      <c r="C5" s="15" t="s">
        <v>453</v>
      </c>
      <c r="D5" s="16" t="s">
        <v>127</v>
      </c>
      <c r="E5" s="16">
        <v>8</v>
      </c>
      <c r="F5" s="16" t="s">
        <v>201</v>
      </c>
      <c r="G5" s="16" t="s">
        <v>196</v>
      </c>
      <c r="H5" s="15" t="s">
        <v>454</v>
      </c>
      <c r="I5" s="15" t="s">
        <v>54</v>
      </c>
      <c r="J5" s="17" t="str">
        <f t="shared" ref="J5:J68" si="0">IF(A5="","",IF(K5="","HỢP LỆ","CẦN SỬA"))</f>
        <v>HỢP LỆ</v>
      </c>
      <c r="K5" s="17" t="str">
        <f>IF(A5="","",IF(COUNTIFS('02_KICH_BAN_NODES'!$B$5:$B$204,A5,'02_KICH_BAN_NODES'!$D$5:$D$204,"choice")=0,"ChoiceNodeId không tồn tại hoặc không phải choice",IF(COUNTIFS($A$5:$A$404,A5,$B$5:$B$404,B5)&gt;1,"Trùng OptionOrder trong cùng choice",IF(OR(B5="",C5="",D5="",F5="",H5=""),"Thiếu trường bắt buộc",IF(OR(COUNTIF($A$5:$A$404,A5)&lt;2,COUNTIF($A$5:$A$404,A5)&gt;4),"Mỗi choice cần 2–4 option",IF(COUNTIFS('02_KICH_BAN_NODES'!$B$5:$B$204,A5,'02_KICH_BAN_NODES'!$E$5:$E$204,"Kiến thức")=1,IF(COUNTIFS($A$5:$A$404,A5,$D$5:$D$404,"Có")&lt;&gt;1,"Choice kiến thức cần đúng 1 đáp án đúng",""),IF(COUNTIFS('02_KICH_BAN_NODES'!$B$5:$B$204,A5,'02_KICH_BAN_NODES'!$E$5:$E$204,"Tương tác")=1,IF(COUNTIFS($A$5:$A$404,A5,$D$5:$D$404,"Có")&lt;&gt;0,"Choice tương tác không được đánh dấu đáp án đúng",""),"Choice chưa chọn loại")))))))</f>
        <v/>
      </c>
    </row>
    <row r="6" spans="1:11" ht="15" customHeight="1">
      <c r="A6" s="16" t="s">
        <v>389</v>
      </c>
      <c r="B6" s="16">
        <v>2</v>
      </c>
      <c r="C6" s="15" t="s">
        <v>455</v>
      </c>
      <c r="D6" s="16" t="s">
        <v>127</v>
      </c>
      <c r="E6" s="16">
        <v>4</v>
      </c>
      <c r="F6" s="16" t="s">
        <v>201</v>
      </c>
      <c r="G6" s="16" t="s">
        <v>186</v>
      </c>
      <c r="H6" s="15" t="s">
        <v>456</v>
      </c>
      <c r="I6" s="15" t="s">
        <v>54</v>
      </c>
      <c r="J6" s="17" t="str">
        <f t="shared" si="0"/>
        <v>HỢP LỆ</v>
      </c>
      <c r="K6" s="17" t="str">
        <f>IF(A6="","",IF(COUNTIFS('02_KICH_BAN_NODES'!$B$5:$B$204,A6,'02_KICH_BAN_NODES'!$D$5:$D$204,"choice")=0,"ChoiceNodeId không tồn tại hoặc không phải choice",IF(COUNTIFS($A$5:$A$404,A6,$B$5:$B$404,B6)&gt;1,"Trùng OptionOrder trong cùng choice",IF(OR(B6="",C6="",D6="",F6="",H6=""),"Thiếu trường bắt buộc",IF(OR(COUNTIF($A$5:$A$404,A6)&lt;2,COUNTIF($A$5:$A$404,A6)&gt;4),"Mỗi choice cần 2–4 option",IF(COUNTIFS('02_KICH_BAN_NODES'!$B$5:$B$204,A6,'02_KICH_BAN_NODES'!$E$5:$E$204,"Kiến thức")=1,IF(COUNTIFS($A$5:$A$404,A6,$D$5:$D$404,"Có")&lt;&gt;1,"Choice kiến thức cần đúng 1 đáp án đúng",""),IF(COUNTIFS('02_KICH_BAN_NODES'!$B$5:$B$204,A6,'02_KICH_BAN_NODES'!$E$5:$E$204,"Tương tác")=1,IF(COUNTIFS($A$5:$A$404,A6,$D$5:$D$404,"Có")&lt;&gt;0,"Choice tương tác không được đánh dấu đáp án đúng",""),"Choice chưa chọn loại")))))))</f>
        <v/>
      </c>
    </row>
    <row r="7" spans="1:11" ht="26.45" customHeight="1">
      <c r="A7" s="16" t="s">
        <v>393</v>
      </c>
      <c r="B7" s="16">
        <v>1</v>
      </c>
      <c r="C7" s="15" t="s">
        <v>457</v>
      </c>
      <c r="D7" s="16" t="s">
        <v>96</v>
      </c>
      <c r="E7" s="16"/>
      <c r="F7" s="16" t="s">
        <v>211</v>
      </c>
      <c r="G7" s="16" t="s">
        <v>196</v>
      </c>
      <c r="H7" s="15" t="s">
        <v>458</v>
      </c>
      <c r="I7" s="15" t="s">
        <v>459</v>
      </c>
      <c r="J7" s="17" t="str">
        <f t="shared" si="0"/>
        <v>HỢP LỆ</v>
      </c>
      <c r="K7" s="17" t="str">
        <f>IF(A7="","",IF(COUNTIFS('02_KICH_BAN_NODES'!$B$5:$B$204,A7,'02_KICH_BAN_NODES'!$D$5:$D$204,"choice")=0,"ChoiceNodeId không tồn tại hoặc không phải choice",IF(COUNTIFS($A$5:$A$404,A7,$B$5:$B$404,B7)&gt;1,"Trùng OptionOrder trong cùng choice",IF(OR(B7="",C7="",D7="",F7="",H7=""),"Thiếu trường bắt buộc",IF(OR(COUNTIF($A$5:$A$404,A7)&lt;2,COUNTIF($A$5:$A$404,A7)&gt;4),"Mỗi choice cần 2–4 option",IF(COUNTIFS('02_KICH_BAN_NODES'!$B$5:$B$204,A7,'02_KICH_BAN_NODES'!$E$5:$E$204,"Kiến thức")=1,IF(COUNTIFS($A$5:$A$404,A7,$D$5:$D$404,"Có")&lt;&gt;1,"Choice kiến thức cần đúng 1 đáp án đúng",""),IF(COUNTIFS('02_KICH_BAN_NODES'!$B$5:$B$204,A7,'02_KICH_BAN_NODES'!$E$5:$E$204,"Tương tác")=1,IF(COUNTIFS($A$5:$A$404,A7,$D$5:$D$404,"Có")&lt;&gt;0,"Choice tương tác không được đánh dấu đáp án đúng",""),"Choice chưa chọn loại")))))))</f>
        <v/>
      </c>
    </row>
    <row r="8" spans="1:11" ht="15" customHeight="1">
      <c r="A8" s="16" t="s">
        <v>393</v>
      </c>
      <c r="B8" s="16">
        <v>2</v>
      </c>
      <c r="C8" s="15" t="s">
        <v>460</v>
      </c>
      <c r="D8" s="16" t="s">
        <v>127</v>
      </c>
      <c r="E8" s="16"/>
      <c r="F8" s="16" t="s">
        <v>211</v>
      </c>
      <c r="G8" s="16" t="s">
        <v>206</v>
      </c>
      <c r="H8" s="15" t="s">
        <v>461</v>
      </c>
      <c r="I8" s="15" t="s">
        <v>462</v>
      </c>
      <c r="J8" s="17" t="str">
        <f t="shared" si="0"/>
        <v>HỢP LỆ</v>
      </c>
      <c r="K8" s="17" t="str">
        <f>IF(A8="","",IF(COUNTIFS('02_KICH_BAN_NODES'!$B$5:$B$204,A8,'02_KICH_BAN_NODES'!$D$5:$D$204,"choice")=0,"ChoiceNodeId không tồn tại hoặc không phải choice",IF(COUNTIFS($A$5:$A$404,A8,$B$5:$B$404,B8)&gt;1,"Trùng OptionOrder trong cùng choice",IF(OR(B8="",C8="",D8="",F8="",H8=""),"Thiếu trường bắt buộc",IF(OR(COUNTIF($A$5:$A$404,A8)&lt;2,COUNTIF($A$5:$A$404,A8)&gt;4),"Mỗi choice cần 2–4 option",IF(COUNTIFS('02_KICH_BAN_NODES'!$B$5:$B$204,A8,'02_KICH_BAN_NODES'!$E$5:$E$204,"Kiến thức")=1,IF(COUNTIFS($A$5:$A$404,A8,$D$5:$D$404,"Có")&lt;&gt;1,"Choice kiến thức cần đúng 1 đáp án đúng",""),IF(COUNTIFS('02_KICH_BAN_NODES'!$B$5:$B$204,A8,'02_KICH_BAN_NODES'!$E$5:$E$204,"Tương tác")=1,IF(COUNTIFS($A$5:$A$404,A8,$D$5:$D$404,"Có")&lt;&gt;0,"Choice tương tác không được đánh dấu đáp án đúng",""),"Choice chưa chọn loại")))))))</f>
        <v/>
      </c>
    </row>
    <row r="9" spans="1:11" ht="15" customHeight="1">
      <c r="A9" s="16" t="s">
        <v>393</v>
      </c>
      <c r="B9" s="16">
        <v>3</v>
      </c>
      <c r="C9" s="15" t="s">
        <v>463</v>
      </c>
      <c r="D9" s="16" t="s">
        <v>127</v>
      </c>
      <c r="E9" s="16"/>
      <c r="F9" s="16" t="s">
        <v>211</v>
      </c>
      <c r="G9" s="16" t="s">
        <v>206</v>
      </c>
      <c r="H9" s="15" t="s">
        <v>461</v>
      </c>
      <c r="I9" s="15" t="s">
        <v>462</v>
      </c>
      <c r="J9" s="17" t="str">
        <f t="shared" si="0"/>
        <v>HỢP LỆ</v>
      </c>
      <c r="K9" s="17" t="str">
        <f>IF(A9="","",IF(COUNTIFS('02_KICH_BAN_NODES'!$B$5:$B$204,A9,'02_KICH_BAN_NODES'!$D$5:$D$204,"choice")=0,"ChoiceNodeId không tồn tại hoặc không phải choice",IF(COUNTIFS($A$5:$A$404,A9,$B$5:$B$404,B9)&gt;1,"Trùng OptionOrder trong cùng choice",IF(OR(B9="",C9="",D9="",F9="",H9=""),"Thiếu trường bắt buộc",IF(OR(COUNTIF($A$5:$A$404,A9)&lt;2,COUNTIF($A$5:$A$404,A9)&gt;4),"Mỗi choice cần 2–4 option",IF(COUNTIFS('02_KICH_BAN_NODES'!$B$5:$B$204,A9,'02_KICH_BAN_NODES'!$E$5:$E$204,"Kiến thức")=1,IF(COUNTIFS($A$5:$A$404,A9,$D$5:$D$404,"Có")&lt;&gt;1,"Choice kiến thức cần đúng 1 đáp án đúng",""),IF(COUNTIFS('02_KICH_BAN_NODES'!$B$5:$B$204,A9,'02_KICH_BAN_NODES'!$E$5:$E$204,"Tương tác")=1,IF(COUNTIFS($A$5:$A$404,A9,$D$5:$D$404,"Có")&lt;&gt;0,"Choice tương tác không được đánh dấu đáp án đúng",""),"Choice chưa chọn loại")))))))</f>
        <v/>
      </c>
    </row>
    <row r="10" spans="1:11" ht="26.45" customHeight="1">
      <c r="A10" s="16" t="s">
        <v>396</v>
      </c>
      <c r="B10" s="16">
        <v>1</v>
      </c>
      <c r="C10" s="15" t="s">
        <v>464</v>
      </c>
      <c r="D10" s="16" t="s">
        <v>96</v>
      </c>
      <c r="E10" s="16"/>
      <c r="F10" s="16" t="s">
        <v>218</v>
      </c>
      <c r="G10" s="16" t="s">
        <v>186</v>
      </c>
      <c r="H10" s="15" t="s">
        <v>465</v>
      </c>
      <c r="I10" s="15" t="s">
        <v>459</v>
      </c>
      <c r="J10" s="17" t="str">
        <f t="shared" si="0"/>
        <v>HỢP LỆ</v>
      </c>
      <c r="K10" s="17" t="str">
        <f>IF(A10="","",IF(COUNTIFS('02_KICH_BAN_NODES'!$B$5:$B$204,A10,'02_KICH_BAN_NODES'!$D$5:$D$204,"choice")=0,"ChoiceNodeId không tồn tại hoặc không phải choice",IF(COUNTIFS($A$5:$A$404,A10,$B$5:$B$404,B10)&gt;1,"Trùng OptionOrder trong cùng choice",IF(OR(B10="",C10="",D10="",F10="",H10=""),"Thiếu trường bắt buộc",IF(OR(COUNTIF($A$5:$A$404,A10)&lt;2,COUNTIF($A$5:$A$404,A10)&gt;4),"Mỗi choice cần 2–4 option",IF(COUNTIFS('02_KICH_BAN_NODES'!$B$5:$B$204,A10,'02_KICH_BAN_NODES'!$E$5:$E$204,"Kiến thức")=1,IF(COUNTIFS($A$5:$A$404,A10,$D$5:$D$404,"Có")&lt;&gt;1,"Choice kiến thức cần đúng 1 đáp án đúng",""),IF(COUNTIFS('02_KICH_BAN_NODES'!$B$5:$B$204,A10,'02_KICH_BAN_NODES'!$E$5:$E$204,"Tương tác")=1,IF(COUNTIFS($A$5:$A$404,A10,$D$5:$D$404,"Có")&lt;&gt;0,"Choice tương tác không được đánh dấu đáp án đúng",""),"Choice chưa chọn loại")))))))</f>
        <v/>
      </c>
    </row>
    <row r="11" spans="1:11" ht="26.45" customHeight="1">
      <c r="A11" s="16" t="s">
        <v>396</v>
      </c>
      <c r="B11" s="16">
        <v>2</v>
      </c>
      <c r="C11" s="15" t="s">
        <v>466</v>
      </c>
      <c r="D11" s="16" t="s">
        <v>127</v>
      </c>
      <c r="E11" s="16"/>
      <c r="F11" s="16" t="s">
        <v>218</v>
      </c>
      <c r="G11" s="16" t="s">
        <v>214</v>
      </c>
      <c r="H11" s="15" t="s">
        <v>467</v>
      </c>
      <c r="I11" s="15" t="s">
        <v>462</v>
      </c>
      <c r="J11" s="17" t="str">
        <f t="shared" si="0"/>
        <v>HỢP LỆ</v>
      </c>
      <c r="K11" s="17" t="str">
        <f>IF(A11="","",IF(COUNTIFS('02_KICH_BAN_NODES'!$B$5:$B$204,A11,'02_KICH_BAN_NODES'!$D$5:$D$204,"choice")=0,"ChoiceNodeId không tồn tại hoặc không phải choice",IF(COUNTIFS($A$5:$A$404,A11,$B$5:$B$404,B11)&gt;1,"Trùng OptionOrder trong cùng choice",IF(OR(B11="",C11="",D11="",F11="",H11=""),"Thiếu trường bắt buộc",IF(OR(COUNTIF($A$5:$A$404,A11)&lt;2,COUNTIF($A$5:$A$404,A11)&gt;4),"Mỗi choice cần 2–4 option",IF(COUNTIFS('02_KICH_BAN_NODES'!$B$5:$B$204,A11,'02_KICH_BAN_NODES'!$E$5:$E$204,"Kiến thức")=1,IF(COUNTIFS($A$5:$A$404,A11,$D$5:$D$404,"Có")&lt;&gt;1,"Choice kiến thức cần đúng 1 đáp án đúng",""),IF(COUNTIFS('02_KICH_BAN_NODES'!$B$5:$B$204,A11,'02_KICH_BAN_NODES'!$E$5:$E$204,"Tương tác")=1,IF(COUNTIFS($A$5:$A$404,A11,$D$5:$D$404,"Có")&lt;&gt;0,"Choice tương tác không được đánh dấu đáp án đúng",""),"Choice chưa chọn loại")))))))</f>
        <v/>
      </c>
    </row>
    <row r="12" spans="1:11" ht="26.45" customHeight="1">
      <c r="A12" s="16" t="s">
        <v>396</v>
      </c>
      <c r="B12" s="16">
        <v>3</v>
      </c>
      <c r="C12" s="15" t="s">
        <v>468</v>
      </c>
      <c r="D12" s="16" t="s">
        <v>127</v>
      </c>
      <c r="E12" s="16"/>
      <c r="F12" s="16" t="s">
        <v>218</v>
      </c>
      <c r="G12" s="16" t="s">
        <v>214</v>
      </c>
      <c r="H12" s="15" t="s">
        <v>467</v>
      </c>
      <c r="I12" s="15" t="s">
        <v>462</v>
      </c>
      <c r="J12" s="17" t="str">
        <f t="shared" si="0"/>
        <v>HỢP LỆ</v>
      </c>
      <c r="K12" s="17" t="str">
        <f>IF(A12="","",IF(COUNTIFS('02_KICH_BAN_NODES'!$B$5:$B$204,A12,'02_KICH_BAN_NODES'!$D$5:$D$204,"choice")=0,"ChoiceNodeId không tồn tại hoặc không phải choice",IF(COUNTIFS($A$5:$A$404,A12,$B$5:$B$404,B12)&gt;1,"Trùng OptionOrder trong cùng choice",IF(OR(B12="",C12="",D12="",F12="",H12=""),"Thiếu trường bắt buộc",IF(OR(COUNTIF($A$5:$A$404,A12)&lt;2,COUNTIF($A$5:$A$404,A12)&gt;4),"Mỗi choice cần 2–4 option",IF(COUNTIFS('02_KICH_BAN_NODES'!$B$5:$B$204,A12,'02_KICH_BAN_NODES'!$E$5:$E$204,"Kiến thức")=1,IF(COUNTIFS($A$5:$A$404,A12,$D$5:$D$404,"Có")&lt;&gt;1,"Choice kiến thức cần đúng 1 đáp án đúng",""),IF(COUNTIFS('02_KICH_BAN_NODES'!$B$5:$B$204,A12,'02_KICH_BAN_NODES'!$E$5:$E$204,"Tương tác")=1,IF(COUNTIFS($A$5:$A$404,A12,$D$5:$D$404,"Có")&lt;&gt;0,"Choice tương tác không được đánh dấu đáp án đúng",""),"Choice chưa chọn loại")))))))</f>
        <v/>
      </c>
    </row>
    <row r="13" spans="1:11" ht="39.6" customHeight="1">
      <c r="A13" s="16" t="s">
        <v>398</v>
      </c>
      <c r="B13" s="16">
        <v>1</v>
      </c>
      <c r="C13" s="15" t="s">
        <v>469</v>
      </c>
      <c r="D13" s="16" t="s">
        <v>96</v>
      </c>
      <c r="E13" s="16"/>
      <c r="F13" s="16" t="s">
        <v>201</v>
      </c>
      <c r="G13" s="16" t="s">
        <v>196</v>
      </c>
      <c r="H13" s="15" t="s">
        <v>470</v>
      </c>
      <c r="I13" s="15" t="s">
        <v>459</v>
      </c>
      <c r="J13" s="17" t="str">
        <f t="shared" si="0"/>
        <v>HỢP LỆ</v>
      </c>
      <c r="K13" s="17" t="str">
        <f>IF(A13="","",IF(COUNTIFS('02_KICH_BAN_NODES'!$B$5:$B$204,A13,'02_KICH_BAN_NODES'!$D$5:$D$204,"choice")=0,"ChoiceNodeId không tồn tại hoặc không phải choice",IF(COUNTIFS($A$5:$A$404,A13,$B$5:$B$404,B13)&gt;1,"Trùng OptionOrder trong cùng choice",IF(OR(B13="",C13="",D13="",F13="",H13=""),"Thiếu trường bắt buộc",IF(OR(COUNTIF($A$5:$A$404,A13)&lt;2,COUNTIF($A$5:$A$404,A13)&gt;4),"Mỗi choice cần 2–4 option",IF(COUNTIFS('02_KICH_BAN_NODES'!$B$5:$B$204,A13,'02_KICH_BAN_NODES'!$E$5:$E$204,"Kiến thức")=1,IF(COUNTIFS($A$5:$A$404,A13,$D$5:$D$404,"Có")&lt;&gt;1,"Choice kiến thức cần đúng 1 đáp án đúng",""),IF(COUNTIFS('02_KICH_BAN_NODES'!$B$5:$B$204,A13,'02_KICH_BAN_NODES'!$E$5:$E$204,"Tương tác")=1,IF(COUNTIFS($A$5:$A$404,A13,$D$5:$D$404,"Có")&lt;&gt;0,"Choice tương tác không được đánh dấu đáp án đúng",""),"Choice chưa chọn loại")))))))</f>
        <v/>
      </c>
    </row>
    <row r="14" spans="1:11" ht="26.45" customHeight="1">
      <c r="A14" s="16" t="s">
        <v>398</v>
      </c>
      <c r="B14" s="16">
        <v>2</v>
      </c>
      <c r="C14" s="15" t="s">
        <v>471</v>
      </c>
      <c r="D14" s="16" t="s">
        <v>127</v>
      </c>
      <c r="E14" s="16"/>
      <c r="F14" s="16" t="s">
        <v>201</v>
      </c>
      <c r="G14" s="16" t="s">
        <v>206</v>
      </c>
      <c r="H14" s="15" t="s">
        <v>472</v>
      </c>
      <c r="I14" s="15" t="s">
        <v>462</v>
      </c>
      <c r="J14" s="17" t="str">
        <f t="shared" si="0"/>
        <v>HỢP LỆ</v>
      </c>
      <c r="K14" s="17" t="str">
        <f>IF(A14="","",IF(COUNTIFS('02_KICH_BAN_NODES'!$B$5:$B$204,A14,'02_KICH_BAN_NODES'!$D$5:$D$204,"choice")=0,"ChoiceNodeId không tồn tại hoặc không phải choice",IF(COUNTIFS($A$5:$A$404,A14,$B$5:$B$404,B14)&gt;1,"Trùng OptionOrder trong cùng choice",IF(OR(B14="",C14="",D14="",F14="",H14=""),"Thiếu trường bắt buộc",IF(OR(COUNTIF($A$5:$A$404,A14)&lt;2,COUNTIF($A$5:$A$404,A14)&gt;4),"Mỗi choice cần 2–4 option",IF(COUNTIFS('02_KICH_BAN_NODES'!$B$5:$B$204,A14,'02_KICH_BAN_NODES'!$E$5:$E$204,"Kiến thức")=1,IF(COUNTIFS($A$5:$A$404,A14,$D$5:$D$404,"Có")&lt;&gt;1,"Choice kiến thức cần đúng 1 đáp án đúng",""),IF(COUNTIFS('02_KICH_BAN_NODES'!$B$5:$B$204,A14,'02_KICH_BAN_NODES'!$E$5:$E$204,"Tương tác")=1,IF(COUNTIFS($A$5:$A$404,A14,$D$5:$D$404,"Có")&lt;&gt;0,"Choice tương tác không được đánh dấu đáp án đúng",""),"Choice chưa chọn loại")))))))</f>
        <v/>
      </c>
    </row>
    <row r="15" spans="1:11" ht="26.45" customHeight="1">
      <c r="A15" s="16" t="s">
        <v>398</v>
      </c>
      <c r="B15" s="16">
        <v>3</v>
      </c>
      <c r="C15" s="15" t="s">
        <v>473</v>
      </c>
      <c r="D15" s="16" t="s">
        <v>127</v>
      </c>
      <c r="E15" s="16"/>
      <c r="F15" s="16" t="s">
        <v>201</v>
      </c>
      <c r="G15" s="16" t="s">
        <v>206</v>
      </c>
      <c r="H15" s="15" t="s">
        <v>472</v>
      </c>
      <c r="I15" s="15" t="s">
        <v>462</v>
      </c>
      <c r="J15" s="17" t="str">
        <f t="shared" si="0"/>
        <v>HỢP LỆ</v>
      </c>
      <c r="K15" s="17" t="str">
        <f>IF(A15="","",IF(COUNTIFS('02_KICH_BAN_NODES'!$B$5:$B$204,A15,'02_KICH_BAN_NODES'!$D$5:$D$204,"choice")=0,"ChoiceNodeId không tồn tại hoặc không phải choice",IF(COUNTIFS($A$5:$A$404,A15,$B$5:$B$404,B15)&gt;1,"Trùng OptionOrder trong cùng choice",IF(OR(B15="",C15="",D15="",F15="",H15=""),"Thiếu trường bắt buộc",IF(OR(COUNTIF($A$5:$A$404,A15)&lt;2,COUNTIF($A$5:$A$404,A15)&gt;4),"Mỗi choice cần 2–4 option",IF(COUNTIFS('02_KICH_BAN_NODES'!$B$5:$B$204,A15,'02_KICH_BAN_NODES'!$E$5:$E$204,"Kiến thức")=1,IF(COUNTIFS($A$5:$A$404,A15,$D$5:$D$404,"Có")&lt;&gt;1,"Choice kiến thức cần đúng 1 đáp án đúng",""),IF(COUNTIFS('02_KICH_BAN_NODES'!$B$5:$B$204,A15,'02_KICH_BAN_NODES'!$E$5:$E$204,"Tương tác")=1,IF(COUNTIFS($A$5:$A$404,A15,$D$5:$D$404,"Có")&lt;&gt;0,"Choice tương tác không được đánh dấu đáp án đúng",""),"Choice chưa chọn loại")))))))</f>
        <v/>
      </c>
    </row>
    <row r="16" spans="1:11" ht="26.45" customHeight="1">
      <c r="A16" s="16" t="s">
        <v>400</v>
      </c>
      <c r="B16" s="16">
        <v>1</v>
      </c>
      <c r="C16" s="15" t="s">
        <v>474</v>
      </c>
      <c r="D16" s="16" t="s">
        <v>96</v>
      </c>
      <c r="E16" s="16"/>
      <c r="F16" s="16" t="s">
        <v>218</v>
      </c>
      <c r="G16" s="16" t="s">
        <v>186</v>
      </c>
      <c r="H16" s="15" t="s">
        <v>475</v>
      </c>
      <c r="I16" s="15" t="s">
        <v>459</v>
      </c>
      <c r="J16" s="17" t="str">
        <f t="shared" si="0"/>
        <v>HỢP LỆ</v>
      </c>
      <c r="K16" s="17" t="str">
        <f>IF(A16="","",IF(COUNTIFS('02_KICH_BAN_NODES'!$B$5:$B$204,A16,'02_KICH_BAN_NODES'!$D$5:$D$204,"choice")=0,"ChoiceNodeId không tồn tại hoặc không phải choice",IF(COUNTIFS($A$5:$A$404,A16,$B$5:$B$404,B16)&gt;1,"Trùng OptionOrder trong cùng choice",IF(OR(B16="",C16="",D16="",F16="",H16=""),"Thiếu trường bắt buộc",IF(OR(COUNTIF($A$5:$A$404,A16)&lt;2,COUNTIF($A$5:$A$404,A16)&gt;4),"Mỗi choice cần 2–4 option",IF(COUNTIFS('02_KICH_BAN_NODES'!$B$5:$B$204,A16,'02_KICH_BAN_NODES'!$E$5:$E$204,"Kiến thức")=1,IF(COUNTIFS($A$5:$A$404,A16,$D$5:$D$404,"Có")&lt;&gt;1,"Choice kiến thức cần đúng 1 đáp án đúng",""),IF(COUNTIFS('02_KICH_BAN_NODES'!$B$5:$B$204,A16,'02_KICH_BAN_NODES'!$E$5:$E$204,"Tương tác")=1,IF(COUNTIFS($A$5:$A$404,A16,$D$5:$D$404,"Có")&lt;&gt;0,"Choice tương tác không được đánh dấu đáp án đúng",""),"Choice chưa chọn loại")))))))</f>
        <v/>
      </c>
    </row>
    <row r="17" spans="1:11" ht="26.45" customHeight="1">
      <c r="A17" s="16" t="s">
        <v>400</v>
      </c>
      <c r="B17" s="16">
        <v>2</v>
      </c>
      <c r="C17" s="15" t="s">
        <v>476</v>
      </c>
      <c r="D17" s="16" t="s">
        <v>127</v>
      </c>
      <c r="E17" s="16"/>
      <c r="F17" s="16" t="s">
        <v>218</v>
      </c>
      <c r="G17" s="16" t="s">
        <v>214</v>
      </c>
      <c r="H17" s="15" t="s">
        <v>477</v>
      </c>
      <c r="I17" s="15" t="s">
        <v>462</v>
      </c>
      <c r="J17" s="17" t="str">
        <f t="shared" si="0"/>
        <v>HỢP LỆ</v>
      </c>
      <c r="K17" s="17" t="str">
        <f>IF(A17="","",IF(COUNTIFS('02_KICH_BAN_NODES'!$B$5:$B$204,A17,'02_KICH_BAN_NODES'!$D$5:$D$204,"choice")=0,"ChoiceNodeId không tồn tại hoặc không phải choice",IF(COUNTIFS($A$5:$A$404,A17,$B$5:$B$404,B17)&gt;1,"Trùng OptionOrder trong cùng choice",IF(OR(B17="",C17="",D17="",F17="",H17=""),"Thiếu trường bắt buộc",IF(OR(COUNTIF($A$5:$A$404,A17)&lt;2,COUNTIF($A$5:$A$404,A17)&gt;4),"Mỗi choice cần 2–4 option",IF(COUNTIFS('02_KICH_BAN_NODES'!$B$5:$B$204,A17,'02_KICH_BAN_NODES'!$E$5:$E$204,"Kiến thức")=1,IF(COUNTIFS($A$5:$A$404,A17,$D$5:$D$404,"Có")&lt;&gt;1,"Choice kiến thức cần đúng 1 đáp án đúng",""),IF(COUNTIFS('02_KICH_BAN_NODES'!$B$5:$B$204,A17,'02_KICH_BAN_NODES'!$E$5:$E$204,"Tương tác")=1,IF(COUNTIFS($A$5:$A$404,A17,$D$5:$D$404,"Có")&lt;&gt;0,"Choice tương tác không được đánh dấu đáp án đúng",""),"Choice chưa chọn loại")))))))</f>
        <v/>
      </c>
    </row>
    <row r="18" spans="1:11" ht="26.45" customHeight="1">
      <c r="A18" s="16" t="s">
        <v>400</v>
      </c>
      <c r="B18" s="16">
        <v>3</v>
      </c>
      <c r="C18" s="15" t="s">
        <v>478</v>
      </c>
      <c r="D18" s="16" t="s">
        <v>127</v>
      </c>
      <c r="E18" s="16"/>
      <c r="F18" s="16" t="s">
        <v>218</v>
      </c>
      <c r="G18" s="16" t="s">
        <v>214</v>
      </c>
      <c r="H18" s="15" t="s">
        <v>477</v>
      </c>
      <c r="I18" s="15" t="s">
        <v>462</v>
      </c>
      <c r="J18" s="17" t="str">
        <f t="shared" si="0"/>
        <v>HỢP LỆ</v>
      </c>
      <c r="K18" s="17" t="str">
        <f>IF(A18="","",IF(COUNTIFS('02_KICH_BAN_NODES'!$B$5:$B$204,A18,'02_KICH_BAN_NODES'!$D$5:$D$204,"choice")=0,"ChoiceNodeId không tồn tại hoặc không phải choice",IF(COUNTIFS($A$5:$A$404,A18,$B$5:$B$404,B18)&gt;1,"Trùng OptionOrder trong cùng choice",IF(OR(B18="",C18="",D18="",F18="",H18=""),"Thiếu trường bắt buộc",IF(OR(COUNTIF($A$5:$A$404,A18)&lt;2,COUNTIF($A$5:$A$404,A18)&gt;4),"Mỗi choice cần 2–4 option",IF(COUNTIFS('02_KICH_BAN_NODES'!$B$5:$B$204,A18,'02_KICH_BAN_NODES'!$E$5:$E$204,"Kiến thức")=1,IF(COUNTIFS($A$5:$A$404,A18,$D$5:$D$404,"Có")&lt;&gt;1,"Choice kiến thức cần đúng 1 đáp án đúng",""),IF(COUNTIFS('02_KICH_BAN_NODES'!$B$5:$B$204,A18,'02_KICH_BAN_NODES'!$E$5:$E$204,"Tương tác")=1,IF(COUNTIFS($A$5:$A$404,A18,$D$5:$D$404,"Có")&lt;&gt;0,"Choice tương tác không được đánh dấu đáp án đúng",""),"Choice chưa chọn loại")))))))</f>
        <v/>
      </c>
    </row>
    <row r="19" spans="1:11" ht="26.45" customHeight="1">
      <c r="A19" s="16" t="s">
        <v>402</v>
      </c>
      <c r="B19" s="16">
        <v>1</v>
      </c>
      <c r="C19" s="15" t="s">
        <v>479</v>
      </c>
      <c r="D19" s="16" t="s">
        <v>96</v>
      </c>
      <c r="E19" s="16"/>
      <c r="F19" s="16" t="s">
        <v>211</v>
      </c>
      <c r="G19" s="16" t="s">
        <v>196</v>
      </c>
      <c r="H19" s="15" t="s">
        <v>480</v>
      </c>
      <c r="I19" s="15" t="s">
        <v>459</v>
      </c>
      <c r="J19" s="17" t="str">
        <f t="shared" si="0"/>
        <v>HỢP LỆ</v>
      </c>
      <c r="K19" s="17" t="str">
        <f>IF(A19="","",IF(COUNTIFS('02_KICH_BAN_NODES'!$B$5:$B$204,A19,'02_KICH_BAN_NODES'!$D$5:$D$204,"choice")=0,"ChoiceNodeId không tồn tại hoặc không phải choice",IF(COUNTIFS($A$5:$A$404,A19,$B$5:$B$404,B19)&gt;1,"Trùng OptionOrder trong cùng choice",IF(OR(B19="",C19="",D19="",F19="",H19=""),"Thiếu trường bắt buộc",IF(OR(COUNTIF($A$5:$A$404,A19)&lt;2,COUNTIF($A$5:$A$404,A19)&gt;4),"Mỗi choice cần 2–4 option",IF(COUNTIFS('02_KICH_BAN_NODES'!$B$5:$B$204,A19,'02_KICH_BAN_NODES'!$E$5:$E$204,"Kiến thức")=1,IF(COUNTIFS($A$5:$A$404,A19,$D$5:$D$404,"Có")&lt;&gt;1,"Choice kiến thức cần đúng 1 đáp án đúng",""),IF(COUNTIFS('02_KICH_BAN_NODES'!$B$5:$B$204,A19,'02_KICH_BAN_NODES'!$E$5:$E$204,"Tương tác")=1,IF(COUNTIFS($A$5:$A$404,A19,$D$5:$D$404,"Có")&lt;&gt;0,"Choice tương tác không được đánh dấu đáp án đúng",""),"Choice chưa chọn loại")))))))</f>
        <v/>
      </c>
    </row>
    <row r="20" spans="1:11" ht="26.45" customHeight="1">
      <c r="A20" s="16" t="s">
        <v>402</v>
      </c>
      <c r="B20" s="16">
        <v>2</v>
      </c>
      <c r="C20" s="15" t="s">
        <v>481</v>
      </c>
      <c r="D20" s="16" t="s">
        <v>127</v>
      </c>
      <c r="E20" s="16"/>
      <c r="F20" s="16" t="s">
        <v>211</v>
      </c>
      <c r="G20" s="16" t="s">
        <v>206</v>
      </c>
      <c r="H20" s="15" t="s">
        <v>482</v>
      </c>
      <c r="I20" s="15" t="s">
        <v>462</v>
      </c>
      <c r="J20" s="17" t="str">
        <f t="shared" si="0"/>
        <v>HỢP LỆ</v>
      </c>
      <c r="K20" s="17" t="str">
        <f>IF(A20="","",IF(COUNTIFS('02_KICH_BAN_NODES'!$B$5:$B$204,A20,'02_KICH_BAN_NODES'!$D$5:$D$204,"choice")=0,"ChoiceNodeId không tồn tại hoặc không phải choice",IF(COUNTIFS($A$5:$A$404,A20,$B$5:$B$404,B20)&gt;1,"Trùng OptionOrder trong cùng choice",IF(OR(B20="",C20="",D20="",F20="",H20=""),"Thiếu trường bắt buộc",IF(OR(COUNTIF($A$5:$A$404,A20)&lt;2,COUNTIF($A$5:$A$404,A20)&gt;4),"Mỗi choice cần 2–4 option",IF(COUNTIFS('02_KICH_BAN_NODES'!$B$5:$B$204,A20,'02_KICH_BAN_NODES'!$E$5:$E$204,"Kiến thức")=1,IF(COUNTIFS($A$5:$A$404,A20,$D$5:$D$404,"Có")&lt;&gt;1,"Choice kiến thức cần đúng 1 đáp án đúng",""),IF(COUNTIFS('02_KICH_BAN_NODES'!$B$5:$B$204,A20,'02_KICH_BAN_NODES'!$E$5:$E$204,"Tương tác")=1,IF(COUNTIFS($A$5:$A$404,A20,$D$5:$D$404,"Có")&lt;&gt;0,"Choice tương tác không được đánh dấu đáp án đúng",""),"Choice chưa chọn loại")))))))</f>
        <v/>
      </c>
    </row>
    <row r="21" spans="1:11" ht="26.45" customHeight="1">
      <c r="A21" s="16" t="s">
        <v>402</v>
      </c>
      <c r="B21" s="16">
        <v>3</v>
      </c>
      <c r="C21" s="15" t="s">
        <v>483</v>
      </c>
      <c r="D21" s="16" t="s">
        <v>127</v>
      </c>
      <c r="E21" s="16"/>
      <c r="F21" s="16" t="s">
        <v>211</v>
      </c>
      <c r="G21" s="16" t="s">
        <v>206</v>
      </c>
      <c r="H21" s="15" t="s">
        <v>482</v>
      </c>
      <c r="I21" s="15" t="s">
        <v>462</v>
      </c>
      <c r="J21" s="17" t="str">
        <f t="shared" si="0"/>
        <v>HỢP LỆ</v>
      </c>
      <c r="K21" s="17" t="str">
        <f>IF(A21="","",IF(COUNTIFS('02_KICH_BAN_NODES'!$B$5:$B$204,A21,'02_KICH_BAN_NODES'!$D$5:$D$204,"choice")=0,"ChoiceNodeId không tồn tại hoặc không phải choice",IF(COUNTIFS($A$5:$A$404,A21,$B$5:$B$404,B21)&gt;1,"Trùng OptionOrder trong cùng choice",IF(OR(B21="",C21="",D21="",F21="",H21=""),"Thiếu trường bắt buộc",IF(OR(COUNTIF($A$5:$A$404,A21)&lt;2,COUNTIF($A$5:$A$404,A21)&gt;4),"Mỗi choice cần 2–4 option",IF(COUNTIFS('02_KICH_BAN_NODES'!$B$5:$B$204,A21,'02_KICH_BAN_NODES'!$E$5:$E$204,"Kiến thức")=1,IF(COUNTIFS($A$5:$A$404,A21,$D$5:$D$404,"Có")&lt;&gt;1,"Choice kiến thức cần đúng 1 đáp án đúng",""),IF(COUNTIFS('02_KICH_BAN_NODES'!$B$5:$B$204,A21,'02_KICH_BAN_NODES'!$E$5:$E$204,"Tương tác")=1,IF(COUNTIFS($A$5:$A$404,A21,$D$5:$D$404,"Có")&lt;&gt;0,"Choice tương tác không được đánh dấu đáp án đúng",""),"Choice chưa chọn loại")))))))</f>
        <v/>
      </c>
    </row>
    <row r="22" spans="1:11" ht="26.45" customHeight="1">
      <c r="A22" s="16" t="s">
        <v>414</v>
      </c>
      <c r="B22" s="16">
        <v>1</v>
      </c>
      <c r="C22" s="15" t="s">
        <v>484</v>
      </c>
      <c r="D22" s="16" t="s">
        <v>96</v>
      </c>
      <c r="E22" s="16"/>
      <c r="F22" s="16" t="s">
        <v>211</v>
      </c>
      <c r="G22" s="16" t="s">
        <v>196</v>
      </c>
      <c r="H22" s="15" t="s">
        <v>485</v>
      </c>
      <c r="I22" s="15" t="s">
        <v>459</v>
      </c>
      <c r="J22" s="17" t="str">
        <f t="shared" si="0"/>
        <v>HỢP LỆ</v>
      </c>
      <c r="K22" s="17" t="str">
        <f>IF(A22="","",IF(COUNTIFS('02_KICH_BAN_NODES'!$B$5:$B$204,A22,'02_KICH_BAN_NODES'!$D$5:$D$204,"choice")=0,"ChoiceNodeId không tồn tại hoặc không phải choice",IF(COUNTIFS($A$5:$A$404,A22,$B$5:$B$404,B22)&gt;1,"Trùng OptionOrder trong cùng choice",IF(OR(B22="",C22="",D22="",F22="",H22=""),"Thiếu trường bắt buộc",IF(OR(COUNTIF($A$5:$A$404,A22)&lt;2,COUNTIF($A$5:$A$404,A22)&gt;4),"Mỗi choice cần 2–4 option",IF(COUNTIFS('02_KICH_BAN_NODES'!$B$5:$B$204,A22,'02_KICH_BAN_NODES'!$E$5:$E$204,"Kiến thức")=1,IF(COUNTIFS($A$5:$A$404,A22,$D$5:$D$404,"Có")&lt;&gt;1,"Choice kiến thức cần đúng 1 đáp án đúng",""),IF(COUNTIFS('02_KICH_BAN_NODES'!$B$5:$B$204,A22,'02_KICH_BAN_NODES'!$E$5:$E$204,"Tương tác")=1,IF(COUNTIFS($A$5:$A$404,A22,$D$5:$D$404,"Có")&lt;&gt;0,"Choice tương tác không được đánh dấu đáp án đúng",""),"Choice chưa chọn loại")))))))</f>
        <v/>
      </c>
    </row>
    <row r="23" spans="1:11" ht="26.45" customHeight="1">
      <c r="A23" s="16" t="s">
        <v>414</v>
      </c>
      <c r="B23" s="16">
        <v>2</v>
      </c>
      <c r="C23" s="15" t="s">
        <v>486</v>
      </c>
      <c r="D23" s="16" t="s">
        <v>127</v>
      </c>
      <c r="E23" s="16"/>
      <c r="F23" s="16" t="s">
        <v>211</v>
      </c>
      <c r="G23" s="16" t="s">
        <v>206</v>
      </c>
      <c r="H23" s="15" t="s">
        <v>487</v>
      </c>
      <c r="I23" s="15" t="s">
        <v>462</v>
      </c>
      <c r="J23" s="17" t="str">
        <f t="shared" si="0"/>
        <v>HỢP LỆ</v>
      </c>
      <c r="K23" s="17" t="str">
        <f>IF(A23="","",IF(COUNTIFS('02_KICH_BAN_NODES'!$B$5:$B$204,A23,'02_KICH_BAN_NODES'!$D$5:$D$204,"choice")=0,"ChoiceNodeId không tồn tại hoặc không phải choice",IF(COUNTIFS($A$5:$A$404,A23,$B$5:$B$404,B23)&gt;1,"Trùng OptionOrder trong cùng choice",IF(OR(B23="",C23="",D23="",F23="",H23=""),"Thiếu trường bắt buộc",IF(OR(COUNTIF($A$5:$A$404,A23)&lt;2,COUNTIF($A$5:$A$404,A23)&gt;4),"Mỗi choice cần 2–4 option",IF(COUNTIFS('02_KICH_BAN_NODES'!$B$5:$B$204,A23,'02_KICH_BAN_NODES'!$E$5:$E$204,"Kiến thức")=1,IF(COUNTIFS($A$5:$A$404,A23,$D$5:$D$404,"Có")&lt;&gt;1,"Choice kiến thức cần đúng 1 đáp án đúng",""),IF(COUNTIFS('02_KICH_BAN_NODES'!$B$5:$B$204,A23,'02_KICH_BAN_NODES'!$E$5:$E$204,"Tương tác")=1,IF(COUNTIFS($A$5:$A$404,A23,$D$5:$D$404,"Có")&lt;&gt;0,"Choice tương tác không được đánh dấu đáp án đúng",""),"Choice chưa chọn loại")))))))</f>
        <v/>
      </c>
    </row>
    <row r="24" spans="1:11" ht="26.45" customHeight="1">
      <c r="A24" s="16" t="s">
        <v>414</v>
      </c>
      <c r="B24" s="16">
        <v>3</v>
      </c>
      <c r="C24" s="15" t="s">
        <v>488</v>
      </c>
      <c r="D24" s="16" t="s">
        <v>127</v>
      </c>
      <c r="E24" s="16"/>
      <c r="F24" s="16" t="s">
        <v>211</v>
      </c>
      <c r="G24" s="16" t="s">
        <v>206</v>
      </c>
      <c r="H24" s="15" t="s">
        <v>487</v>
      </c>
      <c r="I24" s="15" t="s">
        <v>462</v>
      </c>
      <c r="J24" s="17" t="str">
        <f t="shared" si="0"/>
        <v>HỢP LỆ</v>
      </c>
      <c r="K24" s="17" t="str">
        <f>IF(A24="","",IF(COUNTIFS('02_KICH_BAN_NODES'!$B$5:$B$204,A24,'02_KICH_BAN_NODES'!$D$5:$D$204,"choice")=0,"ChoiceNodeId không tồn tại hoặc không phải choice",IF(COUNTIFS($A$5:$A$404,A24,$B$5:$B$404,B24)&gt;1,"Trùng OptionOrder trong cùng choice",IF(OR(B24="",C24="",D24="",F24="",H24=""),"Thiếu trường bắt buộc",IF(OR(COUNTIF($A$5:$A$404,A24)&lt;2,COUNTIF($A$5:$A$404,A24)&gt;4),"Mỗi choice cần 2–4 option",IF(COUNTIFS('02_KICH_BAN_NODES'!$B$5:$B$204,A24,'02_KICH_BAN_NODES'!$E$5:$E$204,"Kiến thức")=1,IF(COUNTIFS($A$5:$A$404,A24,$D$5:$D$404,"Có")&lt;&gt;1,"Choice kiến thức cần đúng 1 đáp án đúng",""),IF(COUNTIFS('02_KICH_BAN_NODES'!$B$5:$B$204,A24,'02_KICH_BAN_NODES'!$E$5:$E$204,"Tương tác")=1,IF(COUNTIFS($A$5:$A$404,A24,$D$5:$D$404,"Có")&lt;&gt;0,"Choice tương tác không được đánh dấu đáp án đúng",""),"Choice chưa chọn loại")))))))</f>
        <v/>
      </c>
    </row>
    <row r="25" spans="1:11" ht="26.45" customHeight="1">
      <c r="A25" s="16" t="s">
        <v>416</v>
      </c>
      <c r="B25" s="16">
        <v>1</v>
      </c>
      <c r="C25" s="15" t="s">
        <v>489</v>
      </c>
      <c r="D25" s="16" t="s">
        <v>96</v>
      </c>
      <c r="E25" s="16"/>
      <c r="F25" s="16" t="s">
        <v>201</v>
      </c>
      <c r="G25" s="16" t="s">
        <v>196</v>
      </c>
      <c r="H25" s="15" t="s">
        <v>490</v>
      </c>
      <c r="I25" s="15" t="s">
        <v>459</v>
      </c>
      <c r="J25" s="17" t="str">
        <f t="shared" si="0"/>
        <v>HỢP LỆ</v>
      </c>
      <c r="K25" s="17" t="str">
        <f>IF(A25="","",IF(COUNTIFS('02_KICH_BAN_NODES'!$B$5:$B$204,A25,'02_KICH_BAN_NODES'!$D$5:$D$204,"choice")=0,"ChoiceNodeId không tồn tại hoặc không phải choice",IF(COUNTIFS($A$5:$A$404,A25,$B$5:$B$404,B25)&gt;1,"Trùng OptionOrder trong cùng choice",IF(OR(B25="",C25="",D25="",F25="",H25=""),"Thiếu trường bắt buộc",IF(OR(COUNTIF($A$5:$A$404,A25)&lt;2,COUNTIF($A$5:$A$404,A25)&gt;4),"Mỗi choice cần 2–4 option",IF(COUNTIFS('02_KICH_BAN_NODES'!$B$5:$B$204,A25,'02_KICH_BAN_NODES'!$E$5:$E$204,"Kiến thức")=1,IF(COUNTIFS($A$5:$A$404,A25,$D$5:$D$404,"Có")&lt;&gt;1,"Choice kiến thức cần đúng 1 đáp án đúng",""),IF(COUNTIFS('02_KICH_BAN_NODES'!$B$5:$B$204,A25,'02_KICH_BAN_NODES'!$E$5:$E$204,"Tương tác")=1,IF(COUNTIFS($A$5:$A$404,A25,$D$5:$D$404,"Có")&lt;&gt;0,"Choice tương tác không được đánh dấu đáp án đúng",""),"Choice chưa chọn loại")))))))</f>
        <v/>
      </c>
    </row>
    <row r="26" spans="1:11" ht="26.45" customHeight="1">
      <c r="A26" s="16" t="s">
        <v>416</v>
      </c>
      <c r="B26" s="16">
        <v>2</v>
      </c>
      <c r="C26" s="15" t="s">
        <v>491</v>
      </c>
      <c r="D26" s="16" t="s">
        <v>127</v>
      </c>
      <c r="E26" s="16"/>
      <c r="F26" s="16" t="s">
        <v>201</v>
      </c>
      <c r="G26" s="16" t="s">
        <v>206</v>
      </c>
      <c r="H26" s="15" t="s">
        <v>492</v>
      </c>
      <c r="I26" s="15" t="s">
        <v>462</v>
      </c>
      <c r="J26" s="17" t="str">
        <f t="shared" si="0"/>
        <v>HỢP LỆ</v>
      </c>
      <c r="K26" s="17" t="str">
        <f>IF(A26="","",IF(COUNTIFS('02_KICH_BAN_NODES'!$B$5:$B$204,A26,'02_KICH_BAN_NODES'!$D$5:$D$204,"choice")=0,"ChoiceNodeId không tồn tại hoặc không phải choice",IF(COUNTIFS($A$5:$A$404,A26,$B$5:$B$404,B26)&gt;1,"Trùng OptionOrder trong cùng choice",IF(OR(B26="",C26="",D26="",F26="",H26=""),"Thiếu trường bắt buộc",IF(OR(COUNTIF($A$5:$A$404,A26)&lt;2,COUNTIF($A$5:$A$404,A26)&gt;4),"Mỗi choice cần 2–4 option",IF(COUNTIFS('02_KICH_BAN_NODES'!$B$5:$B$204,A26,'02_KICH_BAN_NODES'!$E$5:$E$204,"Kiến thức")=1,IF(COUNTIFS($A$5:$A$404,A26,$D$5:$D$404,"Có")&lt;&gt;1,"Choice kiến thức cần đúng 1 đáp án đúng",""),IF(COUNTIFS('02_KICH_BAN_NODES'!$B$5:$B$204,A26,'02_KICH_BAN_NODES'!$E$5:$E$204,"Tương tác")=1,IF(COUNTIFS($A$5:$A$404,A26,$D$5:$D$404,"Có")&lt;&gt;0,"Choice tương tác không được đánh dấu đáp án đúng",""),"Choice chưa chọn loại")))))))</f>
        <v/>
      </c>
    </row>
    <row r="27" spans="1:11" ht="26.45" customHeight="1">
      <c r="A27" s="16" t="s">
        <v>416</v>
      </c>
      <c r="B27" s="16">
        <v>3</v>
      </c>
      <c r="C27" s="15" t="s">
        <v>493</v>
      </c>
      <c r="D27" s="16" t="s">
        <v>127</v>
      </c>
      <c r="E27" s="16"/>
      <c r="F27" s="16" t="s">
        <v>201</v>
      </c>
      <c r="G27" s="16" t="s">
        <v>206</v>
      </c>
      <c r="H27" s="15" t="s">
        <v>492</v>
      </c>
      <c r="I27" s="15" t="s">
        <v>462</v>
      </c>
      <c r="J27" s="17" t="str">
        <f t="shared" si="0"/>
        <v>HỢP LỆ</v>
      </c>
      <c r="K27" s="17" t="str">
        <f>IF(A27="","",IF(COUNTIFS('02_KICH_BAN_NODES'!$B$5:$B$204,A27,'02_KICH_BAN_NODES'!$D$5:$D$204,"choice")=0,"ChoiceNodeId không tồn tại hoặc không phải choice",IF(COUNTIFS($A$5:$A$404,A27,$B$5:$B$404,B27)&gt;1,"Trùng OptionOrder trong cùng choice",IF(OR(B27="",C27="",D27="",F27="",H27=""),"Thiếu trường bắt buộc",IF(OR(COUNTIF($A$5:$A$404,A27)&lt;2,COUNTIF($A$5:$A$404,A27)&gt;4),"Mỗi choice cần 2–4 option",IF(COUNTIFS('02_KICH_BAN_NODES'!$B$5:$B$204,A27,'02_KICH_BAN_NODES'!$E$5:$E$204,"Kiến thức")=1,IF(COUNTIFS($A$5:$A$404,A27,$D$5:$D$404,"Có")&lt;&gt;1,"Choice kiến thức cần đúng 1 đáp án đúng",""),IF(COUNTIFS('02_KICH_BAN_NODES'!$B$5:$B$204,A27,'02_KICH_BAN_NODES'!$E$5:$E$204,"Tương tác")=1,IF(COUNTIFS($A$5:$A$404,A27,$D$5:$D$404,"Có")&lt;&gt;0,"Choice tương tác không được đánh dấu đáp án đúng",""),"Choice chưa chọn loại")))))))</f>
        <v/>
      </c>
    </row>
    <row r="28" spans="1:11" ht="39.6" customHeight="1">
      <c r="A28" s="16" t="s">
        <v>418</v>
      </c>
      <c r="B28" s="16">
        <v>1</v>
      </c>
      <c r="C28" s="15" t="s">
        <v>494</v>
      </c>
      <c r="D28" s="16" t="s">
        <v>96</v>
      </c>
      <c r="E28" s="16"/>
      <c r="F28" s="16" t="s">
        <v>218</v>
      </c>
      <c r="G28" s="16" t="s">
        <v>186</v>
      </c>
      <c r="H28" s="15" t="s">
        <v>495</v>
      </c>
      <c r="I28" s="15" t="s">
        <v>459</v>
      </c>
      <c r="J28" s="17" t="str">
        <f t="shared" si="0"/>
        <v>HỢP LỆ</v>
      </c>
      <c r="K28" s="17" t="str">
        <f>IF(A28="","",IF(COUNTIFS('02_KICH_BAN_NODES'!$B$5:$B$204,A28,'02_KICH_BAN_NODES'!$D$5:$D$204,"choice")=0,"ChoiceNodeId không tồn tại hoặc không phải choice",IF(COUNTIFS($A$5:$A$404,A28,$B$5:$B$404,B28)&gt;1,"Trùng OptionOrder trong cùng choice",IF(OR(B28="",C28="",D28="",F28="",H28=""),"Thiếu trường bắt buộc",IF(OR(COUNTIF($A$5:$A$404,A28)&lt;2,COUNTIF($A$5:$A$404,A28)&gt;4),"Mỗi choice cần 2–4 option",IF(COUNTIFS('02_KICH_BAN_NODES'!$B$5:$B$204,A28,'02_KICH_BAN_NODES'!$E$5:$E$204,"Kiến thức")=1,IF(COUNTIFS($A$5:$A$404,A28,$D$5:$D$404,"Có")&lt;&gt;1,"Choice kiến thức cần đúng 1 đáp án đúng",""),IF(COUNTIFS('02_KICH_BAN_NODES'!$B$5:$B$204,A28,'02_KICH_BAN_NODES'!$E$5:$E$204,"Tương tác")=1,IF(COUNTIFS($A$5:$A$404,A28,$D$5:$D$404,"Có")&lt;&gt;0,"Choice tương tác không được đánh dấu đáp án đúng",""),"Choice chưa chọn loại")))))))</f>
        <v/>
      </c>
    </row>
    <row r="29" spans="1:11" ht="26.45" customHeight="1">
      <c r="A29" s="16" t="s">
        <v>418</v>
      </c>
      <c r="B29" s="16">
        <v>2</v>
      </c>
      <c r="C29" s="15" t="s">
        <v>496</v>
      </c>
      <c r="D29" s="16" t="s">
        <v>127</v>
      </c>
      <c r="E29" s="16"/>
      <c r="F29" s="16" t="s">
        <v>218</v>
      </c>
      <c r="G29" s="16" t="s">
        <v>214</v>
      </c>
      <c r="H29" s="15" t="s">
        <v>497</v>
      </c>
      <c r="I29" s="15" t="s">
        <v>462</v>
      </c>
      <c r="J29" s="17" t="str">
        <f t="shared" si="0"/>
        <v>HỢP LỆ</v>
      </c>
      <c r="K29" s="17" t="str">
        <f>IF(A29="","",IF(COUNTIFS('02_KICH_BAN_NODES'!$B$5:$B$204,A29,'02_KICH_BAN_NODES'!$D$5:$D$204,"choice")=0,"ChoiceNodeId không tồn tại hoặc không phải choice",IF(COUNTIFS($A$5:$A$404,A29,$B$5:$B$404,B29)&gt;1,"Trùng OptionOrder trong cùng choice",IF(OR(B29="",C29="",D29="",F29="",H29=""),"Thiếu trường bắt buộc",IF(OR(COUNTIF($A$5:$A$404,A29)&lt;2,COUNTIF($A$5:$A$404,A29)&gt;4),"Mỗi choice cần 2–4 option",IF(COUNTIFS('02_KICH_BAN_NODES'!$B$5:$B$204,A29,'02_KICH_BAN_NODES'!$E$5:$E$204,"Kiến thức")=1,IF(COUNTIFS($A$5:$A$404,A29,$D$5:$D$404,"Có")&lt;&gt;1,"Choice kiến thức cần đúng 1 đáp án đúng",""),IF(COUNTIFS('02_KICH_BAN_NODES'!$B$5:$B$204,A29,'02_KICH_BAN_NODES'!$E$5:$E$204,"Tương tác")=1,IF(COUNTIFS($A$5:$A$404,A29,$D$5:$D$404,"Có")&lt;&gt;0,"Choice tương tác không được đánh dấu đáp án đúng",""),"Choice chưa chọn loại")))))))</f>
        <v/>
      </c>
    </row>
    <row r="30" spans="1:11" ht="26.45" customHeight="1">
      <c r="A30" s="16" t="s">
        <v>418</v>
      </c>
      <c r="B30" s="16">
        <v>3</v>
      </c>
      <c r="C30" s="15" t="s">
        <v>498</v>
      </c>
      <c r="D30" s="16" t="s">
        <v>127</v>
      </c>
      <c r="E30" s="16"/>
      <c r="F30" s="16" t="s">
        <v>218</v>
      </c>
      <c r="G30" s="16" t="s">
        <v>214</v>
      </c>
      <c r="H30" s="15" t="s">
        <v>497</v>
      </c>
      <c r="I30" s="15" t="s">
        <v>462</v>
      </c>
      <c r="J30" s="17" t="str">
        <f t="shared" si="0"/>
        <v>HỢP LỆ</v>
      </c>
      <c r="K30" s="17" t="str">
        <f>IF(A30="","",IF(COUNTIFS('02_KICH_BAN_NODES'!$B$5:$B$204,A30,'02_KICH_BAN_NODES'!$D$5:$D$204,"choice")=0,"ChoiceNodeId không tồn tại hoặc không phải choice",IF(COUNTIFS($A$5:$A$404,A30,$B$5:$B$404,B30)&gt;1,"Trùng OptionOrder trong cùng choice",IF(OR(B30="",C30="",D30="",F30="",H30=""),"Thiếu trường bắt buộc",IF(OR(COUNTIF($A$5:$A$404,A30)&lt;2,COUNTIF($A$5:$A$404,A30)&gt;4),"Mỗi choice cần 2–4 option",IF(COUNTIFS('02_KICH_BAN_NODES'!$B$5:$B$204,A30,'02_KICH_BAN_NODES'!$E$5:$E$204,"Kiến thức")=1,IF(COUNTIFS($A$5:$A$404,A30,$D$5:$D$404,"Có")&lt;&gt;1,"Choice kiến thức cần đúng 1 đáp án đúng",""),IF(COUNTIFS('02_KICH_BAN_NODES'!$B$5:$B$204,A30,'02_KICH_BAN_NODES'!$E$5:$E$204,"Tương tác")=1,IF(COUNTIFS($A$5:$A$404,A30,$D$5:$D$404,"Có")&lt;&gt;0,"Choice tương tác không được đánh dấu đáp án đúng",""),"Choice chưa chọn loại")))))))</f>
        <v/>
      </c>
    </row>
    <row r="31" spans="1:11" ht="26.45" customHeight="1">
      <c r="A31" s="16" t="s">
        <v>420</v>
      </c>
      <c r="B31" s="16">
        <v>1</v>
      </c>
      <c r="C31" s="15" t="s">
        <v>499</v>
      </c>
      <c r="D31" s="16" t="s">
        <v>96</v>
      </c>
      <c r="E31" s="16"/>
      <c r="F31" s="16" t="s">
        <v>211</v>
      </c>
      <c r="G31" s="16" t="s">
        <v>196</v>
      </c>
      <c r="H31" s="15" t="s">
        <v>500</v>
      </c>
      <c r="I31" s="15" t="s">
        <v>459</v>
      </c>
      <c r="J31" s="17" t="str">
        <f t="shared" si="0"/>
        <v>HỢP LỆ</v>
      </c>
      <c r="K31" s="17" t="str">
        <f>IF(A31="","",IF(COUNTIFS('02_KICH_BAN_NODES'!$B$5:$B$204,A31,'02_KICH_BAN_NODES'!$D$5:$D$204,"choice")=0,"ChoiceNodeId không tồn tại hoặc không phải choice",IF(COUNTIFS($A$5:$A$404,A31,$B$5:$B$404,B31)&gt;1,"Trùng OptionOrder trong cùng choice",IF(OR(B31="",C31="",D31="",F31="",H31=""),"Thiếu trường bắt buộc",IF(OR(COUNTIF($A$5:$A$404,A31)&lt;2,COUNTIF($A$5:$A$404,A31)&gt;4),"Mỗi choice cần 2–4 option",IF(COUNTIFS('02_KICH_BAN_NODES'!$B$5:$B$204,A31,'02_KICH_BAN_NODES'!$E$5:$E$204,"Kiến thức")=1,IF(COUNTIFS($A$5:$A$404,A31,$D$5:$D$404,"Có")&lt;&gt;1,"Choice kiến thức cần đúng 1 đáp án đúng",""),IF(COUNTIFS('02_KICH_BAN_NODES'!$B$5:$B$204,A31,'02_KICH_BAN_NODES'!$E$5:$E$204,"Tương tác")=1,IF(COUNTIFS($A$5:$A$404,A31,$D$5:$D$404,"Có")&lt;&gt;0,"Choice tương tác không được đánh dấu đáp án đúng",""),"Choice chưa chọn loại")))))))</f>
        <v/>
      </c>
    </row>
    <row r="32" spans="1:11" ht="26.45" customHeight="1">
      <c r="A32" s="16" t="s">
        <v>420</v>
      </c>
      <c r="B32" s="16">
        <v>2</v>
      </c>
      <c r="C32" s="15" t="s">
        <v>501</v>
      </c>
      <c r="D32" s="16" t="s">
        <v>127</v>
      </c>
      <c r="E32" s="16"/>
      <c r="F32" s="16" t="s">
        <v>211</v>
      </c>
      <c r="G32" s="16" t="s">
        <v>206</v>
      </c>
      <c r="H32" s="15" t="s">
        <v>502</v>
      </c>
      <c r="I32" s="15" t="s">
        <v>462</v>
      </c>
      <c r="J32" s="17" t="str">
        <f t="shared" si="0"/>
        <v>HỢP LỆ</v>
      </c>
      <c r="K32" s="17" t="str">
        <f>IF(A32="","",IF(COUNTIFS('02_KICH_BAN_NODES'!$B$5:$B$204,A32,'02_KICH_BAN_NODES'!$D$5:$D$204,"choice")=0,"ChoiceNodeId không tồn tại hoặc không phải choice",IF(COUNTIFS($A$5:$A$404,A32,$B$5:$B$404,B32)&gt;1,"Trùng OptionOrder trong cùng choice",IF(OR(B32="",C32="",D32="",F32="",H32=""),"Thiếu trường bắt buộc",IF(OR(COUNTIF($A$5:$A$404,A32)&lt;2,COUNTIF($A$5:$A$404,A32)&gt;4),"Mỗi choice cần 2–4 option",IF(COUNTIFS('02_KICH_BAN_NODES'!$B$5:$B$204,A32,'02_KICH_BAN_NODES'!$E$5:$E$204,"Kiến thức")=1,IF(COUNTIFS($A$5:$A$404,A32,$D$5:$D$404,"Có")&lt;&gt;1,"Choice kiến thức cần đúng 1 đáp án đúng",""),IF(COUNTIFS('02_KICH_BAN_NODES'!$B$5:$B$204,A32,'02_KICH_BAN_NODES'!$E$5:$E$204,"Tương tác")=1,IF(COUNTIFS($A$5:$A$404,A32,$D$5:$D$404,"Có")&lt;&gt;0,"Choice tương tác không được đánh dấu đáp án đúng",""),"Choice chưa chọn loại")))))))</f>
        <v/>
      </c>
    </row>
    <row r="33" spans="1:11" ht="26.45" customHeight="1">
      <c r="A33" s="16" t="s">
        <v>420</v>
      </c>
      <c r="B33" s="16">
        <v>3</v>
      </c>
      <c r="C33" s="15" t="s">
        <v>503</v>
      </c>
      <c r="D33" s="16" t="s">
        <v>127</v>
      </c>
      <c r="E33" s="16"/>
      <c r="F33" s="16" t="s">
        <v>211</v>
      </c>
      <c r="G33" s="16" t="s">
        <v>206</v>
      </c>
      <c r="H33" s="15" t="s">
        <v>502</v>
      </c>
      <c r="I33" s="15" t="s">
        <v>462</v>
      </c>
      <c r="J33" s="17" t="str">
        <f t="shared" si="0"/>
        <v>HỢP LỆ</v>
      </c>
      <c r="K33" s="17" t="str">
        <f>IF(A33="","",IF(COUNTIFS('02_KICH_BAN_NODES'!$B$5:$B$204,A33,'02_KICH_BAN_NODES'!$D$5:$D$204,"choice")=0,"ChoiceNodeId không tồn tại hoặc không phải choice",IF(COUNTIFS($A$5:$A$404,A33,$B$5:$B$404,B33)&gt;1,"Trùng OptionOrder trong cùng choice",IF(OR(B33="",C33="",D33="",F33="",H33=""),"Thiếu trường bắt buộc",IF(OR(COUNTIF($A$5:$A$404,A33)&lt;2,COUNTIF($A$5:$A$404,A33)&gt;4),"Mỗi choice cần 2–4 option",IF(COUNTIFS('02_KICH_BAN_NODES'!$B$5:$B$204,A33,'02_KICH_BAN_NODES'!$E$5:$E$204,"Kiến thức")=1,IF(COUNTIFS($A$5:$A$404,A33,$D$5:$D$404,"Có")&lt;&gt;1,"Choice kiến thức cần đúng 1 đáp án đúng",""),IF(COUNTIFS('02_KICH_BAN_NODES'!$B$5:$B$204,A33,'02_KICH_BAN_NODES'!$E$5:$E$204,"Tương tác")=1,IF(COUNTIFS($A$5:$A$404,A33,$D$5:$D$404,"Có")&lt;&gt;0,"Choice tương tác không được đánh dấu đáp án đúng",""),"Choice chưa chọn loại")))))))</f>
        <v/>
      </c>
    </row>
    <row r="34" spans="1:11" ht="39.6" customHeight="1">
      <c r="A34" s="16" t="s">
        <v>422</v>
      </c>
      <c r="B34" s="16">
        <v>1</v>
      </c>
      <c r="C34" s="15" t="s">
        <v>504</v>
      </c>
      <c r="D34" s="16" t="s">
        <v>96</v>
      </c>
      <c r="E34" s="16"/>
      <c r="F34" s="16" t="s">
        <v>201</v>
      </c>
      <c r="G34" s="16" t="s">
        <v>196</v>
      </c>
      <c r="H34" s="15" t="s">
        <v>505</v>
      </c>
      <c r="I34" s="15" t="s">
        <v>459</v>
      </c>
      <c r="J34" s="17" t="str">
        <f t="shared" si="0"/>
        <v>HỢP LỆ</v>
      </c>
      <c r="K34" s="17" t="str">
        <f>IF(A34="","",IF(COUNTIFS('02_KICH_BAN_NODES'!$B$5:$B$204,A34,'02_KICH_BAN_NODES'!$D$5:$D$204,"choice")=0,"ChoiceNodeId không tồn tại hoặc không phải choice",IF(COUNTIFS($A$5:$A$404,A34,$B$5:$B$404,B34)&gt;1,"Trùng OptionOrder trong cùng choice",IF(OR(B34="",C34="",D34="",F34="",H34=""),"Thiếu trường bắt buộc",IF(OR(COUNTIF($A$5:$A$404,A34)&lt;2,COUNTIF($A$5:$A$404,A34)&gt;4),"Mỗi choice cần 2–4 option",IF(COUNTIFS('02_KICH_BAN_NODES'!$B$5:$B$204,A34,'02_KICH_BAN_NODES'!$E$5:$E$204,"Kiến thức")=1,IF(COUNTIFS($A$5:$A$404,A34,$D$5:$D$404,"Có")&lt;&gt;1,"Choice kiến thức cần đúng 1 đáp án đúng",""),IF(COUNTIFS('02_KICH_BAN_NODES'!$B$5:$B$204,A34,'02_KICH_BAN_NODES'!$E$5:$E$204,"Tương tác")=1,IF(COUNTIFS($A$5:$A$404,A34,$D$5:$D$404,"Có")&lt;&gt;0,"Choice tương tác không được đánh dấu đáp án đúng",""),"Choice chưa chọn loại")))))))</f>
        <v/>
      </c>
    </row>
    <row r="35" spans="1:11" ht="26.45" customHeight="1">
      <c r="A35" s="16" t="s">
        <v>422</v>
      </c>
      <c r="B35" s="16">
        <v>2</v>
      </c>
      <c r="C35" s="15" t="s">
        <v>506</v>
      </c>
      <c r="D35" s="16" t="s">
        <v>127</v>
      </c>
      <c r="E35" s="16"/>
      <c r="F35" s="16" t="s">
        <v>201</v>
      </c>
      <c r="G35" s="16" t="s">
        <v>206</v>
      </c>
      <c r="H35" s="15" t="s">
        <v>507</v>
      </c>
      <c r="I35" s="15" t="s">
        <v>462</v>
      </c>
      <c r="J35" s="17" t="str">
        <f t="shared" si="0"/>
        <v>HỢP LỆ</v>
      </c>
      <c r="K35" s="17" t="str">
        <f>IF(A35="","",IF(COUNTIFS('02_KICH_BAN_NODES'!$B$5:$B$204,A35,'02_KICH_BAN_NODES'!$D$5:$D$204,"choice")=0,"ChoiceNodeId không tồn tại hoặc không phải choice",IF(COUNTIFS($A$5:$A$404,A35,$B$5:$B$404,B35)&gt;1,"Trùng OptionOrder trong cùng choice",IF(OR(B35="",C35="",D35="",F35="",H35=""),"Thiếu trường bắt buộc",IF(OR(COUNTIF($A$5:$A$404,A35)&lt;2,COUNTIF($A$5:$A$404,A35)&gt;4),"Mỗi choice cần 2–4 option",IF(COUNTIFS('02_KICH_BAN_NODES'!$B$5:$B$204,A35,'02_KICH_BAN_NODES'!$E$5:$E$204,"Kiến thức")=1,IF(COUNTIFS($A$5:$A$404,A35,$D$5:$D$404,"Có")&lt;&gt;1,"Choice kiến thức cần đúng 1 đáp án đúng",""),IF(COUNTIFS('02_KICH_BAN_NODES'!$B$5:$B$204,A35,'02_KICH_BAN_NODES'!$E$5:$E$204,"Tương tác")=1,IF(COUNTIFS($A$5:$A$404,A35,$D$5:$D$404,"Có")&lt;&gt;0,"Choice tương tác không được đánh dấu đáp án đúng",""),"Choice chưa chọn loại")))))))</f>
        <v/>
      </c>
    </row>
    <row r="36" spans="1:11" ht="26.45" customHeight="1">
      <c r="A36" s="16" t="s">
        <v>422</v>
      </c>
      <c r="B36" s="16">
        <v>3</v>
      </c>
      <c r="C36" s="15" t="s">
        <v>508</v>
      </c>
      <c r="D36" s="16" t="s">
        <v>127</v>
      </c>
      <c r="E36" s="16"/>
      <c r="F36" s="16" t="s">
        <v>201</v>
      </c>
      <c r="G36" s="16" t="s">
        <v>206</v>
      </c>
      <c r="H36" s="15" t="s">
        <v>507</v>
      </c>
      <c r="I36" s="15" t="s">
        <v>462</v>
      </c>
      <c r="J36" s="17" t="str">
        <f t="shared" si="0"/>
        <v>HỢP LỆ</v>
      </c>
      <c r="K36" s="17" t="str">
        <f>IF(A36="","",IF(COUNTIFS('02_KICH_BAN_NODES'!$B$5:$B$204,A36,'02_KICH_BAN_NODES'!$D$5:$D$204,"choice")=0,"ChoiceNodeId không tồn tại hoặc không phải choice",IF(COUNTIFS($A$5:$A$404,A36,$B$5:$B$404,B36)&gt;1,"Trùng OptionOrder trong cùng choice",IF(OR(B36="",C36="",D36="",F36="",H36=""),"Thiếu trường bắt buộc",IF(OR(COUNTIF($A$5:$A$404,A36)&lt;2,COUNTIF($A$5:$A$404,A36)&gt;4),"Mỗi choice cần 2–4 option",IF(COUNTIFS('02_KICH_BAN_NODES'!$B$5:$B$204,A36,'02_KICH_BAN_NODES'!$E$5:$E$204,"Kiến thức")=1,IF(COUNTIFS($A$5:$A$404,A36,$D$5:$D$404,"Có")&lt;&gt;1,"Choice kiến thức cần đúng 1 đáp án đúng",""),IF(COUNTIFS('02_KICH_BAN_NODES'!$B$5:$B$204,A36,'02_KICH_BAN_NODES'!$E$5:$E$204,"Tương tác")=1,IF(COUNTIFS($A$5:$A$404,A36,$D$5:$D$404,"Có")&lt;&gt;0,"Choice tương tác không được đánh dấu đáp án đúng",""),"Choice chưa chọn loại")))))))</f>
        <v/>
      </c>
    </row>
    <row r="37" spans="1:11" ht="26.45" customHeight="1">
      <c r="A37" s="16" t="s">
        <v>424</v>
      </c>
      <c r="B37" s="16">
        <v>1</v>
      </c>
      <c r="C37" s="15" t="s">
        <v>509</v>
      </c>
      <c r="D37" s="16" t="s">
        <v>96</v>
      </c>
      <c r="E37" s="16"/>
      <c r="F37" s="16" t="s">
        <v>224</v>
      </c>
      <c r="G37" s="16" t="s">
        <v>196</v>
      </c>
      <c r="H37" s="15" t="s">
        <v>510</v>
      </c>
      <c r="I37" s="15" t="s">
        <v>459</v>
      </c>
      <c r="J37" s="17" t="str">
        <f t="shared" si="0"/>
        <v>HỢP LỆ</v>
      </c>
      <c r="K37" s="17" t="str">
        <f>IF(A37="","",IF(COUNTIFS('02_KICH_BAN_NODES'!$B$5:$B$204,A37,'02_KICH_BAN_NODES'!$D$5:$D$204,"choice")=0,"ChoiceNodeId không tồn tại hoặc không phải choice",IF(COUNTIFS($A$5:$A$404,A37,$B$5:$B$404,B37)&gt;1,"Trùng OptionOrder trong cùng choice",IF(OR(B37="",C37="",D37="",F37="",H37=""),"Thiếu trường bắt buộc",IF(OR(COUNTIF($A$5:$A$404,A37)&lt;2,COUNTIF($A$5:$A$404,A37)&gt;4),"Mỗi choice cần 2–4 option",IF(COUNTIFS('02_KICH_BAN_NODES'!$B$5:$B$204,A37,'02_KICH_BAN_NODES'!$E$5:$E$204,"Kiến thức")=1,IF(COUNTIFS($A$5:$A$404,A37,$D$5:$D$404,"Có")&lt;&gt;1,"Choice kiến thức cần đúng 1 đáp án đúng",""),IF(COUNTIFS('02_KICH_BAN_NODES'!$B$5:$B$204,A37,'02_KICH_BAN_NODES'!$E$5:$E$204,"Tương tác")=1,IF(COUNTIFS($A$5:$A$404,A37,$D$5:$D$404,"Có")&lt;&gt;0,"Choice tương tác không được đánh dấu đáp án đúng",""),"Choice chưa chọn loại")))))))</f>
        <v/>
      </c>
    </row>
    <row r="38" spans="1:11" ht="26.45" customHeight="1">
      <c r="A38" s="16" t="s">
        <v>424</v>
      </c>
      <c r="B38" s="16">
        <v>2</v>
      </c>
      <c r="C38" s="15" t="s">
        <v>511</v>
      </c>
      <c r="D38" s="16" t="s">
        <v>127</v>
      </c>
      <c r="E38" s="16"/>
      <c r="F38" s="16" t="s">
        <v>224</v>
      </c>
      <c r="G38" s="16" t="s">
        <v>206</v>
      </c>
      <c r="H38" s="15" t="s">
        <v>512</v>
      </c>
      <c r="I38" s="15" t="s">
        <v>462</v>
      </c>
      <c r="J38" s="17" t="str">
        <f t="shared" si="0"/>
        <v>HỢP LỆ</v>
      </c>
      <c r="K38" s="17" t="str">
        <f>IF(A38="","",IF(COUNTIFS('02_KICH_BAN_NODES'!$B$5:$B$204,A38,'02_KICH_BAN_NODES'!$D$5:$D$204,"choice")=0,"ChoiceNodeId không tồn tại hoặc không phải choice",IF(COUNTIFS($A$5:$A$404,A38,$B$5:$B$404,B38)&gt;1,"Trùng OptionOrder trong cùng choice",IF(OR(B38="",C38="",D38="",F38="",H38=""),"Thiếu trường bắt buộc",IF(OR(COUNTIF($A$5:$A$404,A38)&lt;2,COUNTIF($A$5:$A$404,A38)&gt;4),"Mỗi choice cần 2–4 option",IF(COUNTIFS('02_KICH_BAN_NODES'!$B$5:$B$204,A38,'02_KICH_BAN_NODES'!$E$5:$E$204,"Kiến thức")=1,IF(COUNTIFS($A$5:$A$404,A38,$D$5:$D$404,"Có")&lt;&gt;1,"Choice kiến thức cần đúng 1 đáp án đúng",""),IF(COUNTIFS('02_KICH_BAN_NODES'!$B$5:$B$204,A38,'02_KICH_BAN_NODES'!$E$5:$E$204,"Tương tác")=1,IF(COUNTIFS($A$5:$A$404,A38,$D$5:$D$404,"Có")&lt;&gt;0,"Choice tương tác không được đánh dấu đáp án đúng",""),"Choice chưa chọn loại")))))))</f>
        <v/>
      </c>
    </row>
    <row r="39" spans="1:11" ht="26.45" customHeight="1">
      <c r="A39" s="16" t="s">
        <v>424</v>
      </c>
      <c r="B39" s="16">
        <v>3</v>
      </c>
      <c r="C39" s="15" t="s">
        <v>513</v>
      </c>
      <c r="D39" s="16" t="s">
        <v>127</v>
      </c>
      <c r="E39" s="16"/>
      <c r="F39" s="16" t="s">
        <v>224</v>
      </c>
      <c r="G39" s="16" t="s">
        <v>206</v>
      </c>
      <c r="H39" s="15" t="s">
        <v>512</v>
      </c>
      <c r="I39" s="15" t="s">
        <v>462</v>
      </c>
      <c r="J39" s="17" t="str">
        <f t="shared" si="0"/>
        <v>HỢP LỆ</v>
      </c>
      <c r="K39" s="17" t="str">
        <f>IF(A39="","",IF(COUNTIFS('02_KICH_BAN_NODES'!$B$5:$B$204,A39,'02_KICH_BAN_NODES'!$D$5:$D$204,"choice")=0,"ChoiceNodeId không tồn tại hoặc không phải choice",IF(COUNTIFS($A$5:$A$404,A39,$B$5:$B$404,B39)&gt;1,"Trùng OptionOrder trong cùng choice",IF(OR(B39="",C39="",D39="",F39="",H39=""),"Thiếu trường bắt buộc",IF(OR(COUNTIF($A$5:$A$404,A39)&lt;2,COUNTIF($A$5:$A$404,A39)&gt;4),"Mỗi choice cần 2–4 option",IF(COUNTIFS('02_KICH_BAN_NODES'!$B$5:$B$204,A39,'02_KICH_BAN_NODES'!$E$5:$E$204,"Kiến thức")=1,IF(COUNTIFS($A$5:$A$404,A39,$D$5:$D$404,"Có")&lt;&gt;1,"Choice kiến thức cần đúng 1 đáp án đúng",""),IF(COUNTIFS('02_KICH_BAN_NODES'!$B$5:$B$204,A39,'02_KICH_BAN_NODES'!$E$5:$E$204,"Tương tác")=1,IF(COUNTIFS($A$5:$A$404,A39,$D$5:$D$404,"Có")&lt;&gt;0,"Choice tương tác không được đánh dấu đáp án đúng",""),"Choice chưa chọn loại")))))))</f>
        <v/>
      </c>
    </row>
    <row r="40" spans="1:11" ht="26.45" customHeight="1">
      <c r="A40" s="16" t="s">
        <v>436</v>
      </c>
      <c r="B40" s="16">
        <v>1</v>
      </c>
      <c r="C40" s="15" t="s">
        <v>514</v>
      </c>
      <c r="D40" s="16" t="s">
        <v>96</v>
      </c>
      <c r="E40" s="16"/>
      <c r="F40" s="16" t="s">
        <v>218</v>
      </c>
      <c r="G40" s="16" t="s">
        <v>186</v>
      </c>
      <c r="H40" s="15" t="s">
        <v>515</v>
      </c>
      <c r="I40" s="15" t="s">
        <v>459</v>
      </c>
      <c r="J40" s="17" t="str">
        <f t="shared" si="0"/>
        <v>HỢP LỆ</v>
      </c>
      <c r="K40" s="17" t="str">
        <f>IF(A40="","",IF(COUNTIFS('02_KICH_BAN_NODES'!$B$5:$B$204,A40,'02_KICH_BAN_NODES'!$D$5:$D$204,"choice")=0,"ChoiceNodeId không tồn tại hoặc không phải choice",IF(COUNTIFS($A$5:$A$404,A40,$B$5:$B$404,B40)&gt;1,"Trùng OptionOrder trong cùng choice",IF(OR(B40="",C40="",D40="",F40="",H40=""),"Thiếu trường bắt buộc",IF(OR(COUNTIF($A$5:$A$404,A40)&lt;2,COUNTIF($A$5:$A$404,A40)&gt;4),"Mỗi choice cần 2–4 option",IF(COUNTIFS('02_KICH_BAN_NODES'!$B$5:$B$204,A40,'02_KICH_BAN_NODES'!$E$5:$E$204,"Kiến thức")=1,IF(COUNTIFS($A$5:$A$404,A40,$D$5:$D$404,"Có")&lt;&gt;1,"Choice kiến thức cần đúng 1 đáp án đúng",""),IF(COUNTIFS('02_KICH_BAN_NODES'!$B$5:$B$204,A40,'02_KICH_BAN_NODES'!$E$5:$E$204,"Tương tác")=1,IF(COUNTIFS($A$5:$A$404,A40,$D$5:$D$404,"Có")&lt;&gt;0,"Choice tương tác không được đánh dấu đáp án đúng",""),"Choice chưa chọn loại")))))))</f>
        <v/>
      </c>
    </row>
    <row r="41" spans="1:11" ht="15" customHeight="1">
      <c r="A41" s="16" t="s">
        <v>436</v>
      </c>
      <c r="B41" s="16">
        <v>2</v>
      </c>
      <c r="C41" s="15" t="s">
        <v>516</v>
      </c>
      <c r="D41" s="16" t="s">
        <v>127</v>
      </c>
      <c r="E41" s="16"/>
      <c r="F41" s="16" t="s">
        <v>218</v>
      </c>
      <c r="G41" s="16" t="s">
        <v>214</v>
      </c>
      <c r="H41" s="15" t="s">
        <v>517</v>
      </c>
      <c r="I41" s="15" t="s">
        <v>462</v>
      </c>
      <c r="J41" s="17" t="str">
        <f t="shared" si="0"/>
        <v>HỢP LỆ</v>
      </c>
      <c r="K41" s="17" t="str">
        <f>IF(A41="","",IF(COUNTIFS('02_KICH_BAN_NODES'!$B$5:$B$204,A41,'02_KICH_BAN_NODES'!$D$5:$D$204,"choice")=0,"ChoiceNodeId không tồn tại hoặc không phải choice",IF(COUNTIFS($A$5:$A$404,A41,$B$5:$B$404,B41)&gt;1,"Trùng OptionOrder trong cùng choice",IF(OR(B41="",C41="",D41="",F41="",H41=""),"Thiếu trường bắt buộc",IF(OR(COUNTIF($A$5:$A$404,A41)&lt;2,COUNTIF($A$5:$A$404,A41)&gt;4),"Mỗi choice cần 2–4 option",IF(COUNTIFS('02_KICH_BAN_NODES'!$B$5:$B$204,A41,'02_KICH_BAN_NODES'!$E$5:$E$204,"Kiến thức")=1,IF(COUNTIFS($A$5:$A$404,A41,$D$5:$D$404,"Có")&lt;&gt;1,"Choice kiến thức cần đúng 1 đáp án đúng",""),IF(COUNTIFS('02_KICH_BAN_NODES'!$B$5:$B$204,A41,'02_KICH_BAN_NODES'!$E$5:$E$204,"Tương tác")=1,IF(COUNTIFS($A$5:$A$404,A41,$D$5:$D$404,"Có")&lt;&gt;0,"Choice tương tác không được đánh dấu đáp án đúng",""),"Choice chưa chọn loại")))))))</f>
        <v/>
      </c>
    </row>
    <row r="42" spans="1:11" ht="15" customHeight="1">
      <c r="A42" s="16" t="s">
        <v>436</v>
      </c>
      <c r="B42" s="16">
        <v>3</v>
      </c>
      <c r="C42" s="15" t="s">
        <v>518</v>
      </c>
      <c r="D42" s="16" t="s">
        <v>127</v>
      </c>
      <c r="E42" s="16"/>
      <c r="F42" s="16" t="s">
        <v>218</v>
      </c>
      <c r="G42" s="16" t="s">
        <v>214</v>
      </c>
      <c r="H42" s="15" t="s">
        <v>517</v>
      </c>
      <c r="I42" s="15" t="s">
        <v>462</v>
      </c>
      <c r="J42" s="17" t="str">
        <f t="shared" si="0"/>
        <v>HỢP LỆ</v>
      </c>
      <c r="K42" s="17" t="str">
        <f>IF(A42="","",IF(COUNTIFS('02_KICH_BAN_NODES'!$B$5:$B$204,A42,'02_KICH_BAN_NODES'!$D$5:$D$204,"choice")=0,"ChoiceNodeId không tồn tại hoặc không phải choice",IF(COUNTIFS($A$5:$A$404,A42,$B$5:$B$404,B42)&gt;1,"Trùng OptionOrder trong cùng choice",IF(OR(B42="",C42="",D42="",F42="",H42=""),"Thiếu trường bắt buộc",IF(OR(COUNTIF($A$5:$A$404,A42)&lt;2,COUNTIF($A$5:$A$404,A42)&gt;4),"Mỗi choice cần 2–4 option",IF(COUNTIFS('02_KICH_BAN_NODES'!$B$5:$B$204,A42,'02_KICH_BAN_NODES'!$E$5:$E$204,"Kiến thức")=1,IF(COUNTIFS($A$5:$A$404,A42,$D$5:$D$404,"Có")&lt;&gt;1,"Choice kiến thức cần đúng 1 đáp án đúng",""),IF(COUNTIFS('02_KICH_BAN_NODES'!$B$5:$B$204,A42,'02_KICH_BAN_NODES'!$E$5:$E$204,"Tương tác")=1,IF(COUNTIFS($A$5:$A$404,A42,$D$5:$D$404,"Có")&lt;&gt;0,"Choice tương tác không được đánh dấu đáp án đúng",""),"Choice chưa chọn loại")))))))</f>
        <v/>
      </c>
    </row>
    <row r="43" spans="1:11" ht="26.45" customHeight="1">
      <c r="A43" s="16" t="s">
        <v>438</v>
      </c>
      <c r="B43" s="16">
        <v>1</v>
      </c>
      <c r="C43" s="15" t="s">
        <v>519</v>
      </c>
      <c r="D43" s="16" t="s">
        <v>96</v>
      </c>
      <c r="E43" s="16"/>
      <c r="F43" s="16" t="s">
        <v>211</v>
      </c>
      <c r="G43" s="16" t="s">
        <v>196</v>
      </c>
      <c r="H43" s="15" t="s">
        <v>520</v>
      </c>
      <c r="I43" s="15" t="s">
        <v>459</v>
      </c>
      <c r="J43" s="17" t="str">
        <f t="shared" si="0"/>
        <v>HỢP LỆ</v>
      </c>
      <c r="K43" s="17" t="str">
        <f>IF(A43="","",IF(COUNTIFS('02_KICH_BAN_NODES'!$B$5:$B$204,A43,'02_KICH_BAN_NODES'!$D$5:$D$204,"choice")=0,"ChoiceNodeId không tồn tại hoặc không phải choice",IF(COUNTIFS($A$5:$A$404,A43,$B$5:$B$404,B43)&gt;1,"Trùng OptionOrder trong cùng choice",IF(OR(B43="",C43="",D43="",F43="",H43=""),"Thiếu trường bắt buộc",IF(OR(COUNTIF($A$5:$A$404,A43)&lt;2,COUNTIF($A$5:$A$404,A43)&gt;4),"Mỗi choice cần 2–4 option",IF(COUNTIFS('02_KICH_BAN_NODES'!$B$5:$B$204,A43,'02_KICH_BAN_NODES'!$E$5:$E$204,"Kiến thức")=1,IF(COUNTIFS($A$5:$A$404,A43,$D$5:$D$404,"Có")&lt;&gt;1,"Choice kiến thức cần đúng 1 đáp án đúng",""),IF(COUNTIFS('02_KICH_BAN_NODES'!$B$5:$B$204,A43,'02_KICH_BAN_NODES'!$E$5:$E$204,"Tương tác")=1,IF(COUNTIFS($A$5:$A$404,A43,$D$5:$D$404,"Có")&lt;&gt;0,"Choice tương tác không được đánh dấu đáp án đúng",""),"Choice chưa chọn loại")))))))</f>
        <v/>
      </c>
    </row>
    <row r="44" spans="1:11" ht="26.45" customHeight="1">
      <c r="A44" s="16" t="s">
        <v>438</v>
      </c>
      <c r="B44" s="16">
        <v>2</v>
      </c>
      <c r="C44" s="15" t="s">
        <v>521</v>
      </c>
      <c r="D44" s="16" t="s">
        <v>127</v>
      </c>
      <c r="E44" s="16"/>
      <c r="F44" s="16" t="s">
        <v>211</v>
      </c>
      <c r="G44" s="16" t="s">
        <v>206</v>
      </c>
      <c r="H44" s="15" t="s">
        <v>522</v>
      </c>
      <c r="I44" s="15" t="s">
        <v>462</v>
      </c>
      <c r="J44" s="17" t="str">
        <f t="shared" si="0"/>
        <v>HỢP LỆ</v>
      </c>
      <c r="K44" s="17" t="str">
        <f>IF(A44="","",IF(COUNTIFS('02_KICH_BAN_NODES'!$B$5:$B$204,A44,'02_KICH_BAN_NODES'!$D$5:$D$204,"choice")=0,"ChoiceNodeId không tồn tại hoặc không phải choice",IF(COUNTIFS($A$5:$A$404,A44,$B$5:$B$404,B44)&gt;1,"Trùng OptionOrder trong cùng choice",IF(OR(B44="",C44="",D44="",F44="",H44=""),"Thiếu trường bắt buộc",IF(OR(COUNTIF($A$5:$A$404,A44)&lt;2,COUNTIF($A$5:$A$404,A44)&gt;4),"Mỗi choice cần 2–4 option",IF(COUNTIFS('02_KICH_BAN_NODES'!$B$5:$B$204,A44,'02_KICH_BAN_NODES'!$E$5:$E$204,"Kiến thức")=1,IF(COUNTIFS($A$5:$A$404,A44,$D$5:$D$404,"Có")&lt;&gt;1,"Choice kiến thức cần đúng 1 đáp án đúng",""),IF(COUNTIFS('02_KICH_BAN_NODES'!$B$5:$B$204,A44,'02_KICH_BAN_NODES'!$E$5:$E$204,"Tương tác")=1,IF(COUNTIFS($A$5:$A$404,A44,$D$5:$D$404,"Có")&lt;&gt;0,"Choice tương tác không được đánh dấu đáp án đúng",""),"Choice chưa chọn loại")))))))</f>
        <v/>
      </c>
    </row>
    <row r="45" spans="1:11" ht="26.45" customHeight="1">
      <c r="A45" s="16" t="s">
        <v>438</v>
      </c>
      <c r="B45" s="16">
        <v>3</v>
      </c>
      <c r="C45" s="15" t="s">
        <v>523</v>
      </c>
      <c r="D45" s="16" t="s">
        <v>127</v>
      </c>
      <c r="E45" s="16"/>
      <c r="F45" s="16" t="s">
        <v>211</v>
      </c>
      <c r="G45" s="16" t="s">
        <v>206</v>
      </c>
      <c r="H45" s="15" t="s">
        <v>522</v>
      </c>
      <c r="I45" s="15" t="s">
        <v>462</v>
      </c>
      <c r="J45" s="17" t="str">
        <f t="shared" si="0"/>
        <v>HỢP LỆ</v>
      </c>
      <c r="K45" s="17" t="str">
        <f>IF(A45="","",IF(COUNTIFS('02_KICH_BAN_NODES'!$B$5:$B$204,A45,'02_KICH_BAN_NODES'!$D$5:$D$204,"choice")=0,"ChoiceNodeId không tồn tại hoặc không phải choice",IF(COUNTIFS($A$5:$A$404,A45,$B$5:$B$404,B45)&gt;1,"Trùng OptionOrder trong cùng choice",IF(OR(B45="",C45="",D45="",F45="",H45=""),"Thiếu trường bắt buộc",IF(OR(COUNTIF($A$5:$A$404,A45)&lt;2,COUNTIF($A$5:$A$404,A45)&gt;4),"Mỗi choice cần 2–4 option",IF(COUNTIFS('02_KICH_BAN_NODES'!$B$5:$B$204,A45,'02_KICH_BAN_NODES'!$E$5:$E$204,"Kiến thức")=1,IF(COUNTIFS($A$5:$A$404,A45,$D$5:$D$404,"Có")&lt;&gt;1,"Choice kiến thức cần đúng 1 đáp án đúng",""),IF(COUNTIFS('02_KICH_BAN_NODES'!$B$5:$B$204,A45,'02_KICH_BAN_NODES'!$E$5:$E$204,"Tương tác")=1,IF(COUNTIFS($A$5:$A$404,A45,$D$5:$D$404,"Có")&lt;&gt;0,"Choice tương tác không được đánh dấu đáp án đúng",""),"Choice chưa chọn loại")))))))</f>
        <v/>
      </c>
    </row>
    <row r="46" spans="1:11" ht="39.6" customHeight="1">
      <c r="A46" s="16" t="s">
        <v>440</v>
      </c>
      <c r="B46" s="16">
        <v>1</v>
      </c>
      <c r="C46" s="15" t="s">
        <v>524</v>
      </c>
      <c r="D46" s="16" t="s">
        <v>96</v>
      </c>
      <c r="E46" s="16"/>
      <c r="F46" s="16" t="s">
        <v>201</v>
      </c>
      <c r="G46" s="16" t="s">
        <v>196</v>
      </c>
      <c r="H46" s="15" t="s">
        <v>525</v>
      </c>
      <c r="I46" s="15" t="s">
        <v>459</v>
      </c>
      <c r="J46" s="17" t="str">
        <f t="shared" si="0"/>
        <v>HỢP LỆ</v>
      </c>
      <c r="K46" s="17" t="str">
        <f>IF(A46="","",IF(COUNTIFS('02_KICH_BAN_NODES'!$B$5:$B$204,A46,'02_KICH_BAN_NODES'!$D$5:$D$204,"choice")=0,"ChoiceNodeId không tồn tại hoặc không phải choice",IF(COUNTIFS($A$5:$A$404,A46,$B$5:$B$404,B46)&gt;1,"Trùng OptionOrder trong cùng choice",IF(OR(B46="",C46="",D46="",F46="",H46=""),"Thiếu trường bắt buộc",IF(OR(COUNTIF($A$5:$A$404,A46)&lt;2,COUNTIF($A$5:$A$404,A46)&gt;4),"Mỗi choice cần 2–4 option",IF(COUNTIFS('02_KICH_BAN_NODES'!$B$5:$B$204,A46,'02_KICH_BAN_NODES'!$E$5:$E$204,"Kiến thức")=1,IF(COUNTIFS($A$5:$A$404,A46,$D$5:$D$404,"Có")&lt;&gt;1,"Choice kiến thức cần đúng 1 đáp án đúng",""),IF(COUNTIFS('02_KICH_BAN_NODES'!$B$5:$B$204,A46,'02_KICH_BAN_NODES'!$E$5:$E$204,"Tương tác")=1,IF(COUNTIFS($A$5:$A$404,A46,$D$5:$D$404,"Có")&lt;&gt;0,"Choice tương tác không được đánh dấu đáp án đúng",""),"Choice chưa chọn loại")))))))</f>
        <v/>
      </c>
    </row>
    <row r="47" spans="1:11" ht="26.45" customHeight="1">
      <c r="A47" s="16" t="s">
        <v>440</v>
      </c>
      <c r="B47" s="16">
        <v>2</v>
      </c>
      <c r="C47" s="15" t="s">
        <v>526</v>
      </c>
      <c r="D47" s="16" t="s">
        <v>127</v>
      </c>
      <c r="E47" s="16"/>
      <c r="F47" s="16" t="s">
        <v>201</v>
      </c>
      <c r="G47" s="16" t="s">
        <v>206</v>
      </c>
      <c r="H47" s="15" t="s">
        <v>527</v>
      </c>
      <c r="I47" s="15" t="s">
        <v>462</v>
      </c>
      <c r="J47" s="17" t="str">
        <f t="shared" si="0"/>
        <v>HỢP LỆ</v>
      </c>
      <c r="K47" s="17" t="str">
        <f>IF(A47="","",IF(COUNTIFS('02_KICH_BAN_NODES'!$B$5:$B$204,A47,'02_KICH_BAN_NODES'!$D$5:$D$204,"choice")=0,"ChoiceNodeId không tồn tại hoặc không phải choice",IF(COUNTIFS($A$5:$A$404,A47,$B$5:$B$404,B47)&gt;1,"Trùng OptionOrder trong cùng choice",IF(OR(B47="",C47="",D47="",F47="",H47=""),"Thiếu trường bắt buộc",IF(OR(COUNTIF($A$5:$A$404,A47)&lt;2,COUNTIF($A$5:$A$404,A47)&gt;4),"Mỗi choice cần 2–4 option",IF(COUNTIFS('02_KICH_BAN_NODES'!$B$5:$B$204,A47,'02_KICH_BAN_NODES'!$E$5:$E$204,"Kiến thức")=1,IF(COUNTIFS($A$5:$A$404,A47,$D$5:$D$404,"Có")&lt;&gt;1,"Choice kiến thức cần đúng 1 đáp án đúng",""),IF(COUNTIFS('02_KICH_BAN_NODES'!$B$5:$B$204,A47,'02_KICH_BAN_NODES'!$E$5:$E$204,"Tương tác")=1,IF(COUNTIFS($A$5:$A$404,A47,$D$5:$D$404,"Có")&lt;&gt;0,"Choice tương tác không được đánh dấu đáp án đúng",""),"Choice chưa chọn loại")))))))</f>
        <v/>
      </c>
    </row>
    <row r="48" spans="1:11" ht="26.45" customHeight="1">
      <c r="A48" s="16" t="s">
        <v>440</v>
      </c>
      <c r="B48" s="16">
        <v>3</v>
      </c>
      <c r="C48" s="15" t="s">
        <v>528</v>
      </c>
      <c r="D48" s="16" t="s">
        <v>127</v>
      </c>
      <c r="E48" s="16"/>
      <c r="F48" s="16" t="s">
        <v>201</v>
      </c>
      <c r="G48" s="16" t="s">
        <v>206</v>
      </c>
      <c r="H48" s="15" t="s">
        <v>527</v>
      </c>
      <c r="I48" s="15" t="s">
        <v>462</v>
      </c>
      <c r="J48" s="17" t="str">
        <f t="shared" si="0"/>
        <v>HỢP LỆ</v>
      </c>
      <c r="K48" s="17" t="str">
        <f>IF(A48="","",IF(COUNTIFS('02_KICH_BAN_NODES'!$B$5:$B$204,A48,'02_KICH_BAN_NODES'!$D$5:$D$204,"choice")=0,"ChoiceNodeId không tồn tại hoặc không phải choice",IF(COUNTIFS($A$5:$A$404,A48,$B$5:$B$404,B48)&gt;1,"Trùng OptionOrder trong cùng choice",IF(OR(B48="",C48="",D48="",F48="",H48=""),"Thiếu trường bắt buộc",IF(OR(COUNTIF($A$5:$A$404,A48)&lt;2,COUNTIF($A$5:$A$404,A48)&gt;4),"Mỗi choice cần 2–4 option",IF(COUNTIFS('02_KICH_BAN_NODES'!$B$5:$B$204,A48,'02_KICH_BAN_NODES'!$E$5:$E$204,"Kiến thức")=1,IF(COUNTIFS($A$5:$A$404,A48,$D$5:$D$404,"Có")&lt;&gt;1,"Choice kiến thức cần đúng 1 đáp án đúng",""),IF(COUNTIFS('02_KICH_BAN_NODES'!$B$5:$B$204,A48,'02_KICH_BAN_NODES'!$E$5:$E$204,"Tương tác")=1,IF(COUNTIFS($A$5:$A$404,A48,$D$5:$D$404,"Có")&lt;&gt;0,"Choice tương tác không được đánh dấu đáp án đúng",""),"Choice chưa chọn loại")))))))</f>
        <v/>
      </c>
    </row>
    <row r="49" spans="1:11" ht="26.45" customHeight="1">
      <c r="A49" s="16" t="s">
        <v>442</v>
      </c>
      <c r="B49" s="16">
        <v>1</v>
      </c>
      <c r="C49" s="15" t="s">
        <v>529</v>
      </c>
      <c r="D49" s="16" t="s">
        <v>96</v>
      </c>
      <c r="E49" s="16"/>
      <c r="F49" s="16" t="s">
        <v>218</v>
      </c>
      <c r="G49" s="16" t="s">
        <v>186</v>
      </c>
      <c r="H49" s="15" t="s">
        <v>530</v>
      </c>
      <c r="I49" s="15" t="s">
        <v>459</v>
      </c>
      <c r="J49" s="17" t="str">
        <f t="shared" si="0"/>
        <v>HỢP LỆ</v>
      </c>
      <c r="K49" s="17" t="str">
        <f>IF(A49="","",IF(COUNTIFS('02_KICH_BAN_NODES'!$B$5:$B$204,A49,'02_KICH_BAN_NODES'!$D$5:$D$204,"choice")=0,"ChoiceNodeId không tồn tại hoặc không phải choice",IF(COUNTIFS($A$5:$A$404,A49,$B$5:$B$404,B49)&gt;1,"Trùng OptionOrder trong cùng choice",IF(OR(B49="",C49="",D49="",F49="",H49=""),"Thiếu trường bắt buộc",IF(OR(COUNTIF($A$5:$A$404,A49)&lt;2,COUNTIF($A$5:$A$404,A49)&gt;4),"Mỗi choice cần 2–4 option",IF(COUNTIFS('02_KICH_BAN_NODES'!$B$5:$B$204,A49,'02_KICH_BAN_NODES'!$E$5:$E$204,"Kiến thức")=1,IF(COUNTIFS($A$5:$A$404,A49,$D$5:$D$404,"Có")&lt;&gt;1,"Choice kiến thức cần đúng 1 đáp án đúng",""),IF(COUNTIFS('02_KICH_BAN_NODES'!$B$5:$B$204,A49,'02_KICH_BAN_NODES'!$E$5:$E$204,"Tương tác")=1,IF(COUNTIFS($A$5:$A$404,A49,$D$5:$D$404,"Có")&lt;&gt;0,"Choice tương tác không được đánh dấu đáp án đúng",""),"Choice chưa chọn loại")))))))</f>
        <v/>
      </c>
    </row>
    <row r="50" spans="1:11" ht="26.45" customHeight="1">
      <c r="A50" s="16" t="s">
        <v>442</v>
      </c>
      <c r="B50" s="16">
        <v>2</v>
      </c>
      <c r="C50" s="15" t="s">
        <v>531</v>
      </c>
      <c r="D50" s="16" t="s">
        <v>127</v>
      </c>
      <c r="E50" s="16"/>
      <c r="F50" s="16" t="s">
        <v>218</v>
      </c>
      <c r="G50" s="16" t="s">
        <v>214</v>
      </c>
      <c r="H50" s="15" t="s">
        <v>532</v>
      </c>
      <c r="I50" s="15" t="s">
        <v>462</v>
      </c>
      <c r="J50" s="17" t="str">
        <f t="shared" si="0"/>
        <v>HỢP LỆ</v>
      </c>
      <c r="K50" s="17" t="str">
        <f>IF(A50="","",IF(COUNTIFS('02_KICH_BAN_NODES'!$B$5:$B$204,A50,'02_KICH_BAN_NODES'!$D$5:$D$204,"choice")=0,"ChoiceNodeId không tồn tại hoặc không phải choice",IF(COUNTIFS($A$5:$A$404,A50,$B$5:$B$404,B50)&gt;1,"Trùng OptionOrder trong cùng choice",IF(OR(B50="",C50="",D50="",F50="",H50=""),"Thiếu trường bắt buộc",IF(OR(COUNTIF($A$5:$A$404,A50)&lt;2,COUNTIF($A$5:$A$404,A50)&gt;4),"Mỗi choice cần 2–4 option",IF(COUNTIFS('02_KICH_BAN_NODES'!$B$5:$B$204,A50,'02_KICH_BAN_NODES'!$E$5:$E$204,"Kiến thức")=1,IF(COUNTIFS($A$5:$A$404,A50,$D$5:$D$404,"Có")&lt;&gt;1,"Choice kiến thức cần đúng 1 đáp án đúng",""),IF(COUNTIFS('02_KICH_BAN_NODES'!$B$5:$B$204,A50,'02_KICH_BAN_NODES'!$E$5:$E$204,"Tương tác")=1,IF(COUNTIFS($A$5:$A$404,A50,$D$5:$D$404,"Có")&lt;&gt;0,"Choice tương tác không được đánh dấu đáp án đúng",""),"Choice chưa chọn loại")))))))</f>
        <v/>
      </c>
    </row>
    <row r="51" spans="1:11" ht="26.45" customHeight="1">
      <c r="A51" s="16" t="s">
        <v>442</v>
      </c>
      <c r="B51" s="16">
        <v>3</v>
      </c>
      <c r="C51" s="15" t="s">
        <v>533</v>
      </c>
      <c r="D51" s="16" t="s">
        <v>127</v>
      </c>
      <c r="E51" s="16"/>
      <c r="F51" s="16" t="s">
        <v>218</v>
      </c>
      <c r="G51" s="16" t="s">
        <v>214</v>
      </c>
      <c r="H51" s="15" t="s">
        <v>532</v>
      </c>
      <c r="I51" s="15" t="s">
        <v>462</v>
      </c>
      <c r="J51" s="17" t="str">
        <f t="shared" si="0"/>
        <v>HỢP LỆ</v>
      </c>
      <c r="K51" s="17" t="str">
        <f>IF(A51="","",IF(COUNTIFS('02_KICH_BAN_NODES'!$B$5:$B$204,A51,'02_KICH_BAN_NODES'!$D$5:$D$204,"choice")=0,"ChoiceNodeId không tồn tại hoặc không phải choice",IF(COUNTIFS($A$5:$A$404,A51,$B$5:$B$404,B51)&gt;1,"Trùng OptionOrder trong cùng choice",IF(OR(B51="",C51="",D51="",F51="",H51=""),"Thiếu trường bắt buộc",IF(OR(COUNTIF($A$5:$A$404,A51)&lt;2,COUNTIF($A$5:$A$404,A51)&gt;4),"Mỗi choice cần 2–4 option",IF(COUNTIFS('02_KICH_BAN_NODES'!$B$5:$B$204,A51,'02_KICH_BAN_NODES'!$E$5:$E$204,"Kiến thức")=1,IF(COUNTIFS($A$5:$A$404,A51,$D$5:$D$404,"Có")&lt;&gt;1,"Choice kiến thức cần đúng 1 đáp án đúng",""),IF(COUNTIFS('02_KICH_BAN_NODES'!$B$5:$B$204,A51,'02_KICH_BAN_NODES'!$E$5:$E$204,"Tương tác")=1,IF(COUNTIFS($A$5:$A$404,A51,$D$5:$D$404,"Có")&lt;&gt;0,"Choice tương tác không được đánh dấu đáp án đúng",""),"Choice chưa chọn loại")))))))</f>
        <v/>
      </c>
    </row>
    <row r="52" spans="1:11" ht="26.45" customHeight="1">
      <c r="A52" s="16" t="s">
        <v>444</v>
      </c>
      <c r="B52" s="16">
        <v>1</v>
      </c>
      <c r="C52" s="15" t="s">
        <v>534</v>
      </c>
      <c r="D52" s="16" t="s">
        <v>96</v>
      </c>
      <c r="E52" s="16"/>
      <c r="F52" s="16" t="s">
        <v>224</v>
      </c>
      <c r="G52" s="16" t="s">
        <v>196</v>
      </c>
      <c r="H52" s="15" t="s">
        <v>535</v>
      </c>
      <c r="I52" s="15" t="s">
        <v>459</v>
      </c>
      <c r="J52" s="17" t="str">
        <f t="shared" si="0"/>
        <v>HỢP LỆ</v>
      </c>
      <c r="K52" s="17" t="str">
        <f>IF(A52="","",IF(COUNTIFS('02_KICH_BAN_NODES'!$B$5:$B$204,A52,'02_KICH_BAN_NODES'!$D$5:$D$204,"choice")=0,"ChoiceNodeId không tồn tại hoặc không phải choice",IF(COUNTIFS($A$5:$A$404,A52,$B$5:$B$404,B52)&gt;1,"Trùng OptionOrder trong cùng choice",IF(OR(B52="",C52="",D52="",F52="",H52=""),"Thiếu trường bắt buộc",IF(OR(COUNTIF($A$5:$A$404,A52)&lt;2,COUNTIF($A$5:$A$404,A52)&gt;4),"Mỗi choice cần 2–4 option",IF(COUNTIFS('02_KICH_BAN_NODES'!$B$5:$B$204,A52,'02_KICH_BAN_NODES'!$E$5:$E$204,"Kiến thức")=1,IF(COUNTIFS($A$5:$A$404,A52,$D$5:$D$404,"Có")&lt;&gt;1,"Choice kiến thức cần đúng 1 đáp án đúng",""),IF(COUNTIFS('02_KICH_BAN_NODES'!$B$5:$B$204,A52,'02_KICH_BAN_NODES'!$E$5:$E$204,"Tương tác")=1,IF(COUNTIFS($A$5:$A$404,A52,$D$5:$D$404,"Có")&lt;&gt;0,"Choice tương tác không được đánh dấu đáp án đúng",""),"Choice chưa chọn loại")))))))</f>
        <v/>
      </c>
    </row>
    <row r="53" spans="1:11" ht="26.45" customHeight="1">
      <c r="A53" s="16" t="s">
        <v>444</v>
      </c>
      <c r="B53" s="16">
        <v>2</v>
      </c>
      <c r="C53" s="15" t="s">
        <v>536</v>
      </c>
      <c r="D53" s="16" t="s">
        <v>127</v>
      </c>
      <c r="E53" s="16"/>
      <c r="F53" s="16" t="s">
        <v>224</v>
      </c>
      <c r="G53" s="16" t="s">
        <v>206</v>
      </c>
      <c r="H53" s="15" t="s">
        <v>537</v>
      </c>
      <c r="I53" s="15" t="s">
        <v>462</v>
      </c>
      <c r="J53" s="17" t="str">
        <f t="shared" si="0"/>
        <v>HỢP LỆ</v>
      </c>
      <c r="K53" s="17" t="str">
        <f>IF(A53="","",IF(COUNTIFS('02_KICH_BAN_NODES'!$B$5:$B$204,A53,'02_KICH_BAN_NODES'!$D$5:$D$204,"choice")=0,"ChoiceNodeId không tồn tại hoặc không phải choice",IF(COUNTIFS($A$5:$A$404,A53,$B$5:$B$404,B53)&gt;1,"Trùng OptionOrder trong cùng choice",IF(OR(B53="",C53="",D53="",F53="",H53=""),"Thiếu trường bắt buộc",IF(OR(COUNTIF($A$5:$A$404,A53)&lt;2,COUNTIF($A$5:$A$404,A53)&gt;4),"Mỗi choice cần 2–4 option",IF(COUNTIFS('02_KICH_BAN_NODES'!$B$5:$B$204,A53,'02_KICH_BAN_NODES'!$E$5:$E$204,"Kiến thức")=1,IF(COUNTIFS($A$5:$A$404,A53,$D$5:$D$404,"Có")&lt;&gt;1,"Choice kiến thức cần đúng 1 đáp án đúng",""),IF(COUNTIFS('02_KICH_BAN_NODES'!$B$5:$B$204,A53,'02_KICH_BAN_NODES'!$E$5:$E$204,"Tương tác")=1,IF(COUNTIFS($A$5:$A$404,A53,$D$5:$D$404,"Có")&lt;&gt;0,"Choice tương tác không được đánh dấu đáp án đúng",""),"Choice chưa chọn loại")))))))</f>
        <v/>
      </c>
    </row>
    <row r="54" spans="1:11" ht="26.45" customHeight="1">
      <c r="A54" s="16" t="s">
        <v>444</v>
      </c>
      <c r="B54" s="16">
        <v>3</v>
      </c>
      <c r="C54" s="15" t="s">
        <v>538</v>
      </c>
      <c r="D54" s="16" t="s">
        <v>127</v>
      </c>
      <c r="E54" s="16"/>
      <c r="F54" s="16" t="s">
        <v>224</v>
      </c>
      <c r="G54" s="16" t="s">
        <v>206</v>
      </c>
      <c r="H54" s="15" t="s">
        <v>537</v>
      </c>
      <c r="I54" s="15" t="s">
        <v>462</v>
      </c>
      <c r="J54" s="17" t="str">
        <f t="shared" si="0"/>
        <v>HỢP LỆ</v>
      </c>
      <c r="K54" s="17" t="str">
        <f>IF(A54="","",IF(COUNTIFS('02_KICH_BAN_NODES'!$B$5:$B$204,A54,'02_KICH_BAN_NODES'!$D$5:$D$204,"choice")=0,"ChoiceNodeId không tồn tại hoặc không phải choice",IF(COUNTIFS($A$5:$A$404,A54,$B$5:$B$404,B54)&gt;1,"Trùng OptionOrder trong cùng choice",IF(OR(B54="",C54="",D54="",F54="",H54=""),"Thiếu trường bắt buộc",IF(OR(COUNTIF($A$5:$A$404,A54)&lt;2,COUNTIF($A$5:$A$404,A54)&gt;4),"Mỗi choice cần 2–4 option",IF(COUNTIFS('02_KICH_BAN_NODES'!$B$5:$B$204,A54,'02_KICH_BAN_NODES'!$E$5:$E$204,"Kiến thức")=1,IF(COUNTIFS($A$5:$A$404,A54,$D$5:$D$404,"Có")&lt;&gt;1,"Choice kiến thức cần đúng 1 đáp án đúng",""),IF(COUNTIFS('02_KICH_BAN_NODES'!$B$5:$B$204,A54,'02_KICH_BAN_NODES'!$E$5:$E$204,"Tương tác")=1,IF(COUNTIFS($A$5:$A$404,A54,$D$5:$D$404,"Có")&lt;&gt;0,"Choice tương tác không được đánh dấu đáp án đúng",""),"Choice chưa chọn loại")))))))</f>
        <v/>
      </c>
    </row>
    <row r="55" spans="1:11">
      <c r="A55" s="13"/>
      <c r="B55" s="13"/>
      <c r="C55" s="5"/>
      <c r="D55" s="13"/>
      <c r="E55" s="13"/>
      <c r="F55" s="13"/>
      <c r="G55" s="13"/>
      <c r="H55" s="5"/>
      <c r="I55" s="5"/>
      <c r="J55" s="6" t="str">
        <f t="shared" si="0"/>
        <v/>
      </c>
      <c r="K55" s="6" t="str">
        <f>IF(A55="","",IF(COUNTIFS('02_KICH_BAN_NODES'!$B$5:$B$204,A55,'02_KICH_BAN_NODES'!$D$5:$D$204,"choice")=0,"ChoiceNodeId không tồn tại hoặc không phải choice",IF(COUNTIFS($A$5:$A$404,A55,$B$5:$B$404,B55)&gt;1,"Trùng OptionOrder trong cùng choice",IF(OR(B55="",C55="",D55="",F55="",H55=""),"Thiếu trường bắt buộc",IF(OR(COUNTIF($A$5:$A$404,A55)&lt;2,COUNTIF($A$5:$A$404,A55)&gt;4),"Mỗi choice cần 2–4 option",IF(COUNTIFS('02_KICH_BAN_NODES'!$B$5:$B$204,A55,'02_KICH_BAN_NODES'!$E$5:$E$204,"Kiến thức")=1,IF(COUNTIFS($A$5:$A$404,A55,$D$5:$D$404,"Có")&lt;&gt;1,"Choice kiến thức cần đúng 1 đáp án đúng",""),IF(COUNTIFS('02_KICH_BAN_NODES'!$B$5:$B$204,A55,'02_KICH_BAN_NODES'!$E$5:$E$204,"Tương tác")=1,IF(COUNTIFS($A$5:$A$404,A55,$D$5:$D$404,"Có")&lt;&gt;0,"Choice tương tác không được đánh dấu đáp án đúng",""),"Choice chưa chọn loại")))))))</f>
        <v/>
      </c>
    </row>
    <row r="56" spans="1:11">
      <c r="A56" s="13"/>
      <c r="B56" s="13"/>
      <c r="C56" s="5"/>
      <c r="D56" s="13"/>
      <c r="E56" s="13"/>
      <c r="F56" s="13"/>
      <c r="G56" s="13"/>
      <c r="H56" s="5"/>
      <c r="I56" s="5"/>
      <c r="J56" s="6" t="str">
        <f t="shared" si="0"/>
        <v/>
      </c>
      <c r="K56" s="6" t="str">
        <f>IF(A56="","",IF(COUNTIFS('02_KICH_BAN_NODES'!$B$5:$B$204,A56,'02_KICH_BAN_NODES'!$D$5:$D$204,"choice")=0,"ChoiceNodeId không tồn tại hoặc không phải choice",IF(COUNTIFS($A$5:$A$404,A56,$B$5:$B$404,B56)&gt;1,"Trùng OptionOrder trong cùng choice",IF(OR(B56="",C56="",D56="",F56="",H56=""),"Thiếu trường bắt buộc",IF(OR(COUNTIF($A$5:$A$404,A56)&lt;2,COUNTIF($A$5:$A$404,A56)&gt;4),"Mỗi choice cần 2–4 option",IF(COUNTIFS('02_KICH_BAN_NODES'!$B$5:$B$204,A56,'02_KICH_BAN_NODES'!$E$5:$E$204,"Kiến thức")=1,IF(COUNTIFS($A$5:$A$404,A56,$D$5:$D$404,"Có")&lt;&gt;1,"Choice kiến thức cần đúng 1 đáp án đúng",""),IF(COUNTIFS('02_KICH_BAN_NODES'!$B$5:$B$204,A56,'02_KICH_BAN_NODES'!$E$5:$E$204,"Tương tác")=1,IF(COUNTIFS($A$5:$A$404,A56,$D$5:$D$404,"Có")&lt;&gt;0,"Choice tương tác không được đánh dấu đáp án đúng",""),"Choice chưa chọn loại")))))))</f>
        <v/>
      </c>
    </row>
    <row r="57" spans="1:11">
      <c r="A57" s="13"/>
      <c r="B57" s="13"/>
      <c r="C57" s="5"/>
      <c r="D57" s="13"/>
      <c r="E57" s="13"/>
      <c r="F57" s="13"/>
      <c r="G57" s="13"/>
      <c r="H57" s="5"/>
      <c r="I57" s="5"/>
      <c r="J57" s="6" t="str">
        <f t="shared" si="0"/>
        <v/>
      </c>
      <c r="K57" s="6" t="str">
        <f>IF(A57="","",IF(COUNTIFS('02_KICH_BAN_NODES'!$B$5:$B$204,A57,'02_KICH_BAN_NODES'!$D$5:$D$204,"choice")=0,"ChoiceNodeId không tồn tại hoặc không phải choice",IF(COUNTIFS($A$5:$A$404,A57,$B$5:$B$404,B57)&gt;1,"Trùng OptionOrder trong cùng choice",IF(OR(B57="",C57="",D57="",F57="",H57=""),"Thiếu trường bắt buộc",IF(OR(COUNTIF($A$5:$A$404,A57)&lt;2,COUNTIF($A$5:$A$404,A57)&gt;4),"Mỗi choice cần 2–4 option",IF(COUNTIFS('02_KICH_BAN_NODES'!$B$5:$B$204,A57,'02_KICH_BAN_NODES'!$E$5:$E$204,"Kiến thức")=1,IF(COUNTIFS($A$5:$A$404,A57,$D$5:$D$404,"Có")&lt;&gt;1,"Choice kiến thức cần đúng 1 đáp án đúng",""),IF(COUNTIFS('02_KICH_BAN_NODES'!$B$5:$B$204,A57,'02_KICH_BAN_NODES'!$E$5:$E$204,"Tương tác")=1,IF(COUNTIFS($A$5:$A$404,A57,$D$5:$D$404,"Có")&lt;&gt;0,"Choice tương tác không được đánh dấu đáp án đúng",""),"Choice chưa chọn loại")))))))</f>
        <v/>
      </c>
    </row>
    <row r="58" spans="1:11">
      <c r="A58" s="13"/>
      <c r="B58" s="13"/>
      <c r="C58" s="5"/>
      <c r="D58" s="13"/>
      <c r="E58" s="13"/>
      <c r="F58" s="13"/>
      <c r="G58" s="13"/>
      <c r="H58" s="5"/>
      <c r="I58" s="5"/>
      <c r="J58" s="6" t="str">
        <f t="shared" si="0"/>
        <v/>
      </c>
      <c r="K58" s="6" t="str">
        <f>IF(A58="","",IF(COUNTIFS('02_KICH_BAN_NODES'!$B$5:$B$204,A58,'02_KICH_BAN_NODES'!$D$5:$D$204,"choice")=0,"ChoiceNodeId không tồn tại hoặc không phải choice",IF(COUNTIFS($A$5:$A$404,A58,$B$5:$B$404,B58)&gt;1,"Trùng OptionOrder trong cùng choice",IF(OR(B58="",C58="",D58="",F58="",H58=""),"Thiếu trường bắt buộc",IF(OR(COUNTIF($A$5:$A$404,A58)&lt;2,COUNTIF($A$5:$A$404,A58)&gt;4),"Mỗi choice cần 2–4 option",IF(COUNTIFS('02_KICH_BAN_NODES'!$B$5:$B$204,A58,'02_KICH_BAN_NODES'!$E$5:$E$204,"Kiến thức")=1,IF(COUNTIFS($A$5:$A$404,A58,$D$5:$D$404,"Có")&lt;&gt;1,"Choice kiến thức cần đúng 1 đáp án đúng",""),IF(COUNTIFS('02_KICH_BAN_NODES'!$B$5:$B$204,A58,'02_KICH_BAN_NODES'!$E$5:$E$204,"Tương tác")=1,IF(COUNTIFS($A$5:$A$404,A58,$D$5:$D$404,"Có")&lt;&gt;0,"Choice tương tác không được đánh dấu đáp án đúng",""),"Choice chưa chọn loại")))))))</f>
        <v/>
      </c>
    </row>
    <row r="59" spans="1:11">
      <c r="A59" s="13"/>
      <c r="B59" s="13"/>
      <c r="C59" s="5"/>
      <c r="D59" s="13"/>
      <c r="E59" s="13"/>
      <c r="F59" s="13"/>
      <c r="G59" s="13"/>
      <c r="H59" s="5"/>
      <c r="I59" s="5"/>
      <c r="J59" s="6" t="str">
        <f t="shared" si="0"/>
        <v/>
      </c>
      <c r="K59" s="6" t="str">
        <f>IF(A59="","",IF(COUNTIFS('02_KICH_BAN_NODES'!$B$5:$B$204,A59,'02_KICH_BAN_NODES'!$D$5:$D$204,"choice")=0,"ChoiceNodeId không tồn tại hoặc không phải choice",IF(COUNTIFS($A$5:$A$404,A59,$B$5:$B$404,B59)&gt;1,"Trùng OptionOrder trong cùng choice",IF(OR(B59="",C59="",D59="",F59="",H59=""),"Thiếu trường bắt buộc",IF(OR(COUNTIF($A$5:$A$404,A59)&lt;2,COUNTIF($A$5:$A$404,A59)&gt;4),"Mỗi choice cần 2–4 option",IF(COUNTIFS('02_KICH_BAN_NODES'!$B$5:$B$204,A59,'02_KICH_BAN_NODES'!$E$5:$E$204,"Kiến thức")=1,IF(COUNTIFS($A$5:$A$404,A59,$D$5:$D$404,"Có")&lt;&gt;1,"Choice kiến thức cần đúng 1 đáp án đúng",""),IF(COUNTIFS('02_KICH_BAN_NODES'!$B$5:$B$204,A59,'02_KICH_BAN_NODES'!$E$5:$E$204,"Tương tác")=1,IF(COUNTIFS($A$5:$A$404,A59,$D$5:$D$404,"Có")&lt;&gt;0,"Choice tương tác không được đánh dấu đáp án đúng",""),"Choice chưa chọn loại")))))))</f>
        <v/>
      </c>
    </row>
    <row r="60" spans="1:11">
      <c r="A60" s="13"/>
      <c r="B60" s="13"/>
      <c r="C60" s="5"/>
      <c r="D60" s="13"/>
      <c r="E60" s="13"/>
      <c r="F60" s="13"/>
      <c r="G60" s="13"/>
      <c r="H60" s="5"/>
      <c r="I60" s="5"/>
      <c r="J60" s="6" t="str">
        <f t="shared" si="0"/>
        <v/>
      </c>
      <c r="K60" s="6" t="str">
        <f>IF(A60="","",IF(COUNTIFS('02_KICH_BAN_NODES'!$B$5:$B$204,A60,'02_KICH_BAN_NODES'!$D$5:$D$204,"choice")=0,"ChoiceNodeId không tồn tại hoặc không phải choice",IF(COUNTIFS($A$5:$A$404,A60,$B$5:$B$404,B60)&gt;1,"Trùng OptionOrder trong cùng choice",IF(OR(B60="",C60="",D60="",F60="",H60=""),"Thiếu trường bắt buộc",IF(OR(COUNTIF($A$5:$A$404,A60)&lt;2,COUNTIF($A$5:$A$404,A60)&gt;4),"Mỗi choice cần 2–4 option",IF(COUNTIFS('02_KICH_BAN_NODES'!$B$5:$B$204,A60,'02_KICH_BAN_NODES'!$E$5:$E$204,"Kiến thức")=1,IF(COUNTIFS($A$5:$A$404,A60,$D$5:$D$404,"Có")&lt;&gt;1,"Choice kiến thức cần đúng 1 đáp án đúng",""),IF(COUNTIFS('02_KICH_BAN_NODES'!$B$5:$B$204,A60,'02_KICH_BAN_NODES'!$E$5:$E$204,"Tương tác")=1,IF(COUNTIFS($A$5:$A$404,A60,$D$5:$D$404,"Có")&lt;&gt;0,"Choice tương tác không được đánh dấu đáp án đúng",""),"Choice chưa chọn loại")))))))</f>
        <v/>
      </c>
    </row>
    <row r="61" spans="1:11">
      <c r="A61" s="13"/>
      <c r="B61" s="13"/>
      <c r="C61" s="5"/>
      <c r="D61" s="13"/>
      <c r="E61" s="13"/>
      <c r="F61" s="13"/>
      <c r="G61" s="13"/>
      <c r="H61" s="5"/>
      <c r="I61" s="5"/>
      <c r="J61" s="6" t="str">
        <f t="shared" si="0"/>
        <v/>
      </c>
      <c r="K61" s="6" t="str">
        <f>IF(A61="","",IF(COUNTIFS('02_KICH_BAN_NODES'!$B$5:$B$204,A61,'02_KICH_BAN_NODES'!$D$5:$D$204,"choice")=0,"ChoiceNodeId không tồn tại hoặc không phải choice",IF(COUNTIFS($A$5:$A$404,A61,$B$5:$B$404,B61)&gt;1,"Trùng OptionOrder trong cùng choice",IF(OR(B61="",C61="",D61="",F61="",H61=""),"Thiếu trường bắt buộc",IF(OR(COUNTIF($A$5:$A$404,A61)&lt;2,COUNTIF($A$5:$A$404,A61)&gt;4),"Mỗi choice cần 2–4 option",IF(COUNTIFS('02_KICH_BAN_NODES'!$B$5:$B$204,A61,'02_KICH_BAN_NODES'!$E$5:$E$204,"Kiến thức")=1,IF(COUNTIFS($A$5:$A$404,A61,$D$5:$D$404,"Có")&lt;&gt;1,"Choice kiến thức cần đúng 1 đáp án đúng",""),IF(COUNTIFS('02_KICH_BAN_NODES'!$B$5:$B$204,A61,'02_KICH_BAN_NODES'!$E$5:$E$204,"Tương tác")=1,IF(COUNTIFS($A$5:$A$404,A61,$D$5:$D$404,"Có")&lt;&gt;0,"Choice tương tác không được đánh dấu đáp án đúng",""),"Choice chưa chọn loại")))))))</f>
        <v/>
      </c>
    </row>
    <row r="62" spans="1:11">
      <c r="A62" s="13"/>
      <c r="B62" s="13"/>
      <c r="C62" s="5"/>
      <c r="D62" s="13"/>
      <c r="E62" s="13"/>
      <c r="F62" s="13"/>
      <c r="G62" s="13"/>
      <c r="H62" s="5"/>
      <c r="I62" s="5"/>
      <c r="J62" s="6" t="str">
        <f t="shared" si="0"/>
        <v/>
      </c>
      <c r="K62" s="6" t="str">
        <f>IF(A62="","",IF(COUNTIFS('02_KICH_BAN_NODES'!$B$5:$B$204,A62,'02_KICH_BAN_NODES'!$D$5:$D$204,"choice")=0,"ChoiceNodeId không tồn tại hoặc không phải choice",IF(COUNTIFS($A$5:$A$404,A62,$B$5:$B$404,B62)&gt;1,"Trùng OptionOrder trong cùng choice",IF(OR(B62="",C62="",D62="",F62="",H62=""),"Thiếu trường bắt buộc",IF(OR(COUNTIF($A$5:$A$404,A62)&lt;2,COUNTIF($A$5:$A$404,A62)&gt;4),"Mỗi choice cần 2–4 option",IF(COUNTIFS('02_KICH_BAN_NODES'!$B$5:$B$204,A62,'02_KICH_BAN_NODES'!$E$5:$E$204,"Kiến thức")=1,IF(COUNTIFS($A$5:$A$404,A62,$D$5:$D$404,"Có")&lt;&gt;1,"Choice kiến thức cần đúng 1 đáp án đúng",""),IF(COUNTIFS('02_KICH_BAN_NODES'!$B$5:$B$204,A62,'02_KICH_BAN_NODES'!$E$5:$E$204,"Tương tác")=1,IF(COUNTIFS($A$5:$A$404,A62,$D$5:$D$404,"Có")&lt;&gt;0,"Choice tương tác không được đánh dấu đáp án đúng",""),"Choice chưa chọn loại")))))))</f>
        <v/>
      </c>
    </row>
    <row r="63" spans="1:11">
      <c r="A63" s="13"/>
      <c r="B63" s="13"/>
      <c r="C63" s="5"/>
      <c r="D63" s="13"/>
      <c r="E63" s="13"/>
      <c r="F63" s="13"/>
      <c r="G63" s="13"/>
      <c r="H63" s="5"/>
      <c r="I63" s="5"/>
      <c r="J63" s="6" t="str">
        <f t="shared" si="0"/>
        <v/>
      </c>
      <c r="K63" s="6" t="str">
        <f>IF(A63="","",IF(COUNTIFS('02_KICH_BAN_NODES'!$B$5:$B$204,A63,'02_KICH_BAN_NODES'!$D$5:$D$204,"choice")=0,"ChoiceNodeId không tồn tại hoặc không phải choice",IF(COUNTIFS($A$5:$A$404,A63,$B$5:$B$404,B63)&gt;1,"Trùng OptionOrder trong cùng choice",IF(OR(B63="",C63="",D63="",F63="",H63=""),"Thiếu trường bắt buộc",IF(OR(COUNTIF($A$5:$A$404,A63)&lt;2,COUNTIF($A$5:$A$404,A63)&gt;4),"Mỗi choice cần 2–4 option",IF(COUNTIFS('02_KICH_BAN_NODES'!$B$5:$B$204,A63,'02_KICH_BAN_NODES'!$E$5:$E$204,"Kiến thức")=1,IF(COUNTIFS($A$5:$A$404,A63,$D$5:$D$404,"Có")&lt;&gt;1,"Choice kiến thức cần đúng 1 đáp án đúng",""),IF(COUNTIFS('02_KICH_BAN_NODES'!$B$5:$B$204,A63,'02_KICH_BAN_NODES'!$E$5:$E$204,"Tương tác")=1,IF(COUNTIFS($A$5:$A$404,A63,$D$5:$D$404,"Có")&lt;&gt;0,"Choice tương tác không được đánh dấu đáp án đúng",""),"Choice chưa chọn loại")))))))</f>
        <v/>
      </c>
    </row>
    <row r="64" spans="1:11">
      <c r="A64" s="13"/>
      <c r="B64" s="13"/>
      <c r="C64" s="5"/>
      <c r="D64" s="13"/>
      <c r="E64" s="13"/>
      <c r="F64" s="13"/>
      <c r="G64" s="13"/>
      <c r="H64" s="5"/>
      <c r="I64" s="5"/>
      <c r="J64" s="6" t="str">
        <f t="shared" si="0"/>
        <v/>
      </c>
      <c r="K64" s="6" t="str">
        <f>IF(A64="","",IF(COUNTIFS('02_KICH_BAN_NODES'!$B$5:$B$204,A64,'02_KICH_BAN_NODES'!$D$5:$D$204,"choice")=0,"ChoiceNodeId không tồn tại hoặc không phải choice",IF(COUNTIFS($A$5:$A$404,A64,$B$5:$B$404,B64)&gt;1,"Trùng OptionOrder trong cùng choice",IF(OR(B64="",C64="",D64="",F64="",H64=""),"Thiếu trường bắt buộc",IF(OR(COUNTIF($A$5:$A$404,A64)&lt;2,COUNTIF($A$5:$A$404,A64)&gt;4),"Mỗi choice cần 2–4 option",IF(COUNTIFS('02_KICH_BAN_NODES'!$B$5:$B$204,A64,'02_KICH_BAN_NODES'!$E$5:$E$204,"Kiến thức")=1,IF(COUNTIFS($A$5:$A$404,A64,$D$5:$D$404,"Có")&lt;&gt;1,"Choice kiến thức cần đúng 1 đáp án đúng",""),IF(COUNTIFS('02_KICH_BAN_NODES'!$B$5:$B$204,A64,'02_KICH_BAN_NODES'!$E$5:$E$204,"Tương tác")=1,IF(COUNTIFS($A$5:$A$404,A64,$D$5:$D$404,"Có")&lt;&gt;0,"Choice tương tác không được đánh dấu đáp án đúng",""),"Choice chưa chọn loại")))))))</f>
        <v/>
      </c>
    </row>
    <row r="65" spans="1:11">
      <c r="A65" s="13"/>
      <c r="B65" s="13"/>
      <c r="C65" s="5"/>
      <c r="D65" s="13"/>
      <c r="E65" s="13"/>
      <c r="F65" s="13"/>
      <c r="G65" s="13"/>
      <c r="H65" s="5"/>
      <c r="I65" s="5"/>
      <c r="J65" s="6" t="str">
        <f t="shared" si="0"/>
        <v/>
      </c>
      <c r="K65" s="6" t="str">
        <f>IF(A65="","",IF(COUNTIFS('02_KICH_BAN_NODES'!$B$5:$B$204,A65,'02_KICH_BAN_NODES'!$D$5:$D$204,"choice")=0,"ChoiceNodeId không tồn tại hoặc không phải choice",IF(COUNTIFS($A$5:$A$404,A65,$B$5:$B$404,B65)&gt;1,"Trùng OptionOrder trong cùng choice",IF(OR(B65="",C65="",D65="",F65="",H65=""),"Thiếu trường bắt buộc",IF(OR(COUNTIF($A$5:$A$404,A65)&lt;2,COUNTIF($A$5:$A$404,A65)&gt;4),"Mỗi choice cần 2–4 option",IF(COUNTIFS('02_KICH_BAN_NODES'!$B$5:$B$204,A65,'02_KICH_BAN_NODES'!$E$5:$E$204,"Kiến thức")=1,IF(COUNTIFS($A$5:$A$404,A65,$D$5:$D$404,"Có")&lt;&gt;1,"Choice kiến thức cần đúng 1 đáp án đúng",""),IF(COUNTIFS('02_KICH_BAN_NODES'!$B$5:$B$204,A65,'02_KICH_BAN_NODES'!$E$5:$E$204,"Tương tác")=1,IF(COUNTIFS($A$5:$A$404,A65,$D$5:$D$404,"Có")&lt;&gt;0,"Choice tương tác không được đánh dấu đáp án đúng",""),"Choice chưa chọn loại")))))))</f>
        <v/>
      </c>
    </row>
    <row r="66" spans="1:11">
      <c r="A66" s="13"/>
      <c r="B66" s="13"/>
      <c r="C66" s="5"/>
      <c r="D66" s="13"/>
      <c r="E66" s="13"/>
      <c r="F66" s="13"/>
      <c r="G66" s="13"/>
      <c r="H66" s="5"/>
      <c r="I66" s="5"/>
      <c r="J66" s="6" t="str">
        <f t="shared" si="0"/>
        <v/>
      </c>
      <c r="K66" s="6" t="str">
        <f>IF(A66="","",IF(COUNTIFS('02_KICH_BAN_NODES'!$B$5:$B$204,A66,'02_KICH_BAN_NODES'!$D$5:$D$204,"choice")=0,"ChoiceNodeId không tồn tại hoặc không phải choice",IF(COUNTIFS($A$5:$A$404,A66,$B$5:$B$404,B66)&gt;1,"Trùng OptionOrder trong cùng choice",IF(OR(B66="",C66="",D66="",F66="",H66=""),"Thiếu trường bắt buộc",IF(OR(COUNTIF($A$5:$A$404,A66)&lt;2,COUNTIF($A$5:$A$404,A66)&gt;4),"Mỗi choice cần 2–4 option",IF(COUNTIFS('02_KICH_BAN_NODES'!$B$5:$B$204,A66,'02_KICH_BAN_NODES'!$E$5:$E$204,"Kiến thức")=1,IF(COUNTIFS($A$5:$A$404,A66,$D$5:$D$404,"Có")&lt;&gt;1,"Choice kiến thức cần đúng 1 đáp án đúng",""),IF(COUNTIFS('02_KICH_BAN_NODES'!$B$5:$B$204,A66,'02_KICH_BAN_NODES'!$E$5:$E$204,"Tương tác")=1,IF(COUNTIFS($A$5:$A$404,A66,$D$5:$D$404,"Có")&lt;&gt;0,"Choice tương tác không được đánh dấu đáp án đúng",""),"Choice chưa chọn loại")))))))</f>
        <v/>
      </c>
    </row>
    <row r="67" spans="1:11">
      <c r="A67" s="13"/>
      <c r="B67" s="13"/>
      <c r="C67" s="5"/>
      <c r="D67" s="13"/>
      <c r="E67" s="13"/>
      <c r="F67" s="13"/>
      <c r="G67" s="13"/>
      <c r="H67" s="5"/>
      <c r="I67" s="5"/>
      <c r="J67" s="6" t="str">
        <f t="shared" si="0"/>
        <v/>
      </c>
      <c r="K67" s="6" t="str">
        <f>IF(A67="","",IF(COUNTIFS('02_KICH_BAN_NODES'!$B$5:$B$204,A67,'02_KICH_BAN_NODES'!$D$5:$D$204,"choice")=0,"ChoiceNodeId không tồn tại hoặc không phải choice",IF(COUNTIFS($A$5:$A$404,A67,$B$5:$B$404,B67)&gt;1,"Trùng OptionOrder trong cùng choice",IF(OR(B67="",C67="",D67="",F67="",H67=""),"Thiếu trường bắt buộc",IF(OR(COUNTIF($A$5:$A$404,A67)&lt;2,COUNTIF($A$5:$A$404,A67)&gt;4),"Mỗi choice cần 2–4 option",IF(COUNTIFS('02_KICH_BAN_NODES'!$B$5:$B$204,A67,'02_KICH_BAN_NODES'!$E$5:$E$204,"Kiến thức")=1,IF(COUNTIFS($A$5:$A$404,A67,$D$5:$D$404,"Có")&lt;&gt;1,"Choice kiến thức cần đúng 1 đáp án đúng",""),IF(COUNTIFS('02_KICH_BAN_NODES'!$B$5:$B$204,A67,'02_KICH_BAN_NODES'!$E$5:$E$204,"Tương tác")=1,IF(COUNTIFS($A$5:$A$404,A67,$D$5:$D$404,"Có")&lt;&gt;0,"Choice tương tác không được đánh dấu đáp án đúng",""),"Choice chưa chọn loại")))))))</f>
        <v/>
      </c>
    </row>
    <row r="68" spans="1:11">
      <c r="A68" s="13"/>
      <c r="B68" s="13"/>
      <c r="C68" s="5"/>
      <c r="D68" s="13"/>
      <c r="E68" s="13"/>
      <c r="F68" s="13"/>
      <c r="G68" s="13"/>
      <c r="H68" s="5"/>
      <c r="I68" s="5"/>
      <c r="J68" s="6" t="str">
        <f t="shared" si="0"/>
        <v/>
      </c>
      <c r="K68" s="6" t="str">
        <f>IF(A68="","",IF(COUNTIFS('02_KICH_BAN_NODES'!$B$5:$B$204,A68,'02_KICH_BAN_NODES'!$D$5:$D$204,"choice")=0,"ChoiceNodeId không tồn tại hoặc không phải choice",IF(COUNTIFS($A$5:$A$404,A68,$B$5:$B$404,B68)&gt;1,"Trùng OptionOrder trong cùng choice",IF(OR(B68="",C68="",D68="",F68="",H68=""),"Thiếu trường bắt buộc",IF(OR(COUNTIF($A$5:$A$404,A68)&lt;2,COUNTIF($A$5:$A$404,A68)&gt;4),"Mỗi choice cần 2–4 option",IF(COUNTIFS('02_KICH_BAN_NODES'!$B$5:$B$204,A68,'02_KICH_BAN_NODES'!$E$5:$E$204,"Kiến thức")=1,IF(COUNTIFS($A$5:$A$404,A68,$D$5:$D$404,"Có")&lt;&gt;1,"Choice kiến thức cần đúng 1 đáp án đúng",""),IF(COUNTIFS('02_KICH_BAN_NODES'!$B$5:$B$204,A68,'02_KICH_BAN_NODES'!$E$5:$E$204,"Tương tác")=1,IF(COUNTIFS($A$5:$A$404,A68,$D$5:$D$404,"Có")&lt;&gt;0,"Choice tương tác không được đánh dấu đáp án đúng",""),"Choice chưa chọn loại")))))))</f>
        <v/>
      </c>
    </row>
    <row r="69" spans="1:11">
      <c r="A69" s="13"/>
      <c r="B69" s="13"/>
      <c r="C69" s="5"/>
      <c r="D69" s="13"/>
      <c r="E69" s="13"/>
      <c r="F69" s="13"/>
      <c r="G69" s="13"/>
      <c r="H69" s="5"/>
      <c r="I69" s="5"/>
      <c r="J69" s="6" t="str">
        <f t="shared" ref="J69:J132" si="1">IF(A69="","",IF(K69="","HỢP LỆ","CẦN SỬA"))</f>
        <v/>
      </c>
      <c r="K69" s="6" t="str">
        <f>IF(A69="","",IF(COUNTIFS('02_KICH_BAN_NODES'!$B$5:$B$204,A69,'02_KICH_BAN_NODES'!$D$5:$D$204,"choice")=0,"ChoiceNodeId không tồn tại hoặc không phải choice",IF(COUNTIFS($A$5:$A$404,A69,$B$5:$B$404,B69)&gt;1,"Trùng OptionOrder trong cùng choice",IF(OR(B69="",C69="",D69="",F69="",H69=""),"Thiếu trường bắt buộc",IF(OR(COUNTIF($A$5:$A$404,A69)&lt;2,COUNTIF($A$5:$A$404,A69)&gt;4),"Mỗi choice cần 2–4 option",IF(COUNTIFS('02_KICH_BAN_NODES'!$B$5:$B$204,A69,'02_KICH_BAN_NODES'!$E$5:$E$204,"Kiến thức")=1,IF(COUNTIFS($A$5:$A$404,A69,$D$5:$D$404,"Có")&lt;&gt;1,"Choice kiến thức cần đúng 1 đáp án đúng",""),IF(COUNTIFS('02_KICH_BAN_NODES'!$B$5:$B$204,A69,'02_KICH_BAN_NODES'!$E$5:$E$204,"Tương tác")=1,IF(COUNTIFS($A$5:$A$404,A69,$D$5:$D$404,"Có")&lt;&gt;0,"Choice tương tác không được đánh dấu đáp án đúng",""),"Choice chưa chọn loại")))))))</f>
        <v/>
      </c>
    </row>
    <row r="70" spans="1:11">
      <c r="A70" s="13"/>
      <c r="B70" s="13"/>
      <c r="C70" s="5"/>
      <c r="D70" s="13"/>
      <c r="E70" s="13"/>
      <c r="F70" s="13"/>
      <c r="G70" s="13"/>
      <c r="H70" s="5"/>
      <c r="I70" s="5"/>
      <c r="J70" s="6" t="str">
        <f t="shared" si="1"/>
        <v/>
      </c>
      <c r="K70" s="6" t="str">
        <f>IF(A70="","",IF(COUNTIFS('02_KICH_BAN_NODES'!$B$5:$B$204,A70,'02_KICH_BAN_NODES'!$D$5:$D$204,"choice")=0,"ChoiceNodeId không tồn tại hoặc không phải choice",IF(COUNTIFS($A$5:$A$404,A70,$B$5:$B$404,B70)&gt;1,"Trùng OptionOrder trong cùng choice",IF(OR(B70="",C70="",D70="",F70="",H70=""),"Thiếu trường bắt buộc",IF(OR(COUNTIF($A$5:$A$404,A70)&lt;2,COUNTIF($A$5:$A$404,A70)&gt;4),"Mỗi choice cần 2–4 option",IF(COUNTIFS('02_KICH_BAN_NODES'!$B$5:$B$204,A70,'02_KICH_BAN_NODES'!$E$5:$E$204,"Kiến thức")=1,IF(COUNTIFS($A$5:$A$404,A70,$D$5:$D$404,"Có")&lt;&gt;1,"Choice kiến thức cần đúng 1 đáp án đúng",""),IF(COUNTIFS('02_KICH_BAN_NODES'!$B$5:$B$204,A70,'02_KICH_BAN_NODES'!$E$5:$E$204,"Tương tác")=1,IF(COUNTIFS($A$5:$A$404,A70,$D$5:$D$404,"Có")&lt;&gt;0,"Choice tương tác không được đánh dấu đáp án đúng",""),"Choice chưa chọn loại")))))))</f>
        <v/>
      </c>
    </row>
    <row r="71" spans="1:11">
      <c r="A71" s="13"/>
      <c r="B71" s="13"/>
      <c r="C71" s="5"/>
      <c r="D71" s="13"/>
      <c r="E71" s="13"/>
      <c r="F71" s="13"/>
      <c r="G71" s="13"/>
      <c r="H71" s="5"/>
      <c r="I71" s="5"/>
      <c r="J71" s="6" t="str">
        <f t="shared" si="1"/>
        <v/>
      </c>
      <c r="K71" s="6" t="str">
        <f>IF(A71="","",IF(COUNTIFS('02_KICH_BAN_NODES'!$B$5:$B$204,A71,'02_KICH_BAN_NODES'!$D$5:$D$204,"choice")=0,"ChoiceNodeId không tồn tại hoặc không phải choice",IF(COUNTIFS($A$5:$A$404,A71,$B$5:$B$404,B71)&gt;1,"Trùng OptionOrder trong cùng choice",IF(OR(B71="",C71="",D71="",F71="",H71=""),"Thiếu trường bắt buộc",IF(OR(COUNTIF($A$5:$A$404,A71)&lt;2,COUNTIF($A$5:$A$404,A71)&gt;4),"Mỗi choice cần 2–4 option",IF(COUNTIFS('02_KICH_BAN_NODES'!$B$5:$B$204,A71,'02_KICH_BAN_NODES'!$E$5:$E$204,"Kiến thức")=1,IF(COUNTIFS($A$5:$A$404,A71,$D$5:$D$404,"Có")&lt;&gt;1,"Choice kiến thức cần đúng 1 đáp án đúng",""),IF(COUNTIFS('02_KICH_BAN_NODES'!$B$5:$B$204,A71,'02_KICH_BAN_NODES'!$E$5:$E$204,"Tương tác")=1,IF(COUNTIFS($A$5:$A$404,A71,$D$5:$D$404,"Có")&lt;&gt;0,"Choice tương tác không được đánh dấu đáp án đúng",""),"Choice chưa chọn loại")))))))</f>
        <v/>
      </c>
    </row>
    <row r="72" spans="1:11">
      <c r="A72" s="13"/>
      <c r="B72" s="13"/>
      <c r="C72" s="5"/>
      <c r="D72" s="13"/>
      <c r="E72" s="13"/>
      <c r="F72" s="13"/>
      <c r="G72" s="13"/>
      <c r="H72" s="5"/>
      <c r="I72" s="5"/>
      <c r="J72" s="6" t="str">
        <f t="shared" si="1"/>
        <v/>
      </c>
      <c r="K72" s="6" t="str">
        <f>IF(A72="","",IF(COUNTIFS('02_KICH_BAN_NODES'!$B$5:$B$204,A72,'02_KICH_BAN_NODES'!$D$5:$D$204,"choice")=0,"ChoiceNodeId không tồn tại hoặc không phải choice",IF(COUNTIFS($A$5:$A$404,A72,$B$5:$B$404,B72)&gt;1,"Trùng OptionOrder trong cùng choice",IF(OR(B72="",C72="",D72="",F72="",H72=""),"Thiếu trường bắt buộc",IF(OR(COUNTIF($A$5:$A$404,A72)&lt;2,COUNTIF($A$5:$A$404,A72)&gt;4),"Mỗi choice cần 2–4 option",IF(COUNTIFS('02_KICH_BAN_NODES'!$B$5:$B$204,A72,'02_KICH_BAN_NODES'!$E$5:$E$204,"Kiến thức")=1,IF(COUNTIFS($A$5:$A$404,A72,$D$5:$D$404,"Có")&lt;&gt;1,"Choice kiến thức cần đúng 1 đáp án đúng",""),IF(COUNTIFS('02_KICH_BAN_NODES'!$B$5:$B$204,A72,'02_KICH_BAN_NODES'!$E$5:$E$204,"Tương tác")=1,IF(COUNTIFS($A$5:$A$404,A72,$D$5:$D$404,"Có")&lt;&gt;0,"Choice tương tác không được đánh dấu đáp án đúng",""),"Choice chưa chọn loại")))))))</f>
        <v/>
      </c>
    </row>
    <row r="73" spans="1:11">
      <c r="A73" s="13"/>
      <c r="B73" s="13"/>
      <c r="C73" s="5"/>
      <c r="D73" s="13"/>
      <c r="E73" s="13"/>
      <c r="F73" s="13"/>
      <c r="G73" s="13"/>
      <c r="H73" s="5"/>
      <c r="I73" s="5"/>
      <c r="J73" s="6" t="str">
        <f t="shared" si="1"/>
        <v/>
      </c>
      <c r="K73" s="6" t="str">
        <f>IF(A73="","",IF(COUNTIFS('02_KICH_BAN_NODES'!$B$5:$B$204,A73,'02_KICH_BAN_NODES'!$D$5:$D$204,"choice")=0,"ChoiceNodeId không tồn tại hoặc không phải choice",IF(COUNTIFS($A$5:$A$404,A73,$B$5:$B$404,B73)&gt;1,"Trùng OptionOrder trong cùng choice",IF(OR(B73="",C73="",D73="",F73="",H73=""),"Thiếu trường bắt buộc",IF(OR(COUNTIF($A$5:$A$404,A73)&lt;2,COUNTIF($A$5:$A$404,A73)&gt;4),"Mỗi choice cần 2–4 option",IF(COUNTIFS('02_KICH_BAN_NODES'!$B$5:$B$204,A73,'02_KICH_BAN_NODES'!$E$5:$E$204,"Kiến thức")=1,IF(COUNTIFS($A$5:$A$404,A73,$D$5:$D$404,"Có")&lt;&gt;1,"Choice kiến thức cần đúng 1 đáp án đúng",""),IF(COUNTIFS('02_KICH_BAN_NODES'!$B$5:$B$204,A73,'02_KICH_BAN_NODES'!$E$5:$E$204,"Tương tác")=1,IF(COUNTIFS($A$5:$A$404,A73,$D$5:$D$404,"Có")&lt;&gt;0,"Choice tương tác không được đánh dấu đáp án đúng",""),"Choice chưa chọn loại")))))))</f>
        <v/>
      </c>
    </row>
    <row r="74" spans="1:11">
      <c r="A74" s="13"/>
      <c r="B74" s="13"/>
      <c r="C74" s="5"/>
      <c r="D74" s="13"/>
      <c r="E74" s="13"/>
      <c r="F74" s="13"/>
      <c r="G74" s="13"/>
      <c r="H74" s="5"/>
      <c r="I74" s="5"/>
      <c r="J74" s="6" t="str">
        <f t="shared" si="1"/>
        <v/>
      </c>
      <c r="K74" s="6" t="str">
        <f>IF(A74="","",IF(COUNTIFS('02_KICH_BAN_NODES'!$B$5:$B$204,A74,'02_KICH_BAN_NODES'!$D$5:$D$204,"choice")=0,"ChoiceNodeId không tồn tại hoặc không phải choice",IF(COUNTIFS($A$5:$A$404,A74,$B$5:$B$404,B74)&gt;1,"Trùng OptionOrder trong cùng choice",IF(OR(B74="",C74="",D74="",F74="",H74=""),"Thiếu trường bắt buộc",IF(OR(COUNTIF($A$5:$A$404,A74)&lt;2,COUNTIF($A$5:$A$404,A74)&gt;4),"Mỗi choice cần 2–4 option",IF(COUNTIFS('02_KICH_BAN_NODES'!$B$5:$B$204,A74,'02_KICH_BAN_NODES'!$E$5:$E$204,"Kiến thức")=1,IF(COUNTIFS($A$5:$A$404,A74,$D$5:$D$404,"Có")&lt;&gt;1,"Choice kiến thức cần đúng 1 đáp án đúng",""),IF(COUNTIFS('02_KICH_BAN_NODES'!$B$5:$B$204,A74,'02_KICH_BAN_NODES'!$E$5:$E$204,"Tương tác")=1,IF(COUNTIFS($A$5:$A$404,A74,$D$5:$D$404,"Có")&lt;&gt;0,"Choice tương tác không được đánh dấu đáp án đúng",""),"Choice chưa chọn loại")))))))</f>
        <v/>
      </c>
    </row>
    <row r="75" spans="1:11">
      <c r="A75" s="13"/>
      <c r="B75" s="13"/>
      <c r="C75" s="5"/>
      <c r="D75" s="13"/>
      <c r="E75" s="13"/>
      <c r="F75" s="13"/>
      <c r="G75" s="13"/>
      <c r="H75" s="5"/>
      <c r="I75" s="5"/>
      <c r="J75" s="6" t="str">
        <f t="shared" si="1"/>
        <v/>
      </c>
      <c r="K75" s="6" t="str">
        <f>IF(A75="","",IF(COUNTIFS('02_KICH_BAN_NODES'!$B$5:$B$204,A75,'02_KICH_BAN_NODES'!$D$5:$D$204,"choice")=0,"ChoiceNodeId không tồn tại hoặc không phải choice",IF(COUNTIFS($A$5:$A$404,A75,$B$5:$B$404,B75)&gt;1,"Trùng OptionOrder trong cùng choice",IF(OR(B75="",C75="",D75="",F75="",H75=""),"Thiếu trường bắt buộc",IF(OR(COUNTIF($A$5:$A$404,A75)&lt;2,COUNTIF($A$5:$A$404,A75)&gt;4),"Mỗi choice cần 2–4 option",IF(COUNTIFS('02_KICH_BAN_NODES'!$B$5:$B$204,A75,'02_KICH_BAN_NODES'!$E$5:$E$204,"Kiến thức")=1,IF(COUNTIFS($A$5:$A$404,A75,$D$5:$D$404,"Có")&lt;&gt;1,"Choice kiến thức cần đúng 1 đáp án đúng",""),IF(COUNTIFS('02_KICH_BAN_NODES'!$B$5:$B$204,A75,'02_KICH_BAN_NODES'!$E$5:$E$204,"Tương tác")=1,IF(COUNTIFS($A$5:$A$404,A75,$D$5:$D$404,"Có")&lt;&gt;0,"Choice tương tác không được đánh dấu đáp án đúng",""),"Choice chưa chọn loại")))))))</f>
        <v/>
      </c>
    </row>
    <row r="76" spans="1:11">
      <c r="A76" s="13"/>
      <c r="B76" s="13"/>
      <c r="C76" s="5"/>
      <c r="D76" s="13"/>
      <c r="E76" s="13"/>
      <c r="F76" s="13"/>
      <c r="G76" s="13"/>
      <c r="H76" s="5"/>
      <c r="I76" s="5"/>
      <c r="J76" s="6" t="str">
        <f t="shared" si="1"/>
        <v/>
      </c>
      <c r="K76" s="6" t="str">
        <f>IF(A76="","",IF(COUNTIFS('02_KICH_BAN_NODES'!$B$5:$B$204,A76,'02_KICH_BAN_NODES'!$D$5:$D$204,"choice")=0,"ChoiceNodeId không tồn tại hoặc không phải choice",IF(COUNTIFS($A$5:$A$404,A76,$B$5:$B$404,B76)&gt;1,"Trùng OptionOrder trong cùng choice",IF(OR(B76="",C76="",D76="",F76="",H76=""),"Thiếu trường bắt buộc",IF(OR(COUNTIF($A$5:$A$404,A76)&lt;2,COUNTIF($A$5:$A$404,A76)&gt;4),"Mỗi choice cần 2–4 option",IF(COUNTIFS('02_KICH_BAN_NODES'!$B$5:$B$204,A76,'02_KICH_BAN_NODES'!$E$5:$E$204,"Kiến thức")=1,IF(COUNTIFS($A$5:$A$404,A76,$D$5:$D$404,"Có")&lt;&gt;1,"Choice kiến thức cần đúng 1 đáp án đúng",""),IF(COUNTIFS('02_KICH_BAN_NODES'!$B$5:$B$204,A76,'02_KICH_BAN_NODES'!$E$5:$E$204,"Tương tác")=1,IF(COUNTIFS($A$5:$A$404,A76,$D$5:$D$404,"Có")&lt;&gt;0,"Choice tương tác không được đánh dấu đáp án đúng",""),"Choice chưa chọn loại")))))))</f>
        <v/>
      </c>
    </row>
    <row r="77" spans="1:11">
      <c r="A77" s="13"/>
      <c r="B77" s="13"/>
      <c r="C77" s="5"/>
      <c r="D77" s="13"/>
      <c r="E77" s="13"/>
      <c r="F77" s="13"/>
      <c r="G77" s="13"/>
      <c r="H77" s="5"/>
      <c r="I77" s="5"/>
      <c r="J77" s="6" t="str">
        <f t="shared" si="1"/>
        <v/>
      </c>
      <c r="K77" s="6" t="str">
        <f>IF(A77="","",IF(COUNTIFS('02_KICH_BAN_NODES'!$B$5:$B$204,A77,'02_KICH_BAN_NODES'!$D$5:$D$204,"choice")=0,"ChoiceNodeId không tồn tại hoặc không phải choice",IF(COUNTIFS($A$5:$A$404,A77,$B$5:$B$404,B77)&gt;1,"Trùng OptionOrder trong cùng choice",IF(OR(B77="",C77="",D77="",F77="",H77=""),"Thiếu trường bắt buộc",IF(OR(COUNTIF($A$5:$A$404,A77)&lt;2,COUNTIF($A$5:$A$404,A77)&gt;4),"Mỗi choice cần 2–4 option",IF(COUNTIFS('02_KICH_BAN_NODES'!$B$5:$B$204,A77,'02_KICH_BAN_NODES'!$E$5:$E$204,"Kiến thức")=1,IF(COUNTIFS($A$5:$A$404,A77,$D$5:$D$404,"Có")&lt;&gt;1,"Choice kiến thức cần đúng 1 đáp án đúng",""),IF(COUNTIFS('02_KICH_BAN_NODES'!$B$5:$B$204,A77,'02_KICH_BAN_NODES'!$E$5:$E$204,"Tương tác")=1,IF(COUNTIFS($A$5:$A$404,A77,$D$5:$D$404,"Có")&lt;&gt;0,"Choice tương tác không được đánh dấu đáp án đúng",""),"Choice chưa chọn loại")))))))</f>
        <v/>
      </c>
    </row>
    <row r="78" spans="1:11">
      <c r="A78" s="13"/>
      <c r="B78" s="13"/>
      <c r="C78" s="5"/>
      <c r="D78" s="13"/>
      <c r="E78" s="13"/>
      <c r="F78" s="13"/>
      <c r="G78" s="13"/>
      <c r="H78" s="5"/>
      <c r="I78" s="5"/>
      <c r="J78" s="6" t="str">
        <f t="shared" si="1"/>
        <v/>
      </c>
      <c r="K78" s="6" t="str">
        <f>IF(A78="","",IF(COUNTIFS('02_KICH_BAN_NODES'!$B$5:$B$204,A78,'02_KICH_BAN_NODES'!$D$5:$D$204,"choice")=0,"ChoiceNodeId không tồn tại hoặc không phải choice",IF(COUNTIFS($A$5:$A$404,A78,$B$5:$B$404,B78)&gt;1,"Trùng OptionOrder trong cùng choice",IF(OR(B78="",C78="",D78="",F78="",H78=""),"Thiếu trường bắt buộc",IF(OR(COUNTIF($A$5:$A$404,A78)&lt;2,COUNTIF($A$5:$A$404,A78)&gt;4),"Mỗi choice cần 2–4 option",IF(COUNTIFS('02_KICH_BAN_NODES'!$B$5:$B$204,A78,'02_KICH_BAN_NODES'!$E$5:$E$204,"Kiến thức")=1,IF(COUNTIFS($A$5:$A$404,A78,$D$5:$D$404,"Có")&lt;&gt;1,"Choice kiến thức cần đúng 1 đáp án đúng",""),IF(COUNTIFS('02_KICH_BAN_NODES'!$B$5:$B$204,A78,'02_KICH_BAN_NODES'!$E$5:$E$204,"Tương tác")=1,IF(COUNTIFS($A$5:$A$404,A78,$D$5:$D$404,"Có")&lt;&gt;0,"Choice tương tác không được đánh dấu đáp án đúng",""),"Choice chưa chọn loại")))))))</f>
        <v/>
      </c>
    </row>
    <row r="79" spans="1:11">
      <c r="A79" s="13"/>
      <c r="B79" s="13"/>
      <c r="C79" s="5"/>
      <c r="D79" s="13"/>
      <c r="E79" s="13"/>
      <c r="F79" s="13"/>
      <c r="G79" s="13"/>
      <c r="H79" s="5"/>
      <c r="I79" s="5"/>
      <c r="J79" s="6" t="str">
        <f t="shared" si="1"/>
        <v/>
      </c>
      <c r="K79" s="6" t="str">
        <f>IF(A79="","",IF(COUNTIFS('02_KICH_BAN_NODES'!$B$5:$B$204,A79,'02_KICH_BAN_NODES'!$D$5:$D$204,"choice")=0,"ChoiceNodeId không tồn tại hoặc không phải choice",IF(COUNTIFS($A$5:$A$404,A79,$B$5:$B$404,B79)&gt;1,"Trùng OptionOrder trong cùng choice",IF(OR(B79="",C79="",D79="",F79="",H79=""),"Thiếu trường bắt buộc",IF(OR(COUNTIF($A$5:$A$404,A79)&lt;2,COUNTIF($A$5:$A$404,A79)&gt;4),"Mỗi choice cần 2–4 option",IF(COUNTIFS('02_KICH_BAN_NODES'!$B$5:$B$204,A79,'02_KICH_BAN_NODES'!$E$5:$E$204,"Kiến thức")=1,IF(COUNTIFS($A$5:$A$404,A79,$D$5:$D$404,"Có")&lt;&gt;1,"Choice kiến thức cần đúng 1 đáp án đúng",""),IF(COUNTIFS('02_KICH_BAN_NODES'!$B$5:$B$204,A79,'02_KICH_BAN_NODES'!$E$5:$E$204,"Tương tác")=1,IF(COUNTIFS($A$5:$A$404,A79,$D$5:$D$404,"Có")&lt;&gt;0,"Choice tương tác không được đánh dấu đáp án đúng",""),"Choice chưa chọn loại")))))))</f>
        <v/>
      </c>
    </row>
    <row r="80" spans="1:11">
      <c r="A80" s="13"/>
      <c r="B80" s="13"/>
      <c r="C80" s="5"/>
      <c r="D80" s="13"/>
      <c r="E80" s="13"/>
      <c r="F80" s="13"/>
      <c r="G80" s="13"/>
      <c r="H80" s="5"/>
      <c r="I80" s="5"/>
      <c r="J80" s="6" t="str">
        <f t="shared" si="1"/>
        <v/>
      </c>
      <c r="K80" s="6" t="str">
        <f>IF(A80="","",IF(COUNTIFS('02_KICH_BAN_NODES'!$B$5:$B$204,A80,'02_KICH_BAN_NODES'!$D$5:$D$204,"choice")=0,"ChoiceNodeId không tồn tại hoặc không phải choice",IF(COUNTIFS($A$5:$A$404,A80,$B$5:$B$404,B80)&gt;1,"Trùng OptionOrder trong cùng choice",IF(OR(B80="",C80="",D80="",F80="",H80=""),"Thiếu trường bắt buộc",IF(OR(COUNTIF($A$5:$A$404,A80)&lt;2,COUNTIF($A$5:$A$404,A80)&gt;4),"Mỗi choice cần 2–4 option",IF(COUNTIFS('02_KICH_BAN_NODES'!$B$5:$B$204,A80,'02_KICH_BAN_NODES'!$E$5:$E$204,"Kiến thức")=1,IF(COUNTIFS($A$5:$A$404,A80,$D$5:$D$404,"Có")&lt;&gt;1,"Choice kiến thức cần đúng 1 đáp án đúng",""),IF(COUNTIFS('02_KICH_BAN_NODES'!$B$5:$B$204,A80,'02_KICH_BAN_NODES'!$E$5:$E$204,"Tương tác")=1,IF(COUNTIFS($A$5:$A$404,A80,$D$5:$D$404,"Có")&lt;&gt;0,"Choice tương tác không được đánh dấu đáp án đúng",""),"Choice chưa chọn loại")))))))</f>
        <v/>
      </c>
    </row>
    <row r="81" spans="1:11">
      <c r="A81" s="13"/>
      <c r="B81" s="13"/>
      <c r="C81" s="5"/>
      <c r="D81" s="13"/>
      <c r="E81" s="13"/>
      <c r="F81" s="13"/>
      <c r="G81" s="13"/>
      <c r="H81" s="5"/>
      <c r="I81" s="5"/>
      <c r="J81" s="6" t="str">
        <f t="shared" si="1"/>
        <v/>
      </c>
      <c r="K81" s="6" t="str">
        <f>IF(A81="","",IF(COUNTIFS('02_KICH_BAN_NODES'!$B$5:$B$204,A81,'02_KICH_BAN_NODES'!$D$5:$D$204,"choice")=0,"ChoiceNodeId không tồn tại hoặc không phải choice",IF(COUNTIFS($A$5:$A$404,A81,$B$5:$B$404,B81)&gt;1,"Trùng OptionOrder trong cùng choice",IF(OR(B81="",C81="",D81="",F81="",H81=""),"Thiếu trường bắt buộc",IF(OR(COUNTIF($A$5:$A$404,A81)&lt;2,COUNTIF($A$5:$A$404,A81)&gt;4),"Mỗi choice cần 2–4 option",IF(COUNTIFS('02_KICH_BAN_NODES'!$B$5:$B$204,A81,'02_KICH_BAN_NODES'!$E$5:$E$204,"Kiến thức")=1,IF(COUNTIFS($A$5:$A$404,A81,$D$5:$D$404,"Có")&lt;&gt;1,"Choice kiến thức cần đúng 1 đáp án đúng",""),IF(COUNTIFS('02_KICH_BAN_NODES'!$B$5:$B$204,A81,'02_KICH_BAN_NODES'!$E$5:$E$204,"Tương tác")=1,IF(COUNTIFS($A$5:$A$404,A81,$D$5:$D$404,"Có")&lt;&gt;0,"Choice tương tác không được đánh dấu đáp án đúng",""),"Choice chưa chọn loại")))))))</f>
        <v/>
      </c>
    </row>
    <row r="82" spans="1:11">
      <c r="A82" s="13"/>
      <c r="B82" s="13"/>
      <c r="C82" s="5"/>
      <c r="D82" s="13"/>
      <c r="E82" s="13"/>
      <c r="F82" s="13"/>
      <c r="G82" s="13"/>
      <c r="H82" s="5"/>
      <c r="I82" s="5"/>
      <c r="J82" s="6" t="str">
        <f t="shared" si="1"/>
        <v/>
      </c>
      <c r="K82" s="6" t="str">
        <f>IF(A82="","",IF(COUNTIFS('02_KICH_BAN_NODES'!$B$5:$B$204,A82,'02_KICH_BAN_NODES'!$D$5:$D$204,"choice")=0,"ChoiceNodeId không tồn tại hoặc không phải choice",IF(COUNTIFS($A$5:$A$404,A82,$B$5:$B$404,B82)&gt;1,"Trùng OptionOrder trong cùng choice",IF(OR(B82="",C82="",D82="",F82="",H82=""),"Thiếu trường bắt buộc",IF(OR(COUNTIF($A$5:$A$404,A82)&lt;2,COUNTIF($A$5:$A$404,A82)&gt;4),"Mỗi choice cần 2–4 option",IF(COUNTIFS('02_KICH_BAN_NODES'!$B$5:$B$204,A82,'02_KICH_BAN_NODES'!$E$5:$E$204,"Kiến thức")=1,IF(COUNTIFS($A$5:$A$404,A82,$D$5:$D$404,"Có")&lt;&gt;1,"Choice kiến thức cần đúng 1 đáp án đúng",""),IF(COUNTIFS('02_KICH_BAN_NODES'!$B$5:$B$204,A82,'02_KICH_BAN_NODES'!$E$5:$E$204,"Tương tác")=1,IF(COUNTIFS($A$5:$A$404,A82,$D$5:$D$404,"Có")&lt;&gt;0,"Choice tương tác không được đánh dấu đáp án đúng",""),"Choice chưa chọn loại")))))))</f>
        <v/>
      </c>
    </row>
    <row r="83" spans="1:11">
      <c r="A83" s="13"/>
      <c r="B83" s="13"/>
      <c r="C83" s="5"/>
      <c r="D83" s="13"/>
      <c r="E83" s="13"/>
      <c r="F83" s="13"/>
      <c r="G83" s="13"/>
      <c r="H83" s="5"/>
      <c r="I83" s="5"/>
      <c r="J83" s="6" t="str">
        <f t="shared" si="1"/>
        <v/>
      </c>
      <c r="K83" s="6" t="str">
        <f>IF(A83="","",IF(COUNTIFS('02_KICH_BAN_NODES'!$B$5:$B$204,A83,'02_KICH_BAN_NODES'!$D$5:$D$204,"choice")=0,"ChoiceNodeId không tồn tại hoặc không phải choice",IF(COUNTIFS($A$5:$A$404,A83,$B$5:$B$404,B83)&gt;1,"Trùng OptionOrder trong cùng choice",IF(OR(B83="",C83="",D83="",F83="",H83=""),"Thiếu trường bắt buộc",IF(OR(COUNTIF($A$5:$A$404,A83)&lt;2,COUNTIF($A$5:$A$404,A83)&gt;4),"Mỗi choice cần 2–4 option",IF(COUNTIFS('02_KICH_BAN_NODES'!$B$5:$B$204,A83,'02_KICH_BAN_NODES'!$E$5:$E$204,"Kiến thức")=1,IF(COUNTIFS($A$5:$A$404,A83,$D$5:$D$404,"Có")&lt;&gt;1,"Choice kiến thức cần đúng 1 đáp án đúng",""),IF(COUNTIFS('02_KICH_BAN_NODES'!$B$5:$B$204,A83,'02_KICH_BAN_NODES'!$E$5:$E$204,"Tương tác")=1,IF(COUNTIFS($A$5:$A$404,A83,$D$5:$D$404,"Có")&lt;&gt;0,"Choice tương tác không được đánh dấu đáp án đúng",""),"Choice chưa chọn loại")))))))</f>
        <v/>
      </c>
    </row>
    <row r="84" spans="1:11">
      <c r="A84" s="13"/>
      <c r="B84" s="13"/>
      <c r="C84" s="5"/>
      <c r="D84" s="13"/>
      <c r="E84" s="13"/>
      <c r="F84" s="13"/>
      <c r="G84" s="13"/>
      <c r="H84" s="5"/>
      <c r="I84" s="5"/>
      <c r="J84" s="6" t="str">
        <f t="shared" si="1"/>
        <v/>
      </c>
      <c r="K84" s="6" t="str">
        <f>IF(A84="","",IF(COUNTIFS('02_KICH_BAN_NODES'!$B$5:$B$204,A84,'02_KICH_BAN_NODES'!$D$5:$D$204,"choice")=0,"ChoiceNodeId không tồn tại hoặc không phải choice",IF(COUNTIFS($A$5:$A$404,A84,$B$5:$B$404,B84)&gt;1,"Trùng OptionOrder trong cùng choice",IF(OR(B84="",C84="",D84="",F84="",H84=""),"Thiếu trường bắt buộc",IF(OR(COUNTIF($A$5:$A$404,A84)&lt;2,COUNTIF($A$5:$A$404,A84)&gt;4),"Mỗi choice cần 2–4 option",IF(COUNTIFS('02_KICH_BAN_NODES'!$B$5:$B$204,A84,'02_KICH_BAN_NODES'!$E$5:$E$204,"Kiến thức")=1,IF(COUNTIFS($A$5:$A$404,A84,$D$5:$D$404,"Có")&lt;&gt;1,"Choice kiến thức cần đúng 1 đáp án đúng",""),IF(COUNTIFS('02_KICH_BAN_NODES'!$B$5:$B$204,A84,'02_KICH_BAN_NODES'!$E$5:$E$204,"Tương tác")=1,IF(COUNTIFS($A$5:$A$404,A84,$D$5:$D$404,"Có")&lt;&gt;0,"Choice tương tác không được đánh dấu đáp án đúng",""),"Choice chưa chọn loại")))))))</f>
        <v/>
      </c>
    </row>
    <row r="85" spans="1:11">
      <c r="A85" s="13"/>
      <c r="B85" s="13"/>
      <c r="C85" s="5"/>
      <c r="D85" s="13"/>
      <c r="E85" s="13"/>
      <c r="F85" s="13"/>
      <c r="G85" s="13"/>
      <c r="H85" s="5"/>
      <c r="I85" s="5"/>
      <c r="J85" s="6" t="str">
        <f t="shared" si="1"/>
        <v/>
      </c>
      <c r="K85" s="6" t="str">
        <f>IF(A85="","",IF(COUNTIFS('02_KICH_BAN_NODES'!$B$5:$B$204,A85,'02_KICH_BAN_NODES'!$D$5:$D$204,"choice")=0,"ChoiceNodeId không tồn tại hoặc không phải choice",IF(COUNTIFS($A$5:$A$404,A85,$B$5:$B$404,B85)&gt;1,"Trùng OptionOrder trong cùng choice",IF(OR(B85="",C85="",D85="",F85="",H85=""),"Thiếu trường bắt buộc",IF(OR(COUNTIF($A$5:$A$404,A85)&lt;2,COUNTIF($A$5:$A$404,A85)&gt;4),"Mỗi choice cần 2–4 option",IF(COUNTIFS('02_KICH_BAN_NODES'!$B$5:$B$204,A85,'02_KICH_BAN_NODES'!$E$5:$E$204,"Kiến thức")=1,IF(COUNTIFS($A$5:$A$404,A85,$D$5:$D$404,"Có")&lt;&gt;1,"Choice kiến thức cần đúng 1 đáp án đúng",""),IF(COUNTIFS('02_KICH_BAN_NODES'!$B$5:$B$204,A85,'02_KICH_BAN_NODES'!$E$5:$E$204,"Tương tác")=1,IF(COUNTIFS($A$5:$A$404,A85,$D$5:$D$404,"Có")&lt;&gt;0,"Choice tương tác không được đánh dấu đáp án đúng",""),"Choice chưa chọn loại")))))))</f>
        <v/>
      </c>
    </row>
    <row r="86" spans="1:11">
      <c r="A86" s="13"/>
      <c r="B86" s="13"/>
      <c r="C86" s="5"/>
      <c r="D86" s="13"/>
      <c r="E86" s="13"/>
      <c r="F86" s="13"/>
      <c r="G86" s="13"/>
      <c r="H86" s="5"/>
      <c r="I86" s="5"/>
      <c r="J86" s="6" t="str">
        <f t="shared" si="1"/>
        <v/>
      </c>
      <c r="K86" s="6" t="str">
        <f>IF(A86="","",IF(COUNTIFS('02_KICH_BAN_NODES'!$B$5:$B$204,A86,'02_KICH_BAN_NODES'!$D$5:$D$204,"choice")=0,"ChoiceNodeId không tồn tại hoặc không phải choice",IF(COUNTIFS($A$5:$A$404,A86,$B$5:$B$404,B86)&gt;1,"Trùng OptionOrder trong cùng choice",IF(OR(B86="",C86="",D86="",F86="",H86=""),"Thiếu trường bắt buộc",IF(OR(COUNTIF($A$5:$A$404,A86)&lt;2,COUNTIF($A$5:$A$404,A86)&gt;4),"Mỗi choice cần 2–4 option",IF(COUNTIFS('02_KICH_BAN_NODES'!$B$5:$B$204,A86,'02_KICH_BAN_NODES'!$E$5:$E$204,"Kiến thức")=1,IF(COUNTIFS($A$5:$A$404,A86,$D$5:$D$404,"Có")&lt;&gt;1,"Choice kiến thức cần đúng 1 đáp án đúng",""),IF(COUNTIFS('02_KICH_BAN_NODES'!$B$5:$B$204,A86,'02_KICH_BAN_NODES'!$E$5:$E$204,"Tương tác")=1,IF(COUNTIFS($A$5:$A$404,A86,$D$5:$D$404,"Có")&lt;&gt;0,"Choice tương tác không được đánh dấu đáp án đúng",""),"Choice chưa chọn loại")))))))</f>
        <v/>
      </c>
    </row>
    <row r="87" spans="1:11">
      <c r="A87" s="13"/>
      <c r="B87" s="13"/>
      <c r="C87" s="5"/>
      <c r="D87" s="13"/>
      <c r="E87" s="13"/>
      <c r="F87" s="13"/>
      <c r="G87" s="13"/>
      <c r="H87" s="5"/>
      <c r="I87" s="5"/>
      <c r="J87" s="6" t="str">
        <f t="shared" si="1"/>
        <v/>
      </c>
      <c r="K87" s="6" t="str">
        <f>IF(A87="","",IF(COUNTIFS('02_KICH_BAN_NODES'!$B$5:$B$204,A87,'02_KICH_BAN_NODES'!$D$5:$D$204,"choice")=0,"ChoiceNodeId không tồn tại hoặc không phải choice",IF(COUNTIFS($A$5:$A$404,A87,$B$5:$B$404,B87)&gt;1,"Trùng OptionOrder trong cùng choice",IF(OR(B87="",C87="",D87="",F87="",H87=""),"Thiếu trường bắt buộc",IF(OR(COUNTIF($A$5:$A$404,A87)&lt;2,COUNTIF($A$5:$A$404,A87)&gt;4),"Mỗi choice cần 2–4 option",IF(COUNTIFS('02_KICH_BAN_NODES'!$B$5:$B$204,A87,'02_KICH_BAN_NODES'!$E$5:$E$204,"Kiến thức")=1,IF(COUNTIFS($A$5:$A$404,A87,$D$5:$D$404,"Có")&lt;&gt;1,"Choice kiến thức cần đúng 1 đáp án đúng",""),IF(COUNTIFS('02_KICH_BAN_NODES'!$B$5:$B$204,A87,'02_KICH_BAN_NODES'!$E$5:$E$204,"Tương tác")=1,IF(COUNTIFS($A$5:$A$404,A87,$D$5:$D$404,"Có")&lt;&gt;0,"Choice tương tác không được đánh dấu đáp án đúng",""),"Choice chưa chọn loại")))))))</f>
        <v/>
      </c>
    </row>
    <row r="88" spans="1:11">
      <c r="A88" s="13"/>
      <c r="B88" s="13"/>
      <c r="C88" s="5"/>
      <c r="D88" s="13"/>
      <c r="E88" s="13"/>
      <c r="F88" s="13"/>
      <c r="G88" s="13"/>
      <c r="H88" s="5"/>
      <c r="I88" s="5"/>
      <c r="J88" s="6" t="str">
        <f t="shared" si="1"/>
        <v/>
      </c>
      <c r="K88" s="6" t="str">
        <f>IF(A88="","",IF(COUNTIFS('02_KICH_BAN_NODES'!$B$5:$B$204,A88,'02_KICH_BAN_NODES'!$D$5:$D$204,"choice")=0,"ChoiceNodeId không tồn tại hoặc không phải choice",IF(COUNTIFS($A$5:$A$404,A88,$B$5:$B$404,B88)&gt;1,"Trùng OptionOrder trong cùng choice",IF(OR(B88="",C88="",D88="",F88="",H88=""),"Thiếu trường bắt buộc",IF(OR(COUNTIF($A$5:$A$404,A88)&lt;2,COUNTIF($A$5:$A$404,A88)&gt;4),"Mỗi choice cần 2–4 option",IF(COUNTIFS('02_KICH_BAN_NODES'!$B$5:$B$204,A88,'02_KICH_BAN_NODES'!$E$5:$E$204,"Kiến thức")=1,IF(COUNTIFS($A$5:$A$404,A88,$D$5:$D$404,"Có")&lt;&gt;1,"Choice kiến thức cần đúng 1 đáp án đúng",""),IF(COUNTIFS('02_KICH_BAN_NODES'!$B$5:$B$204,A88,'02_KICH_BAN_NODES'!$E$5:$E$204,"Tương tác")=1,IF(COUNTIFS($A$5:$A$404,A88,$D$5:$D$404,"Có")&lt;&gt;0,"Choice tương tác không được đánh dấu đáp án đúng",""),"Choice chưa chọn loại")))))))</f>
        <v/>
      </c>
    </row>
    <row r="89" spans="1:11">
      <c r="A89" s="13"/>
      <c r="B89" s="13"/>
      <c r="C89" s="5"/>
      <c r="D89" s="13"/>
      <c r="E89" s="13"/>
      <c r="F89" s="13"/>
      <c r="G89" s="13"/>
      <c r="H89" s="5"/>
      <c r="I89" s="5"/>
      <c r="J89" s="6" t="str">
        <f t="shared" si="1"/>
        <v/>
      </c>
      <c r="K89" s="6" t="str">
        <f>IF(A89="","",IF(COUNTIFS('02_KICH_BAN_NODES'!$B$5:$B$204,A89,'02_KICH_BAN_NODES'!$D$5:$D$204,"choice")=0,"ChoiceNodeId không tồn tại hoặc không phải choice",IF(COUNTIFS($A$5:$A$404,A89,$B$5:$B$404,B89)&gt;1,"Trùng OptionOrder trong cùng choice",IF(OR(B89="",C89="",D89="",F89="",H89=""),"Thiếu trường bắt buộc",IF(OR(COUNTIF($A$5:$A$404,A89)&lt;2,COUNTIF($A$5:$A$404,A89)&gt;4),"Mỗi choice cần 2–4 option",IF(COUNTIFS('02_KICH_BAN_NODES'!$B$5:$B$204,A89,'02_KICH_BAN_NODES'!$E$5:$E$204,"Kiến thức")=1,IF(COUNTIFS($A$5:$A$404,A89,$D$5:$D$404,"Có")&lt;&gt;1,"Choice kiến thức cần đúng 1 đáp án đúng",""),IF(COUNTIFS('02_KICH_BAN_NODES'!$B$5:$B$204,A89,'02_KICH_BAN_NODES'!$E$5:$E$204,"Tương tác")=1,IF(COUNTIFS($A$5:$A$404,A89,$D$5:$D$404,"Có")&lt;&gt;0,"Choice tương tác không được đánh dấu đáp án đúng",""),"Choice chưa chọn loại")))))))</f>
        <v/>
      </c>
    </row>
    <row r="90" spans="1:11">
      <c r="A90" s="13"/>
      <c r="B90" s="13"/>
      <c r="C90" s="5"/>
      <c r="D90" s="13"/>
      <c r="E90" s="13"/>
      <c r="F90" s="13"/>
      <c r="G90" s="13"/>
      <c r="H90" s="5"/>
      <c r="I90" s="5"/>
      <c r="J90" s="6" t="str">
        <f t="shared" si="1"/>
        <v/>
      </c>
      <c r="K90" s="6" t="str">
        <f>IF(A90="","",IF(COUNTIFS('02_KICH_BAN_NODES'!$B$5:$B$204,A90,'02_KICH_BAN_NODES'!$D$5:$D$204,"choice")=0,"ChoiceNodeId không tồn tại hoặc không phải choice",IF(COUNTIFS($A$5:$A$404,A90,$B$5:$B$404,B90)&gt;1,"Trùng OptionOrder trong cùng choice",IF(OR(B90="",C90="",D90="",F90="",H90=""),"Thiếu trường bắt buộc",IF(OR(COUNTIF($A$5:$A$404,A90)&lt;2,COUNTIF($A$5:$A$404,A90)&gt;4),"Mỗi choice cần 2–4 option",IF(COUNTIFS('02_KICH_BAN_NODES'!$B$5:$B$204,A90,'02_KICH_BAN_NODES'!$E$5:$E$204,"Kiến thức")=1,IF(COUNTIFS($A$5:$A$404,A90,$D$5:$D$404,"Có")&lt;&gt;1,"Choice kiến thức cần đúng 1 đáp án đúng",""),IF(COUNTIFS('02_KICH_BAN_NODES'!$B$5:$B$204,A90,'02_KICH_BAN_NODES'!$E$5:$E$204,"Tương tác")=1,IF(COUNTIFS($A$5:$A$404,A90,$D$5:$D$404,"Có")&lt;&gt;0,"Choice tương tác không được đánh dấu đáp án đúng",""),"Choice chưa chọn loại")))))))</f>
        <v/>
      </c>
    </row>
    <row r="91" spans="1:11">
      <c r="A91" s="13"/>
      <c r="B91" s="13"/>
      <c r="C91" s="5"/>
      <c r="D91" s="13"/>
      <c r="E91" s="13"/>
      <c r="F91" s="13"/>
      <c r="G91" s="13"/>
      <c r="H91" s="5"/>
      <c r="I91" s="5"/>
      <c r="J91" s="6" t="str">
        <f t="shared" si="1"/>
        <v/>
      </c>
      <c r="K91" s="6" t="str">
        <f>IF(A91="","",IF(COUNTIFS('02_KICH_BAN_NODES'!$B$5:$B$204,A91,'02_KICH_BAN_NODES'!$D$5:$D$204,"choice")=0,"ChoiceNodeId không tồn tại hoặc không phải choice",IF(COUNTIFS($A$5:$A$404,A91,$B$5:$B$404,B91)&gt;1,"Trùng OptionOrder trong cùng choice",IF(OR(B91="",C91="",D91="",F91="",H91=""),"Thiếu trường bắt buộc",IF(OR(COUNTIF($A$5:$A$404,A91)&lt;2,COUNTIF($A$5:$A$404,A91)&gt;4),"Mỗi choice cần 2–4 option",IF(COUNTIFS('02_KICH_BAN_NODES'!$B$5:$B$204,A91,'02_KICH_BAN_NODES'!$E$5:$E$204,"Kiến thức")=1,IF(COUNTIFS($A$5:$A$404,A91,$D$5:$D$404,"Có")&lt;&gt;1,"Choice kiến thức cần đúng 1 đáp án đúng",""),IF(COUNTIFS('02_KICH_BAN_NODES'!$B$5:$B$204,A91,'02_KICH_BAN_NODES'!$E$5:$E$204,"Tương tác")=1,IF(COUNTIFS($A$5:$A$404,A91,$D$5:$D$404,"Có")&lt;&gt;0,"Choice tương tác không được đánh dấu đáp án đúng",""),"Choice chưa chọn loại")))))))</f>
        <v/>
      </c>
    </row>
    <row r="92" spans="1:11">
      <c r="A92" s="13"/>
      <c r="B92" s="13"/>
      <c r="C92" s="5"/>
      <c r="D92" s="13"/>
      <c r="E92" s="13"/>
      <c r="F92" s="13"/>
      <c r="G92" s="13"/>
      <c r="H92" s="5"/>
      <c r="I92" s="5"/>
      <c r="J92" s="6" t="str">
        <f t="shared" si="1"/>
        <v/>
      </c>
      <c r="K92" s="6" t="str">
        <f>IF(A92="","",IF(COUNTIFS('02_KICH_BAN_NODES'!$B$5:$B$204,A92,'02_KICH_BAN_NODES'!$D$5:$D$204,"choice")=0,"ChoiceNodeId không tồn tại hoặc không phải choice",IF(COUNTIFS($A$5:$A$404,A92,$B$5:$B$404,B92)&gt;1,"Trùng OptionOrder trong cùng choice",IF(OR(B92="",C92="",D92="",F92="",H92=""),"Thiếu trường bắt buộc",IF(OR(COUNTIF($A$5:$A$404,A92)&lt;2,COUNTIF($A$5:$A$404,A92)&gt;4),"Mỗi choice cần 2–4 option",IF(COUNTIFS('02_KICH_BAN_NODES'!$B$5:$B$204,A92,'02_KICH_BAN_NODES'!$E$5:$E$204,"Kiến thức")=1,IF(COUNTIFS($A$5:$A$404,A92,$D$5:$D$404,"Có")&lt;&gt;1,"Choice kiến thức cần đúng 1 đáp án đúng",""),IF(COUNTIFS('02_KICH_BAN_NODES'!$B$5:$B$204,A92,'02_KICH_BAN_NODES'!$E$5:$E$204,"Tương tác")=1,IF(COUNTIFS($A$5:$A$404,A92,$D$5:$D$404,"Có")&lt;&gt;0,"Choice tương tác không được đánh dấu đáp án đúng",""),"Choice chưa chọn loại")))))))</f>
        <v/>
      </c>
    </row>
    <row r="93" spans="1:11">
      <c r="A93" s="13"/>
      <c r="B93" s="13"/>
      <c r="C93" s="5"/>
      <c r="D93" s="13"/>
      <c r="E93" s="13"/>
      <c r="F93" s="13"/>
      <c r="G93" s="13"/>
      <c r="H93" s="5"/>
      <c r="I93" s="5"/>
      <c r="J93" s="6" t="str">
        <f t="shared" si="1"/>
        <v/>
      </c>
      <c r="K93" s="6" t="str">
        <f>IF(A93="","",IF(COUNTIFS('02_KICH_BAN_NODES'!$B$5:$B$204,A93,'02_KICH_BAN_NODES'!$D$5:$D$204,"choice")=0,"ChoiceNodeId không tồn tại hoặc không phải choice",IF(COUNTIFS($A$5:$A$404,A93,$B$5:$B$404,B93)&gt;1,"Trùng OptionOrder trong cùng choice",IF(OR(B93="",C93="",D93="",F93="",H93=""),"Thiếu trường bắt buộc",IF(OR(COUNTIF($A$5:$A$404,A93)&lt;2,COUNTIF($A$5:$A$404,A93)&gt;4),"Mỗi choice cần 2–4 option",IF(COUNTIFS('02_KICH_BAN_NODES'!$B$5:$B$204,A93,'02_KICH_BAN_NODES'!$E$5:$E$204,"Kiến thức")=1,IF(COUNTIFS($A$5:$A$404,A93,$D$5:$D$404,"Có")&lt;&gt;1,"Choice kiến thức cần đúng 1 đáp án đúng",""),IF(COUNTIFS('02_KICH_BAN_NODES'!$B$5:$B$204,A93,'02_KICH_BAN_NODES'!$E$5:$E$204,"Tương tác")=1,IF(COUNTIFS($A$5:$A$404,A93,$D$5:$D$404,"Có")&lt;&gt;0,"Choice tương tác không được đánh dấu đáp án đúng",""),"Choice chưa chọn loại")))))))</f>
        <v/>
      </c>
    </row>
    <row r="94" spans="1:11">
      <c r="A94" s="13"/>
      <c r="B94" s="13"/>
      <c r="C94" s="5"/>
      <c r="D94" s="13"/>
      <c r="E94" s="13"/>
      <c r="F94" s="13"/>
      <c r="G94" s="13"/>
      <c r="H94" s="5"/>
      <c r="I94" s="5"/>
      <c r="J94" s="6" t="str">
        <f t="shared" si="1"/>
        <v/>
      </c>
      <c r="K94" s="6" t="str">
        <f>IF(A94="","",IF(COUNTIFS('02_KICH_BAN_NODES'!$B$5:$B$204,A94,'02_KICH_BAN_NODES'!$D$5:$D$204,"choice")=0,"ChoiceNodeId không tồn tại hoặc không phải choice",IF(COUNTIFS($A$5:$A$404,A94,$B$5:$B$404,B94)&gt;1,"Trùng OptionOrder trong cùng choice",IF(OR(B94="",C94="",D94="",F94="",H94=""),"Thiếu trường bắt buộc",IF(OR(COUNTIF($A$5:$A$404,A94)&lt;2,COUNTIF($A$5:$A$404,A94)&gt;4),"Mỗi choice cần 2–4 option",IF(COUNTIFS('02_KICH_BAN_NODES'!$B$5:$B$204,A94,'02_KICH_BAN_NODES'!$E$5:$E$204,"Kiến thức")=1,IF(COUNTIFS($A$5:$A$404,A94,$D$5:$D$404,"Có")&lt;&gt;1,"Choice kiến thức cần đúng 1 đáp án đúng",""),IF(COUNTIFS('02_KICH_BAN_NODES'!$B$5:$B$204,A94,'02_KICH_BAN_NODES'!$E$5:$E$204,"Tương tác")=1,IF(COUNTIFS($A$5:$A$404,A94,$D$5:$D$404,"Có")&lt;&gt;0,"Choice tương tác không được đánh dấu đáp án đúng",""),"Choice chưa chọn loại")))))))</f>
        <v/>
      </c>
    </row>
    <row r="95" spans="1:11">
      <c r="A95" s="13"/>
      <c r="B95" s="13"/>
      <c r="C95" s="5"/>
      <c r="D95" s="13"/>
      <c r="E95" s="13"/>
      <c r="F95" s="13"/>
      <c r="G95" s="13"/>
      <c r="H95" s="5"/>
      <c r="I95" s="5"/>
      <c r="J95" s="6" t="str">
        <f t="shared" si="1"/>
        <v/>
      </c>
      <c r="K95" s="6" t="str">
        <f>IF(A95="","",IF(COUNTIFS('02_KICH_BAN_NODES'!$B$5:$B$204,A95,'02_KICH_BAN_NODES'!$D$5:$D$204,"choice")=0,"ChoiceNodeId không tồn tại hoặc không phải choice",IF(COUNTIFS($A$5:$A$404,A95,$B$5:$B$404,B95)&gt;1,"Trùng OptionOrder trong cùng choice",IF(OR(B95="",C95="",D95="",F95="",H95=""),"Thiếu trường bắt buộc",IF(OR(COUNTIF($A$5:$A$404,A95)&lt;2,COUNTIF($A$5:$A$404,A95)&gt;4),"Mỗi choice cần 2–4 option",IF(COUNTIFS('02_KICH_BAN_NODES'!$B$5:$B$204,A95,'02_KICH_BAN_NODES'!$E$5:$E$204,"Kiến thức")=1,IF(COUNTIFS($A$5:$A$404,A95,$D$5:$D$404,"Có")&lt;&gt;1,"Choice kiến thức cần đúng 1 đáp án đúng",""),IF(COUNTIFS('02_KICH_BAN_NODES'!$B$5:$B$204,A95,'02_KICH_BAN_NODES'!$E$5:$E$204,"Tương tác")=1,IF(COUNTIFS($A$5:$A$404,A95,$D$5:$D$404,"Có")&lt;&gt;0,"Choice tương tác không được đánh dấu đáp án đúng",""),"Choice chưa chọn loại")))))))</f>
        <v/>
      </c>
    </row>
    <row r="96" spans="1:11">
      <c r="A96" s="13"/>
      <c r="B96" s="13"/>
      <c r="C96" s="5"/>
      <c r="D96" s="13"/>
      <c r="E96" s="13"/>
      <c r="F96" s="13"/>
      <c r="G96" s="13"/>
      <c r="H96" s="5"/>
      <c r="I96" s="5"/>
      <c r="J96" s="6" t="str">
        <f t="shared" si="1"/>
        <v/>
      </c>
      <c r="K96" s="6" t="str">
        <f>IF(A96="","",IF(COUNTIFS('02_KICH_BAN_NODES'!$B$5:$B$204,A96,'02_KICH_BAN_NODES'!$D$5:$D$204,"choice")=0,"ChoiceNodeId không tồn tại hoặc không phải choice",IF(COUNTIFS($A$5:$A$404,A96,$B$5:$B$404,B96)&gt;1,"Trùng OptionOrder trong cùng choice",IF(OR(B96="",C96="",D96="",F96="",H96=""),"Thiếu trường bắt buộc",IF(OR(COUNTIF($A$5:$A$404,A96)&lt;2,COUNTIF($A$5:$A$404,A96)&gt;4),"Mỗi choice cần 2–4 option",IF(COUNTIFS('02_KICH_BAN_NODES'!$B$5:$B$204,A96,'02_KICH_BAN_NODES'!$E$5:$E$204,"Kiến thức")=1,IF(COUNTIFS($A$5:$A$404,A96,$D$5:$D$404,"Có")&lt;&gt;1,"Choice kiến thức cần đúng 1 đáp án đúng",""),IF(COUNTIFS('02_KICH_BAN_NODES'!$B$5:$B$204,A96,'02_KICH_BAN_NODES'!$E$5:$E$204,"Tương tác")=1,IF(COUNTIFS($A$5:$A$404,A96,$D$5:$D$404,"Có")&lt;&gt;0,"Choice tương tác không được đánh dấu đáp án đúng",""),"Choice chưa chọn loại")))))))</f>
        <v/>
      </c>
    </row>
    <row r="97" spans="1:11">
      <c r="A97" s="13"/>
      <c r="B97" s="13"/>
      <c r="C97" s="5"/>
      <c r="D97" s="13"/>
      <c r="E97" s="13"/>
      <c r="F97" s="13"/>
      <c r="G97" s="13"/>
      <c r="H97" s="5"/>
      <c r="I97" s="5"/>
      <c r="J97" s="6" t="str">
        <f t="shared" si="1"/>
        <v/>
      </c>
      <c r="K97" s="6" t="str">
        <f>IF(A97="","",IF(COUNTIFS('02_KICH_BAN_NODES'!$B$5:$B$204,A97,'02_KICH_BAN_NODES'!$D$5:$D$204,"choice")=0,"ChoiceNodeId không tồn tại hoặc không phải choice",IF(COUNTIFS($A$5:$A$404,A97,$B$5:$B$404,B97)&gt;1,"Trùng OptionOrder trong cùng choice",IF(OR(B97="",C97="",D97="",F97="",H97=""),"Thiếu trường bắt buộc",IF(OR(COUNTIF($A$5:$A$404,A97)&lt;2,COUNTIF($A$5:$A$404,A97)&gt;4),"Mỗi choice cần 2–4 option",IF(COUNTIFS('02_KICH_BAN_NODES'!$B$5:$B$204,A97,'02_KICH_BAN_NODES'!$E$5:$E$204,"Kiến thức")=1,IF(COUNTIFS($A$5:$A$404,A97,$D$5:$D$404,"Có")&lt;&gt;1,"Choice kiến thức cần đúng 1 đáp án đúng",""),IF(COUNTIFS('02_KICH_BAN_NODES'!$B$5:$B$204,A97,'02_KICH_BAN_NODES'!$E$5:$E$204,"Tương tác")=1,IF(COUNTIFS($A$5:$A$404,A97,$D$5:$D$404,"Có")&lt;&gt;0,"Choice tương tác không được đánh dấu đáp án đúng",""),"Choice chưa chọn loại")))))))</f>
        <v/>
      </c>
    </row>
    <row r="98" spans="1:11">
      <c r="A98" s="13"/>
      <c r="B98" s="13"/>
      <c r="C98" s="5"/>
      <c r="D98" s="13"/>
      <c r="E98" s="13"/>
      <c r="F98" s="13"/>
      <c r="G98" s="13"/>
      <c r="H98" s="5"/>
      <c r="I98" s="5"/>
      <c r="J98" s="6" t="str">
        <f t="shared" si="1"/>
        <v/>
      </c>
      <c r="K98" s="6" t="str">
        <f>IF(A98="","",IF(COUNTIFS('02_KICH_BAN_NODES'!$B$5:$B$204,A98,'02_KICH_BAN_NODES'!$D$5:$D$204,"choice")=0,"ChoiceNodeId không tồn tại hoặc không phải choice",IF(COUNTIFS($A$5:$A$404,A98,$B$5:$B$404,B98)&gt;1,"Trùng OptionOrder trong cùng choice",IF(OR(B98="",C98="",D98="",F98="",H98=""),"Thiếu trường bắt buộc",IF(OR(COUNTIF($A$5:$A$404,A98)&lt;2,COUNTIF($A$5:$A$404,A98)&gt;4),"Mỗi choice cần 2–4 option",IF(COUNTIFS('02_KICH_BAN_NODES'!$B$5:$B$204,A98,'02_KICH_BAN_NODES'!$E$5:$E$204,"Kiến thức")=1,IF(COUNTIFS($A$5:$A$404,A98,$D$5:$D$404,"Có")&lt;&gt;1,"Choice kiến thức cần đúng 1 đáp án đúng",""),IF(COUNTIFS('02_KICH_BAN_NODES'!$B$5:$B$204,A98,'02_KICH_BAN_NODES'!$E$5:$E$204,"Tương tác")=1,IF(COUNTIFS($A$5:$A$404,A98,$D$5:$D$404,"Có")&lt;&gt;0,"Choice tương tác không được đánh dấu đáp án đúng",""),"Choice chưa chọn loại")))))))</f>
        <v/>
      </c>
    </row>
    <row r="99" spans="1:11">
      <c r="A99" s="13"/>
      <c r="B99" s="13"/>
      <c r="C99" s="5"/>
      <c r="D99" s="13"/>
      <c r="E99" s="13"/>
      <c r="F99" s="13"/>
      <c r="G99" s="13"/>
      <c r="H99" s="5"/>
      <c r="I99" s="5"/>
      <c r="J99" s="6" t="str">
        <f t="shared" si="1"/>
        <v/>
      </c>
      <c r="K99" s="6" t="str">
        <f>IF(A99="","",IF(COUNTIFS('02_KICH_BAN_NODES'!$B$5:$B$204,A99,'02_KICH_BAN_NODES'!$D$5:$D$204,"choice")=0,"ChoiceNodeId không tồn tại hoặc không phải choice",IF(COUNTIFS($A$5:$A$404,A99,$B$5:$B$404,B99)&gt;1,"Trùng OptionOrder trong cùng choice",IF(OR(B99="",C99="",D99="",F99="",H99=""),"Thiếu trường bắt buộc",IF(OR(COUNTIF($A$5:$A$404,A99)&lt;2,COUNTIF($A$5:$A$404,A99)&gt;4),"Mỗi choice cần 2–4 option",IF(COUNTIFS('02_KICH_BAN_NODES'!$B$5:$B$204,A99,'02_KICH_BAN_NODES'!$E$5:$E$204,"Kiến thức")=1,IF(COUNTIFS($A$5:$A$404,A99,$D$5:$D$404,"Có")&lt;&gt;1,"Choice kiến thức cần đúng 1 đáp án đúng",""),IF(COUNTIFS('02_KICH_BAN_NODES'!$B$5:$B$204,A99,'02_KICH_BAN_NODES'!$E$5:$E$204,"Tương tác")=1,IF(COUNTIFS($A$5:$A$404,A99,$D$5:$D$404,"Có")&lt;&gt;0,"Choice tương tác không được đánh dấu đáp án đúng",""),"Choice chưa chọn loại")))))))</f>
        <v/>
      </c>
    </row>
    <row r="100" spans="1:11">
      <c r="A100" s="13"/>
      <c r="B100" s="13"/>
      <c r="C100" s="5"/>
      <c r="D100" s="13"/>
      <c r="E100" s="13"/>
      <c r="F100" s="13"/>
      <c r="G100" s="13"/>
      <c r="H100" s="5"/>
      <c r="I100" s="5"/>
      <c r="J100" s="6" t="str">
        <f t="shared" si="1"/>
        <v/>
      </c>
      <c r="K100" s="6" t="str">
        <f>IF(A100="","",IF(COUNTIFS('02_KICH_BAN_NODES'!$B$5:$B$204,A100,'02_KICH_BAN_NODES'!$D$5:$D$204,"choice")=0,"ChoiceNodeId không tồn tại hoặc không phải choice",IF(COUNTIFS($A$5:$A$404,A100,$B$5:$B$404,B100)&gt;1,"Trùng OptionOrder trong cùng choice",IF(OR(B100="",C100="",D100="",F100="",H100=""),"Thiếu trường bắt buộc",IF(OR(COUNTIF($A$5:$A$404,A100)&lt;2,COUNTIF($A$5:$A$404,A100)&gt;4),"Mỗi choice cần 2–4 option",IF(COUNTIFS('02_KICH_BAN_NODES'!$B$5:$B$204,A100,'02_KICH_BAN_NODES'!$E$5:$E$204,"Kiến thức")=1,IF(COUNTIFS($A$5:$A$404,A100,$D$5:$D$404,"Có")&lt;&gt;1,"Choice kiến thức cần đúng 1 đáp án đúng",""),IF(COUNTIFS('02_KICH_BAN_NODES'!$B$5:$B$204,A100,'02_KICH_BAN_NODES'!$E$5:$E$204,"Tương tác")=1,IF(COUNTIFS($A$5:$A$404,A100,$D$5:$D$404,"Có")&lt;&gt;0,"Choice tương tác không được đánh dấu đáp án đúng",""),"Choice chưa chọn loại")))))))</f>
        <v/>
      </c>
    </row>
    <row r="101" spans="1:11">
      <c r="A101" s="13"/>
      <c r="B101" s="13"/>
      <c r="C101" s="5"/>
      <c r="D101" s="13"/>
      <c r="E101" s="13"/>
      <c r="F101" s="13"/>
      <c r="G101" s="13"/>
      <c r="H101" s="5"/>
      <c r="I101" s="5"/>
      <c r="J101" s="6" t="str">
        <f t="shared" si="1"/>
        <v/>
      </c>
      <c r="K101" s="6" t="str">
        <f>IF(A101="","",IF(COUNTIFS('02_KICH_BAN_NODES'!$B$5:$B$204,A101,'02_KICH_BAN_NODES'!$D$5:$D$204,"choice")=0,"ChoiceNodeId không tồn tại hoặc không phải choice",IF(COUNTIFS($A$5:$A$404,A101,$B$5:$B$404,B101)&gt;1,"Trùng OptionOrder trong cùng choice",IF(OR(B101="",C101="",D101="",F101="",H101=""),"Thiếu trường bắt buộc",IF(OR(COUNTIF($A$5:$A$404,A101)&lt;2,COUNTIF($A$5:$A$404,A101)&gt;4),"Mỗi choice cần 2–4 option",IF(COUNTIFS('02_KICH_BAN_NODES'!$B$5:$B$204,A101,'02_KICH_BAN_NODES'!$E$5:$E$204,"Kiến thức")=1,IF(COUNTIFS($A$5:$A$404,A101,$D$5:$D$404,"Có")&lt;&gt;1,"Choice kiến thức cần đúng 1 đáp án đúng",""),IF(COUNTIFS('02_KICH_BAN_NODES'!$B$5:$B$204,A101,'02_KICH_BAN_NODES'!$E$5:$E$204,"Tương tác")=1,IF(COUNTIFS($A$5:$A$404,A101,$D$5:$D$404,"Có")&lt;&gt;0,"Choice tương tác không được đánh dấu đáp án đúng",""),"Choice chưa chọn loại")))))))</f>
        <v/>
      </c>
    </row>
    <row r="102" spans="1:11">
      <c r="A102" s="13"/>
      <c r="B102" s="13"/>
      <c r="C102" s="5"/>
      <c r="D102" s="13"/>
      <c r="E102" s="13"/>
      <c r="F102" s="13"/>
      <c r="G102" s="13"/>
      <c r="H102" s="5"/>
      <c r="I102" s="5"/>
      <c r="J102" s="6" t="str">
        <f t="shared" si="1"/>
        <v/>
      </c>
      <c r="K102" s="6" t="str">
        <f>IF(A102="","",IF(COUNTIFS('02_KICH_BAN_NODES'!$B$5:$B$204,A102,'02_KICH_BAN_NODES'!$D$5:$D$204,"choice")=0,"ChoiceNodeId không tồn tại hoặc không phải choice",IF(COUNTIFS($A$5:$A$404,A102,$B$5:$B$404,B102)&gt;1,"Trùng OptionOrder trong cùng choice",IF(OR(B102="",C102="",D102="",F102="",H102=""),"Thiếu trường bắt buộc",IF(OR(COUNTIF($A$5:$A$404,A102)&lt;2,COUNTIF($A$5:$A$404,A102)&gt;4),"Mỗi choice cần 2–4 option",IF(COUNTIFS('02_KICH_BAN_NODES'!$B$5:$B$204,A102,'02_KICH_BAN_NODES'!$E$5:$E$204,"Kiến thức")=1,IF(COUNTIFS($A$5:$A$404,A102,$D$5:$D$404,"Có")&lt;&gt;1,"Choice kiến thức cần đúng 1 đáp án đúng",""),IF(COUNTIFS('02_KICH_BAN_NODES'!$B$5:$B$204,A102,'02_KICH_BAN_NODES'!$E$5:$E$204,"Tương tác")=1,IF(COUNTIFS($A$5:$A$404,A102,$D$5:$D$404,"Có")&lt;&gt;0,"Choice tương tác không được đánh dấu đáp án đúng",""),"Choice chưa chọn loại")))))))</f>
        <v/>
      </c>
    </row>
    <row r="103" spans="1:11">
      <c r="A103" s="13"/>
      <c r="B103" s="13"/>
      <c r="C103" s="5"/>
      <c r="D103" s="13"/>
      <c r="E103" s="13"/>
      <c r="F103" s="13"/>
      <c r="G103" s="13"/>
      <c r="H103" s="5"/>
      <c r="I103" s="5"/>
      <c r="J103" s="6" t="str">
        <f t="shared" si="1"/>
        <v/>
      </c>
      <c r="K103" s="6" t="str">
        <f>IF(A103="","",IF(COUNTIFS('02_KICH_BAN_NODES'!$B$5:$B$204,A103,'02_KICH_BAN_NODES'!$D$5:$D$204,"choice")=0,"ChoiceNodeId không tồn tại hoặc không phải choice",IF(COUNTIFS($A$5:$A$404,A103,$B$5:$B$404,B103)&gt;1,"Trùng OptionOrder trong cùng choice",IF(OR(B103="",C103="",D103="",F103="",H103=""),"Thiếu trường bắt buộc",IF(OR(COUNTIF($A$5:$A$404,A103)&lt;2,COUNTIF($A$5:$A$404,A103)&gt;4),"Mỗi choice cần 2–4 option",IF(COUNTIFS('02_KICH_BAN_NODES'!$B$5:$B$204,A103,'02_KICH_BAN_NODES'!$E$5:$E$204,"Kiến thức")=1,IF(COUNTIFS($A$5:$A$404,A103,$D$5:$D$404,"Có")&lt;&gt;1,"Choice kiến thức cần đúng 1 đáp án đúng",""),IF(COUNTIFS('02_KICH_BAN_NODES'!$B$5:$B$204,A103,'02_KICH_BAN_NODES'!$E$5:$E$204,"Tương tác")=1,IF(COUNTIFS($A$5:$A$404,A103,$D$5:$D$404,"Có")&lt;&gt;0,"Choice tương tác không được đánh dấu đáp án đúng",""),"Choice chưa chọn loại")))))))</f>
        <v/>
      </c>
    </row>
    <row r="104" spans="1:11">
      <c r="A104" s="13"/>
      <c r="B104" s="13"/>
      <c r="C104" s="5"/>
      <c r="D104" s="13"/>
      <c r="E104" s="13"/>
      <c r="F104" s="13"/>
      <c r="G104" s="13"/>
      <c r="H104" s="5"/>
      <c r="I104" s="5"/>
      <c r="J104" s="6" t="str">
        <f t="shared" si="1"/>
        <v/>
      </c>
      <c r="K104" s="6" t="str">
        <f>IF(A104="","",IF(COUNTIFS('02_KICH_BAN_NODES'!$B$5:$B$204,A104,'02_KICH_BAN_NODES'!$D$5:$D$204,"choice")=0,"ChoiceNodeId không tồn tại hoặc không phải choice",IF(COUNTIFS($A$5:$A$404,A104,$B$5:$B$404,B104)&gt;1,"Trùng OptionOrder trong cùng choice",IF(OR(B104="",C104="",D104="",F104="",H104=""),"Thiếu trường bắt buộc",IF(OR(COUNTIF($A$5:$A$404,A104)&lt;2,COUNTIF($A$5:$A$404,A104)&gt;4),"Mỗi choice cần 2–4 option",IF(COUNTIFS('02_KICH_BAN_NODES'!$B$5:$B$204,A104,'02_KICH_BAN_NODES'!$E$5:$E$204,"Kiến thức")=1,IF(COUNTIFS($A$5:$A$404,A104,$D$5:$D$404,"Có")&lt;&gt;1,"Choice kiến thức cần đúng 1 đáp án đúng",""),IF(COUNTIFS('02_KICH_BAN_NODES'!$B$5:$B$204,A104,'02_KICH_BAN_NODES'!$E$5:$E$204,"Tương tác")=1,IF(COUNTIFS($A$5:$A$404,A104,$D$5:$D$404,"Có")&lt;&gt;0,"Choice tương tác không được đánh dấu đáp án đúng",""),"Choice chưa chọn loại")))))))</f>
        <v/>
      </c>
    </row>
    <row r="105" spans="1:11">
      <c r="A105" s="13"/>
      <c r="B105" s="13"/>
      <c r="C105" s="5"/>
      <c r="D105" s="13"/>
      <c r="E105" s="13"/>
      <c r="F105" s="13"/>
      <c r="G105" s="13"/>
      <c r="H105" s="5"/>
      <c r="I105" s="5"/>
      <c r="J105" s="6" t="str">
        <f t="shared" si="1"/>
        <v/>
      </c>
      <c r="K105" s="6" t="str">
        <f>IF(A105="","",IF(COUNTIFS('02_KICH_BAN_NODES'!$B$5:$B$204,A105,'02_KICH_BAN_NODES'!$D$5:$D$204,"choice")=0,"ChoiceNodeId không tồn tại hoặc không phải choice",IF(COUNTIFS($A$5:$A$404,A105,$B$5:$B$404,B105)&gt;1,"Trùng OptionOrder trong cùng choice",IF(OR(B105="",C105="",D105="",F105="",H105=""),"Thiếu trường bắt buộc",IF(OR(COUNTIF($A$5:$A$404,A105)&lt;2,COUNTIF($A$5:$A$404,A105)&gt;4),"Mỗi choice cần 2–4 option",IF(COUNTIFS('02_KICH_BAN_NODES'!$B$5:$B$204,A105,'02_KICH_BAN_NODES'!$E$5:$E$204,"Kiến thức")=1,IF(COUNTIFS($A$5:$A$404,A105,$D$5:$D$404,"Có")&lt;&gt;1,"Choice kiến thức cần đúng 1 đáp án đúng",""),IF(COUNTIFS('02_KICH_BAN_NODES'!$B$5:$B$204,A105,'02_KICH_BAN_NODES'!$E$5:$E$204,"Tương tác")=1,IF(COUNTIFS($A$5:$A$404,A105,$D$5:$D$404,"Có")&lt;&gt;0,"Choice tương tác không được đánh dấu đáp án đúng",""),"Choice chưa chọn loại")))))))</f>
        <v/>
      </c>
    </row>
    <row r="106" spans="1:11">
      <c r="A106" s="13"/>
      <c r="B106" s="13"/>
      <c r="C106" s="5"/>
      <c r="D106" s="13"/>
      <c r="E106" s="13"/>
      <c r="F106" s="13"/>
      <c r="G106" s="13"/>
      <c r="H106" s="5"/>
      <c r="I106" s="5"/>
      <c r="J106" s="6" t="str">
        <f t="shared" si="1"/>
        <v/>
      </c>
      <c r="K106" s="6" t="str">
        <f>IF(A106="","",IF(COUNTIFS('02_KICH_BAN_NODES'!$B$5:$B$204,A106,'02_KICH_BAN_NODES'!$D$5:$D$204,"choice")=0,"ChoiceNodeId không tồn tại hoặc không phải choice",IF(COUNTIFS($A$5:$A$404,A106,$B$5:$B$404,B106)&gt;1,"Trùng OptionOrder trong cùng choice",IF(OR(B106="",C106="",D106="",F106="",H106=""),"Thiếu trường bắt buộc",IF(OR(COUNTIF($A$5:$A$404,A106)&lt;2,COUNTIF($A$5:$A$404,A106)&gt;4),"Mỗi choice cần 2–4 option",IF(COUNTIFS('02_KICH_BAN_NODES'!$B$5:$B$204,A106,'02_KICH_BAN_NODES'!$E$5:$E$204,"Kiến thức")=1,IF(COUNTIFS($A$5:$A$404,A106,$D$5:$D$404,"Có")&lt;&gt;1,"Choice kiến thức cần đúng 1 đáp án đúng",""),IF(COUNTIFS('02_KICH_BAN_NODES'!$B$5:$B$204,A106,'02_KICH_BAN_NODES'!$E$5:$E$204,"Tương tác")=1,IF(COUNTIFS($A$5:$A$404,A106,$D$5:$D$404,"Có")&lt;&gt;0,"Choice tương tác không được đánh dấu đáp án đúng",""),"Choice chưa chọn loại")))))))</f>
        <v/>
      </c>
    </row>
    <row r="107" spans="1:11">
      <c r="A107" s="13"/>
      <c r="B107" s="13"/>
      <c r="C107" s="5"/>
      <c r="D107" s="13"/>
      <c r="E107" s="13"/>
      <c r="F107" s="13"/>
      <c r="G107" s="13"/>
      <c r="H107" s="5"/>
      <c r="I107" s="5"/>
      <c r="J107" s="6" t="str">
        <f t="shared" si="1"/>
        <v/>
      </c>
      <c r="K107" s="6" t="str">
        <f>IF(A107="","",IF(COUNTIFS('02_KICH_BAN_NODES'!$B$5:$B$204,A107,'02_KICH_BAN_NODES'!$D$5:$D$204,"choice")=0,"ChoiceNodeId không tồn tại hoặc không phải choice",IF(COUNTIFS($A$5:$A$404,A107,$B$5:$B$404,B107)&gt;1,"Trùng OptionOrder trong cùng choice",IF(OR(B107="",C107="",D107="",F107="",H107=""),"Thiếu trường bắt buộc",IF(OR(COUNTIF($A$5:$A$404,A107)&lt;2,COUNTIF($A$5:$A$404,A107)&gt;4),"Mỗi choice cần 2–4 option",IF(COUNTIFS('02_KICH_BAN_NODES'!$B$5:$B$204,A107,'02_KICH_BAN_NODES'!$E$5:$E$204,"Kiến thức")=1,IF(COUNTIFS($A$5:$A$404,A107,$D$5:$D$404,"Có")&lt;&gt;1,"Choice kiến thức cần đúng 1 đáp án đúng",""),IF(COUNTIFS('02_KICH_BAN_NODES'!$B$5:$B$204,A107,'02_KICH_BAN_NODES'!$E$5:$E$204,"Tương tác")=1,IF(COUNTIFS($A$5:$A$404,A107,$D$5:$D$404,"Có")&lt;&gt;0,"Choice tương tác không được đánh dấu đáp án đúng",""),"Choice chưa chọn loại")))))))</f>
        <v/>
      </c>
    </row>
    <row r="108" spans="1:11">
      <c r="A108" s="13"/>
      <c r="B108" s="13"/>
      <c r="C108" s="5"/>
      <c r="D108" s="13"/>
      <c r="E108" s="13"/>
      <c r="F108" s="13"/>
      <c r="G108" s="13"/>
      <c r="H108" s="5"/>
      <c r="I108" s="5"/>
      <c r="J108" s="6" t="str">
        <f t="shared" si="1"/>
        <v/>
      </c>
      <c r="K108" s="6" t="str">
        <f>IF(A108="","",IF(COUNTIFS('02_KICH_BAN_NODES'!$B$5:$B$204,A108,'02_KICH_BAN_NODES'!$D$5:$D$204,"choice")=0,"ChoiceNodeId không tồn tại hoặc không phải choice",IF(COUNTIFS($A$5:$A$404,A108,$B$5:$B$404,B108)&gt;1,"Trùng OptionOrder trong cùng choice",IF(OR(B108="",C108="",D108="",F108="",H108=""),"Thiếu trường bắt buộc",IF(OR(COUNTIF($A$5:$A$404,A108)&lt;2,COUNTIF($A$5:$A$404,A108)&gt;4),"Mỗi choice cần 2–4 option",IF(COUNTIFS('02_KICH_BAN_NODES'!$B$5:$B$204,A108,'02_KICH_BAN_NODES'!$E$5:$E$204,"Kiến thức")=1,IF(COUNTIFS($A$5:$A$404,A108,$D$5:$D$404,"Có")&lt;&gt;1,"Choice kiến thức cần đúng 1 đáp án đúng",""),IF(COUNTIFS('02_KICH_BAN_NODES'!$B$5:$B$204,A108,'02_KICH_BAN_NODES'!$E$5:$E$204,"Tương tác")=1,IF(COUNTIFS($A$5:$A$404,A108,$D$5:$D$404,"Có")&lt;&gt;0,"Choice tương tác không được đánh dấu đáp án đúng",""),"Choice chưa chọn loại")))))))</f>
        <v/>
      </c>
    </row>
    <row r="109" spans="1:11">
      <c r="A109" s="13"/>
      <c r="B109" s="13"/>
      <c r="C109" s="5"/>
      <c r="D109" s="13"/>
      <c r="E109" s="13"/>
      <c r="F109" s="13"/>
      <c r="G109" s="13"/>
      <c r="H109" s="5"/>
      <c r="I109" s="5"/>
      <c r="J109" s="6" t="str">
        <f t="shared" si="1"/>
        <v/>
      </c>
      <c r="K109" s="6" t="str">
        <f>IF(A109="","",IF(COUNTIFS('02_KICH_BAN_NODES'!$B$5:$B$204,A109,'02_KICH_BAN_NODES'!$D$5:$D$204,"choice")=0,"ChoiceNodeId không tồn tại hoặc không phải choice",IF(COUNTIFS($A$5:$A$404,A109,$B$5:$B$404,B109)&gt;1,"Trùng OptionOrder trong cùng choice",IF(OR(B109="",C109="",D109="",F109="",H109=""),"Thiếu trường bắt buộc",IF(OR(COUNTIF($A$5:$A$404,A109)&lt;2,COUNTIF($A$5:$A$404,A109)&gt;4),"Mỗi choice cần 2–4 option",IF(COUNTIFS('02_KICH_BAN_NODES'!$B$5:$B$204,A109,'02_KICH_BAN_NODES'!$E$5:$E$204,"Kiến thức")=1,IF(COUNTIFS($A$5:$A$404,A109,$D$5:$D$404,"Có")&lt;&gt;1,"Choice kiến thức cần đúng 1 đáp án đúng",""),IF(COUNTIFS('02_KICH_BAN_NODES'!$B$5:$B$204,A109,'02_KICH_BAN_NODES'!$E$5:$E$204,"Tương tác")=1,IF(COUNTIFS($A$5:$A$404,A109,$D$5:$D$404,"Có")&lt;&gt;0,"Choice tương tác không được đánh dấu đáp án đúng",""),"Choice chưa chọn loại")))))))</f>
        <v/>
      </c>
    </row>
    <row r="110" spans="1:11">
      <c r="A110" s="13"/>
      <c r="B110" s="13"/>
      <c r="C110" s="5"/>
      <c r="D110" s="13"/>
      <c r="E110" s="13"/>
      <c r="F110" s="13"/>
      <c r="G110" s="13"/>
      <c r="H110" s="5"/>
      <c r="I110" s="5"/>
      <c r="J110" s="6" t="str">
        <f t="shared" si="1"/>
        <v/>
      </c>
      <c r="K110" s="6" t="str">
        <f>IF(A110="","",IF(COUNTIFS('02_KICH_BAN_NODES'!$B$5:$B$204,A110,'02_KICH_BAN_NODES'!$D$5:$D$204,"choice")=0,"ChoiceNodeId không tồn tại hoặc không phải choice",IF(COUNTIFS($A$5:$A$404,A110,$B$5:$B$404,B110)&gt;1,"Trùng OptionOrder trong cùng choice",IF(OR(B110="",C110="",D110="",F110="",H110=""),"Thiếu trường bắt buộc",IF(OR(COUNTIF($A$5:$A$404,A110)&lt;2,COUNTIF($A$5:$A$404,A110)&gt;4),"Mỗi choice cần 2–4 option",IF(COUNTIFS('02_KICH_BAN_NODES'!$B$5:$B$204,A110,'02_KICH_BAN_NODES'!$E$5:$E$204,"Kiến thức")=1,IF(COUNTIFS($A$5:$A$404,A110,$D$5:$D$404,"Có")&lt;&gt;1,"Choice kiến thức cần đúng 1 đáp án đúng",""),IF(COUNTIFS('02_KICH_BAN_NODES'!$B$5:$B$204,A110,'02_KICH_BAN_NODES'!$E$5:$E$204,"Tương tác")=1,IF(COUNTIFS($A$5:$A$404,A110,$D$5:$D$404,"Có")&lt;&gt;0,"Choice tương tác không được đánh dấu đáp án đúng",""),"Choice chưa chọn loại")))))))</f>
        <v/>
      </c>
    </row>
    <row r="111" spans="1:11">
      <c r="A111" s="13"/>
      <c r="B111" s="13"/>
      <c r="C111" s="5"/>
      <c r="D111" s="13"/>
      <c r="E111" s="13"/>
      <c r="F111" s="13"/>
      <c r="G111" s="13"/>
      <c r="H111" s="5"/>
      <c r="I111" s="5"/>
      <c r="J111" s="6" t="str">
        <f t="shared" si="1"/>
        <v/>
      </c>
      <c r="K111" s="6" t="str">
        <f>IF(A111="","",IF(COUNTIFS('02_KICH_BAN_NODES'!$B$5:$B$204,A111,'02_KICH_BAN_NODES'!$D$5:$D$204,"choice")=0,"ChoiceNodeId không tồn tại hoặc không phải choice",IF(COUNTIFS($A$5:$A$404,A111,$B$5:$B$404,B111)&gt;1,"Trùng OptionOrder trong cùng choice",IF(OR(B111="",C111="",D111="",F111="",H111=""),"Thiếu trường bắt buộc",IF(OR(COUNTIF($A$5:$A$404,A111)&lt;2,COUNTIF($A$5:$A$404,A111)&gt;4),"Mỗi choice cần 2–4 option",IF(COUNTIFS('02_KICH_BAN_NODES'!$B$5:$B$204,A111,'02_KICH_BAN_NODES'!$E$5:$E$204,"Kiến thức")=1,IF(COUNTIFS($A$5:$A$404,A111,$D$5:$D$404,"Có")&lt;&gt;1,"Choice kiến thức cần đúng 1 đáp án đúng",""),IF(COUNTIFS('02_KICH_BAN_NODES'!$B$5:$B$204,A111,'02_KICH_BAN_NODES'!$E$5:$E$204,"Tương tác")=1,IF(COUNTIFS($A$5:$A$404,A111,$D$5:$D$404,"Có")&lt;&gt;0,"Choice tương tác không được đánh dấu đáp án đúng",""),"Choice chưa chọn loại")))))))</f>
        <v/>
      </c>
    </row>
    <row r="112" spans="1:11">
      <c r="A112" s="13"/>
      <c r="B112" s="13"/>
      <c r="C112" s="5"/>
      <c r="D112" s="13"/>
      <c r="E112" s="13"/>
      <c r="F112" s="13"/>
      <c r="G112" s="13"/>
      <c r="H112" s="5"/>
      <c r="I112" s="5"/>
      <c r="J112" s="6" t="str">
        <f t="shared" si="1"/>
        <v/>
      </c>
      <c r="K112" s="6" t="str">
        <f>IF(A112="","",IF(COUNTIFS('02_KICH_BAN_NODES'!$B$5:$B$204,A112,'02_KICH_BAN_NODES'!$D$5:$D$204,"choice")=0,"ChoiceNodeId không tồn tại hoặc không phải choice",IF(COUNTIFS($A$5:$A$404,A112,$B$5:$B$404,B112)&gt;1,"Trùng OptionOrder trong cùng choice",IF(OR(B112="",C112="",D112="",F112="",H112=""),"Thiếu trường bắt buộc",IF(OR(COUNTIF($A$5:$A$404,A112)&lt;2,COUNTIF($A$5:$A$404,A112)&gt;4),"Mỗi choice cần 2–4 option",IF(COUNTIFS('02_KICH_BAN_NODES'!$B$5:$B$204,A112,'02_KICH_BAN_NODES'!$E$5:$E$204,"Kiến thức")=1,IF(COUNTIFS($A$5:$A$404,A112,$D$5:$D$404,"Có")&lt;&gt;1,"Choice kiến thức cần đúng 1 đáp án đúng",""),IF(COUNTIFS('02_KICH_BAN_NODES'!$B$5:$B$204,A112,'02_KICH_BAN_NODES'!$E$5:$E$204,"Tương tác")=1,IF(COUNTIFS($A$5:$A$404,A112,$D$5:$D$404,"Có")&lt;&gt;0,"Choice tương tác không được đánh dấu đáp án đúng",""),"Choice chưa chọn loại")))))))</f>
        <v/>
      </c>
    </row>
    <row r="113" spans="1:11">
      <c r="A113" s="13"/>
      <c r="B113" s="13"/>
      <c r="C113" s="5"/>
      <c r="D113" s="13"/>
      <c r="E113" s="13"/>
      <c r="F113" s="13"/>
      <c r="G113" s="13"/>
      <c r="H113" s="5"/>
      <c r="I113" s="5"/>
      <c r="J113" s="6" t="str">
        <f t="shared" si="1"/>
        <v/>
      </c>
      <c r="K113" s="6" t="str">
        <f>IF(A113="","",IF(COUNTIFS('02_KICH_BAN_NODES'!$B$5:$B$204,A113,'02_KICH_BAN_NODES'!$D$5:$D$204,"choice")=0,"ChoiceNodeId không tồn tại hoặc không phải choice",IF(COUNTIFS($A$5:$A$404,A113,$B$5:$B$404,B113)&gt;1,"Trùng OptionOrder trong cùng choice",IF(OR(B113="",C113="",D113="",F113="",H113=""),"Thiếu trường bắt buộc",IF(OR(COUNTIF($A$5:$A$404,A113)&lt;2,COUNTIF($A$5:$A$404,A113)&gt;4),"Mỗi choice cần 2–4 option",IF(COUNTIFS('02_KICH_BAN_NODES'!$B$5:$B$204,A113,'02_KICH_BAN_NODES'!$E$5:$E$204,"Kiến thức")=1,IF(COUNTIFS($A$5:$A$404,A113,$D$5:$D$404,"Có")&lt;&gt;1,"Choice kiến thức cần đúng 1 đáp án đúng",""),IF(COUNTIFS('02_KICH_BAN_NODES'!$B$5:$B$204,A113,'02_KICH_BAN_NODES'!$E$5:$E$204,"Tương tác")=1,IF(COUNTIFS($A$5:$A$404,A113,$D$5:$D$404,"Có")&lt;&gt;0,"Choice tương tác không được đánh dấu đáp án đúng",""),"Choice chưa chọn loại")))))))</f>
        <v/>
      </c>
    </row>
    <row r="114" spans="1:11">
      <c r="A114" s="13"/>
      <c r="B114" s="13"/>
      <c r="C114" s="5"/>
      <c r="D114" s="13"/>
      <c r="E114" s="13"/>
      <c r="F114" s="13"/>
      <c r="G114" s="13"/>
      <c r="H114" s="5"/>
      <c r="I114" s="5"/>
      <c r="J114" s="6" t="str">
        <f t="shared" si="1"/>
        <v/>
      </c>
      <c r="K114" s="6" t="str">
        <f>IF(A114="","",IF(COUNTIFS('02_KICH_BAN_NODES'!$B$5:$B$204,A114,'02_KICH_BAN_NODES'!$D$5:$D$204,"choice")=0,"ChoiceNodeId không tồn tại hoặc không phải choice",IF(COUNTIFS($A$5:$A$404,A114,$B$5:$B$404,B114)&gt;1,"Trùng OptionOrder trong cùng choice",IF(OR(B114="",C114="",D114="",F114="",H114=""),"Thiếu trường bắt buộc",IF(OR(COUNTIF($A$5:$A$404,A114)&lt;2,COUNTIF($A$5:$A$404,A114)&gt;4),"Mỗi choice cần 2–4 option",IF(COUNTIFS('02_KICH_BAN_NODES'!$B$5:$B$204,A114,'02_KICH_BAN_NODES'!$E$5:$E$204,"Kiến thức")=1,IF(COUNTIFS($A$5:$A$404,A114,$D$5:$D$404,"Có")&lt;&gt;1,"Choice kiến thức cần đúng 1 đáp án đúng",""),IF(COUNTIFS('02_KICH_BAN_NODES'!$B$5:$B$204,A114,'02_KICH_BAN_NODES'!$E$5:$E$204,"Tương tác")=1,IF(COUNTIFS($A$5:$A$404,A114,$D$5:$D$404,"Có")&lt;&gt;0,"Choice tương tác không được đánh dấu đáp án đúng",""),"Choice chưa chọn loại")))))))</f>
        <v/>
      </c>
    </row>
    <row r="115" spans="1:11">
      <c r="A115" s="13"/>
      <c r="B115" s="13"/>
      <c r="C115" s="5"/>
      <c r="D115" s="13"/>
      <c r="E115" s="13"/>
      <c r="F115" s="13"/>
      <c r="G115" s="13"/>
      <c r="H115" s="5"/>
      <c r="I115" s="5"/>
      <c r="J115" s="6" t="str">
        <f t="shared" si="1"/>
        <v/>
      </c>
      <c r="K115" s="6" t="str">
        <f>IF(A115="","",IF(COUNTIFS('02_KICH_BAN_NODES'!$B$5:$B$204,A115,'02_KICH_BAN_NODES'!$D$5:$D$204,"choice")=0,"ChoiceNodeId không tồn tại hoặc không phải choice",IF(COUNTIFS($A$5:$A$404,A115,$B$5:$B$404,B115)&gt;1,"Trùng OptionOrder trong cùng choice",IF(OR(B115="",C115="",D115="",F115="",H115=""),"Thiếu trường bắt buộc",IF(OR(COUNTIF($A$5:$A$404,A115)&lt;2,COUNTIF($A$5:$A$404,A115)&gt;4),"Mỗi choice cần 2–4 option",IF(COUNTIFS('02_KICH_BAN_NODES'!$B$5:$B$204,A115,'02_KICH_BAN_NODES'!$E$5:$E$204,"Kiến thức")=1,IF(COUNTIFS($A$5:$A$404,A115,$D$5:$D$404,"Có")&lt;&gt;1,"Choice kiến thức cần đúng 1 đáp án đúng",""),IF(COUNTIFS('02_KICH_BAN_NODES'!$B$5:$B$204,A115,'02_KICH_BAN_NODES'!$E$5:$E$204,"Tương tác")=1,IF(COUNTIFS($A$5:$A$404,A115,$D$5:$D$404,"Có")&lt;&gt;0,"Choice tương tác không được đánh dấu đáp án đúng",""),"Choice chưa chọn loại")))))))</f>
        <v/>
      </c>
    </row>
    <row r="116" spans="1:11">
      <c r="A116" s="13"/>
      <c r="B116" s="13"/>
      <c r="C116" s="5"/>
      <c r="D116" s="13"/>
      <c r="E116" s="13"/>
      <c r="F116" s="13"/>
      <c r="G116" s="13"/>
      <c r="H116" s="5"/>
      <c r="I116" s="5"/>
      <c r="J116" s="6" t="str">
        <f t="shared" si="1"/>
        <v/>
      </c>
      <c r="K116" s="6" t="str">
        <f>IF(A116="","",IF(COUNTIFS('02_KICH_BAN_NODES'!$B$5:$B$204,A116,'02_KICH_BAN_NODES'!$D$5:$D$204,"choice")=0,"ChoiceNodeId không tồn tại hoặc không phải choice",IF(COUNTIFS($A$5:$A$404,A116,$B$5:$B$404,B116)&gt;1,"Trùng OptionOrder trong cùng choice",IF(OR(B116="",C116="",D116="",F116="",H116=""),"Thiếu trường bắt buộc",IF(OR(COUNTIF($A$5:$A$404,A116)&lt;2,COUNTIF($A$5:$A$404,A116)&gt;4),"Mỗi choice cần 2–4 option",IF(COUNTIFS('02_KICH_BAN_NODES'!$B$5:$B$204,A116,'02_KICH_BAN_NODES'!$E$5:$E$204,"Kiến thức")=1,IF(COUNTIFS($A$5:$A$404,A116,$D$5:$D$404,"Có")&lt;&gt;1,"Choice kiến thức cần đúng 1 đáp án đúng",""),IF(COUNTIFS('02_KICH_BAN_NODES'!$B$5:$B$204,A116,'02_KICH_BAN_NODES'!$E$5:$E$204,"Tương tác")=1,IF(COUNTIFS($A$5:$A$404,A116,$D$5:$D$404,"Có")&lt;&gt;0,"Choice tương tác không được đánh dấu đáp án đúng",""),"Choice chưa chọn loại")))))))</f>
        <v/>
      </c>
    </row>
    <row r="117" spans="1:11">
      <c r="A117" s="13"/>
      <c r="B117" s="13"/>
      <c r="C117" s="5"/>
      <c r="D117" s="13"/>
      <c r="E117" s="13"/>
      <c r="F117" s="13"/>
      <c r="G117" s="13"/>
      <c r="H117" s="5"/>
      <c r="I117" s="5"/>
      <c r="J117" s="6" t="str">
        <f t="shared" si="1"/>
        <v/>
      </c>
      <c r="K117" s="6" t="str">
        <f>IF(A117="","",IF(COUNTIFS('02_KICH_BAN_NODES'!$B$5:$B$204,A117,'02_KICH_BAN_NODES'!$D$5:$D$204,"choice")=0,"ChoiceNodeId không tồn tại hoặc không phải choice",IF(COUNTIFS($A$5:$A$404,A117,$B$5:$B$404,B117)&gt;1,"Trùng OptionOrder trong cùng choice",IF(OR(B117="",C117="",D117="",F117="",H117=""),"Thiếu trường bắt buộc",IF(OR(COUNTIF($A$5:$A$404,A117)&lt;2,COUNTIF($A$5:$A$404,A117)&gt;4),"Mỗi choice cần 2–4 option",IF(COUNTIFS('02_KICH_BAN_NODES'!$B$5:$B$204,A117,'02_KICH_BAN_NODES'!$E$5:$E$204,"Kiến thức")=1,IF(COUNTIFS($A$5:$A$404,A117,$D$5:$D$404,"Có")&lt;&gt;1,"Choice kiến thức cần đúng 1 đáp án đúng",""),IF(COUNTIFS('02_KICH_BAN_NODES'!$B$5:$B$204,A117,'02_KICH_BAN_NODES'!$E$5:$E$204,"Tương tác")=1,IF(COUNTIFS($A$5:$A$404,A117,$D$5:$D$404,"Có")&lt;&gt;0,"Choice tương tác không được đánh dấu đáp án đúng",""),"Choice chưa chọn loại")))))))</f>
        <v/>
      </c>
    </row>
    <row r="118" spans="1:11">
      <c r="A118" s="13"/>
      <c r="B118" s="13"/>
      <c r="C118" s="5"/>
      <c r="D118" s="13"/>
      <c r="E118" s="13"/>
      <c r="F118" s="13"/>
      <c r="G118" s="13"/>
      <c r="H118" s="5"/>
      <c r="I118" s="5"/>
      <c r="J118" s="6" t="str">
        <f t="shared" si="1"/>
        <v/>
      </c>
      <c r="K118" s="6" t="str">
        <f>IF(A118="","",IF(COUNTIFS('02_KICH_BAN_NODES'!$B$5:$B$204,A118,'02_KICH_BAN_NODES'!$D$5:$D$204,"choice")=0,"ChoiceNodeId không tồn tại hoặc không phải choice",IF(COUNTIFS($A$5:$A$404,A118,$B$5:$B$404,B118)&gt;1,"Trùng OptionOrder trong cùng choice",IF(OR(B118="",C118="",D118="",F118="",H118=""),"Thiếu trường bắt buộc",IF(OR(COUNTIF($A$5:$A$404,A118)&lt;2,COUNTIF($A$5:$A$404,A118)&gt;4),"Mỗi choice cần 2–4 option",IF(COUNTIFS('02_KICH_BAN_NODES'!$B$5:$B$204,A118,'02_KICH_BAN_NODES'!$E$5:$E$204,"Kiến thức")=1,IF(COUNTIFS($A$5:$A$404,A118,$D$5:$D$404,"Có")&lt;&gt;1,"Choice kiến thức cần đúng 1 đáp án đúng",""),IF(COUNTIFS('02_KICH_BAN_NODES'!$B$5:$B$204,A118,'02_KICH_BAN_NODES'!$E$5:$E$204,"Tương tác")=1,IF(COUNTIFS($A$5:$A$404,A118,$D$5:$D$404,"Có")&lt;&gt;0,"Choice tương tác không được đánh dấu đáp án đúng",""),"Choice chưa chọn loại")))))))</f>
        <v/>
      </c>
    </row>
    <row r="119" spans="1:11">
      <c r="A119" s="13"/>
      <c r="B119" s="13"/>
      <c r="C119" s="5"/>
      <c r="D119" s="13"/>
      <c r="E119" s="13"/>
      <c r="F119" s="13"/>
      <c r="G119" s="13"/>
      <c r="H119" s="5"/>
      <c r="I119" s="5"/>
      <c r="J119" s="6" t="str">
        <f t="shared" si="1"/>
        <v/>
      </c>
      <c r="K119" s="6" t="str">
        <f>IF(A119="","",IF(COUNTIFS('02_KICH_BAN_NODES'!$B$5:$B$204,A119,'02_KICH_BAN_NODES'!$D$5:$D$204,"choice")=0,"ChoiceNodeId không tồn tại hoặc không phải choice",IF(COUNTIFS($A$5:$A$404,A119,$B$5:$B$404,B119)&gt;1,"Trùng OptionOrder trong cùng choice",IF(OR(B119="",C119="",D119="",F119="",H119=""),"Thiếu trường bắt buộc",IF(OR(COUNTIF($A$5:$A$404,A119)&lt;2,COUNTIF($A$5:$A$404,A119)&gt;4),"Mỗi choice cần 2–4 option",IF(COUNTIFS('02_KICH_BAN_NODES'!$B$5:$B$204,A119,'02_KICH_BAN_NODES'!$E$5:$E$204,"Kiến thức")=1,IF(COUNTIFS($A$5:$A$404,A119,$D$5:$D$404,"Có")&lt;&gt;1,"Choice kiến thức cần đúng 1 đáp án đúng",""),IF(COUNTIFS('02_KICH_BAN_NODES'!$B$5:$B$204,A119,'02_KICH_BAN_NODES'!$E$5:$E$204,"Tương tác")=1,IF(COUNTIFS($A$5:$A$404,A119,$D$5:$D$404,"Có")&lt;&gt;0,"Choice tương tác không được đánh dấu đáp án đúng",""),"Choice chưa chọn loại")))))))</f>
        <v/>
      </c>
    </row>
    <row r="120" spans="1:11">
      <c r="A120" s="13"/>
      <c r="B120" s="13"/>
      <c r="C120" s="5"/>
      <c r="D120" s="13"/>
      <c r="E120" s="13"/>
      <c r="F120" s="13"/>
      <c r="G120" s="13"/>
      <c r="H120" s="5"/>
      <c r="I120" s="5"/>
      <c r="J120" s="6" t="str">
        <f t="shared" si="1"/>
        <v/>
      </c>
      <c r="K120" s="6" t="str">
        <f>IF(A120="","",IF(COUNTIFS('02_KICH_BAN_NODES'!$B$5:$B$204,A120,'02_KICH_BAN_NODES'!$D$5:$D$204,"choice")=0,"ChoiceNodeId không tồn tại hoặc không phải choice",IF(COUNTIFS($A$5:$A$404,A120,$B$5:$B$404,B120)&gt;1,"Trùng OptionOrder trong cùng choice",IF(OR(B120="",C120="",D120="",F120="",H120=""),"Thiếu trường bắt buộc",IF(OR(COUNTIF($A$5:$A$404,A120)&lt;2,COUNTIF($A$5:$A$404,A120)&gt;4),"Mỗi choice cần 2–4 option",IF(COUNTIFS('02_KICH_BAN_NODES'!$B$5:$B$204,A120,'02_KICH_BAN_NODES'!$E$5:$E$204,"Kiến thức")=1,IF(COUNTIFS($A$5:$A$404,A120,$D$5:$D$404,"Có")&lt;&gt;1,"Choice kiến thức cần đúng 1 đáp án đúng",""),IF(COUNTIFS('02_KICH_BAN_NODES'!$B$5:$B$204,A120,'02_KICH_BAN_NODES'!$E$5:$E$204,"Tương tác")=1,IF(COUNTIFS($A$5:$A$404,A120,$D$5:$D$404,"Có")&lt;&gt;0,"Choice tương tác không được đánh dấu đáp án đúng",""),"Choice chưa chọn loại")))))))</f>
        <v/>
      </c>
    </row>
    <row r="121" spans="1:11">
      <c r="A121" s="13"/>
      <c r="B121" s="13"/>
      <c r="C121" s="5"/>
      <c r="D121" s="13"/>
      <c r="E121" s="13"/>
      <c r="F121" s="13"/>
      <c r="G121" s="13"/>
      <c r="H121" s="5"/>
      <c r="I121" s="5"/>
      <c r="J121" s="6" t="str">
        <f t="shared" si="1"/>
        <v/>
      </c>
      <c r="K121" s="6" t="str">
        <f>IF(A121="","",IF(COUNTIFS('02_KICH_BAN_NODES'!$B$5:$B$204,A121,'02_KICH_BAN_NODES'!$D$5:$D$204,"choice")=0,"ChoiceNodeId không tồn tại hoặc không phải choice",IF(COUNTIFS($A$5:$A$404,A121,$B$5:$B$404,B121)&gt;1,"Trùng OptionOrder trong cùng choice",IF(OR(B121="",C121="",D121="",F121="",H121=""),"Thiếu trường bắt buộc",IF(OR(COUNTIF($A$5:$A$404,A121)&lt;2,COUNTIF($A$5:$A$404,A121)&gt;4),"Mỗi choice cần 2–4 option",IF(COUNTIFS('02_KICH_BAN_NODES'!$B$5:$B$204,A121,'02_KICH_BAN_NODES'!$E$5:$E$204,"Kiến thức")=1,IF(COUNTIFS($A$5:$A$404,A121,$D$5:$D$404,"Có")&lt;&gt;1,"Choice kiến thức cần đúng 1 đáp án đúng",""),IF(COUNTIFS('02_KICH_BAN_NODES'!$B$5:$B$204,A121,'02_KICH_BAN_NODES'!$E$5:$E$204,"Tương tác")=1,IF(COUNTIFS($A$5:$A$404,A121,$D$5:$D$404,"Có")&lt;&gt;0,"Choice tương tác không được đánh dấu đáp án đúng",""),"Choice chưa chọn loại")))))))</f>
        <v/>
      </c>
    </row>
    <row r="122" spans="1:11">
      <c r="A122" s="13"/>
      <c r="B122" s="13"/>
      <c r="C122" s="5"/>
      <c r="D122" s="13"/>
      <c r="E122" s="13"/>
      <c r="F122" s="13"/>
      <c r="G122" s="13"/>
      <c r="H122" s="5"/>
      <c r="I122" s="5"/>
      <c r="J122" s="6" t="str">
        <f t="shared" si="1"/>
        <v/>
      </c>
      <c r="K122" s="6" t="str">
        <f>IF(A122="","",IF(COUNTIFS('02_KICH_BAN_NODES'!$B$5:$B$204,A122,'02_KICH_BAN_NODES'!$D$5:$D$204,"choice")=0,"ChoiceNodeId không tồn tại hoặc không phải choice",IF(COUNTIFS($A$5:$A$404,A122,$B$5:$B$404,B122)&gt;1,"Trùng OptionOrder trong cùng choice",IF(OR(B122="",C122="",D122="",F122="",H122=""),"Thiếu trường bắt buộc",IF(OR(COUNTIF($A$5:$A$404,A122)&lt;2,COUNTIF($A$5:$A$404,A122)&gt;4),"Mỗi choice cần 2–4 option",IF(COUNTIFS('02_KICH_BAN_NODES'!$B$5:$B$204,A122,'02_KICH_BAN_NODES'!$E$5:$E$204,"Kiến thức")=1,IF(COUNTIFS($A$5:$A$404,A122,$D$5:$D$404,"Có")&lt;&gt;1,"Choice kiến thức cần đúng 1 đáp án đúng",""),IF(COUNTIFS('02_KICH_BAN_NODES'!$B$5:$B$204,A122,'02_KICH_BAN_NODES'!$E$5:$E$204,"Tương tác")=1,IF(COUNTIFS($A$5:$A$404,A122,$D$5:$D$404,"Có")&lt;&gt;0,"Choice tương tác không được đánh dấu đáp án đúng",""),"Choice chưa chọn loại")))))))</f>
        <v/>
      </c>
    </row>
    <row r="123" spans="1:11">
      <c r="A123" s="13"/>
      <c r="B123" s="13"/>
      <c r="C123" s="5"/>
      <c r="D123" s="13"/>
      <c r="E123" s="13"/>
      <c r="F123" s="13"/>
      <c r="G123" s="13"/>
      <c r="H123" s="5"/>
      <c r="I123" s="5"/>
      <c r="J123" s="6" t="str">
        <f t="shared" si="1"/>
        <v/>
      </c>
      <c r="K123" s="6" t="str">
        <f>IF(A123="","",IF(COUNTIFS('02_KICH_BAN_NODES'!$B$5:$B$204,A123,'02_KICH_BAN_NODES'!$D$5:$D$204,"choice")=0,"ChoiceNodeId không tồn tại hoặc không phải choice",IF(COUNTIFS($A$5:$A$404,A123,$B$5:$B$404,B123)&gt;1,"Trùng OptionOrder trong cùng choice",IF(OR(B123="",C123="",D123="",F123="",H123=""),"Thiếu trường bắt buộc",IF(OR(COUNTIF($A$5:$A$404,A123)&lt;2,COUNTIF($A$5:$A$404,A123)&gt;4),"Mỗi choice cần 2–4 option",IF(COUNTIFS('02_KICH_BAN_NODES'!$B$5:$B$204,A123,'02_KICH_BAN_NODES'!$E$5:$E$204,"Kiến thức")=1,IF(COUNTIFS($A$5:$A$404,A123,$D$5:$D$404,"Có")&lt;&gt;1,"Choice kiến thức cần đúng 1 đáp án đúng",""),IF(COUNTIFS('02_KICH_BAN_NODES'!$B$5:$B$204,A123,'02_KICH_BAN_NODES'!$E$5:$E$204,"Tương tác")=1,IF(COUNTIFS($A$5:$A$404,A123,$D$5:$D$404,"Có")&lt;&gt;0,"Choice tương tác không được đánh dấu đáp án đúng",""),"Choice chưa chọn loại")))))))</f>
        <v/>
      </c>
    </row>
    <row r="124" spans="1:11">
      <c r="A124" s="13"/>
      <c r="B124" s="13"/>
      <c r="C124" s="5"/>
      <c r="D124" s="13"/>
      <c r="E124" s="13"/>
      <c r="F124" s="13"/>
      <c r="G124" s="13"/>
      <c r="H124" s="5"/>
      <c r="I124" s="5"/>
      <c r="J124" s="6" t="str">
        <f t="shared" si="1"/>
        <v/>
      </c>
      <c r="K124" s="6" t="str">
        <f>IF(A124="","",IF(COUNTIFS('02_KICH_BAN_NODES'!$B$5:$B$204,A124,'02_KICH_BAN_NODES'!$D$5:$D$204,"choice")=0,"ChoiceNodeId không tồn tại hoặc không phải choice",IF(COUNTIFS($A$5:$A$404,A124,$B$5:$B$404,B124)&gt;1,"Trùng OptionOrder trong cùng choice",IF(OR(B124="",C124="",D124="",F124="",H124=""),"Thiếu trường bắt buộc",IF(OR(COUNTIF($A$5:$A$404,A124)&lt;2,COUNTIF($A$5:$A$404,A124)&gt;4),"Mỗi choice cần 2–4 option",IF(COUNTIFS('02_KICH_BAN_NODES'!$B$5:$B$204,A124,'02_KICH_BAN_NODES'!$E$5:$E$204,"Kiến thức")=1,IF(COUNTIFS($A$5:$A$404,A124,$D$5:$D$404,"Có")&lt;&gt;1,"Choice kiến thức cần đúng 1 đáp án đúng",""),IF(COUNTIFS('02_KICH_BAN_NODES'!$B$5:$B$204,A124,'02_KICH_BAN_NODES'!$E$5:$E$204,"Tương tác")=1,IF(COUNTIFS($A$5:$A$404,A124,$D$5:$D$404,"Có")&lt;&gt;0,"Choice tương tác không được đánh dấu đáp án đúng",""),"Choice chưa chọn loại")))))))</f>
        <v/>
      </c>
    </row>
    <row r="125" spans="1:11">
      <c r="A125" s="13"/>
      <c r="B125" s="13"/>
      <c r="C125" s="5"/>
      <c r="D125" s="13"/>
      <c r="E125" s="13"/>
      <c r="F125" s="13"/>
      <c r="G125" s="13"/>
      <c r="H125" s="5"/>
      <c r="I125" s="5"/>
      <c r="J125" s="6" t="str">
        <f t="shared" si="1"/>
        <v/>
      </c>
      <c r="K125" s="6" t="str">
        <f>IF(A125="","",IF(COUNTIFS('02_KICH_BAN_NODES'!$B$5:$B$204,A125,'02_KICH_BAN_NODES'!$D$5:$D$204,"choice")=0,"ChoiceNodeId không tồn tại hoặc không phải choice",IF(COUNTIFS($A$5:$A$404,A125,$B$5:$B$404,B125)&gt;1,"Trùng OptionOrder trong cùng choice",IF(OR(B125="",C125="",D125="",F125="",H125=""),"Thiếu trường bắt buộc",IF(OR(COUNTIF($A$5:$A$404,A125)&lt;2,COUNTIF($A$5:$A$404,A125)&gt;4),"Mỗi choice cần 2–4 option",IF(COUNTIFS('02_KICH_BAN_NODES'!$B$5:$B$204,A125,'02_KICH_BAN_NODES'!$E$5:$E$204,"Kiến thức")=1,IF(COUNTIFS($A$5:$A$404,A125,$D$5:$D$404,"Có")&lt;&gt;1,"Choice kiến thức cần đúng 1 đáp án đúng",""),IF(COUNTIFS('02_KICH_BAN_NODES'!$B$5:$B$204,A125,'02_KICH_BAN_NODES'!$E$5:$E$204,"Tương tác")=1,IF(COUNTIFS($A$5:$A$404,A125,$D$5:$D$404,"Có")&lt;&gt;0,"Choice tương tác không được đánh dấu đáp án đúng",""),"Choice chưa chọn loại")))))))</f>
        <v/>
      </c>
    </row>
    <row r="126" spans="1:11">
      <c r="A126" s="13"/>
      <c r="B126" s="13"/>
      <c r="C126" s="5"/>
      <c r="D126" s="13"/>
      <c r="E126" s="13"/>
      <c r="F126" s="13"/>
      <c r="G126" s="13"/>
      <c r="H126" s="5"/>
      <c r="I126" s="5"/>
      <c r="J126" s="6" t="str">
        <f t="shared" si="1"/>
        <v/>
      </c>
      <c r="K126" s="6" t="str">
        <f>IF(A126="","",IF(COUNTIFS('02_KICH_BAN_NODES'!$B$5:$B$204,A126,'02_KICH_BAN_NODES'!$D$5:$D$204,"choice")=0,"ChoiceNodeId không tồn tại hoặc không phải choice",IF(COUNTIFS($A$5:$A$404,A126,$B$5:$B$404,B126)&gt;1,"Trùng OptionOrder trong cùng choice",IF(OR(B126="",C126="",D126="",F126="",H126=""),"Thiếu trường bắt buộc",IF(OR(COUNTIF($A$5:$A$404,A126)&lt;2,COUNTIF($A$5:$A$404,A126)&gt;4),"Mỗi choice cần 2–4 option",IF(COUNTIFS('02_KICH_BAN_NODES'!$B$5:$B$204,A126,'02_KICH_BAN_NODES'!$E$5:$E$204,"Kiến thức")=1,IF(COUNTIFS($A$5:$A$404,A126,$D$5:$D$404,"Có")&lt;&gt;1,"Choice kiến thức cần đúng 1 đáp án đúng",""),IF(COUNTIFS('02_KICH_BAN_NODES'!$B$5:$B$204,A126,'02_KICH_BAN_NODES'!$E$5:$E$204,"Tương tác")=1,IF(COUNTIFS($A$5:$A$404,A126,$D$5:$D$404,"Có")&lt;&gt;0,"Choice tương tác không được đánh dấu đáp án đúng",""),"Choice chưa chọn loại")))))))</f>
        <v/>
      </c>
    </row>
    <row r="127" spans="1:11">
      <c r="A127" s="13"/>
      <c r="B127" s="13"/>
      <c r="C127" s="5"/>
      <c r="D127" s="13"/>
      <c r="E127" s="13"/>
      <c r="F127" s="13"/>
      <c r="G127" s="13"/>
      <c r="H127" s="5"/>
      <c r="I127" s="5"/>
      <c r="J127" s="6" t="str">
        <f t="shared" si="1"/>
        <v/>
      </c>
      <c r="K127" s="6" t="str">
        <f>IF(A127="","",IF(COUNTIFS('02_KICH_BAN_NODES'!$B$5:$B$204,A127,'02_KICH_BAN_NODES'!$D$5:$D$204,"choice")=0,"ChoiceNodeId không tồn tại hoặc không phải choice",IF(COUNTIFS($A$5:$A$404,A127,$B$5:$B$404,B127)&gt;1,"Trùng OptionOrder trong cùng choice",IF(OR(B127="",C127="",D127="",F127="",H127=""),"Thiếu trường bắt buộc",IF(OR(COUNTIF($A$5:$A$404,A127)&lt;2,COUNTIF($A$5:$A$404,A127)&gt;4),"Mỗi choice cần 2–4 option",IF(COUNTIFS('02_KICH_BAN_NODES'!$B$5:$B$204,A127,'02_KICH_BAN_NODES'!$E$5:$E$204,"Kiến thức")=1,IF(COUNTIFS($A$5:$A$404,A127,$D$5:$D$404,"Có")&lt;&gt;1,"Choice kiến thức cần đúng 1 đáp án đúng",""),IF(COUNTIFS('02_KICH_BAN_NODES'!$B$5:$B$204,A127,'02_KICH_BAN_NODES'!$E$5:$E$204,"Tương tác")=1,IF(COUNTIFS($A$5:$A$404,A127,$D$5:$D$404,"Có")&lt;&gt;0,"Choice tương tác không được đánh dấu đáp án đúng",""),"Choice chưa chọn loại")))))))</f>
        <v/>
      </c>
    </row>
    <row r="128" spans="1:11">
      <c r="A128" s="13"/>
      <c r="B128" s="13"/>
      <c r="C128" s="5"/>
      <c r="D128" s="13"/>
      <c r="E128" s="13"/>
      <c r="F128" s="13"/>
      <c r="G128" s="13"/>
      <c r="H128" s="5"/>
      <c r="I128" s="5"/>
      <c r="J128" s="6" t="str">
        <f t="shared" si="1"/>
        <v/>
      </c>
      <c r="K128" s="6" t="str">
        <f>IF(A128="","",IF(COUNTIFS('02_KICH_BAN_NODES'!$B$5:$B$204,A128,'02_KICH_BAN_NODES'!$D$5:$D$204,"choice")=0,"ChoiceNodeId không tồn tại hoặc không phải choice",IF(COUNTIFS($A$5:$A$404,A128,$B$5:$B$404,B128)&gt;1,"Trùng OptionOrder trong cùng choice",IF(OR(B128="",C128="",D128="",F128="",H128=""),"Thiếu trường bắt buộc",IF(OR(COUNTIF($A$5:$A$404,A128)&lt;2,COUNTIF($A$5:$A$404,A128)&gt;4),"Mỗi choice cần 2–4 option",IF(COUNTIFS('02_KICH_BAN_NODES'!$B$5:$B$204,A128,'02_KICH_BAN_NODES'!$E$5:$E$204,"Kiến thức")=1,IF(COUNTIFS($A$5:$A$404,A128,$D$5:$D$404,"Có")&lt;&gt;1,"Choice kiến thức cần đúng 1 đáp án đúng",""),IF(COUNTIFS('02_KICH_BAN_NODES'!$B$5:$B$204,A128,'02_KICH_BAN_NODES'!$E$5:$E$204,"Tương tác")=1,IF(COUNTIFS($A$5:$A$404,A128,$D$5:$D$404,"Có")&lt;&gt;0,"Choice tương tác không được đánh dấu đáp án đúng",""),"Choice chưa chọn loại")))))))</f>
        <v/>
      </c>
    </row>
    <row r="129" spans="1:11">
      <c r="A129" s="13"/>
      <c r="B129" s="13"/>
      <c r="C129" s="5"/>
      <c r="D129" s="13"/>
      <c r="E129" s="13"/>
      <c r="F129" s="13"/>
      <c r="G129" s="13"/>
      <c r="H129" s="5"/>
      <c r="I129" s="5"/>
      <c r="J129" s="6" t="str">
        <f t="shared" si="1"/>
        <v/>
      </c>
      <c r="K129" s="6" t="str">
        <f>IF(A129="","",IF(COUNTIFS('02_KICH_BAN_NODES'!$B$5:$B$204,A129,'02_KICH_BAN_NODES'!$D$5:$D$204,"choice")=0,"ChoiceNodeId không tồn tại hoặc không phải choice",IF(COUNTIFS($A$5:$A$404,A129,$B$5:$B$404,B129)&gt;1,"Trùng OptionOrder trong cùng choice",IF(OR(B129="",C129="",D129="",F129="",H129=""),"Thiếu trường bắt buộc",IF(OR(COUNTIF($A$5:$A$404,A129)&lt;2,COUNTIF($A$5:$A$404,A129)&gt;4),"Mỗi choice cần 2–4 option",IF(COUNTIFS('02_KICH_BAN_NODES'!$B$5:$B$204,A129,'02_KICH_BAN_NODES'!$E$5:$E$204,"Kiến thức")=1,IF(COUNTIFS($A$5:$A$404,A129,$D$5:$D$404,"Có")&lt;&gt;1,"Choice kiến thức cần đúng 1 đáp án đúng",""),IF(COUNTIFS('02_KICH_BAN_NODES'!$B$5:$B$204,A129,'02_KICH_BAN_NODES'!$E$5:$E$204,"Tương tác")=1,IF(COUNTIFS($A$5:$A$404,A129,$D$5:$D$404,"Có")&lt;&gt;0,"Choice tương tác không được đánh dấu đáp án đúng",""),"Choice chưa chọn loại")))))))</f>
        <v/>
      </c>
    </row>
    <row r="130" spans="1:11">
      <c r="A130" s="13"/>
      <c r="B130" s="13"/>
      <c r="C130" s="5"/>
      <c r="D130" s="13"/>
      <c r="E130" s="13"/>
      <c r="F130" s="13"/>
      <c r="G130" s="13"/>
      <c r="H130" s="5"/>
      <c r="I130" s="5"/>
      <c r="J130" s="6" t="str">
        <f t="shared" si="1"/>
        <v/>
      </c>
      <c r="K130" s="6" t="str">
        <f>IF(A130="","",IF(COUNTIFS('02_KICH_BAN_NODES'!$B$5:$B$204,A130,'02_KICH_BAN_NODES'!$D$5:$D$204,"choice")=0,"ChoiceNodeId không tồn tại hoặc không phải choice",IF(COUNTIFS($A$5:$A$404,A130,$B$5:$B$404,B130)&gt;1,"Trùng OptionOrder trong cùng choice",IF(OR(B130="",C130="",D130="",F130="",H130=""),"Thiếu trường bắt buộc",IF(OR(COUNTIF($A$5:$A$404,A130)&lt;2,COUNTIF($A$5:$A$404,A130)&gt;4),"Mỗi choice cần 2–4 option",IF(COUNTIFS('02_KICH_BAN_NODES'!$B$5:$B$204,A130,'02_KICH_BAN_NODES'!$E$5:$E$204,"Kiến thức")=1,IF(COUNTIFS($A$5:$A$404,A130,$D$5:$D$404,"Có")&lt;&gt;1,"Choice kiến thức cần đúng 1 đáp án đúng",""),IF(COUNTIFS('02_KICH_BAN_NODES'!$B$5:$B$204,A130,'02_KICH_BAN_NODES'!$E$5:$E$204,"Tương tác")=1,IF(COUNTIFS($A$5:$A$404,A130,$D$5:$D$404,"Có")&lt;&gt;0,"Choice tương tác không được đánh dấu đáp án đúng",""),"Choice chưa chọn loại")))))))</f>
        <v/>
      </c>
    </row>
    <row r="131" spans="1:11">
      <c r="A131" s="13"/>
      <c r="B131" s="13"/>
      <c r="C131" s="5"/>
      <c r="D131" s="13"/>
      <c r="E131" s="13"/>
      <c r="F131" s="13"/>
      <c r="G131" s="13"/>
      <c r="H131" s="5"/>
      <c r="I131" s="5"/>
      <c r="J131" s="6" t="str">
        <f t="shared" si="1"/>
        <v/>
      </c>
      <c r="K131" s="6" t="str">
        <f>IF(A131="","",IF(COUNTIFS('02_KICH_BAN_NODES'!$B$5:$B$204,A131,'02_KICH_BAN_NODES'!$D$5:$D$204,"choice")=0,"ChoiceNodeId không tồn tại hoặc không phải choice",IF(COUNTIFS($A$5:$A$404,A131,$B$5:$B$404,B131)&gt;1,"Trùng OptionOrder trong cùng choice",IF(OR(B131="",C131="",D131="",F131="",H131=""),"Thiếu trường bắt buộc",IF(OR(COUNTIF($A$5:$A$404,A131)&lt;2,COUNTIF($A$5:$A$404,A131)&gt;4),"Mỗi choice cần 2–4 option",IF(COUNTIFS('02_KICH_BAN_NODES'!$B$5:$B$204,A131,'02_KICH_BAN_NODES'!$E$5:$E$204,"Kiến thức")=1,IF(COUNTIFS($A$5:$A$404,A131,$D$5:$D$404,"Có")&lt;&gt;1,"Choice kiến thức cần đúng 1 đáp án đúng",""),IF(COUNTIFS('02_KICH_BAN_NODES'!$B$5:$B$204,A131,'02_KICH_BAN_NODES'!$E$5:$E$204,"Tương tác")=1,IF(COUNTIFS($A$5:$A$404,A131,$D$5:$D$404,"Có")&lt;&gt;0,"Choice tương tác không được đánh dấu đáp án đúng",""),"Choice chưa chọn loại")))))))</f>
        <v/>
      </c>
    </row>
    <row r="132" spans="1:11">
      <c r="A132" s="13"/>
      <c r="B132" s="13"/>
      <c r="C132" s="5"/>
      <c r="D132" s="13"/>
      <c r="E132" s="13"/>
      <c r="F132" s="13"/>
      <c r="G132" s="13"/>
      <c r="H132" s="5"/>
      <c r="I132" s="5"/>
      <c r="J132" s="6" t="str">
        <f t="shared" si="1"/>
        <v/>
      </c>
      <c r="K132" s="6" t="str">
        <f>IF(A132="","",IF(COUNTIFS('02_KICH_BAN_NODES'!$B$5:$B$204,A132,'02_KICH_BAN_NODES'!$D$5:$D$204,"choice")=0,"ChoiceNodeId không tồn tại hoặc không phải choice",IF(COUNTIFS($A$5:$A$404,A132,$B$5:$B$404,B132)&gt;1,"Trùng OptionOrder trong cùng choice",IF(OR(B132="",C132="",D132="",F132="",H132=""),"Thiếu trường bắt buộc",IF(OR(COUNTIF($A$5:$A$404,A132)&lt;2,COUNTIF($A$5:$A$404,A132)&gt;4),"Mỗi choice cần 2–4 option",IF(COUNTIFS('02_KICH_BAN_NODES'!$B$5:$B$204,A132,'02_KICH_BAN_NODES'!$E$5:$E$204,"Kiến thức")=1,IF(COUNTIFS($A$5:$A$404,A132,$D$5:$D$404,"Có")&lt;&gt;1,"Choice kiến thức cần đúng 1 đáp án đúng",""),IF(COUNTIFS('02_KICH_BAN_NODES'!$B$5:$B$204,A132,'02_KICH_BAN_NODES'!$E$5:$E$204,"Tương tác")=1,IF(COUNTIFS($A$5:$A$404,A132,$D$5:$D$404,"Có")&lt;&gt;0,"Choice tương tác không được đánh dấu đáp án đúng",""),"Choice chưa chọn loại")))))))</f>
        <v/>
      </c>
    </row>
    <row r="133" spans="1:11">
      <c r="A133" s="13"/>
      <c r="B133" s="13"/>
      <c r="C133" s="5"/>
      <c r="D133" s="13"/>
      <c r="E133" s="13"/>
      <c r="F133" s="13"/>
      <c r="G133" s="13"/>
      <c r="H133" s="5"/>
      <c r="I133" s="5"/>
      <c r="J133" s="6" t="str">
        <f t="shared" ref="J133:J196" si="2">IF(A133="","",IF(K133="","HỢP LỆ","CẦN SỬA"))</f>
        <v/>
      </c>
      <c r="K133" s="6" t="str">
        <f>IF(A133="","",IF(COUNTIFS('02_KICH_BAN_NODES'!$B$5:$B$204,A133,'02_KICH_BAN_NODES'!$D$5:$D$204,"choice")=0,"ChoiceNodeId không tồn tại hoặc không phải choice",IF(COUNTIFS($A$5:$A$404,A133,$B$5:$B$404,B133)&gt;1,"Trùng OptionOrder trong cùng choice",IF(OR(B133="",C133="",D133="",F133="",H133=""),"Thiếu trường bắt buộc",IF(OR(COUNTIF($A$5:$A$404,A133)&lt;2,COUNTIF($A$5:$A$404,A133)&gt;4),"Mỗi choice cần 2–4 option",IF(COUNTIFS('02_KICH_BAN_NODES'!$B$5:$B$204,A133,'02_KICH_BAN_NODES'!$E$5:$E$204,"Kiến thức")=1,IF(COUNTIFS($A$5:$A$404,A133,$D$5:$D$404,"Có")&lt;&gt;1,"Choice kiến thức cần đúng 1 đáp án đúng",""),IF(COUNTIFS('02_KICH_BAN_NODES'!$B$5:$B$204,A133,'02_KICH_BAN_NODES'!$E$5:$E$204,"Tương tác")=1,IF(COUNTIFS($A$5:$A$404,A133,$D$5:$D$404,"Có")&lt;&gt;0,"Choice tương tác không được đánh dấu đáp án đúng",""),"Choice chưa chọn loại")))))))</f>
        <v/>
      </c>
    </row>
    <row r="134" spans="1:11">
      <c r="A134" s="13"/>
      <c r="B134" s="13"/>
      <c r="C134" s="5"/>
      <c r="D134" s="13"/>
      <c r="E134" s="13"/>
      <c r="F134" s="13"/>
      <c r="G134" s="13"/>
      <c r="H134" s="5"/>
      <c r="I134" s="5"/>
      <c r="J134" s="6" t="str">
        <f t="shared" si="2"/>
        <v/>
      </c>
      <c r="K134" s="6" t="str">
        <f>IF(A134="","",IF(COUNTIFS('02_KICH_BAN_NODES'!$B$5:$B$204,A134,'02_KICH_BAN_NODES'!$D$5:$D$204,"choice")=0,"ChoiceNodeId không tồn tại hoặc không phải choice",IF(COUNTIFS($A$5:$A$404,A134,$B$5:$B$404,B134)&gt;1,"Trùng OptionOrder trong cùng choice",IF(OR(B134="",C134="",D134="",F134="",H134=""),"Thiếu trường bắt buộc",IF(OR(COUNTIF($A$5:$A$404,A134)&lt;2,COUNTIF($A$5:$A$404,A134)&gt;4),"Mỗi choice cần 2–4 option",IF(COUNTIFS('02_KICH_BAN_NODES'!$B$5:$B$204,A134,'02_KICH_BAN_NODES'!$E$5:$E$204,"Kiến thức")=1,IF(COUNTIFS($A$5:$A$404,A134,$D$5:$D$404,"Có")&lt;&gt;1,"Choice kiến thức cần đúng 1 đáp án đúng",""),IF(COUNTIFS('02_KICH_BAN_NODES'!$B$5:$B$204,A134,'02_KICH_BAN_NODES'!$E$5:$E$204,"Tương tác")=1,IF(COUNTIFS($A$5:$A$404,A134,$D$5:$D$404,"Có")&lt;&gt;0,"Choice tương tác không được đánh dấu đáp án đúng",""),"Choice chưa chọn loại")))))))</f>
        <v/>
      </c>
    </row>
    <row r="135" spans="1:11">
      <c r="A135" s="13"/>
      <c r="B135" s="13"/>
      <c r="C135" s="5"/>
      <c r="D135" s="13"/>
      <c r="E135" s="13"/>
      <c r="F135" s="13"/>
      <c r="G135" s="13"/>
      <c r="H135" s="5"/>
      <c r="I135" s="5"/>
      <c r="J135" s="6" t="str">
        <f t="shared" si="2"/>
        <v/>
      </c>
      <c r="K135" s="6" t="str">
        <f>IF(A135="","",IF(COUNTIFS('02_KICH_BAN_NODES'!$B$5:$B$204,A135,'02_KICH_BAN_NODES'!$D$5:$D$204,"choice")=0,"ChoiceNodeId không tồn tại hoặc không phải choice",IF(COUNTIFS($A$5:$A$404,A135,$B$5:$B$404,B135)&gt;1,"Trùng OptionOrder trong cùng choice",IF(OR(B135="",C135="",D135="",F135="",H135=""),"Thiếu trường bắt buộc",IF(OR(COUNTIF($A$5:$A$404,A135)&lt;2,COUNTIF($A$5:$A$404,A135)&gt;4),"Mỗi choice cần 2–4 option",IF(COUNTIFS('02_KICH_BAN_NODES'!$B$5:$B$204,A135,'02_KICH_BAN_NODES'!$E$5:$E$204,"Kiến thức")=1,IF(COUNTIFS($A$5:$A$404,A135,$D$5:$D$404,"Có")&lt;&gt;1,"Choice kiến thức cần đúng 1 đáp án đúng",""),IF(COUNTIFS('02_KICH_BAN_NODES'!$B$5:$B$204,A135,'02_KICH_BAN_NODES'!$E$5:$E$204,"Tương tác")=1,IF(COUNTIFS($A$5:$A$404,A135,$D$5:$D$404,"Có")&lt;&gt;0,"Choice tương tác không được đánh dấu đáp án đúng",""),"Choice chưa chọn loại")))))))</f>
        <v/>
      </c>
    </row>
    <row r="136" spans="1:11">
      <c r="A136" s="13"/>
      <c r="B136" s="13"/>
      <c r="C136" s="5"/>
      <c r="D136" s="13"/>
      <c r="E136" s="13"/>
      <c r="F136" s="13"/>
      <c r="G136" s="13"/>
      <c r="H136" s="5"/>
      <c r="I136" s="5"/>
      <c r="J136" s="6" t="str">
        <f t="shared" si="2"/>
        <v/>
      </c>
      <c r="K136" s="6" t="str">
        <f>IF(A136="","",IF(COUNTIFS('02_KICH_BAN_NODES'!$B$5:$B$204,A136,'02_KICH_BAN_NODES'!$D$5:$D$204,"choice")=0,"ChoiceNodeId không tồn tại hoặc không phải choice",IF(COUNTIFS($A$5:$A$404,A136,$B$5:$B$404,B136)&gt;1,"Trùng OptionOrder trong cùng choice",IF(OR(B136="",C136="",D136="",F136="",H136=""),"Thiếu trường bắt buộc",IF(OR(COUNTIF($A$5:$A$404,A136)&lt;2,COUNTIF($A$5:$A$404,A136)&gt;4),"Mỗi choice cần 2–4 option",IF(COUNTIFS('02_KICH_BAN_NODES'!$B$5:$B$204,A136,'02_KICH_BAN_NODES'!$E$5:$E$204,"Kiến thức")=1,IF(COUNTIFS($A$5:$A$404,A136,$D$5:$D$404,"Có")&lt;&gt;1,"Choice kiến thức cần đúng 1 đáp án đúng",""),IF(COUNTIFS('02_KICH_BAN_NODES'!$B$5:$B$204,A136,'02_KICH_BAN_NODES'!$E$5:$E$204,"Tương tác")=1,IF(COUNTIFS($A$5:$A$404,A136,$D$5:$D$404,"Có")&lt;&gt;0,"Choice tương tác không được đánh dấu đáp án đúng",""),"Choice chưa chọn loại")))))))</f>
        <v/>
      </c>
    </row>
    <row r="137" spans="1:11">
      <c r="A137" s="13"/>
      <c r="B137" s="13"/>
      <c r="C137" s="5"/>
      <c r="D137" s="13"/>
      <c r="E137" s="13"/>
      <c r="F137" s="13"/>
      <c r="G137" s="13"/>
      <c r="H137" s="5"/>
      <c r="I137" s="5"/>
      <c r="J137" s="6" t="str">
        <f t="shared" si="2"/>
        <v/>
      </c>
      <c r="K137" s="6" t="str">
        <f>IF(A137="","",IF(COUNTIFS('02_KICH_BAN_NODES'!$B$5:$B$204,A137,'02_KICH_BAN_NODES'!$D$5:$D$204,"choice")=0,"ChoiceNodeId không tồn tại hoặc không phải choice",IF(COUNTIFS($A$5:$A$404,A137,$B$5:$B$404,B137)&gt;1,"Trùng OptionOrder trong cùng choice",IF(OR(B137="",C137="",D137="",F137="",H137=""),"Thiếu trường bắt buộc",IF(OR(COUNTIF($A$5:$A$404,A137)&lt;2,COUNTIF($A$5:$A$404,A137)&gt;4),"Mỗi choice cần 2–4 option",IF(COUNTIFS('02_KICH_BAN_NODES'!$B$5:$B$204,A137,'02_KICH_BAN_NODES'!$E$5:$E$204,"Kiến thức")=1,IF(COUNTIFS($A$5:$A$404,A137,$D$5:$D$404,"Có")&lt;&gt;1,"Choice kiến thức cần đúng 1 đáp án đúng",""),IF(COUNTIFS('02_KICH_BAN_NODES'!$B$5:$B$204,A137,'02_KICH_BAN_NODES'!$E$5:$E$204,"Tương tác")=1,IF(COUNTIFS($A$5:$A$404,A137,$D$5:$D$404,"Có")&lt;&gt;0,"Choice tương tác không được đánh dấu đáp án đúng",""),"Choice chưa chọn loại")))))))</f>
        <v/>
      </c>
    </row>
    <row r="138" spans="1:11">
      <c r="A138" s="13"/>
      <c r="B138" s="13"/>
      <c r="C138" s="5"/>
      <c r="D138" s="13"/>
      <c r="E138" s="13"/>
      <c r="F138" s="13"/>
      <c r="G138" s="13"/>
      <c r="H138" s="5"/>
      <c r="I138" s="5"/>
      <c r="J138" s="6" t="str">
        <f t="shared" si="2"/>
        <v/>
      </c>
      <c r="K138" s="6" t="str">
        <f>IF(A138="","",IF(COUNTIFS('02_KICH_BAN_NODES'!$B$5:$B$204,A138,'02_KICH_BAN_NODES'!$D$5:$D$204,"choice")=0,"ChoiceNodeId không tồn tại hoặc không phải choice",IF(COUNTIFS($A$5:$A$404,A138,$B$5:$B$404,B138)&gt;1,"Trùng OptionOrder trong cùng choice",IF(OR(B138="",C138="",D138="",F138="",H138=""),"Thiếu trường bắt buộc",IF(OR(COUNTIF($A$5:$A$404,A138)&lt;2,COUNTIF($A$5:$A$404,A138)&gt;4),"Mỗi choice cần 2–4 option",IF(COUNTIFS('02_KICH_BAN_NODES'!$B$5:$B$204,A138,'02_KICH_BAN_NODES'!$E$5:$E$204,"Kiến thức")=1,IF(COUNTIFS($A$5:$A$404,A138,$D$5:$D$404,"Có")&lt;&gt;1,"Choice kiến thức cần đúng 1 đáp án đúng",""),IF(COUNTIFS('02_KICH_BAN_NODES'!$B$5:$B$204,A138,'02_KICH_BAN_NODES'!$E$5:$E$204,"Tương tác")=1,IF(COUNTIFS($A$5:$A$404,A138,$D$5:$D$404,"Có")&lt;&gt;0,"Choice tương tác không được đánh dấu đáp án đúng",""),"Choice chưa chọn loại")))))))</f>
        <v/>
      </c>
    </row>
    <row r="139" spans="1:11">
      <c r="A139" s="13"/>
      <c r="B139" s="13"/>
      <c r="C139" s="5"/>
      <c r="D139" s="13"/>
      <c r="E139" s="13"/>
      <c r="F139" s="13"/>
      <c r="G139" s="13"/>
      <c r="H139" s="5"/>
      <c r="I139" s="5"/>
      <c r="J139" s="6" t="str">
        <f t="shared" si="2"/>
        <v/>
      </c>
      <c r="K139" s="6" t="str">
        <f>IF(A139="","",IF(COUNTIFS('02_KICH_BAN_NODES'!$B$5:$B$204,A139,'02_KICH_BAN_NODES'!$D$5:$D$204,"choice")=0,"ChoiceNodeId không tồn tại hoặc không phải choice",IF(COUNTIFS($A$5:$A$404,A139,$B$5:$B$404,B139)&gt;1,"Trùng OptionOrder trong cùng choice",IF(OR(B139="",C139="",D139="",F139="",H139=""),"Thiếu trường bắt buộc",IF(OR(COUNTIF($A$5:$A$404,A139)&lt;2,COUNTIF($A$5:$A$404,A139)&gt;4),"Mỗi choice cần 2–4 option",IF(COUNTIFS('02_KICH_BAN_NODES'!$B$5:$B$204,A139,'02_KICH_BAN_NODES'!$E$5:$E$204,"Kiến thức")=1,IF(COUNTIFS($A$5:$A$404,A139,$D$5:$D$404,"Có")&lt;&gt;1,"Choice kiến thức cần đúng 1 đáp án đúng",""),IF(COUNTIFS('02_KICH_BAN_NODES'!$B$5:$B$204,A139,'02_KICH_BAN_NODES'!$E$5:$E$204,"Tương tác")=1,IF(COUNTIFS($A$5:$A$404,A139,$D$5:$D$404,"Có")&lt;&gt;0,"Choice tương tác không được đánh dấu đáp án đúng",""),"Choice chưa chọn loại")))))))</f>
        <v/>
      </c>
    </row>
    <row r="140" spans="1:11">
      <c r="A140" s="13"/>
      <c r="B140" s="13"/>
      <c r="C140" s="5"/>
      <c r="D140" s="13"/>
      <c r="E140" s="13"/>
      <c r="F140" s="13"/>
      <c r="G140" s="13"/>
      <c r="H140" s="5"/>
      <c r="I140" s="5"/>
      <c r="J140" s="6" t="str">
        <f t="shared" si="2"/>
        <v/>
      </c>
      <c r="K140" s="6" t="str">
        <f>IF(A140="","",IF(COUNTIFS('02_KICH_BAN_NODES'!$B$5:$B$204,A140,'02_KICH_BAN_NODES'!$D$5:$D$204,"choice")=0,"ChoiceNodeId không tồn tại hoặc không phải choice",IF(COUNTIFS($A$5:$A$404,A140,$B$5:$B$404,B140)&gt;1,"Trùng OptionOrder trong cùng choice",IF(OR(B140="",C140="",D140="",F140="",H140=""),"Thiếu trường bắt buộc",IF(OR(COUNTIF($A$5:$A$404,A140)&lt;2,COUNTIF($A$5:$A$404,A140)&gt;4),"Mỗi choice cần 2–4 option",IF(COUNTIFS('02_KICH_BAN_NODES'!$B$5:$B$204,A140,'02_KICH_BAN_NODES'!$E$5:$E$204,"Kiến thức")=1,IF(COUNTIFS($A$5:$A$404,A140,$D$5:$D$404,"Có")&lt;&gt;1,"Choice kiến thức cần đúng 1 đáp án đúng",""),IF(COUNTIFS('02_KICH_BAN_NODES'!$B$5:$B$204,A140,'02_KICH_BAN_NODES'!$E$5:$E$204,"Tương tác")=1,IF(COUNTIFS($A$5:$A$404,A140,$D$5:$D$404,"Có")&lt;&gt;0,"Choice tương tác không được đánh dấu đáp án đúng",""),"Choice chưa chọn loại")))))))</f>
        <v/>
      </c>
    </row>
    <row r="141" spans="1:11">
      <c r="A141" s="13"/>
      <c r="B141" s="13"/>
      <c r="C141" s="5"/>
      <c r="D141" s="13"/>
      <c r="E141" s="13"/>
      <c r="F141" s="13"/>
      <c r="G141" s="13"/>
      <c r="H141" s="5"/>
      <c r="I141" s="5"/>
      <c r="J141" s="6" t="str">
        <f t="shared" si="2"/>
        <v/>
      </c>
      <c r="K141" s="6" t="str">
        <f>IF(A141="","",IF(COUNTIFS('02_KICH_BAN_NODES'!$B$5:$B$204,A141,'02_KICH_BAN_NODES'!$D$5:$D$204,"choice")=0,"ChoiceNodeId không tồn tại hoặc không phải choice",IF(COUNTIFS($A$5:$A$404,A141,$B$5:$B$404,B141)&gt;1,"Trùng OptionOrder trong cùng choice",IF(OR(B141="",C141="",D141="",F141="",H141=""),"Thiếu trường bắt buộc",IF(OR(COUNTIF($A$5:$A$404,A141)&lt;2,COUNTIF($A$5:$A$404,A141)&gt;4),"Mỗi choice cần 2–4 option",IF(COUNTIFS('02_KICH_BAN_NODES'!$B$5:$B$204,A141,'02_KICH_BAN_NODES'!$E$5:$E$204,"Kiến thức")=1,IF(COUNTIFS($A$5:$A$404,A141,$D$5:$D$404,"Có")&lt;&gt;1,"Choice kiến thức cần đúng 1 đáp án đúng",""),IF(COUNTIFS('02_KICH_BAN_NODES'!$B$5:$B$204,A141,'02_KICH_BAN_NODES'!$E$5:$E$204,"Tương tác")=1,IF(COUNTIFS($A$5:$A$404,A141,$D$5:$D$404,"Có")&lt;&gt;0,"Choice tương tác không được đánh dấu đáp án đúng",""),"Choice chưa chọn loại")))))))</f>
        <v/>
      </c>
    </row>
    <row r="142" spans="1:11">
      <c r="A142" s="13"/>
      <c r="B142" s="13"/>
      <c r="C142" s="5"/>
      <c r="D142" s="13"/>
      <c r="E142" s="13"/>
      <c r="F142" s="13"/>
      <c r="G142" s="13"/>
      <c r="H142" s="5"/>
      <c r="I142" s="5"/>
      <c r="J142" s="6" t="str">
        <f t="shared" si="2"/>
        <v/>
      </c>
      <c r="K142" s="6" t="str">
        <f>IF(A142="","",IF(COUNTIFS('02_KICH_BAN_NODES'!$B$5:$B$204,A142,'02_KICH_BAN_NODES'!$D$5:$D$204,"choice")=0,"ChoiceNodeId không tồn tại hoặc không phải choice",IF(COUNTIFS($A$5:$A$404,A142,$B$5:$B$404,B142)&gt;1,"Trùng OptionOrder trong cùng choice",IF(OR(B142="",C142="",D142="",F142="",H142=""),"Thiếu trường bắt buộc",IF(OR(COUNTIF($A$5:$A$404,A142)&lt;2,COUNTIF($A$5:$A$404,A142)&gt;4),"Mỗi choice cần 2–4 option",IF(COUNTIFS('02_KICH_BAN_NODES'!$B$5:$B$204,A142,'02_KICH_BAN_NODES'!$E$5:$E$204,"Kiến thức")=1,IF(COUNTIFS($A$5:$A$404,A142,$D$5:$D$404,"Có")&lt;&gt;1,"Choice kiến thức cần đúng 1 đáp án đúng",""),IF(COUNTIFS('02_KICH_BAN_NODES'!$B$5:$B$204,A142,'02_KICH_BAN_NODES'!$E$5:$E$204,"Tương tác")=1,IF(COUNTIFS($A$5:$A$404,A142,$D$5:$D$404,"Có")&lt;&gt;0,"Choice tương tác không được đánh dấu đáp án đúng",""),"Choice chưa chọn loại")))))))</f>
        <v/>
      </c>
    </row>
    <row r="143" spans="1:11">
      <c r="A143" s="13"/>
      <c r="B143" s="13"/>
      <c r="C143" s="5"/>
      <c r="D143" s="13"/>
      <c r="E143" s="13"/>
      <c r="F143" s="13"/>
      <c r="G143" s="13"/>
      <c r="H143" s="5"/>
      <c r="I143" s="5"/>
      <c r="J143" s="6" t="str">
        <f t="shared" si="2"/>
        <v/>
      </c>
      <c r="K143" s="6" t="str">
        <f>IF(A143="","",IF(COUNTIFS('02_KICH_BAN_NODES'!$B$5:$B$204,A143,'02_KICH_BAN_NODES'!$D$5:$D$204,"choice")=0,"ChoiceNodeId không tồn tại hoặc không phải choice",IF(COUNTIFS($A$5:$A$404,A143,$B$5:$B$404,B143)&gt;1,"Trùng OptionOrder trong cùng choice",IF(OR(B143="",C143="",D143="",F143="",H143=""),"Thiếu trường bắt buộc",IF(OR(COUNTIF($A$5:$A$404,A143)&lt;2,COUNTIF($A$5:$A$404,A143)&gt;4),"Mỗi choice cần 2–4 option",IF(COUNTIFS('02_KICH_BAN_NODES'!$B$5:$B$204,A143,'02_KICH_BAN_NODES'!$E$5:$E$204,"Kiến thức")=1,IF(COUNTIFS($A$5:$A$404,A143,$D$5:$D$404,"Có")&lt;&gt;1,"Choice kiến thức cần đúng 1 đáp án đúng",""),IF(COUNTIFS('02_KICH_BAN_NODES'!$B$5:$B$204,A143,'02_KICH_BAN_NODES'!$E$5:$E$204,"Tương tác")=1,IF(COUNTIFS($A$5:$A$404,A143,$D$5:$D$404,"Có")&lt;&gt;0,"Choice tương tác không được đánh dấu đáp án đúng",""),"Choice chưa chọn loại")))))))</f>
        <v/>
      </c>
    </row>
    <row r="144" spans="1:11">
      <c r="A144" s="13"/>
      <c r="B144" s="13"/>
      <c r="C144" s="5"/>
      <c r="D144" s="13"/>
      <c r="E144" s="13"/>
      <c r="F144" s="13"/>
      <c r="G144" s="13"/>
      <c r="H144" s="5"/>
      <c r="I144" s="5"/>
      <c r="J144" s="6" t="str">
        <f t="shared" si="2"/>
        <v/>
      </c>
      <c r="K144" s="6" t="str">
        <f>IF(A144="","",IF(COUNTIFS('02_KICH_BAN_NODES'!$B$5:$B$204,A144,'02_KICH_BAN_NODES'!$D$5:$D$204,"choice")=0,"ChoiceNodeId không tồn tại hoặc không phải choice",IF(COUNTIFS($A$5:$A$404,A144,$B$5:$B$404,B144)&gt;1,"Trùng OptionOrder trong cùng choice",IF(OR(B144="",C144="",D144="",F144="",H144=""),"Thiếu trường bắt buộc",IF(OR(COUNTIF($A$5:$A$404,A144)&lt;2,COUNTIF($A$5:$A$404,A144)&gt;4),"Mỗi choice cần 2–4 option",IF(COUNTIFS('02_KICH_BAN_NODES'!$B$5:$B$204,A144,'02_KICH_BAN_NODES'!$E$5:$E$204,"Kiến thức")=1,IF(COUNTIFS($A$5:$A$404,A144,$D$5:$D$404,"Có")&lt;&gt;1,"Choice kiến thức cần đúng 1 đáp án đúng",""),IF(COUNTIFS('02_KICH_BAN_NODES'!$B$5:$B$204,A144,'02_KICH_BAN_NODES'!$E$5:$E$204,"Tương tác")=1,IF(COUNTIFS($A$5:$A$404,A144,$D$5:$D$404,"Có")&lt;&gt;0,"Choice tương tác không được đánh dấu đáp án đúng",""),"Choice chưa chọn loại")))))))</f>
        <v/>
      </c>
    </row>
    <row r="145" spans="1:11">
      <c r="A145" s="13"/>
      <c r="B145" s="13"/>
      <c r="C145" s="5"/>
      <c r="D145" s="13"/>
      <c r="E145" s="13"/>
      <c r="F145" s="13"/>
      <c r="G145" s="13"/>
      <c r="H145" s="5"/>
      <c r="I145" s="5"/>
      <c r="J145" s="6" t="str">
        <f t="shared" si="2"/>
        <v/>
      </c>
      <c r="K145" s="6" t="str">
        <f>IF(A145="","",IF(COUNTIFS('02_KICH_BAN_NODES'!$B$5:$B$204,A145,'02_KICH_BAN_NODES'!$D$5:$D$204,"choice")=0,"ChoiceNodeId không tồn tại hoặc không phải choice",IF(COUNTIFS($A$5:$A$404,A145,$B$5:$B$404,B145)&gt;1,"Trùng OptionOrder trong cùng choice",IF(OR(B145="",C145="",D145="",F145="",H145=""),"Thiếu trường bắt buộc",IF(OR(COUNTIF($A$5:$A$404,A145)&lt;2,COUNTIF($A$5:$A$404,A145)&gt;4),"Mỗi choice cần 2–4 option",IF(COUNTIFS('02_KICH_BAN_NODES'!$B$5:$B$204,A145,'02_KICH_BAN_NODES'!$E$5:$E$204,"Kiến thức")=1,IF(COUNTIFS($A$5:$A$404,A145,$D$5:$D$404,"Có")&lt;&gt;1,"Choice kiến thức cần đúng 1 đáp án đúng",""),IF(COUNTIFS('02_KICH_BAN_NODES'!$B$5:$B$204,A145,'02_KICH_BAN_NODES'!$E$5:$E$204,"Tương tác")=1,IF(COUNTIFS($A$5:$A$404,A145,$D$5:$D$404,"Có")&lt;&gt;0,"Choice tương tác không được đánh dấu đáp án đúng",""),"Choice chưa chọn loại")))))))</f>
        <v/>
      </c>
    </row>
    <row r="146" spans="1:11">
      <c r="A146" s="13"/>
      <c r="B146" s="13"/>
      <c r="C146" s="5"/>
      <c r="D146" s="13"/>
      <c r="E146" s="13"/>
      <c r="F146" s="13"/>
      <c r="G146" s="13"/>
      <c r="H146" s="5"/>
      <c r="I146" s="5"/>
      <c r="J146" s="6" t="str">
        <f t="shared" si="2"/>
        <v/>
      </c>
      <c r="K146" s="6" t="str">
        <f>IF(A146="","",IF(COUNTIFS('02_KICH_BAN_NODES'!$B$5:$B$204,A146,'02_KICH_BAN_NODES'!$D$5:$D$204,"choice")=0,"ChoiceNodeId không tồn tại hoặc không phải choice",IF(COUNTIFS($A$5:$A$404,A146,$B$5:$B$404,B146)&gt;1,"Trùng OptionOrder trong cùng choice",IF(OR(B146="",C146="",D146="",F146="",H146=""),"Thiếu trường bắt buộc",IF(OR(COUNTIF($A$5:$A$404,A146)&lt;2,COUNTIF($A$5:$A$404,A146)&gt;4),"Mỗi choice cần 2–4 option",IF(COUNTIFS('02_KICH_BAN_NODES'!$B$5:$B$204,A146,'02_KICH_BAN_NODES'!$E$5:$E$204,"Kiến thức")=1,IF(COUNTIFS($A$5:$A$404,A146,$D$5:$D$404,"Có")&lt;&gt;1,"Choice kiến thức cần đúng 1 đáp án đúng",""),IF(COUNTIFS('02_KICH_BAN_NODES'!$B$5:$B$204,A146,'02_KICH_BAN_NODES'!$E$5:$E$204,"Tương tác")=1,IF(COUNTIFS($A$5:$A$404,A146,$D$5:$D$404,"Có")&lt;&gt;0,"Choice tương tác không được đánh dấu đáp án đúng",""),"Choice chưa chọn loại")))))))</f>
        <v/>
      </c>
    </row>
    <row r="147" spans="1:11">
      <c r="A147" s="13"/>
      <c r="B147" s="13"/>
      <c r="C147" s="5"/>
      <c r="D147" s="13"/>
      <c r="E147" s="13"/>
      <c r="F147" s="13"/>
      <c r="G147" s="13"/>
      <c r="H147" s="5"/>
      <c r="I147" s="5"/>
      <c r="J147" s="6" t="str">
        <f t="shared" si="2"/>
        <v/>
      </c>
      <c r="K147" s="6" t="str">
        <f>IF(A147="","",IF(COUNTIFS('02_KICH_BAN_NODES'!$B$5:$B$204,A147,'02_KICH_BAN_NODES'!$D$5:$D$204,"choice")=0,"ChoiceNodeId không tồn tại hoặc không phải choice",IF(COUNTIFS($A$5:$A$404,A147,$B$5:$B$404,B147)&gt;1,"Trùng OptionOrder trong cùng choice",IF(OR(B147="",C147="",D147="",F147="",H147=""),"Thiếu trường bắt buộc",IF(OR(COUNTIF($A$5:$A$404,A147)&lt;2,COUNTIF($A$5:$A$404,A147)&gt;4),"Mỗi choice cần 2–4 option",IF(COUNTIFS('02_KICH_BAN_NODES'!$B$5:$B$204,A147,'02_KICH_BAN_NODES'!$E$5:$E$204,"Kiến thức")=1,IF(COUNTIFS($A$5:$A$404,A147,$D$5:$D$404,"Có")&lt;&gt;1,"Choice kiến thức cần đúng 1 đáp án đúng",""),IF(COUNTIFS('02_KICH_BAN_NODES'!$B$5:$B$204,A147,'02_KICH_BAN_NODES'!$E$5:$E$204,"Tương tác")=1,IF(COUNTIFS($A$5:$A$404,A147,$D$5:$D$404,"Có")&lt;&gt;0,"Choice tương tác không được đánh dấu đáp án đúng",""),"Choice chưa chọn loại")))))))</f>
        <v/>
      </c>
    </row>
    <row r="148" spans="1:11">
      <c r="A148" s="13"/>
      <c r="B148" s="13"/>
      <c r="C148" s="5"/>
      <c r="D148" s="13"/>
      <c r="E148" s="13"/>
      <c r="F148" s="13"/>
      <c r="G148" s="13"/>
      <c r="H148" s="5"/>
      <c r="I148" s="5"/>
      <c r="J148" s="6" t="str">
        <f t="shared" si="2"/>
        <v/>
      </c>
      <c r="K148" s="6" t="str">
        <f>IF(A148="","",IF(COUNTIFS('02_KICH_BAN_NODES'!$B$5:$B$204,A148,'02_KICH_BAN_NODES'!$D$5:$D$204,"choice")=0,"ChoiceNodeId không tồn tại hoặc không phải choice",IF(COUNTIFS($A$5:$A$404,A148,$B$5:$B$404,B148)&gt;1,"Trùng OptionOrder trong cùng choice",IF(OR(B148="",C148="",D148="",F148="",H148=""),"Thiếu trường bắt buộc",IF(OR(COUNTIF($A$5:$A$404,A148)&lt;2,COUNTIF($A$5:$A$404,A148)&gt;4),"Mỗi choice cần 2–4 option",IF(COUNTIFS('02_KICH_BAN_NODES'!$B$5:$B$204,A148,'02_KICH_BAN_NODES'!$E$5:$E$204,"Kiến thức")=1,IF(COUNTIFS($A$5:$A$404,A148,$D$5:$D$404,"Có")&lt;&gt;1,"Choice kiến thức cần đúng 1 đáp án đúng",""),IF(COUNTIFS('02_KICH_BAN_NODES'!$B$5:$B$204,A148,'02_KICH_BAN_NODES'!$E$5:$E$204,"Tương tác")=1,IF(COUNTIFS($A$5:$A$404,A148,$D$5:$D$404,"Có")&lt;&gt;0,"Choice tương tác không được đánh dấu đáp án đúng",""),"Choice chưa chọn loại")))))))</f>
        <v/>
      </c>
    </row>
    <row r="149" spans="1:11">
      <c r="A149" s="13"/>
      <c r="B149" s="13"/>
      <c r="C149" s="5"/>
      <c r="D149" s="13"/>
      <c r="E149" s="13"/>
      <c r="F149" s="13"/>
      <c r="G149" s="13"/>
      <c r="H149" s="5"/>
      <c r="I149" s="5"/>
      <c r="J149" s="6" t="str">
        <f t="shared" si="2"/>
        <v/>
      </c>
      <c r="K149" s="6" t="str">
        <f>IF(A149="","",IF(COUNTIFS('02_KICH_BAN_NODES'!$B$5:$B$204,A149,'02_KICH_BAN_NODES'!$D$5:$D$204,"choice")=0,"ChoiceNodeId không tồn tại hoặc không phải choice",IF(COUNTIFS($A$5:$A$404,A149,$B$5:$B$404,B149)&gt;1,"Trùng OptionOrder trong cùng choice",IF(OR(B149="",C149="",D149="",F149="",H149=""),"Thiếu trường bắt buộc",IF(OR(COUNTIF($A$5:$A$404,A149)&lt;2,COUNTIF($A$5:$A$404,A149)&gt;4),"Mỗi choice cần 2–4 option",IF(COUNTIFS('02_KICH_BAN_NODES'!$B$5:$B$204,A149,'02_KICH_BAN_NODES'!$E$5:$E$204,"Kiến thức")=1,IF(COUNTIFS($A$5:$A$404,A149,$D$5:$D$404,"Có")&lt;&gt;1,"Choice kiến thức cần đúng 1 đáp án đúng",""),IF(COUNTIFS('02_KICH_BAN_NODES'!$B$5:$B$204,A149,'02_KICH_BAN_NODES'!$E$5:$E$204,"Tương tác")=1,IF(COUNTIFS($A$5:$A$404,A149,$D$5:$D$404,"Có")&lt;&gt;0,"Choice tương tác không được đánh dấu đáp án đúng",""),"Choice chưa chọn loại")))))))</f>
        <v/>
      </c>
    </row>
    <row r="150" spans="1:11">
      <c r="A150" s="13"/>
      <c r="B150" s="13"/>
      <c r="C150" s="5"/>
      <c r="D150" s="13"/>
      <c r="E150" s="13"/>
      <c r="F150" s="13"/>
      <c r="G150" s="13"/>
      <c r="H150" s="5"/>
      <c r="I150" s="5"/>
      <c r="J150" s="6" t="str">
        <f t="shared" si="2"/>
        <v/>
      </c>
      <c r="K150" s="6" t="str">
        <f>IF(A150="","",IF(COUNTIFS('02_KICH_BAN_NODES'!$B$5:$B$204,A150,'02_KICH_BAN_NODES'!$D$5:$D$204,"choice")=0,"ChoiceNodeId không tồn tại hoặc không phải choice",IF(COUNTIFS($A$5:$A$404,A150,$B$5:$B$404,B150)&gt;1,"Trùng OptionOrder trong cùng choice",IF(OR(B150="",C150="",D150="",F150="",H150=""),"Thiếu trường bắt buộc",IF(OR(COUNTIF($A$5:$A$404,A150)&lt;2,COUNTIF($A$5:$A$404,A150)&gt;4),"Mỗi choice cần 2–4 option",IF(COUNTIFS('02_KICH_BAN_NODES'!$B$5:$B$204,A150,'02_KICH_BAN_NODES'!$E$5:$E$204,"Kiến thức")=1,IF(COUNTIFS($A$5:$A$404,A150,$D$5:$D$404,"Có")&lt;&gt;1,"Choice kiến thức cần đúng 1 đáp án đúng",""),IF(COUNTIFS('02_KICH_BAN_NODES'!$B$5:$B$204,A150,'02_KICH_BAN_NODES'!$E$5:$E$204,"Tương tác")=1,IF(COUNTIFS($A$5:$A$404,A150,$D$5:$D$404,"Có")&lt;&gt;0,"Choice tương tác không được đánh dấu đáp án đúng",""),"Choice chưa chọn loại")))))))</f>
        <v/>
      </c>
    </row>
    <row r="151" spans="1:11">
      <c r="A151" s="13"/>
      <c r="B151" s="13"/>
      <c r="C151" s="5"/>
      <c r="D151" s="13"/>
      <c r="E151" s="13"/>
      <c r="F151" s="13"/>
      <c r="G151" s="13"/>
      <c r="H151" s="5"/>
      <c r="I151" s="5"/>
      <c r="J151" s="6" t="str">
        <f t="shared" si="2"/>
        <v/>
      </c>
      <c r="K151" s="6" t="str">
        <f>IF(A151="","",IF(COUNTIFS('02_KICH_BAN_NODES'!$B$5:$B$204,A151,'02_KICH_BAN_NODES'!$D$5:$D$204,"choice")=0,"ChoiceNodeId không tồn tại hoặc không phải choice",IF(COUNTIFS($A$5:$A$404,A151,$B$5:$B$404,B151)&gt;1,"Trùng OptionOrder trong cùng choice",IF(OR(B151="",C151="",D151="",F151="",H151=""),"Thiếu trường bắt buộc",IF(OR(COUNTIF($A$5:$A$404,A151)&lt;2,COUNTIF($A$5:$A$404,A151)&gt;4),"Mỗi choice cần 2–4 option",IF(COUNTIFS('02_KICH_BAN_NODES'!$B$5:$B$204,A151,'02_KICH_BAN_NODES'!$E$5:$E$204,"Kiến thức")=1,IF(COUNTIFS($A$5:$A$404,A151,$D$5:$D$404,"Có")&lt;&gt;1,"Choice kiến thức cần đúng 1 đáp án đúng",""),IF(COUNTIFS('02_KICH_BAN_NODES'!$B$5:$B$204,A151,'02_KICH_BAN_NODES'!$E$5:$E$204,"Tương tác")=1,IF(COUNTIFS($A$5:$A$404,A151,$D$5:$D$404,"Có")&lt;&gt;0,"Choice tương tác không được đánh dấu đáp án đúng",""),"Choice chưa chọn loại")))))))</f>
        <v/>
      </c>
    </row>
    <row r="152" spans="1:11">
      <c r="A152" s="13"/>
      <c r="B152" s="13"/>
      <c r="C152" s="5"/>
      <c r="D152" s="13"/>
      <c r="E152" s="13"/>
      <c r="F152" s="13"/>
      <c r="G152" s="13"/>
      <c r="H152" s="5"/>
      <c r="I152" s="5"/>
      <c r="J152" s="6" t="str">
        <f t="shared" si="2"/>
        <v/>
      </c>
      <c r="K152" s="6" t="str">
        <f>IF(A152="","",IF(COUNTIFS('02_KICH_BAN_NODES'!$B$5:$B$204,A152,'02_KICH_BAN_NODES'!$D$5:$D$204,"choice")=0,"ChoiceNodeId không tồn tại hoặc không phải choice",IF(COUNTIFS($A$5:$A$404,A152,$B$5:$B$404,B152)&gt;1,"Trùng OptionOrder trong cùng choice",IF(OR(B152="",C152="",D152="",F152="",H152=""),"Thiếu trường bắt buộc",IF(OR(COUNTIF($A$5:$A$404,A152)&lt;2,COUNTIF($A$5:$A$404,A152)&gt;4),"Mỗi choice cần 2–4 option",IF(COUNTIFS('02_KICH_BAN_NODES'!$B$5:$B$204,A152,'02_KICH_BAN_NODES'!$E$5:$E$204,"Kiến thức")=1,IF(COUNTIFS($A$5:$A$404,A152,$D$5:$D$404,"Có")&lt;&gt;1,"Choice kiến thức cần đúng 1 đáp án đúng",""),IF(COUNTIFS('02_KICH_BAN_NODES'!$B$5:$B$204,A152,'02_KICH_BAN_NODES'!$E$5:$E$204,"Tương tác")=1,IF(COUNTIFS($A$5:$A$404,A152,$D$5:$D$404,"Có")&lt;&gt;0,"Choice tương tác không được đánh dấu đáp án đúng",""),"Choice chưa chọn loại")))))))</f>
        <v/>
      </c>
    </row>
    <row r="153" spans="1:11">
      <c r="A153" s="13"/>
      <c r="B153" s="13"/>
      <c r="C153" s="5"/>
      <c r="D153" s="13"/>
      <c r="E153" s="13"/>
      <c r="F153" s="13"/>
      <c r="G153" s="13"/>
      <c r="H153" s="5"/>
      <c r="I153" s="5"/>
      <c r="J153" s="6" t="str">
        <f t="shared" si="2"/>
        <v/>
      </c>
      <c r="K153" s="6" t="str">
        <f>IF(A153="","",IF(COUNTIFS('02_KICH_BAN_NODES'!$B$5:$B$204,A153,'02_KICH_BAN_NODES'!$D$5:$D$204,"choice")=0,"ChoiceNodeId không tồn tại hoặc không phải choice",IF(COUNTIFS($A$5:$A$404,A153,$B$5:$B$404,B153)&gt;1,"Trùng OptionOrder trong cùng choice",IF(OR(B153="",C153="",D153="",F153="",H153=""),"Thiếu trường bắt buộc",IF(OR(COUNTIF($A$5:$A$404,A153)&lt;2,COUNTIF($A$5:$A$404,A153)&gt;4),"Mỗi choice cần 2–4 option",IF(COUNTIFS('02_KICH_BAN_NODES'!$B$5:$B$204,A153,'02_KICH_BAN_NODES'!$E$5:$E$204,"Kiến thức")=1,IF(COUNTIFS($A$5:$A$404,A153,$D$5:$D$404,"Có")&lt;&gt;1,"Choice kiến thức cần đúng 1 đáp án đúng",""),IF(COUNTIFS('02_KICH_BAN_NODES'!$B$5:$B$204,A153,'02_KICH_BAN_NODES'!$E$5:$E$204,"Tương tác")=1,IF(COUNTIFS($A$5:$A$404,A153,$D$5:$D$404,"Có")&lt;&gt;0,"Choice tương tác không được đánh dấu đáp án đúng",""),"Choice chưa chọn loại")))))))</f>
        <v/>
      </c>
    </row>
    <row r="154" spans="1:11">
      <c r="A154" s="13"/>
      <c r="B154" s="13"/>
      <c r="C154" s="5"/>
      <c r="D154" s="13"/>
      <c r="E154" s="13"/>
      <c r="F154" s="13"/>
      <c r="G154" s="13"/>
      <c r="H154" s="5"/>
      <c r="I154" s="5"/>
      <c r="J154" s="6" t="str">
        <f t="shared" si="2"/>
        <v/>
      </c>
      <c r="K154" s="6" t="str">
        <f>IF(A154="","",IF(COUNTIFS('02_KICH_BAN_NODES'!$B$5:$B$204,A154,'02_KICH_BAN_NODES'!$D$5:$D$204,"choice")=0,"ChoiceNodeId không tồn tại hoặc không phải choice",IF(COUNTIFS($A$5:$A$404,A154,$B$5:$B$404,B154)&gt;1,"Trùng OptionOrder trong cùng choice",IF(OR(B154="",C154="",D154="",F154="",H154=""),"Thiếu trường bắt buộc",IF(OR(COUNTIF($A$5:$A$404,A154)&lt;2,COUNTIF($A$5:$A$404,A154)&gt;4),"Mỗi choice cần 2–4 option",IF(COUNTIFS('02_KICH_BAN_NODES'!$B$5:$B$204,A154,'02_KICH_BAN_NODES'!$E$5:$E$204,"Kiến thức")=1,IF(COUNTIFS($A$5:$A$404,A154,$D$5:$D$404,"Có")&lt;&gt;1,"Choice kiến thức cần đúng 1 đáp án đúng",""),IF(COUNTIFS('02_KICH_BAN_NODES'!$B$5:$B$204,A154,'02_KICH_BAN_NODES'!$E$5:$E$204,"Tương tác")=1,IF(COUNTIFS($A$5:$A$404,A154,$D$5:$D$404,"Có")&lt;&gt;0,"Choice tương tác không được đánh dấu đáp án đúng",""),"Choice chưa chọn loại")))))))</f>
        <v/>
      </c>
    </row>
    <row r="155" spans="1:11">
      <c r="A155" s="13"/>
      <c r="B155" s="13"/>
      <c r="C155" s="5"/>
      <c r="D155" s="13"/>
      <c r="E155" s="13"/>
      <c r="F155" s="13"/>
      <c r="G155" s="13"/>
      <c r="H155" s="5"/>
      <c r="I155" s="5"/>
      <c r="J155" s="6" t="str">
        <f t="shared" si="2"/>
        <v/>
      </c>
      <c r="K155" s="6" t="str">
        <f>IF(A155="","",IF(COUNTIFS('02_KICH_BAN_NODES'!$B$5:$B$204,A155,'02_KICH_BAN_NODES'!$D$5:$D$204,"choice")=0,"ChoiceNodeId không tồn tại hoặc không phải choice",IF(COUNTIFS($A$5:$A$404,A155,$B$5:$B$404,B155)&gt;1,"Trùng OptionOrder trong cùng choice",IF(OR(B155="",C155="",D155="",F155="",H155=""),"Thiếu trường bắt buộc",IF(OR(COUNTIF($A$5:$A$404,A155)&lt;2,COUNTIF($A$5:$A$404,A155)&gt;4),"Mỗi choice cần 2–4 option",IF(COUNTIFS('02_KICH_BAN_NODES'!$B$5:$B$204,A155,'02_KICH_BAN_NODES'!$E$5:$E$204,"Kiến thức")=1,IF(COUNTIFS($A$5:$A$404,A155,$D$5:$D$404,"Có")&lt;&gt;1,"Choice kiến thức cần đúng 1 đáp án đúng",""),IF(COUNTIFS('02_KICH_BAN_NODES'!$B$5:$B$204,A155,'02_KICH_BAN_NODES'!$E$5:$E$204,"Tương tác")=1,IF(COUNTIFS($A$5:$A$404,A155,$D$5:$D$404,"Có")&lt;&gt;0,"Choice tương tác không được đánh dấu đáp án đúng",""),"Choice chưa chọn loại")))))))</f>
        <v/>
      </c>
    </row>
    <row r="156" spans="1:11">
      <c r="A156" s="13"/>
      <c r="B156" s="13"/>
      <c r="C156" s="5"/>
      <c r="D156" s="13"/>
      <c r="E156" s="13"/>
      <c r="F156" s="13"/>
      <c r="G156" s="13"/>
      <c r="H156" s="5"/>
      <c r="I156" s="5"/>
      <c r="J156" s="6" t="str">
        <f t="shared" si="2"/>
        <v/>
      </c>
      <c r="K156" s="6" t="str">
        <f>IF(A156="","",IF(COUNTIFS('02_KICH_BAN_NODES'!$B$5:$B$204,A156,'02_KICH_BAN_NODES'!$D$5:$D$204,"choice")=0,"ChoiceNodeId không tồn tại hoặc không phải choice",IF(COUNTIFS($A$5:$A$404,A156,$B$5:$B$404,B156)&gt;1,"Trùng OptionOrder trong cùng choice",IF(OR(B156="",C156="",D156="",F156="",H156=""),"Thiếu trường bắt buộc",IF(OR(COUNTIF($A$5:$A$404,A156)&lt;2,COUNTIF($A$5:$A$404,A156)&gt;4),"Mỗi choice cần 2–4 option",IF(COUNTIFS('02_KICH_BAN_NODES'!$B$5:$B$204,A156,'02_KICH_BAN_NODES'!$E$5:$E$204,"Kiến thức")=1,IF(COUNTIFS($A$5:$A$404,A156,$D$5:$D$404,"Có")&lt;&gt;1,"Choice kiến thức cần đúng 1 đáp án đúng",""),IF(COUNTIFS('02_KICH_BAN_NODES'!$B$5:$B$204,A156,'02_KICH_BAN_NODES'!$E$5:$E$204,"Tương tác")=1,IF(COUNTIFS($A$5:$A$404,A156,$D$5:$D$404,"Có")&lt;&gt;0,"Choice tương tác không được đánh dấu đáp án đúng",""),"Choice chưa chọn loại")))))))</f>
        <v/>
      </c>
    </row>
    <row r="157" spans="1:11">
      <c r="A157" s="13"/>
      <c r="B157" s="13"/>
      <c r="C157" s="5"/>
      <c r="D157" s="13"/>
      <c r="E157" s="13"/>
      <c r="F157" s="13"/>
      <c r="G157" s="13"/>
      <c r="H157" s="5"/>
      <c r="I157" s="5"/>
      <c r="J157" s="6" t="str">
        <f t="shared" si="2"/>
        <v/>
      </c>
      <c r="K157" s="6" t="str">
        <f>IF(A157="","",IF(COUNTIFS('02_KICH_BAN_NODES'!$B$5:$B$204,A157,'02_KICH_BAN_NODES'!$D$5:$D$204,"choice")=0,"ChoiceNodeId không tồn tại hoặc không phải choice",IF(COUNTIFS($A$5:$A$404,A157,$B$5:$B$404,B157)&gt;1,"Trùng OptionOrder trong cùng choice",IF(OR(B157="",C157="",D157="",F157="",H157=""),"Thiếu trường bắt buộc",IF(OR(COUNTIF($A$5:$A$404,A157)&lt;2,COUNTIF($A$5:$A$404,A157)&gt;4),"Mỗi choice cần 2–4 option",IF(COUNTIFS('02_KICH_BAN_NODES'!$B$5:$B$204,A157,'02_KICH_BAN_NODES'!$E$5:$E$204,"Kiến thức")=1,IF(COUNTIFS($A$5:$A$404,A157,$D$5:$D$404,"Có")&lt;&gt;1,"Choice kiến thức cần đúng 1 đáp án đúng",""),IF(COUNTIFS('02_KICH_BAN_NODES'!$B$5:$B$204,A157,'02_KICH_BAN_NODES'!$E$5:$E$204,"Tương tác")=1,IF(COUNTIFS($A$5:$A$404,A157,$D$5:$D$404,"Có")&lt;&gt;0,"Choice tương tác không được đánh dấu đáp án đúng",""),"Choice chưa chọn loại")))))))</f>
        <v/>
      </c>
    </row>
    <row r="158" spans="1:11">
      <c r="A158" s="13"/>
      <c r="B158" s="13"/>
      <c r="C158" s="5"/>
      <c r="D158" s="13"/>
      <c r="E158" s="13"/>
      <c r="F158" s="13"/>
      <c r="G158" s="13"/>
      <c r="H158" s="5"/>
      <c r="I158" s="5"/>
      <c r="J158" s="6" t="str">
        <f t="shared" si="2"/>
        <v/>
      </c>
      <c r="K158" s="6" t="str">
        <f>IF(A158="","",IF(COUNTIFS('02_KICH_BAN_NODES'!$B$5:$B$204,A158,'02_KICH_BAN_NODES'!$D$5:$D$204,"choice")=0,"ChoiceNodeId không tồn tại hoặc không phải choice",IF(COUNTIFS($A$5:$A$404,A158,$B$5:$B$404,B158)&gt;1,"Trùng OptionOrder trong cùng choice",IF(OR(B158="",C158="",D158="",F158="",H158=""),"Thiếu trường bắt buộc",IF(OR(COUNTIF($A$5:$A$404,A158)&lt;2,COUNTIF($A$5:$A$404,A158)&gt;4),"Mỗi choice cần 2–4 option",IF(COUNTIFS('02_KICH_BAN_NODES'!$B$5:$B$204,A158,'02_KICH_BAN_NODES'!$E$5:$E$204,"Kiến thức")=1,IF(COUNTIFS($A$5:$A$404,A158,$D$5:$D$404,"Có")&lt;&gt;1,"Choice kiến thức cần đúng 1 đáp án đúng",""),IF(COUNTIFS('02_KICH_BAN_NODES'!$B$5:$B$204,A158,'02_KICH_BAN_NODES'!$E$5:$E$204,"Tương tác")=1,IF(COUNTIFS($A$5:$A$404,A158,$D$5:$D$404,"Có")&lt;&gt;0,"Choice tương tác không được đánh dấu đáp án đúng",""),"Choice chưa chọn loại")))))))</f>
        <v/>
      </c>
    </row>
    <row r="159" spans="1:11">
      <c r="A159" s="13"/>
      <c r="B159" s="13"/>
      <c r="C159" s="5"/>
      <c r="D159" s="13"/>
      <c r="E159" s="13"/>
      <c r="F159" s="13"/>
      <c r="G159" s="13"/>
      <c r="H159" s="5"/>
      <c r="I159" s="5"/>
      <c r="J159" s="6" t="str">
        <f t="shared" si="2"/>
        <v/>
      </c>
      <c r="K159" s="6" t="str">
        <f>IF(A159="","",IF(COUNTIFS('02_KICH_BAN_NODES'!$B$5:$B$204,A159,'02_KICH_BAN_NODES'!$D$5:$D$204,"choice")=0,"ChoiceNodeId không tồn tại hoặc không phải choice",IF(COUNTIFS($A$5:$A$404,A159,$B$5:$B$404,B159)&gt;1,"Trùng OptionOrder trong cùng choice",IF(OR(B159="",C159="",D159="",F159="",H159=""),"Thiếu trường bắt buộc",IF(OR(COUNTIF($A$5:$A$404,A159)&lt;2,COUNTIF($A$5:$A$404,A159)&gt;4),"Mỗi choice cần 2–4 option",IF(COUNTIFS('02_KICH_BAN_NODES'!$B$5:$B$204,A159,'02_KICH_BAN_NODES'!$E$5:$E$204,"Kiến thức")=1,IF(COUNTIFS($A$5:$A$404,A159,$D$5:$D$404,"Có")&lt;&gt;1,"Choice kiến thức cần đúng 1 đáp án đúng",""),IF(COUNTIFS('02_KICH_BAN_NODES'!$B$5:$B$204,A159,'02_KICH_BAN_NODES'!$E$5:$E$204,"Tương tác")=1,IF(COUNTIFS($A$5:$A$404,A159,$D$5:$D$404,"Có")&lt;&gt;0,"Choice tương tác không được đánh dấu đáp án đúng",""),"Choice chưa chọn loại")))))))</f>
        <v/>
      </c>
    </row>
    <row r="160" spans="1:11">
      <c r="A160" s="13"/>
      <c r="B160" s="13"/>
      <c r="C160" s="5"/>
      <c r="D160" s="13"/>
      <c r="E160" s="13"/>
      <c r="F160" s="13"/>
      <c r="G160" s="13"/>
      <c r="H160" s="5"/>
      <c r="I160" s="5"/>
      <c r="J160" s="6" t="str">
        <f t="shared" si="2"/>
        <v/>
      </c>
      <c r="K160" s="6" t="str">
        <f>IF(A160="","",IF(COUNTIFS('02_KICH_BAN_NODES'!$B$5:$B$204,A160,'02_KICH_BAN_NODES'!$D$5:$D$204,"choice")=0,"ChoiceNodeId không tồn tại hoặc không phải choice",IF(COUNTIFS($A$5:$A$404,A160,$B$5:$B$404,B160)&gt;1,"Trùng OptionOrder trong cùng choice",IF(OR(B160="",C160="",D160="",F160="",H160=""),"Thiếu trường bắt buộc",IF(OR(COUNTIF($A$5:$A$404,A160)&lt;2,COUNTIF($A$5:$A$404,A160)&gt;4),"Mỗi choice cần 2–4 option",IF(COUNTIFS('02_KICH_BAN_NODES'!$B$5:$B$204,A160,'02_KICH_BAN_NODES'!$E$5:$E$204,"Kiến thức")=1,IF(COUNTIFS($A$5:$A$404,A160,$D$5:$D$404,"Có")&lt;&gt;1,"Choice kiến thức cần đúng 1 đáp án đúng",""),IF(COUNTIFS('02_KICH_BAN_NODES'!$B$5:$B$204,A160,'02_KICH_BAN_NODES'!$E$5:$E$204,"Tương tác")=1,IF(COUNTIFS($A$5:$A$404,A160,$D$5:$D$404,"Có")&lt;&gt;0,"Choice tương tác không được đánh dấu đáp án đúng",""),"Choice chưa chọn loại")))))))</f>
        <v/>
      </c>
    </row>
    <row r="161" spans="1:11">
      <c r="A161" s="13"/>
      <c r="B161" s="13"/>
      <c r="C161" s="5"/>
      <c r="D161" s="13"/>
      <c r="E161" s="13"/>
      <c r="F161" s="13"/>
      <c r="G161" s="13"/>
      <c r="H161" s="5"/>
      <c r="I161" s="5"/>
      <c r="J161" s="6" t="str">
        <f t="shared" si="2"/>
        <v/>
      </c>
      <c r="K161" s="6" t="str">
        <f>IF(A161="","",IF(COUNTIFS('02_KICH_BAN_NODES'!$B$5:$B$204,A161,'02_KICH_BAN_NODES'!$D$5:$D$204,"choice")=0,"ChoiceNodeId không tồn tại hoặc không phải choice",IF(COUNTIFS($A$5:$A$404,A161,$B$5:$B$404,B161)&gt;1,"Trùng OptionOrder trong cùng choice",IF(OR(B161="",C161="",D161="",F161="",H161=""),"Thiếu trường bắt buộc",IF(OR(COUNTIF($A$5:$A$404,A161)&lt;2,COUNTIF($A$5:$A$404,A161)&gt;4),"Mỗi choice cần 2–4 option",IF(COUNTIFS('02_KICH_BAN_NODES'!$B$5:$B$204,A161,'02_KICH_BAN_NODES'!$E$5:$E$204,"Kiến thức")=1,IF(COUNTIFS($A$5:$A$404,A161,$D$5:$D$404,"Có")&lt;&gt;1,"Choice kiến thức cần đúng 1 đáp án đúng",""),IF(COUNTIFS('02_KICH_BAN_NODES'!$B$5:$B$204,A161,'02_KICH_BAN_NODES'!$E$5:$E$204,"Tương tác")=1,IF(COUNTIFS($A$5:$A$404,A161,$D$5:$D$404,"Có")&lt;&gt;0,"Choice tương tác không được đánh dấu đáp án đúng",""),"Choice chưa chọn loại")))))))</f>
        <v/>
      </c>
    </row>
    <row r="162" spans="1:11">
      <c r="A162" s="13"/>
      <c r="B162" s="13"/>
      <c r="C162" s="5"/>
      <c r="D162" s="13"/>
      <c r="E162" s="13"/>
      <c r="F162" s="13"/>
      <c r="G162" s="13"/>
      <c r="H162" s="5"/>
      <c r="I162" s="5"/>
      <c r="J162" s="6" t="str">
        <f t="shared" si="2"/>
        <v/>
      </c>
      <c r="K162" s="6" t="str">
        <f>IF(A162="","",IF(COUNTIFS('02_KICH_BAN_NODES'!$B$5:$B$204,A162,'02_KICH_BAN_NODES'!$D$5:$D$204,"choice")=0,"ChoiceNodeId không tồn tại hoặc không phải choice",IF(COUNTIFS($A$5:$A$404,A162,$B$5:$B$404,B162)&gt;1,"Trùng OptionOrder trong cùng choice",IF(OR(B162="",C162="",D162="",F162="",H162=""),"Thiếu trường bắt buộc",IF(OR(COUNTIF($A$5:$A$404,A162)&lt;2,COUNTIF($A$5:$A$404,A162)&gt;4),"Mỗi choice cần 2–4 option",IF(COUNTIFS('02_KICH_BAN_NODES'!$B$5:$B$204,A162,'02_KICH_BAN_NODES'!$E$5:$E$204,"Kiến thức")=1,IF(COUNTIFS($A$5:$A$404,A162,$D$5:$D$404,"Có")&lt;&gt;1,"Choice kiến thức cần đúng 1 đáp án đúng",""),IF(COUNTIFS('02_KICH_BAN_NODES'!$B$5:$B$204,A162,'02_KICH_BAN_NODES'!$E$5:$E$204,"Tương tác")=1,IF(COUNTIFS($A$5:$A$404,A162,$D$5:$D$404,"Có")&lt;&gt;0,"Choice tương tác không được đánh dấu đáp án đúng",""),"Choice chưa chọn loại")))))))</f>
        <v/>
      </c>
    </row>
    <row r="163" spans="1:11">
      <c r="A163" s="13"/>
      <c r="B163" s="13"/>
      <c r="C163" s="5"/>
      <c r="D163" s="13"/>
      <c r="E163" s="13"/>
      <c r="F163" s="13"/>
      <c r="G163" s="13"/>
      <c r="H163" s="5"/>
      <c r="I163" s="5"/>
      <c r="J163" s="6" t="str">
        <f t="shared" si="2"/>
        <v/>
      </c>
      <c r="K163" s="6" t="str">
        <f>IF(A163="","",IF(COUNTIFS('02_KICH_BAN_NODES'!$B$5:$B$204,A163,'02_KICH_BAN_NODES'!$D$5:$D$204,"choice")=0,"ChoiceNodeId không tồn tại hoặc không phải choice",IF(COUNTIFS($A$5:$A$404,A163,$B$5:$B$404,B163)&gt;1,"Trùng OptionOrder trong cùng choice",IF(OR(B163="",C163="",D163="",F163="",H163=""),"Thiếu trường bắt buộc",IF(OR(COUNTIF($A$5:$A$404,A163)&lt;2,COUNTIF($A$5:$A$404,A163)&gt;4),"Mỗi choice cần 2–4 option",IF(COUNTIFS('02_KICH_BAN_NODES'!$B$5:$B$204,A163,'02_KICH_BAN_NODES'!$E$5:$E$204,"Kiến thức")=1,IF(COUNTIFS($A$5:$A$404,A163,$D$5:$D$404,"Có")&lt;&gt;1,"Choice kiến thức cần đúng 1 đáp án đúng",""),IF(COUNTIFS('02_KICH_BAN_NODES'!$B$5:$B$204,A163,'02_KICH_BAN_NODES'!$E$5:$E$204,"Tương tác")=1,IF(COUNTIFS($A$5:$A$404,A163,$D$5:$D$404,"Có")&lt;&gt;0,"Choice tương tác không được đánh dấu đáp án đúng",""),"Choice chưa chọn loại")))))))</f>
        <v/>
      </c>
    </row>
    <row r="164" spans="1:11">
      <c r="A164" s="13"/>
      <c r="B164" s="13"/>
      <c r="C164" s="5"/>
      <c r="D164" s="13"/>
      <c r="E164" s="13"/>
      <c r="F164" s="13"/>
      <c r="G164" s="13"/>
      <c r="H164" s="5"/>
      <c r="I164" s="5"/>
      <c r="J164" s="6" t="str">
        <f t="shared" si="2"/>
        <v/>
      </c>
      <c r="K164" s="6" t="str">
        <f>IF(A164="","",IF(COUNTIFS('02_KICH_BAN_NODES'!$B$5:$B$204,A164,'02_KICH_BAN_NODES'!$D$5:$D$204,"choice")=0,"ChoiceNodeId không tồn tại hoặc không phải choice",IF(COUNTIFS($A$5:$A$404,A164,$B$5:$B$404,B164)&gt;1,"Trùng OptionOrder trong cùng choice",IF(OR(B164="",C164="",D164="",F164="",H164=""),"Thiếu trường bắt buộc",IF(OR(COUNTIF($A$5:$A$404,A164)&lt;2,COUNTIF($A$5:$A$404,A164)&gt;4),"Mỗi choice cần 2–4 option",IF(COUNTIFS('02_KICH_BAN_NODES'!$B$5:$B$204,A164,'02_KICH_BAN_NODES'!$E$5:$E$204,"Kiến thức")=1,IF(COUNTIFS($A$5:$A$404,A164,$D$5:$D$404,"Có")&lt;&gt;1,"Choice kiến thức cần đúng 1 đáp án đúng",""),IF(COUNTIFS('02_KICH_BAN_NODES'!$B$5:$B$204,A164,'02_KICH_BAN_NODES'!$E$5:$E$204,"Tương tác")=1,IF(COUNTIFS($A$5:$A$404,A164,$D$5:$D$404,"Có")&lt;&gt;0,"Choice tương tác không được đánh dấu đáp án đúng",""),"Choice chưa chọn loại")))))))</f>
        <v/>
      </c>
    </row>
    <row r="165" spans="1:11">
      <c r="A165" s="13"/>
      <c r="B165" s="13"/>
      <c r="C165" s="5"/>
      <c r="D165" s="13"/>
      <c r="E165" s="13"/>
      <c r="F165" s="13"/>
      <c r="G165" s="13"/>
      <c r="H165" s="5"/>
      <c r="I165" s="5"/>
      <c r="J165" s="6" t="str">
        <f t="shared" si="2"/>
        <v/>
      </c>
      <c r="K165" s="6" t="str">
        <f>IF(A165="","",IF(COUNTIFS('02_KICH_BAN_NODES'!$B$5:$B$204,A165,'02_KICH_BAN_NODES'!$D$5:$D$204,"choice")=0,"ChoiceNodeId không tồn tại hoặc không phải choice",IF(COUNTIFS($A$5:$A$404,A165,$B$5:$B$404,B165)&gt;1,"Trùng OptionOrder trong cùng choice",IF(OR(B165="",C165="",D165="",F165="",H165=""),"Thiếu trường bắt buộc",IF(OR(COUNTIF($A$5:$A$404,A165)&lt;2,COUNTIF($A$5:$A$404,A165)&gt;4),"Mỗi choice cần 2–4 option",IF(COUNTIFS('02_KICH_BAN_NODES'!$B$5:$B$204,A165,'02_KICH_BAN_NODES'!$E$5:$E$204,"Kiến thức")=1,IF(COUNTIFS($A$5:$A$404,A165,$D$5:$D$404,"Có")&lt;&gt;1,"Choice kiến thức cần đúng 1 đáp án đúng",""),IF(COUNTIFS('02_KICH_BAN_NODES'!$B$5:$B$204,A165,'02_KICH_BAN_NODES'!$E$5:$E$204,"Tương tác")=1,IF(COUNTIFS($A$5:$A$404,A165,$D$5:$D$404,"Có")&lt;&gt;0,"Choice tương tác không được đánh dấu đáp án đúng",""),"Choice chưa chọn loại")))))))</f>
        <v/>
      </c>
    </row>
    <row r="166" spans="1:11">
      <c r="A166" s="13"/>
      <c r="B166" s="13"/>
      <c r="C166" s="5"/>
      <c r="D166" s="13"/>
      <c r="E166" s="13"/>
      <c r="F166" s="13"/>
      <c r="G166" s="13"/>
      <c r="H166" s="5"/>
      <c r="I166" s="5"/>
      <c r="J166" s="6" t="str">
        <f t="shared" si="2"/>
        <v/>
      </c>
      <c r="K166" s="6" t="str">
        <f>IF(A166="","",IF(COUNTIFS('02_KICH_BAN_NODES'!$B$5:$B$204,A166,'02_KICH_BAN_NODES'!$D$5:$D$204,"choice")=0,"ChoiceNodeId không tồn tại hoặc không phải choice",IF(COUNTIFS($A$5:$A$404,A166,$B$5:$B$404,B166)&gt;1,"Trùng OptionOrder trong cùng choice",IF(OR(B166="",C166="",D166="",F166="",H166=""),"Thiếu trường bắt buộc",IF(OR(COUNTIF($A$5:$A$404,A166)&lt;2,COUNTIF($A$5:$A$404,A166)&gt;4),"Mỗi choice cần 2–4 option",IF(COUNTIFS('02_KICH_BAN_NODES'!$B$5:$B$204,A166,'02_KICH_BAN_NODES'!$E$5:$E$204,"Kiến thức")=1,IF(COUNTIFS($A$5:$A$404,A166,$D$5:$D$404,"Có")&lt;&gt;1,"Choice kiến thức cần đúng 1 đáp án đúng",""),IF(COUNTIFS('02_KICH_BAN_NODES'!$B$5:$B$204,A166,'02_KICH_BAN_NODES'!$E$5:$E$204,"Tương tác")=1,IF(COUNTIFS($A$5:$A$404,A166,$D$5:$D$404,"Có")&lt;&gt;0,"Choice tương tác không được đánh dấu đáp án đúng",""),"Choice chưa chọn loại")))))))</f>
        <v/>
      </c>
    </row>
    <row r="167" spans="1:11">
      <c r="A167" s="13"/>
      <c r="B167" s="13"/>
      <c r="C167" s="5"/>
      <c r="D167" s="13"/>
      <c r="E167" s="13"/>
      <c r="F167" s="13"/>
      <c r="G167" s="13"/>
      <c r="H167" s="5"/>
      <c r="I167" s="5"/>
      <c r="J167" s="6" t="str">
        <f t="shared" si="2"/>
        <v/>
      </c>
      <c r="K167" s="6" t="str">
        <f>IF(A167="","",IF(COUNTIFS('02_KICH_BAN_NODES'!$B$5:$B$204,A167,'02_KICH_BAN_NODES'!$D$5:$D$204,"choice")=0,"ChoiceNodeId không tồn tại hoặc không phải choice",IF(COUNTIFS($A$5:$A$404,A167,$B$5:$B$404,B167)&gt;1,"Trùng OptionOrder trong cùng choice",IF(OR(B167="",C167="",D167="",F167="",H167=""),"Thiếu trường bắt buộc",IF(OR(COUNTIF($A$5:$A$404,A167)&lt;2,COUNTIF($A$5:$A$404,A167)&gt;4),"Mỗi choice cần 2–4 option",IF(COUNTIFS('02_KICH_BAN_NODES'!$B$5:$B$204,A167,'02_KICH_BAN_NODES'!$E$5:$E$204,"Kiến thức")=1,IF(COUNTIFS($A$5:$A$404,A167,$D$5:$D$404,"Có")&lt;&gt;1,"Choice kiến thức cần đúng 1 đáp án đúng",""),IF(COUNTIFS('02_KICH_BAN_NODES'!$B$5:$B$204,A167,'02_KICH_BAN_NODES'!$E$5:$E$204,"Tương tác")=1,IF(COUNTIFS($A$5:$A$404,A167,$D$5:$D$404,"Có")&lt;&gt;0,"Choice tương tác không được đánh dấu đáp án đúng",""),"Choice chưa chọn loại")))))))</f>
        <v/>
      </c>
    </row>
    <row r="168" spans="1:11">
      <c r="A168" s="13"/>
      <c r="B168" s="13"/>
      <c r="C168" s="5"/>
      <c r="D168" s="13"/>
      <c r="E168" s="13"/>
      <c r="F168" s="13"/>
      <c r="G168" s="13"/>
      <c r="H168" s="5"/>
      <c r="I168" s="5"/>
      <c r="J168" s="6" t="str">
        <f t="shared" si="2"/>
        <v/>
      </c>
      <c r="K168" s="6" t="str">
        <f>IF(A168="","",IF(COUNTIFS('02_KICH_BAN_NODES'!$B$5:$B$204,A168,'02_KICH_BAN_NODES'!$D$5:$D$204,"choice")=0,"ChoiceNodeId không tồn tại hoặc không phải choice",IF(COUNTIFS($A$5:$A$404,A168,$B$5:$B$404,B168)&gt;1,"Trùng OptionOrder trong cùng choice",IF(OR(B168="",C168="",D168="",F168="",H168=""),"Thiếu trường bắt buộc",IF(OR(COUNTIF($A$5:$A$404,A168)&lt;2,COUNTIF($A$5:$A$404,A168)&gt;4),"Mỗi choice cần 2–4 option",IF(COUNTIFS('02_KICH_BAN_NODES'!$B$5:$B$204,A168,'02_KICH_BAN_NODES'!$E$5:$E$204,"Kiến thức")=1,IF(COUNTIFS($A$5:$A$404,A168,$D$5:$D$404,"Có")&lt;&gt;1,"Choice kiến thức cần đúng 1 đáp án đúng",""),IF(COUNTIFS('02_KICH_BAN_NODES'!$B$5:$B$204,A168,'02_KICH_BAN_NODES'!$E$5:$E$204,"Tương tác")=1,IF(COUNTIFS($A$5:$A$404,A168,$D$5:$D$404,"Có")&lt;&gt;0,"Choice tương tác không được đánh dấu đáp án đúng",""),"Choice chưa chọn loại")))))))</f>
        <v/>
      </c>
    </row>
    <row r="169" spans="1:11">
      <c r="A169" s="13"/>
      <c r="B169" s="13"/>
      <c r="C169" s="5"/>
      <c r="D169" s="13"/>
      <c r="E169" s="13"/>
      <c r="F169" s="13"/>
      <c r="G169" s="13"/>
      <c r="H169" s="5"/>
      <c r="I169" s="5"/>
      <c r="J169" s="6" t="str">
        <f t="shared" si="2"/>
        <v/>
      </c>
      <c r="K169" s="6" t="str">
        <f>IF(A169="","",IF(COUNTIFS('02_KICH_BAN_NODES'!$B$5:$B$204,A169,'02_KICH_BAN_NODES'!$D$5:$D$204,"choice")=0,"ChoiceNodeId không tồn tại hoặc không phải choice",IF(COUNTIFS($A$5:$A$404,A169,$B$5:$B$404,B169)&gt;1,"Trùng OptionOrder trong cùng choice",IF(OR(B169="",C169="",D169="",F169="",H169=""),"Thiếu trường bắt buộc",IF(OR(COUNTIF($A$5:$A$404,A169)&lt;2,COUNTIF($A$5:$A$404,A169)&gt;4),"Mỗi choice cần 2–4 option",IF(COUNTIFS('02_KICH_BAN_NODES'!$B$5:$B$204,A169,'02_KICH_BAN_NODES'!$E$5:$E$204,"Kiến thức")=1,IF(COUNTIFS($A$5:$A$404,A169,$D$5:$D$404,"Có")&lt;&gt;1,"Choice kiến thức cần đúng 1 đáp án đúng",""),IF(COUNTIFS('02_KICH_BAN_NODES'!$B$5:$B$204,A169,'02_KICH_BAN_NODES'!$E$5:$E$204,"Tương tác")=1,IF(COUNTIFS($A$5:$A$404,A169,$D$5:$D$404,"Có")&lt;&gt;0,"Choice tương tác không được đánh dấu đáp án đúng",""),"Choice chưa chọn loại")))))))</f>
        <v/>
      </c>
    </row>
    <row r="170" spans="1:11">
      <c r="A170" s="13"/>
      <c r="B170" s="13"/>
      <c r="C170" s="5"/>
      <c r="D170" s="13"/>
      <c r="E170" s="13"/>
      <c r="F170" s="13"/>
      <c r="G170" s="13"/>
      <c r="H170" s="5"/>
      <c r="I170" s="5"/>
      <c r="J170" s="6" t="str">
        <f t="shared" si="2"/>
        <v/>
      </c>
      <c r="K170" s="6" t="str">
        <f>IF(A170="","",IF(COUNTIFS('02_KICH_BAN_NODES'!$B$5:$B$204,A170,'02_KICH_BAN_NODES'!$D$5:$D$204,"choice")=0,"ChoiceNodeId không tồn tại hoặc không phải choice",IF(COUNTIFS($A$5:$A$404,A170,$B$5:$B$404,B170)&gt;1,"Trùng OptionOrder trong cùng choice",IF(OR(B170="",C170="",D170="",F170="",H170=""),"Thiếu trường bắt buộc",IF(OR(COUNTIF($A$5:$A$404,A170)&lt;2,COUNTIF($A$5:$A$404,A170)&gt;4),"Mỗi choice cần 2–4 option",IF(COUNTIFS('02_KICH_BAN_NODES'!$B$5:$B$204,A170,'02_KICH_BAN_NODES'!$E$5:$E$204,"Kiến thức")=1,IF(COUNTIFS($A$5:$A$404,A170,$D$5:$D$404,"Có")&lt;&gt;1,"Choice kiến thức cần đúng 1 đáp án đúng",""),IF(COUNTIFS('02_KICH_BAN_NODES'!$B$5:$B$204,A170,'02_KICH_BAN_NODES'!$E$5:$E$204,"Tương tác")=1,IF(COUNTIFS($A$5:$A$404,A170,$D$5:$D$404,"Có")&lt;&gt;0,"Choice tương tác không được đánh dấu đáp án đúng",""),"Choice chưa chọn loại")))))))</f>
        <v/>
      </c>
    </row>
    <row r="171" spans="1:11">
      <c r="A171" s="13"/>
      <c r="B171" s="13"/>
      <c r="C171" s="5"/>
      <c r="D171" s="13"/>
      <c r="E171" s="13"/>
      <c r="F171" s="13"/>
      <c r="G171" s="13"/>
      <c r="H171" s="5"/>
      <c r="I171" s="5"/>
      <c r="J171" s="6" t="str">
        <f t="shared" si="2"/>
        <v/>
      </c>
      <c r="K171" s="6" t="str">
        <f>IF(A171="","",IF(COUNTIFS('02_KICH_BAN_NODES'!$B$5:$B$204,A171,'02_KICH_BAN_NODES'!$D$5:$D$204,"choice")=0,"ChoiceNodeId không tồn tại hoặc không phải choice",IF(COUNTIFS($A$5:$A$404,A171,$B$5:$B$404,B171)&gt;1,"Trùng OptionOrder trong cùng choice",IF(OR(B171="",C171="",D171="",F171="",H171=""),"Thiếu trường bắt buộc",IF(OR(COUNTIF($A$5:$A$404,A171)&lt;2,COUNTIF($A$5:$A$404,A171)&gt;4),"Mỗi choice cần 2–4 option",IF(COUNTIFS('02_KICH_BAN_NODES'!$B$5:$B$204,A171,'02_KICH_BAN_NODES'!$E$5:$E$204,"Kiến thức")=1,IF(COUNTIFS($A$5:$A$404,A171,$D$5:$D$404,"Có")&lt;&gt;1,"Choice kiến thức cần đúng 1 đáp án đúng",""),IF(COUNTIFS('02_KICH_BAN_NODES'!$B$5:$B$204,A171,'02_KICH_BAN_NODES'!$E$5:$E$204,"Tương tác")=1,IF(COUNTIFS($A$5:$A$404,A171,$D$5:$D$404,"Có")&lt;&gt;0,"Choice tương tác không được đánh dấu đáp án đúng",""),"Choice chưa chọn loại")))))))</f>
        <v/>
      </c>
    </row>
    <row r="172" spans="1:11">
      <c r="A172" s="13"/>
      <c r="B172" s="13"/>
      <c r="C172" s="5"/>
      <c r="D172" s="13"/>
      <c r="E172" s="13"/>
      <c r="F172" s="13"/>
      <c r="G172" s="13"/>
      <c r="H172" s="5"/>
      <c r="I172" s="5"/>
      <c r="J172" s="6" t="str">
        <f t="shared" si="2"/>
        <v/>
      </c>
      <c r="K172" s="6" t="str">
        <f>IF(A172="","",IF(COUNTIFS('02_KICH_BAN_NODES'!$B$5:$B$204,A172,'02_KICH_BAN_NODES'!$D$5:$D$204,"choice")=0,"ChoiceNodeId không tồn tại hoặc không phải choice",IF(COUNTIFS($A$5:$A$404,A172,$B$5:$B$404,B172)&gt;1,"Trùng OptionOrder trong cùng choice",IF(OR(B172="",C172="",D172="",F172="",H172=""),"Thiếu trường bắt buộc",IF(OR(COUNTIF($A$5:$A$404,A172)&lt;2,COUNTIF($A$5:$A$404,A172)&gt;4),"Mỗi choice cần 2–4 option",IF(COUNTIFS('02_KICH_BAN_NODES'!$B$5:$B$204,A172,'02_KICH_BAN_NODES'!$E$5:$E$204,"Kiến thức")=1,IF(COUNTIFS($A$5:$A$404,A172,$D$5:$D$404,"Có")&lt;&gt;1,"Choice kiến thức cần đúng 1 đáp án đúng",""),IF(COUNTIFS('02_KICH_BAN_NODES'!$B$5:$B$204,A172,'02_KICH_BAN_NODES'!$E$5:$E$204,"Tương tác")=1,IF(COUNTIFS($A$5:$A$404,A172,$D$5:$D$404,"Có")&lt;&gt;0,"Choice tương tác không được đánh dấu đáp án đúng",""),"Choice chưa chọn loại")))))))</f>
        <v/>
      </c>
    </row>
    <row r="173" spans="1:11">
      <c r="A173" s="13"/>
      <c r="B173" s="13"/>
      <c r="C173" s="5"/>
      <c r="D173" s="13"/>
      <c r="E173" s="13"/>
      <c r="F173" s="13"/>
      <c r="G173" s="13"/>
      <c r="H173" s="5"/>
      <c r="I173" s="5"/>
      <c r="J173" s="6" t="str">
        <f t="shared" si="2"/>
        <v/>
      </c>
      <c r="K173" s="6" t="str">
        <f>IF(A173="","",IF(COUNTIFS('02_KICH_BAN_NODES'!$B$5:$B$204,A173,'02_KICH_BAN_NODES'!$D$5:$D$204,"choice")=0,"ChoiceNodeId không tồn tại hoặc không phải choice",IF(COUNTIFS($A$5:$A$404,A173,$B$5:$B$404,B173)&gt;1,"Trùng OptionOrder trong cùng choice",IF(OR(B173="",C173="",D173="",F173="",H173=""),"Thiếu trường bắt buộc",IF(OR(COUNTIF($A$5:$A$404,A173)&lt;2,COUNTIF($A$5:$A$404,A173)&gt;4),"Mỗi choice cần 2–4 option",IF(COUNTIFS('02_KICH_BAN_NODES'!$B$5:$B$204,A173,'02_KICH_BAN_NODES'!$E$5:$E$204,"Kiến thức")=1,IF(COUNTIFS($A$5:$A$404,A173,$D$5:$D$404,"Có")&lt;&gt;1,"Choice kiến thức cần đúng 1 đáp án đúng",""),IF(COUNTIFS('02_KICH_BAN_NODES'!$B$5:$B$204,A173,'02_KICH_BAN_NODES'!$E$5:$E$204,"Tương tác")=1,IF(COUNTIFS($A$5:$A$404,A173,$D$5:$D$404,"Có")&lt;&gt;0,"Choice tương tác không được đánh dấu đáp án đúng",""),"Choice chưa chọn loại")))))))</f>
        <v/>
      </c>
    </row>
    <row r="174" spans="1:11">
      <c r="A174" s="13"/>
      <c r="B174" s="13"/>
      <c r="C174" s="5"/>
      <c r="D174" s="13"/>
      <c r="E174" s="13"/>
      <c r="F174" s="13"/>
      <c r="G174" s="13"/>
      <c r="H174" s="5"/>
      <c r="I174" s="5"/>
      <c r="J174" s="6" t="str">
        <f t="shared" si="2"/>
        <v/>
      </c>
      <c r="K174" s="6" t="str">
        <f>IF(A174="","",IF(COUNTIFS('02_KICH_BAN_NODES'!$B$5:$B$204,A174,'02_KICH_BAN_NODES'!$D$5:$D$204,"choice")=0,"ChoiceNodeId không tồn tại hoặc không phải choice",IF(COUNTIFS($A$5:$A$404,A174,$B$5:$B$404,B174)&gt;1,"Trùng OptionOrder trong cùng choice",IF(OR(B174="",C174="",D174="",F174="",H174=""),"Thiếu trường bắt buộc",IF(OR(COUNTIF($A$5:$A$404,A174)&lt;2,COUNTIF($A$5:$A$404,A174)&gt;4),"Mỗi choice cần 2–4 option",IF(COUNTIFS('02_KICH_BAN_NODES'!$B$5:$B$204,A174,'02_KICH_BAN_NODES'!$E$5:$E$204,"Kiến thức")=1,IF(COUNTIFS($A$5:$A$404,A174,$D$5:$D$404,"Có")&lt;&gt;1,"Choice kiến thức cần đúng 1 đáp án đúng",""),IF(COUNTIFS('02_KICH_BAN_NODES'!$B$5:$B$204,A174,'02_KICH_BAN_NODES'!$E$5:$E$204,"Tương tác")=1,IF(COUNTIFS($A$5:$A$404,A174,$D$5:$D$404,"Có")&lt;&gt;0,"Choice tương tác không được đánh dấu đáp án đúng",""),"Choice chưa chọn loại")))))))</f>
        <v/>
      </c>
    </row>
    <row r="175" spans="1:11">
      <c r="A175" s="13"/>
      <c r="B175" s="13"/>
      <c r="C175" s="5"/>
      <c r="D175" s="13"/>
      <c r="E175" s="13"/>
      <c r="F175" s="13"/>
      <c r="G175" s="13"/>
      <c r="H175" s="5"/>
      <c r="I175" s="5"/>
      <c r="J175" s="6" t="str">
        <f t="shared" si="2"/>
        <v/>
      </c>
      <c r="K175" s="6" t="str">
        <f>IF(A175="","",IF(COUNTIFS('02_KICH_BAN_NODES'!$B$5:$B$204,A175,'02_KICH_BAN_NODES'!$D$5:$D$204,"choice")=0,"ChoiceNodeId không tồn tại hoặc không phải choice",IF(COUNTIFS($A$5:$A$404,A175,$B$5:$B$404,B175)&gt;1,"Trùng OptionOrder trong cùng choice",IF(OR(B175="",C175="",D175="",F175="",H175=""),"Thiếu trường bắt buộc",IF(OR(COUNTIF($A$5:$A$404,A175)&lt;2,COUNTIF($A$5:$A$404,A175)&gt;4),"Mỗi choice cần 2–4 option",IF(COUNTIFS('02_KICH_BAN_NODES'!$B$5:$B$204,A175,'02_KICH_BAN_NODES'!$E$5:$E$204,"Kiến thức")=1,IF(COUNTIFS($A$5:$A$404,A175,$D$5:$D$404,"Có")&lt;&gt;1,"Choice kiến thức cần đúng 1 đáp án đúng",""),IF(COUNTIFS('02_KICH_BAN_NODES'!$B$5:$B$204,A175,'02_KICH_BAN_NODES'!$E$5:$E$204,"Tương tác")=1,IF(COUNTIFS($A$5:$A$404,A175,$D$5:$D$404,"Có")&lt;&gt;0,"Choice tương tác không được đánh dấu đáp án đúng",""),"Choice chưa chọn loại")))))))</f>
        <v/>
      </c>
    </row>
    <row r="176" spans="1:11">
      <c r="A176" s="13"/>
      <c r="B176" s="13"/>
      <c r="C176" s="5"/>
      <c r="D176" s="13"/>
      <c r="E176" s="13"/>
      <c r="F176" s="13"/>
      <c r="G176" s="13"/>
      <c r="H176" s="5"/>
      <c r="I176" s="5"/>
      <c r="J176" s="6" t="str">
        <f t="shared" si="2"/>
        <v/>
      </c>
      <c r="K176" s="6" t="str">
        <f>IF(A176="","",IF(COUNTIFS('02_KICH_BAN_NODES'!$B$5:$B$204,A176,'02_KICH_BAN_NODES'!$D$5:$D$204,"choice")=0,"ChoiceNodeId không tồn tại hoặc không phải choice",IF(COUNTIFS($A$5:$A$404,A176,$B$5:$B$404,B176)&gt;1,"Trùng OptionOrder trong cùng choice",IF(OR(B176="",C176="",D176="",F176="",H176=""),"Thiếu trường bắt buộc",IF(OR(COUNTIF($A$5:$A$404,A176)&lt;2,COUNTIF($A$5:$A$404,A176)&gt;4),"Mỗi choice cần 2–4 option",IF(COUNTIFS('02_KICH_BAN_NODES'!$B$5:$B$204,A176,'02_KICH_BAN_NODES'!$E$5:$E$204,"Kiến thức")=1,IF(COUNTIFS($A$5:$A$404,A176,$D$5:$D$404,"Có")&lt;&gt;1,"Choice kiến thức cần đúng 1 đáp án đúng",""),IF(COUNTIFS('02_KICH_BAN_NODES'!$B$5:$B$204,A176,'02_KICH_BAN_NODES'!$E$5:$E$204,"Tương tác")=1,IF(COUNTIFS($A$5:$A$404,A176,$D$5:$D$404,"Có")&lt;&gt;0,"Choice tương tác không được đánh dấu đáp án đúng",""),"Choice chưa chọn loại")))))))</f>
        <v/>
      </c>
    </row>
    <row r="177" spans="1:11">
      <c r="A177" s="13"/>
      <c r="B177" s="13"/>
      <c r="C177" s="5"/>
      <c r="D177" s="13"/>
      <c r="E177" s="13"/>
      <c r="F177" s="13"/>
      <c r="G177" s="13"/>
      <c r="H177" s="5"/>
      <c r="I177" s="5"/>
      <c r="J177" s="6" t="str">
        <f t="shared" si="2"/>
        <v/>
      </c>
      <c r="K177" s="6" t="str">
        <f>IF(A177="","",IF(COUNTIFS('02_KICH_BAN_NODES'!$B$5:$B$204,A177,'02_KICH_BAN_NODES'!$D$5:$D$204,"choice")=0,"ChoiceNodeId không tồn tại hoặc không phải choice",IF(COUNTIFS($A$5:$A$404,A177,$B$5:$B$404,B177)&gt;1,"Trùng OptionOrder trong cùng choice",IF(OR(B177="",C177="",D177="",F177="",H177=""),"Thiếu trường bắt buộc",IF(OR(COUNTIF($A$5:$A$404,A177)&lt;2,COUNTIF($A$5:$A$404,A177)&gt;4),"Mỗi choice cần 2–4 option",IF(COUNTIFS('02_KICH_BAN_NODES'!$B$5:$B$204,A177,'02_KICH_BAN_NODES'!$E$5:$E$204,"Kiến thức")=1,IF(COUNTIFS($A$5:$A$404,A177,$D$5:$D$404,"Có")&lt;&gt;1,"Choice kiến thức cần đúng 1 đáp án đúng",""),IF(COUNTIFS('02_KICH_BAN_NODES'!$B$5:$B$204,A177,'02_KICH_BAN_NODES'!$E$5:$E$204,"Tương tác")=1,IF(COUNTIFS($A$5:$A$404,A177,$D$5:$D$404,"Có")&lt;&gt;0,"Choice tương tác không được đánh dấu đáp án đúng",""),"Choice chưa chọn loại")))))))</f>
        <v/>
      </c>
    </row>
    <row r="178" spans="1:11">
      <c r="A178" s="13"/>
      <c r="B178" s="13"/>
      <c r="C178" s="5"/>
      <c r="D178" s="13"/>
      <c r="E178" s="13"/>
      <c r="F178" s="13"/>
      <c r="G178" s="13"/>
      <c r="H178" s="5"/>
      <c r="I178" s="5"/>
      <c r="J178" s="6" t="str">
        <f t="shared" si="2"/>
        <v/>
      </c>
      <c r="K178" s="6" t="str">
        <f>IF(A178="","",IF(COUNTIFS('02_KICH_BAN_NODES'!$B$5:$B$204,A178,'02_KICH_BAN_NODES'!$D$5:$D$204,"choice")=0,"ChoiceNodeId không tồn tại hoặc không phải choice",IF(COUNTIFS($A$5:$A$404,A178,$B$5:$B$404,B178)&gt;1,"Trùng OptionOrder trong cùng choice",IF(OR(B178="",C178="",D178="",F178="",H178=""),"Thiếu trường bắt buộc",IF(OR(COUNTIF($A$5:$A$404,A178)&lt;2,COUNTIF($A$5:$A$404,A178)&gt;4),"Mỗi choice cần 2–4 option",IF(COUNTIFS('02_KICH_BAN_NODES'!$B$5:$B$204,A178,'02_KICH_BAN_NODES'!$E$5:$E$204,"Kiến thức")=1,IF(COUNTIFS($A$5:$A$404,A178,$D$5:$D$404,"Có")&lt;&gt;1,"Choice kiến thức cần đúng 1 đáp án đúng",""),IF(COUNTIFS('02_KICH_BAN_NODES'!$B$5:$B$204,A178,'02_KICH_BAN_NODES'!$E$5:$E$204,"Tương tác")=1,IF(COUNTIFS($A$5:$A$404,A178,$D$5:$D$404,"Có")&lt;&gt;0,"Choice tương tác không được đánh dấu đáp án đúng",""),"Choice chưa chọn loại")))))))</f>
        <v/>
      </c>
    </row>
    <row r="179" spans="1:11">
      <c r="A179" s="13"/>
      <c r="B179" s="13"/>
      <c r="C179" s="5"/>
      <c r="D179" s="13"/>
      <c r="E179" s="13"/>
      <c r="F179" s="13"/>
      <c r="G179" s="13"/>
      <c r="H179" s="5"/>
      <c r="I179" s="5"/>
      <c r="J179" s="6" t="str">
        <f t="shared" si="2"/>
        <v/>
      </c>
      <c r="K179" s="6" t="str">
        <f>IF(A179="","",IF(COUNTIFS('02_KICH_BAN_NODES'!$B$5:$B$204,A179,'02_KICH_BAN_NODES'!$D$5:$D$204,"choice")=0,"ChoiceNodeId không tồn tại hoặc không phải choice",IF(COUNTIFS($A$5:$A$404,A179,$B$5:$B$404,B179)&gt;1,"Trùng OptionOrder trong cùng choice",IF(OR(B179="",C179="",D179="",F179="",H179=""),"Thiếu trường bắt buộc",IF(OR(COUNTIF($A$5:$A$404,A179)&lt;2,COUNTIF($A$5:$A$404,A179)&gt;4),"Mỗi choice cần 2–4 option",IF(COUNTIFS('02_KICH_BAN_NODES'!$B$5:$B$204,A179,'02_KICH_BAN_NODES'!$E$5:$E$204,"Kiến thức")=1,IF(COUNTIFS($A$5:$A$404,A179,$D$5:$D$404,"Có")&lt;&gt;1,"Choice kiến thức cần đúng 1 đáp án đúng",""),IF(COUNTIFS('02_KICH_BAN_NODES'!$B$5:$B$204,A179,'02_KICH_BAN_NODES'!$E$5:$E$204,"Tương tác")=1,IF(COUNTIFS($A$5:$A$404,A179,$D$5:$D$404,"Có")&lt;&gt;0,"Choice tương tác không được đánh dấu đáp án đúng",""),"Choice chưa chọn loại")))))))</f>
        <v/>
      </c>
    </row>
    <row r="180" spans="1:11">
      <c r="A180" s="13"/>
      <c r="B180" s="13"/>
      <c r="C180" s="5"/>
      <c r="D180" s="13"/>
      <c r="E180" s="13"/>
      <c r="F180" s="13"/>
      <c r="G180" s="13"/>
      <c r="H180" s="5"/>
      <c r="I180" s="5"/>
      <c r="J180" s="6" t="str">
        <f t="shared" si="2"/>
        <v/>
      </c>
      <c r="K180" s="6" t="str">
        <f>IF(A180="","",IF(COUNTIFS('02_KICH_BAN_NODES'!$B$5:$B$204,A180,'02_KICH_BAN_NODES'!$D$5:$D$204,"choice")=0,"ChoiceNodeId không tồn tại hoặc không phải choice",IF(COUNTIFS($A$5:$A$404,A180,$B$5:$B$404,B180)&gt;1,"Trùng OptionOrder trong cùng choice",IF(OR(B180="",C180="",D180="",F180="",H180=""),"Thiếu trường bắt buộc",IF(OR(COUNTIF($A$5:$A$404,A180)&lt;2,COUNTIF($A$5:$A$404,A180)&gt;4),"Mỗi choice cần 2–4 option",IF(COUNTIFS('02_KICH_BAN_NODES'!$B$5:$B$204,A180,'02_KICH_BAN_NODES'!$E$5:$E$204,"Kiến thức")=1,IF(COUNTIFS($A$5:$A$404,A180,$D$5:$D$404,"Có")&lt;&gt;1,"Choice kiến thức cần đúng 1 đáp án đúng",""),IF(COUNTIFS('02_KICH_BAN_NODES'!$B$5:$B$204,A180,'02_KICH_BAN_NODES'!$E$5:$E$204,"Tương tác")=1,IF(COUNTIFS($A$5:$A$404,A180,$D$5:$D$404,"Có")&lt;&gt;0,"Choice tương tác không được đánh dấu đáp án đúng",""),"Choice chưa chọn loại")))))))</f>
        <v/>
      </c>
    </row>
    <row r="181" spans="1:11">
      <c r="A181" s="13"/>
      <c r="B181" s="13"/>
      <c r="C181" s="5"/>
      <c r="D181" s="13"/>
      <c r="E181" s="13"/>
      <c r="F181" s="13"/>
      <c r="G181" s="13"/>
      <c r="H181" s="5"/>
      <c r="I181" s="5"/>
      <c r="J181" s="6" t="str">
        <f t="shared" si="2"/>
        <v/>
      </c>
      <c r="K181" s="6" t="str">
        <f>IF(A181="","",IF(COUNTIFS('02_KICH_BAN_NODES'!$B$5:$B$204,A181,'02_KICH_BAN_NODES'!$D$5:$D$204,"choice")=0,"ChoiceNodeId không tồn tại hoặc không phải choice",IF(COUNTIFS($A$5:$A$404,A181,$B$5:$B$404,B181)&gt;1,"Trùng OptionOrder trong cùng choice",IF(OR(B181="",C181="",D181="",F181="",H181=""),"Thiếu trường bắt buộc",IF(OR(COUNTIF($A$5:$A$404,A181)&lt;2,COUNTIF($A$5:$A$404,A181)&gt;4),"Mỗi choice cần 2–4 option",IF(COUNTIFS('02_KICH_BAN_NODES'!$B$5:$B$204,A181,'02_KICH_BAN_NODES'!$E$5:$E$204,"Kiến thức")=1,IF(COUNTIFS($A$5:$A$404,A181,$D$5:$D$404,"Có")&lt;&gt;1,"Choice kiến thức cần đúng 1 đáp án đúng",""),IF(COUNTIFS('02_KICH_BAN_NODES'!$B$5:$B$204,A181,'02_KICH_BAN_NODES'!$E$5:$E$204,"Tương tác")=1,IF(COUNTIFS($A$5:$A$404,A181,$D$5:$D$404,"Có")&lt;&gt;0,"Choice tương tác không được đánh dấu đáp án đúng",""),"Choice chưa chọn loại")))))))</f>
        <v/>
      </c>
    </row>
    <row r="182" spans="1:11">
      <c r="A182" s="13"/>
      <c r="B182" s="13"/>
      <c r="C182" s="5"/>
      <c r="D182" s="13"/>
      <c r="E182" s="13"/>
      <c r="F182" s="13"/>
      <c r="G182" s="13"/>
      <c r="H182" s="5"/>
      <c r="I182" s="5"/>
      <c r="J182" s="6" t="str">
        <f t="shared" si="2"/>
        <v/>
      </c>
      <c r="K182" s="6" t="str">
        <f>IF(A182="","",IF(COUNTIFS('02_KICH_BAN_NODES'!$B$5:$B$204,A182,'02_KICH_BAN_NODES'!$D$5:$D$204,"choice")=0,"ChoiceNodeId không tồn tại hoặc không phải choice",IF(COUNTIFS($A$5:$A$404,A182,$B$5:$B$404,B182)&gt;1,"Trùng OptionOrder trong cùng choice",IF(OR(B182="",C182="",D182="",F182="",H182=""),"Thiếu trường bắt buộc",IF(OR(COUNTIF($A$5:$A$404,A182)&lt;2,COUNTIF($A$5:$A$404,A182)&gt;4),"Mỗi choice cần 2–4 option",IF(COUNTIFS('02_KICH_BAN_NODES'!$B$5:$B$204,A182,'02_KICH_BAN_NODES'!$E$5:$E$204,"Kiến thức")=1,IF(COUNTIFS($A$5:$A$404,A182,$D$5:$D$404,"Có")&lt;&gt;1,"Choice kiến thức cần đúng 1 đáp án đúng",""),IF(COUNTIFS('02_KICH_BAN_NODES'!$B$5:$B$204,A182,'02_KICH_BAN_NODES'!$E$5:$E$204,"Tương tác")=1,IF(COUNTIFS($A$5:$A$404,A182,$D$5:$D$404,"Có")&lt;&gt;0,"Choice tương tác không được đánh dấu đáp án đúng",""),"Choice chưa chọn loại")))))))</f>
        <v/>
      </c>
    </row>
    <row r="183" spans="1:11">
      <c r="A183" s="13"/>
      <c r="B183" s="13"/>
      <c r="C183" s="5"/>
      <c r="D183" s="13"/>
      <c r="E183" s="13"/>
      <c r="F183" s="13"/>
      <c r="G183" s="13"/>
      <c r="H183" s="5"/>
      <c r="I183" s="5"/>
      <c r="J183" s="6" t="str">
        <f t="shared" si="2"/>
        <v/>
      </c>
      <c r="K183" s="6" t="str">
        <f>IF(A183="","",IF(COUNTIFS('02_KICH_BAN_NODES'!$B$5:$B$204,A183,'02_KICH_BAN_NODES'!$D$5:$D$204,"choice")=0,"ChoiceNodeId không tồn tại hoặc không phải choice",IF(COUNTIFS($A$5:$A$404,A183,$B$5:$B$404,B183)&gt;1,"Trùng OptionOrder trong cùng choice",IF(OR(B183="",C183="",D183="",F183="",H183=""),"Thiếu trường bắt buộc",IF(OR(COUNTIF($A$5:$A$404,A183)&lt;2,COUNTIF($A$5:$A$404,A183)&gt;4),"Mỗi choice cần 2–4 option",IF(COUNTIFS('02_KICH_BAN_NODES'!$B$5:$B$204,A183,'02_KICH_BAN_NODES'!$E$5:$E$204,"Kiến thức")=1,IF(COUNTIFS($A$5:$A$404,A183,$D$5:$D$404,"Có")&lt;&gt;1,"Choice kiến thức cần đúng 1 đáp án đúng",""),IF(COUNTIFS('02_KICH_BAN_NODES'!$B$5:$B$204,A183,'02_KICH_BAN_NODES'!$E$5:$E$204,"Tương tác")=1,IF(COUNTIFS($A$5:$A$404,A183,$D$5:$D$404,"Có")&lt;&gt;0,"Choice tương tác không được đánh dấu đáp án đúng",""),"Choice chưa chọn loại")))))))</f>
        <v/>
      </c>
    </row>
    <row r="184" spans="1:11">
      <c r="A184" s="13"/>
      <c r="B184" s="13"/>
      <c r="C184" s="5"/>
      <c r="D184" s="13"/>
      <c r="E184" s="13"/>
      <c r="F184" s="13"/>
      <c r="G184" s="13"/>
      <c r="H184" s="5"/>
      <c r="I184" s="5"/>
      <c r="J184" s="6" t="str">
        <f t="shared" si="2"/>
        <v/>
      </c>
      <c r="K184" s="6" t="str">
        <f>IF(A184="","",IF(COUNTIFS('02_KICH_BAN_NODES'!$B$5:$B$204,A184,'02_KICH_BAN_NODES'!$D$5:$D$204,"choice")=0,"ChoiceNodeId không tồn tại hoặc không phải choice",IF(COUNTIFS($A$5:$A$404,A184,$B$5:$B$404,B184)&gt;1,"Trùng OptionOrder trong cùng choice",IF(OR(B184="",C184="",D184="",F184="",H184=""),"Thiếu trường bắt buộc",IF(OR(COUNTIF($A$5:$A$404,A184)&lt;2,COUNTIF($A$5:$A$404,A184)&gt;4),"Mỗi choice cần 2–4 option",IF(COUNTIFS('02_KICH_BAN_NODES'!$B$5:$B$204,A184,'02_KICH_BAN_NODES'!$E$5:$E$204,"Kiến thức")=1,IF(COUNTIFS($A$5:$A$404,A184,$D$5:$D$404,"Có")&lt;&gt;1,"Choice kiến thức cần đúng 1 đáp án đúng",""),IF(COUNTIFS('02_KICH_BAN_NODES'!$B$5:$B$204,A184,'02_KICH_BAN_NODES'!$E$5:$E$204,"Tương tác")=1,IF(COUNTIFS($A$5:$A$404,A184,$D$5:$D$404,"Có")&lt;&gt;0,"Choice tương tác không được đánh dấu đáp án đúng",""),"Choice chưa chọn loại")))))))</f>
        <v/>
      </c>
    </row>
    <row r="185" spans="1:11">
      <c r="A185" s="13"/>
      <c r="B185" s="13"/>
      <c r="C185" s="5"/>
      <c r="D185" s="13"/>
      <c r="E185" s="13"/>
      <c r="F185" s="13"/>
      <c r="G185" s="13"/>
      <c r="H185" s="5"/>
      <c r="I185" s="5"/>
      <c r="J185" s="6" t="str">
        <f t="shared" si="2"/>
        <v/>
      </c>
      <c r="K185" s="6" t="str">
        <f>IF(A185="","",IF(COUNTIFS('02_KICH_BAN_NODES'!$B$5:$B$204,A185,'02_KICH_BAN_NODES'!$D$5:$D$204,"choice")=0,"ChoiceNodeId không tồn tại hoặc không phải choice",IF(COUNTIFS($A$5:$A$404,A185,$B$5:$B$404,B185)&gt;1,"Trùng OptionOrder trong cùng choice",IF(OR(B185="",C185="",D185="",F185="",H185=""),"Thiếu trường bắt buộc",IF(OR(COUNTIF($A$5:$A$404,A185)&lt;2,COUNTIF($A$5:$A$404,A185)&gt;4),"Mỗi choice cần 2–4 option",IF(COUNTIFS('02_KICH_BAN_NODES'!$B$5:$B$204,A185,'02_KICH_BAN_NODES'!$E$5:$E$204,"Kiến thức")=1,IF(COUNTIFS($A$5:$A$404,A185,$D$5:$D$404,"Có")&lt;&gt;1,"Choice kiến thức cần đúng 1 đáp án đúng",""),IF(COUNTIFS('02_KICH_BAN_NODES'!$B$5:$B$204,A185,'02_KICH_BAN_NODES'!$E$5:$E$204,"Tương tác")=1,IF(COUNTIFS($A$5:$A$404,A185,$D$5:$D$404,"Có")&lt;&gt;0,"Choice tương tác không được đánh dấu đáp án đúng",""),"Choice chưa chọn loại")))))))</f>
        <v/>
      </c>
    </row>
    <row r="186" spans="1:11">
      <c r="A186" s="13"/>
      <c r="B186" s="13"/>
      <c r="C186" s="5"/>
      <c r="D186" s="13"/>
      <c r="E186" s="13"/>
      <c r="F186" s="13"/>
      <c r="G186" s="13"/>
      <c r="H186" s="5"/>
      <c r="I186" s="5"/>
      <c r="J186" s="6" t="str">
        <f t="shared" si="2"/>
        <v/>
      </c>
      <c r="K186" s="6" t="str">
        <f>IF(A186="","",IF(COUNTIFS('02_KICH_BAN_NODES'!$B$5:$B$204,A186,'02_KICH_BAN_NODES'!$D$5:$D$204,"choice")=0,"ChoiceNodeId không tồn tại hoặc không phải choice",IF(COUNTIFS($A$5:$A$404,A186,$B$5:$B$404,B186)&gt;1,"Trùng OptionOrder trong cùng choice",IF(OR(B186="",C186="",D186="",F186="",H186=""),"Thiếu trường bắt buộc",IF(OR(COUNTIF($A$5:$A$404,A186)&lt;2,COUNTIF($A$5:$A$404,A186)&gt;4),"Mỗi choice cần 2–4 option",IF(COUNTIFS('02_KICH_BAN_NODES'!$B$5:$B$204,A186,'02_KICH_BAN_NODES'!$E$5:$E$204,"Kiến thức")=1,IF(COUNTIFS($A$5:$A$404,A186,$D$5:$D$404,"Có")&lt;&gt;1,"Choice kiến thức cần đúng 1 đáp án đúng",""),IF(COUNTIFS('02_KICH_BAN_NODES'!$B$5:$B$204,A186,'02_KICH_BAN_NODES'!$E$5:$E$204,"Tương tác")=1,IF(COUNTIFS($A$5:$A$404,A186,$D$5:$D$404,"Có")&lt;&gt;0,"Choice tương tác không được đánh dấu đáp án đúng",""),"Choice chưa chọn loại")))))))</f>
        <v/>
      </c>
    </row>
    <row r="187" spans="1:11">
      <c r="A187" s="13"/>
      <c r="B187" s="13"/>
      <c r="C187" s="5"/>
      <c r="D187" s="13"/>
      <c r="E187" s="13"/>
      <c r="F187" s="13"/>
      <c r="G187" s="13"/>
      <c r="H187" s="5"/>
      <c r="I187" s="5"/>
      <c r="J187" s="6" t="str">
        <f t="shared" si="2"/>
        <v/>
      </c>
      <c r="K187" s="6" t="str">
        <f>IF(A187="","",IF(COUNTIFS('02_KICH_BAN_NODES'!$B$5:$B$204,A187,'02_KICH_BAN_NODES'!$D$5:$D$204,"choice")=0,"ChoiceNodeId không tồn tại hoặc không phải choice",IF(COUNTIFS($A$5:$A$404,A187,$B$5:$B$404,B187)&gt;1,"Trùng OptionOrder trong cùng choice",IF(OR(B187="",C187="",D187="",F187="",H187=""),"Thiếu trường bắt buộc",IF(OR(COUNTIF($A$5:$A$404,A187)&lt;2,COUNTIF($A$5:$A$404,A187)&gt;4),"Mỗi choice cần 2–4 option",IF(COUNTIFS('02_KICH_BAN_NODES'!$B$5:$B$204,A187,'02_KICH_BAN_NODES'!$E$5:$E$204,"Kiến thức")=1,IF(COUNTIFS($A$5:$A$404,A187,$D$5:$D$404,"Có")&lt;&gt;1,"Choice kiến thức cần đúng 1 đáp án đúng",""),IF(COUNTIFS('02_KICH_BAN_NODES'!$B$5:$B$204,A187,'02_KICH_BAN_NODES'!$E$5:$E$204,"Tương tác")=1,IF(COUNTIFS($A$5:$A$404,A187,$D$5:$D$404,"Có")&lt;&gt;0,"Choice tương tác không được đánh dấu đáp án đúng",""),"Choice chưa chọn loại")))))))</f>
        <v/>
      </c>
    </row>
    <row r="188" spans="1:11">
      <c r="A188" s="13"/>
      <c r="B188" s="13"/>
      <c r="C188" s="5"/>
      <c r="D188" s="13"/>
      <c r="E188" s="13"/>
      <c r="F188" s="13"/>
      <c r="G188" s="13"/>
      <c r="H188" s="5"/>
      <c r="I188" s="5"/>
      <c r="J188" s="6" t="str">
        <f t="shared" si="2"/>
        <v/>
      </c>
      <c r="K188" s="6" t="str">
        <f>IF(A188="","",IF(COUNTIFS('02_KICH_BAN_NODES'!$B$5:$B$204,A188,'02_KICH_BAN_NODES'!$D$5:$D$204,"choice")=0,"ChoiceNodeId không tồn tại hoặc không phải choice",IF(COUNTIFS($A$5:$A$404,A188,$B$5:$B$404,B188)&gt;1,"Trùng OptionOrder trong cùng choice",IF(OR(B188="",C188="",D188="",F188="",H188=""),"Thiếu trường bắt buộc",IF(OR(COUNTIF($A$5:$A$404,A188)&lt;2,COUNTIF($A$5:$A$404,A188)&gt;4),"Mỗi choice cần 2–4 option",IF(COUNTIFS('02_KICH_BAN_NODES'!$B$5:$B$204,A188,'02_KICH_BAN_NODES'!$E$5:$E$204,"Kiến thức")=1,IF(COUNTIFS($A$5:$A$404,A188,$D$5:$D$404,"Có")&lt;&gt;1,"Choice kiến thức cần đúng 1 đáp án đúng",""),IF(COUNTIFS('02_KICH_BAN_NODES'!$B$5:$B$204,A188,'02_KICH_BAN_NODES'!$E$5:$E$204,"Tương tác")=1,IF(COUNTIFS($A$5:$A$404,A188,$D$5:$D$404,"Có")&lt;&gt;0,"Choice tương tác không được đánh dấu đáp án đúng",""),"Choice chưa chọn loại")))))))</f>
        <v/>
      </c>
    </row>
    <row r="189" spans="1:11">
      <c r="A189" s="13"/>
      <c r="B189" s="13"/>
      <c r="C189" s="5"/>
      <c r="D189" s="13"/>
      <c r="E189" s="13"/>
      <c r="F189" s="13"/>
      <c r="G189" s="13"/>
      <c r="H189" s="5"/>
      <c r="I189" s="5"/>
      <c r="J189" s="6" t="str">
        <f t="shared" si="2"/>
        <v/>
      </c>
      <c r="K189" s="6" t="str">
        <f>IF(A189="","",IF(COUNTIFS('02_KICH_BAN_NODES'!$B$5:$B$204,A189,'02_KICH_BAN_NODES'!$D$5:$D$204,"choice")=0,"ChoiceNodeId không tồn tại hoặc không phải choice",IF(COUNTIFS($A$5:$A$404,A189,$B$5:$B$404,B189)&gt;1,"Trùng OptionOrder trong cùng choice",IF(OR(B189="",C189="",D189="",F189="",H189=""),"Thiếu trường bắt buộc",IF(OR(COUNTIF($A$5:$A$404,A189)&lt;2,COUNTIF($A$5:$A$404,A189)&gt;4),"Mỗi choice cần 2–4 option",IF(COUNTIFS('02_KICH_BAN_NODES'!$B$5:$B$204,A189,'02_KICH_BAN_NODES'!$E$5:$E$204,"Kiến thức")=1,IF(COUNTIFS($A$5:$A$404,A189,$D$5:$D$404,"Có")&lt;&gt;1,"Choice kiến thức cần đúng 1 đáp án đúng",""),IF(COUNTIFS('02_KICH_BAN_NODES'!$B$5:$B$204,A189,'02_KICH_BAN_NODES'!$E$5:$E$204,"Tương tác")=1,IF(COUNTIFS($A$5:$A$404,A189,$D$5:$D$404,"Có")&lt;&gt;0,"Choice tương tác không được đánh dấu đáp án đúng",""),"Choice chưa chọn loại")))))))</f>
        <v/>
      </c>
    </row>
    <row r="190" spans="1:11">
      <c r="A190" s="13"/>
      <c r="B190" s="13"/>
      <c r="C190" s="5"/>
      <c r="D190" s="13"/>
      <c r="E190" s="13"/>
      <c r="F190" s="13"/>
      <c r="G190" s="13"/>
      <c r="H190" s="5"/>
      <c r="I190" s="5"/>
      <c r="J190" s="6" t="str">
        <f t="shared" si="2"/>
        <v/>
      </c>
      <c r="K190" s="6" t="str">
        <f>IF(A190="","",IF(COUNTIFS('02_KICH_BAN_NODES'!$B$5:$B$204,A190,'02_KICH_BAN_NODES'!$D$5:$D$204,"choice")=0,"ChoiceNodeId không tồn tại hoặc không phải choice",IF(COUNTIFS($A$5:$A$404,A190,$B$5:$B$404,B190)&gt;1,"Trùng OptionOrder trong cùng choice",IF(OR(B190="",C190="",D190="",F190="",H190=""),"Thiếu trường bắt buộc",IF(OR(COUNTIF($A$5:$A$404,A190)&lt;2,COUNTIF($A$5:$A$404,A190)&gt;4),"Mỗi choice cần 2–4 option",IF(COUNTIFS('02_KICH_BAN_NODES'!$B$5:$B$204,A190,'02_KICH_BAN_NODES'!$E$5:$E$204,"Kiến thức")=1,IF(COUNTIFS($A$5:$A$404,A190,$D$5:$D$404,"Có")&lt;&gt;1,"Choice kiến thức cần đúng 1 đáp án đúng",""),IF(COUNTIFS('02_KICH_BAN_NODES'!$B$5:$B$204,A190,'02_KICH_BAN_NODES'!$E$5:$E$204,"Tương tác")=1,IF(COUNTIFS($A$5:$A$404,A190,$D$5:$D$404,"Có")&lt;&gt;0,"Choice tương tác không được đánh dấu đáp án đúng",""),"Choice chưa chọn loại")))))))</f>
        <v/>
      </c>
    </row>
    <row r="191" spans="1:11">
      <c r="A191" s="13"/>
      <c r="B191" s="13"/>
      <c r="C191" s="5"/>
      <c r="D191" s="13"/>
      <c r="E191" s="13"/>
      <c r="F191" s="13"/>
      <c r="G191" s="13"/>
      <c r="H191" s="5"/>
      <c r="I191" s="5"/>
      <c r="J191" s="6" t="str">
        <f t="shared" si="2"/>
        <v/>
      </c>
      <c r="K191" s="6" t="str">
        <f>IF(A191="","",IF(COUNTIFS('02_KICH_BAN_NODES'!$B$5:$B$204,A191,'02_KICH_BAN_NODES'!$D$5:$D$204,"choice")=0,"ChoiceNodeId không tồn tại hoặc không phải choice",IF(COUNTIFS($A$5:$A$404,A191,$B$5:$B$404,B191)&gt;1,"Trùng OptionOrder trong cùng choice",IF(OR(B191="",C191="",D191="",F191="",H191=""),"Thiếu trường bắt buộc",IF(OR(COUNTIF($A$5:$A$404,A191)&lt;2,COUNTIF($A$5:$A$404,A191)&gt;4),"Mỗi choice cần 2–4 option",IF(COUNTIFS('02_KICH_BAN_NODES'!$B$5:$B$204,A191,'02_KICH_BAN_NODES'!$E$5:$E$204,"Kiến thức")=1,IF(COUNTIFS($A$5:$A$404,A191,$D$5:$D$404,"Có")&lt;&gt;1,"Choice kiến thức cần đúng 1 đáp án đúng",""),IF(COUNTIFS('02_KICH_BAN_NODES'!$B$5:$B$204,A191,'02_KICH_BAN_NODES'!$E$5:$E$204,"Tương tác")=1,IF(COUNTIFS($A$5:$A$404,A191,$D$5:$D$404,"Có")&lt;&gt;0,"Choice tương tác không được đánh dấu đáp án đúng",""),"Choice chưa chọn loại")))))))</f>
        <v/>
      </c>
    </row>
    <row r="192" spans="1:11">
      <c r="A192" s="13"/>
      <c r="B192" s="13"/>
      <c r="C192" s="5"/>
      <c r="D192" s="13"/>
      <c r="E192" s="13"/>
      <c r="F192" s="13"/>
      <c r="G192" s="13"/>
      <c r="H192" s="5"/>
      <c r="I192" s="5"/>
      <c r="J192" s="6" t="str">
        <f t="shared" si="2"/>
        <v/>
      </c>
      <c r="K192" s="6" t="str">
        <f>IF(A192="","",IF(COUNTIFS('02_KICH_BAN_NODES'!$B$5:$B$204,A192,'02_KICH_BAN_NODES'!$D$5:$D$204,"choice")=0,"ChoiceNodeId không tồn tại hoặc không phải choice",IF(COUNTIFS($A$5:$A$404,A192,$B$5:$B$404,B192)&gt;1,"Trùng OptionOrder trong cùng choice",IF(OR(B192="",C192="",D192="",F192="",H192=""),"Thiếu trường bắt buộc",IF(OR(COUNTIF($A$5:$A$404,A192)&lt;2,COUNTIF($A$5:$A$404,A192)&gt;4),"Mỗi choice cần 2–4 option",IF(COUNTIFS('02_KICH_BAN_NODES'!$B$5:$B$204,A192,'02_KICH_BAN_NODES'!$E$5:$E$204,"Kiến thức")=1,IF(COUNTIFS($A$5:$A$404,A192,$D$5:$D$404,"Có")&lt;&gt;1,"Choice kiến thức cần đúng 1 đáp án đúng",""),IF(COUNTIFS('02_KICH_BAN_NODES'!$B$5:$B$204,A192,'02_KICH_BAN_NODES'!$E$5:$E$204,"Tương tác")=1,IF(COUNTIFS($A$5:$A$404,A192,$D$5:$D$404,"Có")&lt;&gt;0,"Choice tương tác không được đánh dấu đáp án đúng",""),"Choice chưa chọn loại")))))))</f>
        <v/>
      </c>
    </row>
    <row r="193" spans="1:11">
      <c r="A193" s="13"/>
      <c r="B193" s="13"/>
      <c r="C193" s="5"/>
      <c r="D193" s="13"/>
      <c r="E193" s="13"/>
      <c r="F193" s="13"/>
      <c r="G193" s="13"/>
      <c r="H193" s="5"/>
      <c r="I193" s="5"/>
      <c r="J193" s="6" t="str">
        <f t="shared" si="2"/>
        <v/>
      </c>
      <c r="K193" s="6" t="str">
        <f>IF(A193="","",IF(COUNTIFS('02_KICH_BAN_NODES'!$B$5:$B$204,A193,'02_KICH_BAN_NODES'!$D$5:$D$204,"choice")=0,"ChoiceNodeId không tồn tại hoặc không phải choice",IF(COUNTIFS($A$5:$A$404,A193,$B$5:$B$404,B193)&gt;1,"Trùng OptionOrder trong cùng choice",IF(OR(B193="",C193="",D193="",F193="",H193=""),"Thiếu trường bắt buộc",IF(OR(COUNTIF($A$5:$A$404,A193)&lt;2,COUNTIF($A$5:$A$404,A193)&gt;4),"Mỗi choice cần 2–4 option",IF(COUNTIFS('02_KICH_BAN_NODES'!$B$5:$B$204,A193,'02_KICH_BAN_NODES'!$E$5:$E$204,"Kiến thức")=1,IF(COUNTIFS($A$5:$A$404,A193,$D$5:$D$404,"Có")&lt;&gt;1,"Choice kiến thức cần đúng 1 đáp án đúng",""),IF(COUNTIFS('02_KICH_BAN_NODES'!$B$5:$B$204,A193,'02_KICH_BAN_NODES'!$E$5:$E$204,"Tương tác")=1,IF(COUNTIFS($A$5:$A$404,A193,$D$5:$D$404,"Có")&lt;&gt;0,"Choice tương tác không được đánh dấu đáp án đúng",""),"Choice chưa chọn loại")))))))</f>
        <v/>
      </c>
    </row>
    <row r="194" spans="1:11">
      <c r="A194" s="13"/>
      <c r="B194" s="13"/>
      <c r="C194" s="5"/>
      <c r="D194" s="13"/>
      <c r="E194" s="13"/>
      <c r="F194" s="13"/>
      <c r="G194" s="13"/>
      <c r="H194" s="5"/>
      <c r="I194" s="5"/>
      <c r="J194" s="6" t="str">
        <f t="shared" si="2"/>
        <v/>
      </c>
      <c r="K194" s="6" t="str">
        <f>IF(A194="","",IF(COUNTIFS('02_KICH_BAN_NODES'!$B$5:$B$204,A194,'02_KICH_BAN_NODES'!$D$5:$D$204,"choice")=0,"ChoiceNodeId không tồn tại hoặc không phải choice",IF(COUNTIFS($A$5:$A$404,A194,$B$5:$B$404,B194)&gt;1,"Trùng OptionOrder trong cùng choice",IF(OR(B194="",C194="",D194="",F194="",H194=""),"Thiếu trường bắt buộc",IF(OR(COUNTIF($A$5:$A$404,A194)&lt;2,COUNTIF($A$5:$A$404,A194)&gt;4),"Mỗi choice cần 2–4 option",IF(COUNTIFS('02_KICH_BAN_NODES'!$B$5:$B$204,A194,'02_KICH_BAN_NODES'!$E$5:$E$204,"Kiến thức")=1,IF(COUNTIFS($A$5:$A$404,A194,$D$5:$D$404,"Có")&lt;&gt;1,"Choice kiến thức cần đúng 1 đáp án đúng",""),IF(COUNTIFS('02_KICH_BAN_NODES'!$B$5:$B$204,A194,'02_KICH_BAN_NODES'!$E$5:$E$204,"Tương tác")=1,IF(COUNTIFS($A$5:$A$404,A194,$D$5:$D$404,"Có")&lt;&gt;0,"Choice tương tác không được đánh dấu đáp án đúng",""),"Choice chưa chọn loại")))))))</f>
        <v/>
      </c>
    </row>
    <row r="195" spans="1:11">
      <c r="A195" s="13"/>
      <c r="B195" s="13"/>
      <c r="C195" s="5"/>
      <c r="D195" s="13"/>
      <c r="E195" s="13"/>
      <c r="F195" s="13"/>
      <c r="G195" s="13"/>
      <c r="H195" s="5"/>
      <c r="I195" s="5"/>
      <c r="J195" s="6" t="str">
        <f t="shared" si="2"/>
        <v/>
      </c>
      <c r="K195" s="6" t="str">
        <f>IF(A195="","",IF(COUNTIFS('02_KICH_BAN_NODES'!$B$5:$B$204,A195,'02_KICH_BAN_NODES'!$D$5:$D$204,"choice")=0,"ChoiceNodeId không tồn tại hoặc không phải choice",IF(COUNTIFS($A$5:$A$404,A195,$B$5:$B$404,B195)&gt;1,"Trùng OptionOrder trong cùng choice",IF(OR(B195="",C195="",D195="",F195="",H195=""),"Thiếu trường bắt buộc",IF(OR(COUNTIF($A$5:$A$404,A195)&lt;2,COUNTIF($A$5:$A$404,A195)&gt;4),"Mỗi choice cần 2–4 option",IF(COUNTIFS('02_KICH_BAN_NODES'!$B$5:$B$204,A195,'02_KICH_BAN_NODES'!$E$5:$E$204,"Kiến thức")=1,IF(COUNTIFS($A$5:$A$404,A195,$D$5:$D$404,"Có")&lt;&gt;1,"Choice kiến thức cần đúng 1 đáp án đúng",""),IF(COUNTIFS('02_KICH_BAN_NODES'!$B$5:$B$204,A195,'02_KICH_BAN_NODES'!$E$5:$E$204,"Tương tác")=1,IF(COUNTIFS($A$5:$A$404,A195,$D$5:$D$404,"Có")&lt;&gt;0,"Choice tương tác không được đánh dấu đáp án đúng",""),"Choice chưa chọn loại")))))))</f>
        <v/>
      </c>
    </row>
    <row r="196" spans="1:11">
      <c r="A196" s="13"/>
      <c r="B196" s="13"/>
      <c r="C196" s="5"/>
      <c r="D196" s="13"/>
      <c r="E196" s="13"/>
      <c r="F196" s="13"/>
      <c r="G196" s="13"/>
      <c r="H196" s="5"/>
      <c r="I196" s="5"/>
      <c r="J196" s="6" t="str">
        <f t="shared" si="2"/>
        <v/>
      </c>
      <c r="K196" s="6" t="str">
        <f>IF(A196="","",IF(COUNTIFS('02_KICH_BAN_NODES'!$B$5:$B$204,A196,'02_KICH_BAN_NODES'!$D$5:$D$204,"choice")=0,"ChoiceNodeId không tồn tại hoặc không phải choice",IF(COUNTIFS($A$5:$A$404,A196,$B$5:$B$404,B196)&gt;1,"Trùng OptionOrder trong cùng choice",IF(OR(B196="",C196="",D196="",F196="",H196=""),"Thiếu trường bắt buộc",IF(OR(COUNTIF($A$5:$A$404,A196)&lt;2,COUNTIF($A$5:$A$404,A196)&gt;4),"Mỗi choice cần 2–4 option",IF(COUNTIFS('02_KICH_BAN_NODES'!$B$5:$B$204,A196,'02_KICH_BAN_NODES'!$E$5:$E$204,"Kiến thức")=1,IF(COUNTIFS($A$5:$A$404,A196,$D$5:$D$404,"Có")&lt;&gt;1,"Choice kiến thức cần đúng 1 đáp án đúng",""),IF(COUNTIFS('02_KICH_BAN_NODES'!$B$5:$B$204,A196,'02_KICH_BAN_NODES'!$E$5:$E$204,"Tương tác")=1,IF(COUNTIFS($A$5:$A$404,A196,$D$5:$D$404,"Có")&lt;&gt;0,"Choice tương tác không được đánh dấu đáp án đúng",""),"Choice chưa chọn loại")))))))</f>
        <v/>
      </c>
    </row>
    <row r="197" spans="1:11">
      <c r="A197" s="13"/>
      <c r="B197" s="13"/>
      <c r="C197" s="5"/>
      <c r="D197" s="13"/>
      <c r="E197" s="13"/>
      <c r="F197" s="13"/>
      <c r="G197" s="13"/>
      <c r="H197" s="5"/>
      <c r="I197" s="5"/>
      <c r="J197" s="6" t="str">
        <f t="shared" ref="J197:J260" si="3">IF(A197="","",IF(K197="","HỢP LỆ","CẦN SỬA"))</f>
        <v/>
      </c>
      <c r="K197" s="6" t="str">
        <f>IF(A197="","",IF(COUNTIFS('02_KICH_BAN_NODES'!$B$5:$B$204,A197,'02_KICH_BAN_NODES'!$D$5:$D$204,"choice")=0,"ChoiceNodeId không tồn tại hoặc không phải choice",IF(COUNTIFS($A$5:$A$404,A197,$B$5:$B$404,B197)&gt;1,"Trùng OptionOrder trong cùng choice",IF(OR(B197="",C197="",D197="",F197="",H197=""),"Thiếu trường bắt buộc",IF(OR(COUNTIF($A$5:$A$404,A197)&lt;2,COUNTIF($A$5:$A$404,A197)&gt;4),"Mỗi choice cần 2–4 option",IF(COUNTIFS('02_KICH_BAN_NODES'!$B$5:$B$204,A197,'02_KICH_BAN_NODES'!$E$5:$E$204,"Kiến thức")=1,IF(COUNTIFS($A$5:$A$404,A197,$D$5:$D$404,"Có")&lt;&gt;1,"Choice kiến thức cần đúng 1 đáp án đúng",""),IF(COUNTIFS('02_KICH_BAN_NODES'!$B$5:$B$204,A197,'02_KICH_BAN_NODES'!$E$5:$E$204,"Tương tác")=1,IF(COUNTIFS($A$5:$A$404,A197,$D$5:$D$404,"Có")&lt;&gt;0,"Choice tương tác không được đánh dấu đáp án đúng",""),"Choice chưa chọn loại")))))))</f>
        <v/>
      </c>
    </row>
    <row r="198" spans="1:11">
      <c r="A198" s="13"/>
      <c r="B198" s="13"/>
      <c r="C198" s="5"/>
      <c r="D198" s="13"/>
      <c r="E198" s="13"/>
      <c r="F198" s="13"/>
      <c r="G198" s="13"/>
      <c r="H198" s="5"/>
      <c r="I198" s="5"/>
      <c r="J198" s="6" t="str">
        <f t="shared" si="3"/>
        <v/>
      </c>
      <c r="K198" s="6" t="str">
        <f>IF(A198="","",IF(COUNTIFS('02_KICH_BAN_NODES'!$B$5:$B$204,A198,'02_KICH_BAN_NODES'!$D$5:$D$204,"choice")=0,"ChoiceNodeId không tồn tại hoặc không phải choice",IF(COUNTIFS($A$5:$A$404,A198,$B$5:$B$404,B198)&gt;1,"Trùng OptionOrder trong cùng choice",IF(OR(B198="",C198="",D198="",F198="",H198=""),"Thiếu trường bắt buộc",IF(OR(COUNTIF($A$5:$A$404,A198)&lt;2,COUNTIF($A$5:$A$404,A198)&gt;4),"Mỗi choice cần 2–4 option",IF(COUNTIFS('02_KICH_BAN_NODES'!$B$5:$B$204,A198,'02_KICH_BAN_NODES'!$E$5:$E$204,"Kiến thức")=1,IF(COUNTIFS($A$5:$A$404,A198,$D$5:$D$404,"Có")&lt;&gt;1,"Choice kiến thức cần đúng 1 đáp án đúng",""),IF(COUNTIFS('02_KICH_BAN_NODES'!$B$5:$B$204,A198,'02_KICH_BAN_NODES'!$E$5:$E$204,"Tương tác")=1,IF(COUNTIFS($A$5:$A$404,A198,$D$5:$D$404,"Có")&lt;&gt;0,"Choice tương tác không được đánh dấu đáp án đúng",""),"Choice chưa chọn loại")))))))</f>
        <v/>
      </c>
    </row>
    <row r="199" spans="1:11">
      <c r="A199" s="13"/>
      <c r="B199" s="13"/>
      <c r="C199" s="5"/>
      <c r="D199" s="13"/>
      <c r="E199" s="13"/>
      <c r="F199" s="13"/>
      <c r="G199" s="13"/>
      <c r="H199" s="5"/>
      <c r="I199" s="5"/>
      <c r="J199" s="6" t="str">
        <f t="shared" si="3"/>
        <v/>
      </c>
      <c r="K199" s="6" t="str">
        <f>IF(A199="","",IF(COUNTIFS('02_KICH_BAN_NODES'!$B$5:$B$204,A199,'02_KICH_BAN_NODES'!$D$5:$D$204,"choice")=0,"ChoiceNodeId không tồn tại hoặc không phải choice",IF(COUNTIFS($A$5:$A$404,A199,$B$5:$B$404,B199)&gt;1,"Trùng OptionOrder trong cùng choice",IF(OR(B199="",C199="",D199="",F199="",H199=""),"Thiếu trường bắt buộc",IF(OR(COUNTIF($A$5:$A$404,A199)&lt;2,COUNTIF($A$5:$A$404,A199)&gt;4),"Mỗi choice cần 2–4 option",IF(COUNTIFS('02_KICH_BAN_NODES'!$B$5:$B$204,A199,'02_KICH_BAN_NODES'!$E$5:$E$204,"Kiến thức")=1,IF(COUNTIFS($A$5:$A$404,A199,$D$5:$D$404,"Có")&lt;&gt;1,"Choice kiến thức cần đúng 1 đáp án đúng",""),IF(COUNTIFS('02_KICH_BAN_NODES'!$B$5:$B$204,A199,'02_KICH_BAN_NODES'!$E$5:$E$204,"Tương tác")=1,IF(COUNTIFS($A$5:$A$404,A199,$D$5:$D$404,"Có")&lt;&gt;0,"Choice tương tác không được đánh dấu đáp án đúng",""),"Choice chưa chọn loại")))))))</f>
        <v/>
      </c>
    </row>
    <row r="200" spans="1:11">
      <c r="A200" s="13"/>
      <c r="B200" s="13"/>
      <c r="C200" s="5"/>
      <c r="D200" s="13"/>
      <c r="E200" s="13"/>
      <c r="F200" s="13"/>
      <c r="G200" s="13"/>
      <c r="H200" s="5"/>
      <c r="I200" s="5"/>
      <c r="J200" s="6" t="str">
        <f t="shared" si="3"/>
        <v/>
      </c>
      <c r="K200" s="6" t="str">
        <f>IF(A200="","",IF(COUNTIFS('02_KICH_BAN_NODES'!$B$5:$B$204,A200,'02_KICH_BAN_NODES'!$D$5:$D$204,"choice")=0,"ChoiceNodeId không tồn tại hoặc không phải choice",IF(COUNTIFS($A$5:$A$404,A200,$B$5:$B$404,B200)&gt;1,"Trùng OptionOrder trong cùng choice",IF(OR(B200="",C200="",D200="",F200="",H200=""),"Thiếu trường bắt buộc",IF(OR(COUNTIF($A$5:$A$404,A200)&lt;2,COUNTIF($A$5:$A$404,A200)&gt;4),"Mỗi choice cần 2–4 option",IF(COUNTIFS('02_KICH_BAN_NODES'!$B$5:$B$204,A200,'02_KICH_BAN_NODES'!$E$5:$E$204,"Kiến thức")=1,IF(COUNTIFS($A$5:$A$404,A200,$D$5:$D$404,"Có")&lt;&gt;1,"Choice kiến thức cần đúng 1 đáp án đúng",""),IF(COUNTIFS('02_KICH_BAN_NODES'!$B$5:$B$204,A200,'02_KICH_BAN_NODES'!$E$5:$E$204,"Tương tác")=1,IF(COUNTIFS($A$5:$A$404,A200,$D$5:$D$404,"Có")&lt;&gt;0,"Choice tương tác không được đánh dấu đáp án đúng",""),"Choice chưa chọn loại")))))))</f>
        <v/>
      </c>
    </row>
    <row r="201" spans="1:11">
      <c r="A201" s="13"/>
      <c r="B201" s="13"/>
      <c r="C201" s="5"/>
      <c r="D201" s="13"/>
      <c r="E201" s="13"/>
      <c r="F201" s="13"/>
      <c r="G201" s="13"/>
      <c r="H201" s="5"/>
      <c r="I201" s="5"/>
      <c r="J201" s="6" t="str">
        <f t="shared" si="3"/>
        <v/>
      </c>
      <c r="K201" s="6" t="str">
        <f>IF(A201="","",IF(COUNTIFS('02_KICH_BAN_NODES'!$B$5:$B$204,A201,'02_KICH_BAN_NODES'!$D$5:$D$204,"choice")=0,"ChoiceNodeId không tồn tại hoặc không phải choice",IF(COUNTIFS($A$5:$A$404,A201,$B$5:$B$404,B201)&gt;1,"Trùng OptionOrder trong cùng choice",IF(OR(B201="",C201="",D201="",F201="",H201=""),"Thiếu trường bắt buộc",IF(OR(COUNTIF($A$5:$A$404,A201)&lt;2,COUNTIF($A$5:$A$404,A201)&gt;4),"Mỗi choice cần 2–4 option",IF(COUNTIFS('02_KICH_BAN_NODES'!$B$5:$B$204,A201,'02_KICH_BAN_NODES'!$E$5:$E$204,"Kiến thức")=1,IF(COUNTIFS($A$5:$A$404,A201,$D$5:$D$404,"Có")&lt;&gt;1,"Choice kiến thức cần đúng 1 đáp án đúng",""),IF(COUNTIFS('02_KICH_BAN_NODES'!$B$5:$B$204,A201,'02_KICH_BAN_NODES'!$E$5:$E$204,"Tương tác")=1,IF(COUNTIFS($A$5:$A$404,A201,$D$5:$D$404,"Có")&lt;&gt;0,"Choice tương tác không được đánh dấu đáp án đúng",""),"Choice chưa chọn loại")))))))</f>
        <v/>
      </c>
    </row>
    <row r="202" spans="1:11">
      <c r="A202" s="13"/>
      <c r="B202" s="13"/>
      <c r="C202" s="5"/>
      <c r="D202" s="13"/>
      <c r="E202" s="13"/>
      <c r="F202" s="13"/>
      <c r="G202" s="13"/>
      <c r="H202" s="5"/>
      <c r="I202" s="5"/>
      <c r="J202" s="6" t="str">
        <f t="shared" si="3"/>
        <v/>
      </c>
      <c r="K202" s="6" t="str">
        <f>IF(A202="","",IF(COUNTIFS('02_KICH_BAN_NODES'!$B$5:$B$204,A202,'02_KICH_BAN_NODES'!$D$5:$D$204,"choice")=0,"ChoiceNodeId không tồn tại hoặc không phải choice",IF(COUNTIFS($A$5:$A$404,A202,$B$5:$B$404,B202)&gt;1,"Trùng OptionOrder trong cùng choice",IF(OR(B202="",C202="",D202="",F202="",H202=""),"Thiếu trường bắt buộc",IF(OR(COUNTIF($A$5:$A$404,A202)&lt;2,COUNTIF($A$5:$A$404,A202)&gt;4),"Mỗi choice cần 2–4 option",IF(COUNTIFS('02_KICH_BAN_NODES'!$B$5:$B$204,A202,'02_KICH_BAN_NODES'!$E$5:$E$204,"Kiến thức")=1,IF(COUNTIFS($A$5:$A$404,A202,$D$5:$D$404,"Có")&lt;&gt;1,"Choice kiến thức cần đúng 1 đáp án đúng",""),IF(COUNTIFS('02_KICH_BAN_NODES'!$B$5:$B$204,A202,'02_KICH_BAN_NODES'!$E$5:$E$204,"Tương tác")=1,IF(COUNTIFS($A$5:$A$404,A202,$D$5:$D$404,"Có")&lt;&gt;0,"Choice tương tác không được đánh dấu đáp án đúng",""),"Choice chưa chọn loại")))))))</f>
        <v/>
      </c>
    </row>
    <row r="203" spans="1:11">
      <c r="A203" s="13"/>
      <c r="B203" s="13"/>
      <c r="C203" s="5"/>
      <c r="D203" s="13"/>
      <c r="E203" s="13"/>
      <c r="F203" s="13"/>
      <c r="G203" s="13"/>
      <c r="H203" s="5"/>
      <c r="I203" s="5"/>
      <c r="J203" s="6" t="str">
        <f t="shared" si="3"/>
        <v/>
      </c>
      <c r="K203" s="6" t="str">
        <f>IF(A203="","",IF(COUNTIFS('02_KICH_BAN_NODES'!$B$5:$B$204,A203,'02_KICH_BAN_NODES'!$D$5:$D$204,"choice")=0,"ChoiceNodeId không tồn tại hoặc không phải choice",IF(COUNTIFS($A$5:$A$404,A203,$B$5:$B$404,B203)&gt;1,"Trùng OptionOrder trong cùng choice",IF(OR(B203="",C203="",D203="",F203="",H203=""),"Thiếu trường bắt buộc",IF(OR(COUNTIF($A$5:$A$404,A203)&lt;2,COUNTIF($A$5:$A$404,A203)&gt;4),"Mỗi choice cần 2–4 option",IF(COUNTIFS('02_KICH_BAN_NODES'!$B$5:$B$204,A203,'02_KICH_BAN_NODES'!$E$5:$E$204,"Kiến thức")=1,IF(COUNTIFS($A$5:$A$404,A203,$D$5:$D$404,"Có")&lt;&gt;1,"Choice kiến thức cần đúng 1 đáp án đúng",""),IF(COUNTIFS('02_KICH_BAN_NODES'!$B$5:$B$204,A203,'02_KICH_BAN_NODES'!$E$5:$E$204,"Tương tác")=1,IF(COUNTIFS($A$5:$A$404,A203,$D$5:$D$404,"Có")&lt;&gt;0,"Choice tương tác không được đánh dấu đáp án đúng",""),"Choice chưa chọn loại")))))))</f>
        <v/>
      </c>
    </row>
    <row r="204" spans="1:11">
      <c r="A204" s="13"/>
      <c r="B204" s="13"/>
      <c r="C204" s="5"/>
      <c r="D204" s="13"/>
      <c r="E204" s="13"/>
      <c r="F204" s="13"/>
      <c r="G204" s="13"/>
      <c r="H204" s="5"/>
      <c r="I204" s="5"/>
      <c r="J204" s="6" t="str">
        <f t="shared" si="3"/>
        <v/>
      </c>
      <c r="K204" s="6" t="str">
        <f>IF(A204="","",IF(COUNTIFS('02_KICH_BAN_NODES'!$B$5:$B$204,A204,'02_KICH_BAN_NODES'!$D$5:$D$204,"choice")=0,"ChoiceNodeId không tồn tại hoặc không phải choice",IF(COUNTIFS($A$5:$A$404,A204,$B$5:$B$404,B204)&gt;1,"Trùng OptionOrder trong cùng choice",IF(OR(B204="",C204="",D204="",F204="",H204=""),"Thiếu trường bắt buộc",IF(OR(COUNTIF($A$5:$A$404,A204)&lt;2,COUNTIF($A$5:$A$404,A204)&gt;4),"Mỗi choice cần 2–4 option",IF(COUNTIFS('02_KICH_BAN_NODES'!$B$5:$B$204,A204,'02_KICH_BAN_NODES'!$E$5:$E$204,"Kiến thức")=1,IF(COUNTIFS($A$5:$A$404,A204,$D$5:$D$404,"Có")&lt;&gt;1,"Choice kiến thức cần đúng 1 đáp án đúng",""),IF(COUNTIFS('02_KICH_BAN_NODES'!$B$5:$B$204,A204,'02_KICH_BAN_NODES'!$E$5:$E$204,"Tương tác")=1,IF(COUNTIFS($A$5:$A$404,A204,$D$5:$D$404,"Có")&lt;&gt;0,"Choice tương tác không được đánh dấu đáp án đúng",""),"Choice chưa chọn loại")))))))</f>
        <v/>
      </c>
    </row>
    <row r="205" spans="1:11">
      <c r="A205" s="13"/>
      <c r="B205" s="13"/>
      <c r="C205" s="5"/>
      <c r="D205" s="13"/>
      <c r="E205" s="13"/>
      <c r="F205" s="13"/>
      <c r="G205" s="13"/>
      <c r="H205" s="5"/>
      <c r="I205" s="5"/>
      <c r="J205" s="6" t="str">
        <f t="shared" si="3"/>
        <v/>
      </c>
      <c r="K205" s="6" t="str">
        <f>IF(A205="","",IF(COUNTIFS('02_KICH_BAN_NODES'!$B$5:$B$204,A205,'02_KICH_BAN_NODES'!$D$5:$D$204,"choice")=0,"ChoiceNodeId không tồn tại hoặc không phải choice",IF(COUNTIFS($A$5:$A$404,A205,$B$5:$B$404,B205)&gt;1,"Trùng OptionOrder trong cùng choice",IF(OR(B205="",C205="",D205="",F205="",H205=""),"Thiếu trường bắt buộc",IF(OR(COUNTIF($A$5:$A$404,A205)&lt;2,COUNTIF($A$5:$A$404,A205)&gt;4),"Mỗi choice cần 2–4 option",IF(COUNTIFS('02_KICH_BAN_NODES'!$B$5:$B$204,A205,'02_KICH_BAN_NODES'!$E$5:$E$204,"Kiến thức")=1,IF(COUNTIFS($A$5:$A$404,A205,$D$5:$D$404,"Có")&lt;&gt;1,"Choice kiến thức cần đúng 1 đáp án đúng",""),IF(COUNTIFS('02_KICH_BAN_NODES'!$B$5:$B$204,A205,'02_KICH_BAN_NODES'!$E$5:$E$204,"Tương tác")=1,IF(COUNTIFS($A$5:$A$404,A205,$D$5:$D$404,"Có")&lt;&gt;0,"Choice tương tác không được đánh dấu đáp án đúng",""),"Choice chưa chọn loại")))))))</f>
        <v/>
      </c>
    </row>
    <row r="206" spans="1:11">
      <c r="A206" s="13"/>
      <c r="B206" s="13"/>
      <c r="C206" s="5"/>
      <c r="D206" s="13"/>
      <c r="E206" s="13"/>
      <c r="F206" s="13"/>
      <c r="G206" s="13"/>
      <c r="H206" s="5"/>
      <c r="I206" s="5"/>
      <c r="J206" s="6" t="str">
        <f t="shared" si="3"/>
        <v/>
      </c>
      <c r="K206" s="6" t="str">
        <f>IF(A206="","",IF(COUNTIFS('02_KICH_BAN_NODES'!$B$5:$B$204,A206,'02_KICH_BAN_NODES'!$D$5:$D$204,"choice")=0,"ChoiceNodeId không tồn tại hoặc không phải choice",IF(COUNTIFS($A$5:$A$404,A206,$B$5:$B$404,B206)&gt;1,"Trùng OptionOrder trong cùng choice",IF(OR(B206="",C206="",D206="",F206="",H206=""),"Thiếu trường bắt buộc",IF(OR(COUNTIF($A$5:$A$404,A206)&lt;2,COUNTIF($A$5:$A$404,A206)&gt;4),"Mỗi choice cần 2–4 option",IF(COUNTIFS('02_KICH_BAN_NODES'!$B$5:$B$204,A206,'02_KICH_BAN_NODES'!$E$5:$E$204,"Kiến thức")=1,IF(COUNTIFS($A$5:$A$404,A206,$D$5:$D$404,"Có")&lt;&gt;1,"Choice kiến thức cần đúng 1 đáp án đúng",""),IF(COUNTIFS('02_KICH_BAN_NODES'!$B$5:$B$204,A206,'02_KICH_BAN_NODES'!$E$5:$E$204,"Tương tác")=1,IF(COUNTIFS($A$5:$A$404,A206,$D$5:$D$404,"Có")&lt;&gt;0,"Choice tương tác không được đánh dấu đáp án đúng",""),"Choice chưa chọn loại")))))))</f>
        <v/>
      </c>
    </row>
    <row r="207" spans="1:11">
      <c r="A207" s="13"/>
      <c r="B207" s="13"/>
      <c r="C207" s="5"/>
      <c r="D207" s="13"/>
      <c r="E207" s="13"/>
      <c r="F207" s="13"/>
      <c r="G207" s="13"/>
      <c r="H207" s="5"/>
      <c r="I207" s="5"/>
      <c r="J207" s="6" t="str">
        <f t="shared" si="3"/>
        <v/>
      </c>
      <c r="K207" s="6" t="str">
        <f>IF(A207="","",IF(COUNTIFS('02_KICH_BAN_NODES'!$B$5:$B$204,A207,'02_KICH_BAN_NODES'!$D$5:$D$204,"choice")=0,"ChoiceNodeId không tồn tại hoặc không phải choice",IF(COUNTIFS($A$5:$A$404,A207,$B$5:$B$404,B207)&gt;1,"Trùng OptionOrder trong cùng choice",IF(OR(B207="",C207="",D207="",F207="",H207=""),"Thiếu trường bắt buộc",IF(OR(COUNTIF($A$5:$A$404,A207)&lt;2,COUNTIF($A$5:$A$404,A207)&gt;4),"Mỗi choice cần 2–4 option",IF(COUNTIFS('02_KICH_BAN_NODES'!$B$5:$B$204,A207,'02_KICH_BAN_NODES'!$E$5:$E$204,"Kiến thức")=1,IF(COUNTIFS($A$5:$A$404,A207,$D$5:$D$404,"Có")&lt;&gt;1,"Choice kiến thức cần đúng 1 đáp án đúng",""),IF(COUNTIFS('02_KICH_BAN_NODES'!$B$5:$B$204,A207,'02_KICH_BAN_NODES'!$E$5:$E$204,"Tương tác")=1,IF(COUNTIFS($A$5:$A$404,A207,$D$5:$D$404,"Có")&lt;&gt;0,"Choice tương tác không được đánh dấu đáp án đúng",""),"Choice chưa chọn loại")))))))</f>
        <v/>
      </c>
    </row>
    <row r="208" spans="1:11">
      <c r="A208" s="13"/>
      <c r="B208" s="13"/>
      <c r="C208" s="5"/>
      <c r="D208" s="13"/>
      <c r="E208" s="13"/>
      <c r="F208" s="13"/>
      <c r="G208" s="13"/>
      <c r="H208" s="5"/>
      <c r="I208" s="5"/>
      <c r="J208" s="6" t="str">
        <f t="shared" si="3"/>
        <v/>
      </c>
      <c r="K208" s="6" t="str">
        <f>IF(A208="","",IF(COUNTIFS('02_KICH_BAN_NODES'!$B$5:$B$204,A208,'02_KICH_BAN_NODES'!$D$5:$D$204,"choice")=0,"ChoiceNodeId không tồn tại hoặc không phải choice",IF(COUNTIFS($A$5:$A$404,A208,$B$5:$B$404,B208)&gt;1,"Trùng OptionOrder trong cùng choice",IF(OR(B208="",C208="",D208="",F208="",H208=""),"Thiếu trường bắt buộc",IF(OR(COUNTIF($A$5:$A$404,A208)&lt;2,COUNTIF($A$5:$A$404,A208)&gt;4),"Mỗi choice cần 2–4 option",IF(COUNTIFS('02_KICH_BAN_NODES'!$B$5:$B$204,A208,'02_KICH_BAN_NODES'!$E$5:$E$204,"Kiến thức")=1,IF(COUNTIFS($A$5:$A$404,A208,$D$5:$D$404,"Có")&lt;&gt;1,"Choice kiến thức cần đúng 1 đáp án đúng",""),IF(COUNTIFS('02_KICH_BAN_NODES'!$B$5:$B$204,A208,'02_KICH_BAN_NODES'!$E$5:$E$204,"Tương tác")=1,IF(COUNTIFS($A$5:$A$404,A208,$D$5:$D$404,"Có")&lt;&gt;0,"Choice tương tác không được đánh dấu đáp án đúng",""),"Choice chưa chọn loại")))))))</f>
        <v/>
      </c>
    </row>
    <row r="209" spans="1:11">
      <c r="A209" s="13"/>
      <c r="B209" s="13"/>
      <c r="C209" s="5"/>
      <c r="D209" s="13"/>
      <c r="E209" s="13"/>
      <c r="F209" s="13"/>
      <c r="G209" s="13"/>
      <c r="H209" s="5"/>
      <c r="I209" s="5"/>
      <c r="J209" s="6" t="str">
        <f t="shared" si="3"/>
        <v/>
      </c>
      <c r="K209" s="6" t="str">
        <f>IF(A209="","",IF(COUNTIFS('02_KICH_BAN_NODES'!$B$5:$B$204,A209,'02_KICH_BAN_NODES'!$D$5:$D$204,"choice")=0,"ChoiceNodeId không tồn tại hoặc không phải choice",IF(COUNTIFS($A$5:$A$404,A209,$B$5:$B$404,B209)&gt;1,"Trùng OptionOrder trong cùng choice",IF(OR(B209="",C209="",D209="",F209="",H209=""),"Thiếu trường bắt buộc",IF(OR(COUNTIF($A$5:$A$404,A209)&lt;2,COUNTIF($A$5:$A$404,A209)&gt;4),"Mỗi choice cần 2–4 option",IF(COUNTIFS('02_KICH_BAN_NODES'!$B$5:$B$204,A209,'02_KICH_BAN_NODES'!$E$5:$E$204,"Kiến thức")=1,IF(COUNTIFS($A$5:$A$404,A209,$D$5:$D$404,"Có")&lt;&gt;1,"Choice kiến thức cần đúng 1 đáp án đúng",""),IF(COUNTIFS('02_KICH_BAN_NODES'!$B$5:$B$204,A209,'02_KICH_BAN_NODES'!$E$5:$E$204,"Tương tác")=1,IF(COUNTIFS($A$5:$A$404,A209,$D$5:$D$404,"Có")&lt;&gt;0,"Choice tương tác không được đánh dấu đáp án đúng",""),"Choice chưa chọn loại")))))))</f>
        <v/>
      </c>
    </row>
    <row r="210" spans="1:11">
      <c r="A210" s="13"/>
      <c r="B210" s="13"/>
      <c r="C210" s="5"/>
      <c r="D210" s="13"/>
      <c r="E210" s="13"/>
      <c r="F210" s="13"/>
      <c r="G210" s="13"/>
      <c r="H210" s="5"/>
      <c r="I210" s="5"/>
      <c r="J210" s="6" t="str">
        <f t="shared" si="3"/>
        <v/>
      </c>
      <c r="K210" s="6" t="str">
        <f>IF(A210="","",IF(COUNTIFS('02_KICH_BAN_NODES'!$B$5:$B$204,A210,'02_KICH_BAN_NODES'!$D$5:$D$204,"choice")=0,"ChoiceNodeId không tồn tại hoặc không phải choice",IF(COUNTIFS($A$5:$A$404,A210,$B$5:$B$404,B210)&gt;1,"Trùng OptionOrder trong cùng choice",IF(OR(B210="",C210="",D210="",F210="",H210=""),"Thiếu trường bắt buộc",IF(OR(COUNTIF($A$5:$A$404,A210)&lt;2,COUNTIF($A$5:$A$404,A210)&gt;4),"Mỗi choice cần 2–4 option",IF(COUNTIFS('02_KICH_BAN_NODES'!$B$5:$B$204,A210,'02_KICH_BAN_NODES'!$E$5:$E$204,"Kiến thức")=1,IF(COUNTIFS($A$5:$A$404,A210,$D$5:$D$404,"Có")&lt;&gt;1,"Choice kiến thức cần đúng 1 đáp án đúng",""),IF(COUNTIFS('02_KICH_BAN_NODES'!$B$5:$B$204,A210,'02_KICH_BAN_NODES'!$E$5:$E$204,"Tương tác")=1,IF(COUNTIFS($A$5:$A$404,A210,$D$5:$D$404,"Có")&lt;&gt;0,"Choice tương tác không được đánh dấu đáp án đúng",""),"Choice chưa chọn loại")))))))</f>
        <v/>
      </c>
    </row>
    <row r="211" spans="1:11">
      <c r="A211" s="13"/>
      <c r="B211" s="13"/>
      <c r="C211" s="5"/>
      <c r="D211" s="13"/>
      <c r="E211" s="13"/>
      <c r="F211" s="13"/>
      <c r="G211" s="13"/>
      <c r="H211" s="5"/>
      <c r="I211" s="5"/>
      <c r="J211" s="6" t="str">
        <f t="shared" si="3"/>
        <v/>
      </c>
      <c r="K211" s="6" t="str">
        <f>IF(A211="","",IF(COUNTIFS('02_KICH_BAN_NODES'!$B$5:$B$204,A211,'02_KICH_BAN_NODES'!$D$5:$D$204,"choice")=0,"ChoiceNodeId không tồn tại hoặc không phải choice",IF(COUNTIFS($A$5:$A$404,A211,$B$5:$B$404,B211)&gt;1,"Trùng OptionOrder trong cùng choice",IF(OR(B211="",C211="",D211="",F211="",H211=""),"Thiếu trường bắt buộc",IF(OR(COUNTIF($A$5:$A$404,A211)&lt;2,COUNTIF($A$5:$A$404,A211)&gt;4),"Mỗi choice cần 2–4 option",IF(COUNTIFS('02_KICH_BAN_NODES'!$B$5:$B$204,A211,'02_KICH_BAN_NODES'!$E$5:$E$204,"Kiến thức")=1,IF(COUNTIFS($A$5:$A$404,A211,$D$5:$D$404,"Có")&lt;&gt;1,"Choice kiến thức cần đúng 1 đáp án đúng",""),IF(COUNTIFS('02_KICH_BAN_NODES'!$B$5:$B$204,A211,'02_KICH_BAN_NODES'!$E$5:$E$204,"Tương tác")=1,IF(COUNTIFS($A$5:$A$404,A211,$D$5:$D$404,"Có")&lt;&gt;0,"Choice tương tác không được đánh dấu đáp án đúng",""),"Choice chưa chọn loại")))))))</f>
        <v/>
      </c>
    </row>
    <row r="212" spans="1:11">
      <c r="A212" s="13"/>
      <c r="B212" s="13"/>
      <c r="C212" s="5"/>
      <c r="D212" s="13"/>
      <c r="E212" s="13"/>
      <c r="F212" s="13"/>
      <c r="G212" s="13"/>
      <c r="H212" s="5"/>
      <c r="I212" s="5"/>
      <c r="J212" s="6" t="str">
        <f t="shared" si="3"/>
        <v/>
      </c>
      <c r="K212" s="6" t="str">
        <f>IF(A212="","",IF(COUNTIFS('02_KICH_BAN_NODES'!$B$5:$B$204,A212,'02_KICH_BAN_NODES'!$D$5:$D$204,"choice")=0,"ChoiceNodeId không tồn tại hoặc không phải choice",IF(COUNTIFS($A$5:$A$404,A212,$B$5:$B$404,B212)&gt;1,"Trùng OptionOrder trong cùng choice",IF(OR(B212="",C212="",D212="",F212="",H212=""),"Thiếu trường bắt buộc",IF(OR(COUNTIF($A$5:$A$404,A212)&lt;2,COUNTIF($A$5:$A$404,A212)&gt;4),"Mỗi choice cần 2–4 option",IF(COUNTIFS('02_KICH_BAN_NODES'!$B$5:$B$204,A212,'02_KICH_BAN_NODES'!$E$5:$E$204,"Kiến thức")=1,IF(COUNTIFS($A$5:$A$404,A212,$D$5:$D$404,"Có")&lt;&gt;1,"Choice kiến thức cần đúng 1 đáp án đúng",""),IF(COUNTIFS('02_KICH_BAN_NODES'!$B$5:$B$204,A212,'02_KICH_BAN_NODES'!$E$5:$E$204,"Tương tác")=1,IF(COUNTIFS($A$5:$A$404,A212,$D$5:$D$404,"Có")&lt;&gt;0,"Choice tương tác không được đánh dấu đáp án đúng",""),"Choice chưa chọn loại")))))))</f>
        <v/>
      </c>
    </row>
    <row r="213" spans="1:11">
      <c r="A213" s="13"/>
      <c r="B213" s="13"/>
      <c r="C213" s="5"/>
      <c r="D213" s="13"/>
      <c r="E213" s="13"/>
      <c r="F213" s="13"/>
      <c r="G213" s="13"/>
      <c r="H213" s="5"/>
      <c r="I213" s="5"/>
      <c r="J213" s="6" t="str">
        <f t="shared" si="3"/>
        <v/>
      </c>
      <c r="K213" s="6" t="str">
        <f>IF(A213="","",IF(COUNTIFS('02_KICH_BAN_NODES'!$B$5:$B$204,A213,'02_KICH_BAN_NODES'!$D$5:$D$204,"choice")=0,"ChoiceNodeId không tồn tại hoặc không phải choice",IF(COUNTIFS($A$5:$A$404,A213,$B$5:$B$404,B213)&gt;1,"Trùng OptionOrder trong cùng choice",IF(OR(B213="",C213="",D213="",F213="",H213=""),"Thiếu trường bắt buộc",IF(OR(COUNTIF($A$5:$A$404,A213)&lt;2,COUNTIF($A$5:$A$404,A213)&gt;4),"Mỗi choice cần 2–4 option",IF(COUNTIFS('02_KICH_BAN_NODES'!$B$5:$B$204,A213,'02_KICH_BAN_NODES'!$E$5:$E$204,"Kiến thức")=1,IF(COUNTIFS($A$5:$A$404,A213,$D$5:$D$404,"Có")&lt;&gt;1,"Choice kiến thức cần đúng 1 đáp án đúng",""),IF(COUNTIFS('02_KICH_BAN_NODES'!$B$5:$B$204,A213,'02_KICH_BAN_NODES'!$E$5:$E$204,"Tương tác")=1,IF(COUNTIFS($A$5:$A$404,A213,$D$5:$D$404,"Có")&lt;&gt;0,"Choice tương tác không được đánh dấu đáp án đúng",""),"Choice chưa chọn loại")))))))</f>
        <v/>
      </c>
    </row>
    <row r="214" spans="1:11">
      <c r="A214" s="13"/>
      <c r="B214" s="13"/>
      <c r="C214" s="5"/>
      <c r="D214" s="13"/>
      <c r="E214" s="13"/>
      <c r="F214" s="13"/>
      <c r="G214" s="13"/>
      <c r="H214" s="5"/>
      <c r="I214" s="5"/>
      <c r="J214" s="6" t="str">
        <f t="shared" si="3"/>
        <v/>
      </c>
      <c r="K214" s="6" t="str">
        <f>IF(A214="","",IF(COUNTIFS('02_KICH_BAN_NODES'!$B$5:$B$204,A214,'02_KICH_BAN_NODES'!$D$5:$D$204,"choice")=0,"ChoiceNodeId không tồn tại hoặc không phải choice",IF(COUNTIFS($A$5:$A$404,A214,$B$5:$B$404,B214)&gt;1,"Trùng OptionOrder trong cùng choice",IF(OR(B214="",C214="",D214="",F214="",H214=""),"Thiếu trường bắt buộc",IF(OR(COUNTIF($A$5:$A$404,A214)&lt;2,COUNTIF($A$5:$A$404,A214)&gt;4),"Mỗi choice cần 2–4 option",IF(COUNTIFS('02_KICH_BAN_NODES'!$B$5:$B$204,A214,'02_KICH_BAN_NODES'!$E$5:$E$204,"Kiến thức")=1,IF(COUNTIFS($A$5:$A$404,A214,$D$5:$D$404,"Có")&lt;&gt;1,"Choice kiến thức cần đúng 1 đáp án đúng",""),IF(COUNTIFS('02_KICH_BAN_NODES'!$B$5:$B$204,A214,'02_KICH_BAN_NODES'!$E$5:$E$204,"Tương tác")=1,IF(COUNTIFS($A$5:$A$404,A214,$D$5:$D$404,"Có")&lt;&gt;0,"Choice tương tác không được đánh dấu đáp án đúng",""),"Choice chưa chọn loại")))))))</f>
        <v/>
      </c>
    </row>
    <row r="215" spans="1:11">
      <c r="A215" s="13"/>
      <c r="B215" s="13"/>
      <c r="C215" s="5"/>
      <c r="D215" s="13"/>
      <c r="E215" s="13"/>
      <c r="F215" s="13"/>
      <c r="G215" s="13"/>
      <c r="H215" s="5"/>
      <c r="I215" s="5"/>
      <c r="J215" s="6" t="str">
        <f t="shared" si="3"/>
        <v/>
      </c>
      <c r="K215" s="6" t="str">
        <f>IF(A215="","",IF(COUNTIFS('02_KICH_BAN_NODES'!$B$5:$B$204,A215,'02_KICH_BAN_NODES'!$D$5:$D$204,"choice")=0,"ChoiceNodeId không tồn tại hoặc không phải choice",IF(COUNTIFS($A$5:$A$404,A215,$B$5:$B$404,B215)&gt;1,"Trùng OptionOrder trong cùng choice",IF(OR(B215="",C215="",D215="",F215="",H215=""),"Thiếu trường bắt buộc",IF(OR(COUNTIF($A$5:$A$404,A215)&lt;2,COUNTIF($A$5:$A$404,A215)&gt;4),"Mỗi choice cần 2–4 option",IF(COUNTIFS('02_KICH_BAN_NODES'!$B$5:$B$204,A215,'02_KICH_BAN_NODES'!$E$5:$E$204,"Kiến thức")=1,IF(COUNTIFS($A$5:$A$404,A215,$D$5:$D$404,"Có")&lt;&gt;1,"Choice kiến thức cần đúng 1 đáp án đúng",""),IF(COUNTIFS('02_KICH_BAN_NODES'!$B$5:$B$204,A215,'02_KICH_BAN_NODES'!$E$5:$E$204,"Tương tác")=1,IF(COUNTIFS($A$5:$A$404,A215,$D$5:$D$404,"Có")&lt;&gt;0,"Choice tương tác không được đánh dấu đáp án đúng",""),"Choice chưa chọn loại")))))))</f>
        <v/>
      </c>
    </row>
    <row r="216" spans="1:11">
      <c r="A216" s="13"/>
      <c r="B216" s="13"/>
      <c r="C216" s="5"/>
      <c r="D216" s="13"/>
      <c r="E216" s="13"/>
      <c r="F216" s="13"/>
      <c r="G216" s="13"/>
      <c r="H216" s="5"/>
      <c r="I216" s="5"/>
      <c r="J216" s="6" t="str">
        <f t="shared" si="3"/>
        <v/>
      </c>
      <c r="K216" s="6" t="str">
        <f>IF(A216="","",IF(COUNTIFS('02_KICH_BAN_NODES'!$B$5:$B$204,A216,'02_KICH_BAN_NODES'!$D$5:$D$204,"choice")=0,"ChoiceNodeId không tồn tại hoặc không phải choice",IF(COUNTIFS($A$5:$A$404,A216,$B$5:$B$404,B216)&gt;1,"Trùng OptionOrder trong cùng choice",IF(OR(B216="",C216="",D216="",F216="",H216=""),"Thiếu trường bắt buộc",IF(OR(COUNTIF($A$5:$A$404,A216)&lt;2,COUNTIF($A$5:$A$404,A216)&gt;4),"Mỗi choice cần 2–4 option",IF(COUNTIFS('02_KICH_BAN_NODES'!$B$5:$B$204,A216,'02_KICH_BAN_NODES'!$E$5:$E$204,"Kiến thức")=1,IF(COUNTIFS($A$5:$A$404,A216,$D$5:$D$404,"Có")&lt;&gt;1,"Choice kiến thức cần đúng 1 đáp án đúng",""),IF(COUNTIFS('02_KICH_BAN_NODES'!$B$5:$B$204,A216,'02_KICH_BAN_NODES'!$E$5:$E$204,"Tương tác")=1,IF(COUNTIFS($A$5:$A$404,A216,$D$5:$D$404,"Có")&lt;&gt;0,"Choice tương tác không được đánh dấu đáp án đúng",""),"Choice chưa chọn loại")))))))</f>
        <v/>
      </c>
    </row>
    <row r="217" spans="1:11">
      <c r="A217" s="13"/>
      <c r="B217" s="13"/>
      <c r="C217" s="5"/>
      <c r="D217" s="13"/>
      <c r="E217" s="13"/>
      <c r="F217" s="13"/>
      <c r="G217" s="13"/>
      <c r="H217" s="5"/>
      <c r="I217" s="5"/>
      <c r="J217" s="6" t="str">
        <f t="shared" si="3"/>
        <v/>
      </c>
      <c r="K217" s="6" t="str">
        <f>IF(A217="","",IF(COUNTIFS('02_KICH_BAN_NODES'!$B$5:$B$204,A217,'02_KICH_BAN_NODES'!$D$5:$D$204,"choice")=0,"ChoiceNodeId không tồn tại hoặc không phải choice",IF(COUNTIFS($A$5:$A$404,A217,$B$5:$B$404,B217)&gt;1,"Trùng OptionOrder trong cùng choice",IF(OR(B217="",C217="",D217="",F217="",H217=""),"Thiếu trường bắt buộc",IF(OR(COUNTIF($A$5:$A$404,A217)&lt;2,COUNTIF($A$5:$A$404,A217)&gt;4),"Mỗi choice cần 2–4 option",IF(COUNTIFS('02_KICH_BAN_NODES'!$B$5:$B$204,A217,'02_KICH_BAN_NODES'!$E$5:$E$204,"Kiến thức")=1,IF(COUNTIFS($A$5:$A$404,A217,$D$5:$D$404,"Có")&lt;&gt;1,"Choice kiến thức cần đúng 1 đáp án đúng",""),IF(COUNTIFS('02_KICH_BAN_NODES'!$B$5:$B$204,A217,'02_KICH_BAN_NODES'!$E$5:$E$204,"Tương tác")=1,IF(COUNTIFS($A$5:$A$404,A217,$D$5:$D$404,"Có")&lt;&gt;0,"Choice tương tác không được đánh dấu đáp án đúng",""),"Choice chưa chọn loại")))))))</f>
        <v/>
      </c>
    </row>
    <row r="218" spans="1:11">
      <c r="A218" s="13"/>
      <c r="B218" s="13"/>
      <c r="C218" s="5"/>
      <c r="D218" s="13"/>
      <c r="E218" s="13"/>
      <c r="F218" s="13"/>
      <c r="G218" s="13"/>
      <c r="H218" s="5"/>
      <c r="I218" s="5"/>
      <c r="J218" s="6" t="str">
        <f t="shared" si="3"/>
        <v/>
      </c>
      <c r="K218" s="6" t="str">
        <f>IF(A218="","",IF(COUNTIFS('02_KICH_BAN_NODES'!$B$5:$B$204,A218,'02_KICH_BAN_NODES'!$D$5:$D$204,"choice")=0,"ChoiceNodeId không tồn tại hoặc không phải choice",IF(COUNTIFS($A$5:$A$404,A218,$B$5:$B$404,B218)&gt;1,"Trùng OptionOrder trong cùng choice",IF(OR(B218="",C218="",D218="",F218="",H218=""),"Thiếu trường bắt buộc",IF(OR(COUNTIF($A$5:$A$404,A218)&lt;2,COUNTIF($A$5:$A$404,A218)&gt;4),"Mỗi choice cần 2–4 option",IF(COUNTIFS('02_KICH_BAN_NODES'!$B$5:$B$204,A218,'02_KICH_BAN_NODES'!$E$5:$E$204,"Kiến thức")=1,IF(COUNTIFS($A$5:$A$404,A218,$D$5:$D$404,"Có")&lt;&gt;1,"Choice kiến thức cần đúng 1 đáp án đúng",""),IF(COUNTIFS('02_KICH_BAN_NODES'!$B$5:$B$204,A218,'02_KICH_BAN_NODES'!$E$5:$E$204,"Tương tác")=1,IF(COUNTIFS($A$5:$A$404,A218,$D$5:$D$404,"Có")&lt;&gt;0,"Choice tương tác không được đánh dấu đáp án đúng",""),"Choice chưa chọn loại")))))))</f>
        <v/>
      </c>
    </row>
    <row r="219" spans="1:11">
      <c r="A219" s="13"/>
      <c r="B219" s="13"/>
      <c r="C219" s="5"/>
      <c r="D219" s="13"/>
      <c r="E219" s="13"/>
      <c r="F219" s="13"/>
      <c r="G219" s="13"/>
      <c r="H219" s="5"/>
      <c r="I219" s="5"/>
      <c r="J219" s="6" t="str">
        <f t="shared" si="3"/>
        <v/>
      </c>
      <c r="K219" s="6" t="str">
        <f>IF(A219="","",IF(COUNTIFS('02_KICH_BAN_NODES'!$B$5:$B$204,A219,'02_KICH_BAN_NODES'!$D$5:$D$204,"choice")=0,"ChoiceNodeId không tồn tại hoặc không phải choice",IF(COUNTIFS($A$5:$A$404,A219,$B$5:$B$404,B219)&gt;1,"Trùng OptionOrder trong cùng choice",IF(OR(B219="",C219="",D219="",F219="",H219=""),"Thiếu trường bắt buộc",IF(OR(COUNTIF($A$5:$A$404,A219)&lt;2,COUNTIF($A$5:$A$404,A219)&gt;4),"Mỗi choice cần 2–4 option",IF(COUNTIFS('02_KICH_BAN_NODES'!$B$5:$B$204,A219,'02_KICH_BAN_NODES'!$E$5:$E$204,"Kiến thức")=1,IF(COUNTIFS($A$5:$A$404,A219,$D$5:$D$404,"Có")&lt;&gt;1,"Choice kiến thức cần đúng 1 đáp án đúng",""),IF(COUNTIFS('02_KICH_BAN_NODES'!$B$5:$B$204,A219,'02_KICH_BAN_NODES'!$E$5:$E$204,"Tương tác")=1,IF(COUNTIFS($A$5:$A$404,A219,$D$5:$D$404,"Có")&lt;&gt;0,"Choice tương tác không được đánh dấu đáp án đúng",""),"Choice chưa chọn loại")))))))</f>
        <v/>
      </c>
    </row>
    <row r="220" spans="1:11">
      <c r="A220" s="13"/>
      <c r="B220" s="13"/>
      <c r="C220" s="5"/>
      <c r="D220" s="13"/>
      <c r="E220" s="13"/>
      <c r="F220" s="13"/>
      <c r="G220" s="13"/>
      <c r="H220" s="5"/>
      <c r="I220" s="5"/>
      <c r="J220" s="6" t="str">
        <f t="shared" si="3"/>
        <v/>
      </c>
      <c r="K220" s="6" t="str">
        <f>IF(A220="","",IF(COUNTIFS('02_KICH_BAN_NODES'!$B$5:$B$204,A220,'02_KICH_BAN_NODES'!$D$5:$D$204,"choice")=0,"ChoiceNodeId không tồn tại hoặc không phải choice",IF(COUNTIFS($A$5:$A$404,A220,$B$5:$B$404,B220)&gt;1,"Trùng OptionOrder trong cùng choice",IF(OR(B220="",C220="",D220="",F220="",H220=""),"Thiếu trường bắt buộc",IF(OR(COUNTIF($A$5:$A$404,A220)&lt;2,COUNTIF($A$5:$A$404,A220)&gt;4),"Mỗi choice cần 2–4 option",IF(COUNTIFS('02_KICH_BAN_NODES'!$B$5:$B$204,A220,'02_KICH_BAN_NODES'!$E$5:$E$204,"Kiến thức")=1,IF(COUNTIFS($A$5:$A$404,A220,$D$5:$D$404,"Có")&lt;&gt;1,"Choice kiến thức cần đúng 1 đáp án đúng",""),IF(COUNTIFS('02_KICH_BAN_NODES'!$B$5:$B$204,A220,'02_KICH_BAN_NODES'!$E$5:$E$204,"Tương tác")=1,IF(COUNTIFS($A$5:$A$404,A220,$D$5:$D$404,"Có")&lt;&gt;0,"Choice tương tác không được đánh dấu đáp án đúng",""),"Choice chưa chọn loại")))))))</f>
        <v/>
      </c>
    </row>
    <row r="221" spans="1:11">
      <c r="A221" s="13"/>
      <c r="B221" s="13"/>
      <c r="C221" s="5"/>
      <c r="D221" s="13"/>
      <c r="E221" s="13"/>
      <c r="F221" s="13"/>
      <c r="G221" s="13"/>
      <c r="H221" s="5"/>
      <c r="I221" s="5"/>
      <c r="J221" s="6" t="str">
        <f t="shared" si="3"/>
        <v/>
      </c>
      <c r="K221" s="6" t="str">
        <f>IF(A221="","",IF(COUNTIFS('02_KICH_BAN_NODES'!$B$5:$B$204,A221,'02_KICH_BAN_NODES'!$D$5:$D$204,"choice")=0,"ChoiceNodeId không tồn tại hoặc không phải choice",IF(COUNTIFS($A$5:$A$404,A221,$B$5:$B$404,B221)&gt;1,"Trùng OptionOrder trong cùng choice",IF(OR(B221="",C221="",D221="",F221="",H221=""),"Thiếu trường bắt buộc",IF(OR(COUNTIF($A$5:$A$404,A221)&lt;2,COUNTIF($A$5:$A$404,A221)&gt;4),"Mỗi choice cần 2–4 option",IF(COUNTIFS('02_KICH_BAN_NODES'!$B$5:$B$204,A221,'02_KICH_BAN_NODES'!$E$5:$E$204,"Kiến thức")=1,IF(COUNTIFS($A$5:$A$404,A221,$D$5:$D$404,"Có")&lt;&gt;1,"Choice kiến thức cần đúng 1 đáp án đúng",""),IF(COUNTIFS('02_KICH_BAN_NODES'!$B$5:$B$204,A221,'02_KICH_BAN_NODES'!$E$5:$E$204,"Tương tác")=1,IF(COUNTIFS($A$5:$A$404,A221,$D$5:$D$404,"Có")&lt;&gt;0,"Choice tương tác không được đánh dấu đáp án đúng",""),"Choice chưa chọn loại")))))))</f>
        <v/>
      </c>
    </row>
    <row r="222" spans="1:11">
      <c r="A222" s="13"/>
      <c r="B222" s="13"/>
      <c r="C222" s="5"/>
      <c r="D222" s="13"/>
      <c r="E222" s="13"/>
      <c r="F222" s="13"/>
      <c r="G222" s="13"/>
      <c r="H222" s="5"/>
      <c r="I222" s="5"/>
      <c r="J222" s="6" t="str">
        <f t="shared" si="3"/>
        <v/>
      </c>
      <c r="K222" s="6" t="str">
        <f>IF(A222="","",IF(COUNTIFS('02_KICH_BAN_NODES'!$B$5:$B$204,A222,'02_KICH_BAN_NODES'!$D$5:$D$204,"choice")=0,"ChoiceNodeId không tồn tại hoặc không phải choice",IF(COUNTIFS($A$5:$A$404,A222,$B$5:$B$404,B222)&gt;1,"Trùng OptionOrder trong cùng choice",IF(OR(B222="",C222="",D222="",F222="",H222=""),"Thiếu trường bắt buộc",IF(OR(COUNTIF($A$5:$A$404,A222)&lt;2,COUNTIF($A$5:$A$404,A222)&gt;4),"Mỗi choice cần 2–4 option",IF(COUNTIFS('02_KICH_BAN_NODES'!$B$5:$B$204,A222,'02_KICH_BAN_NODES'!$E$5:$E$204,"Kiến thức")=1,IF(COUNTIFS($A$5:$A$404,A222,$D$5:$D$404,"Có")&lt;&gt;1,"Choice kiến thức cần đúng 1 đáp án đúng",""),IF(COUNTIFS('02_KICH_BAN_NODES'!$B$5:$B$204,A222,'02_KICH_BAN_NODES'!$E$5:$E$204,"Tương tác")=1,IF(COUNTIFS($A$5:$A$404,A222,$D$5:$D$404,"Có")&lt;&gt;0,"Choice tương tác không được đánh dấu đáp án đúng",""),"Choice chưa chọn loại")))))))</f>
        <v/>
      </c>
    </row>
    <row r="223" spans="1:11">
      <c r="A223" s="13"/>
      <c r="B223" s="13"/>
      <c r="C223" s="5"/>
      <c r="D223" s="13"/>
      <c r="E223" s="13"/>
      <c r="F223" s="13"/>
      <c r="G223" s="13"/>
      <c r="H223" s="5"/>
      <c r="I223" s="5"/>
      <c r="J223" s="6" t="str">
        <f t="shared" si="3"/>
        <v/>
      </c>
      <c r="K223" s="6" t="str">
        <f>IF(A223="","",IF(COUNTIFS('02_KICH_BAN_NODES'!$B$5:$B$204,A223,'02_KICH_BAN_NODES'!$D$5:$D$204,"choice")=0,"ChoiceNodeId không tồn tại hoặc không phải choice",IF(COUNTIFS($A$5:$A$404,A223,$B$5:$B$404,B223)&gt;1,"Trùng OptionOrder trong cùng choice",IF(OR(B223="",C223="",D223="",F223="",H223=""),"Thiếu trường bắt buộc",IF(OR(COUNTIF($A$5:$A$404,A223)&lt;2,COUNTIF($A$5:$A$404,A223)&gt;4),"Mỗi choice cần 2–4 option",IF(COUNTIFS('02_KICH_BAN_NODES'!$B$5:$B$204,A223,'02_KICH_BAN_NODES'!$E$5:$E$204,"Kiến thức")=1,IF(COUNTIFS($A$5:$A$404,A223,$D$5:$D$404,"Có")&lt;&gt;1,"Choice kiến thức cần đúng 1 đáp án đúng",""),IF(COUNTIFS('02_KICH_BAN_NODES'!$B$5:$B$204,A223,'02_KICH_BAN_NODES'!$E$5:$E$204,"Tương tác")=1,IF(COUNTIFS($A$5:$A$404,A223,$D$5:$D$404,"Có")&lt;&gt;0,"Choice tương tác không được đánh dấu đáp án đúng",""),"Choice chưa chọn loại")))))))</f>
        <v/>
      </c>
    </row>
    <row r="224" spans="1:11">
      <c r="A224" s="13"/>
      <c r="B224" s="13"/>
      <c r="C224" s="5"/>
      <c r="D224" s="13"/>
      <c r="E224" s="13"/>
      <c r="F224" s="13"/>
      <c r="G224" s="13"/>
      <c r="H224" s="5"/>
      <c r="I224" s="5"/>
      <c r="J224" s="6" t="str">
        <f t="shared" si="3"/>
        <v/>
      </c>
      <c r="K224" s="6" t="str">
        <f>IF(A224="","",IF(COUNTIFS('02_KICH_BAN_NODES'!$B$5:$B$204,A224,'02_KICH_BAN_NODES'!$D$5:$D$204,"choice")=0,"ChoiceNodeId không tồn tại hoặc không phải choice",IF(COUNTIFS($A$5:$A$404,A224,$B$5:$B$404,B224)&gt;1,"Trùng OptionOrder trong cùng choice",IF(OR(B224="",C224="",D224="",F224="",H224=""),"Thiếu trường bắt buộc",IF(OR(COUNTIF($A$5:$A$404,A224)&lt;2,COUNTIF($A$5:$A$404,A224)&gt;4),"Mỗi choice cần 2–4 option",IF(COUNTIFS('02_KICH_BAN_NODES'!$B$5:$B$204,A224,'02_KICH_BAN_NODES'!$E$5:$E$204,"Kiến thức")=1,IF(COUNTIFS($A$5:$A$404,A224,$D$5:$D$404,"Có")&lt;&gt;1,"Choice kiến thức cần đúng 1 đáp án đúng",""),IF(COUNTIFS('02_KICH_BAN_NODES'!$B$5:$B$204,A224,'02_KICH_BAN_NODES'!$E$5:$E$204,"Tương tác")=1,IF(COUNTIFS($A$5:$A$404,A224,$D$5:$D$404,"Có")&lt;&gt;0,"Choice tương tác không được đánh dấu đáp án đúng",""),"Choice chưa chọn loại")))))))</f>
        <v/>
      </c>
    </row>
    <row r="225" spans="1:11">
      <c r="A225" s="13"/>
      <c r="B225" s="13"/>
      <c r="C225" s="5"/>
      <c r="D225" s="13"/>
      <c r="E225" s="13"/>
      <c r="F225" s="13"/>
      <c r="G225" s="13"/>
      <c r="H225" s="5"/>
      <c r="I225" s="5"/>
      <c r="J225" s="6" t="str">
        <f t="shared" si="3"/>
        <v/>
      </c>
      <c r="K225" s="6" t="str">
        <f>IF(A225="","",IF(COUNTIFS('02_KICH_BAN_NODES'!$B$5:$B$204,A225,'02_KICH_BAN_NODES'!$D$5:$D$204,"choice")=0,"ChoiceNodeId không tồn tại hoặc không phải choice",IF(COUNTIFS($A$5:$A$404,A225,$B$5:$B$404,B225)&gt;1,"Trùng OptionOrder trong cùng choice",IF(OR(B225="",C225="",D225="",F225="",H225=""),"Thiếu trường bắt buộc",IF(OR(COUNTIF($A$5:$A$404,A225)&lt;2,COUNTIF($A$5:$A$404,A225)&gt;4),"Mỗi choice cần 2–4 option",IF(COUNTIFS('02_KICH_BAN_NODES'!$B$5:$B$204,A225,'02_KICH_BAN_NODES'!$E$5:$E$204,"Kiến thức")=1,IF(COUNTIFS($A$5:$A$404,A225,$D$5:$D$404,"Có")&lt;&gt;1,"Choice kiến thức cần đúng 1 đáp án đúng",""),IF(COUNTIFS('02_KICH_BAN_NODES'!$B$5:$B$204,A225,'02_KICH_BAN_NODES'!$E$5:$E$204,"Tương tác")=1,IF(COUNTIFS($A$5:$A$404,A225,$D$5:$D$404,"Có")&lt;&gt;0,"Choice tương tác không được đánh dấu đáp án đúng",""),"Choice chưa chọn loại")))))))</f>
        <v/>
      </c>
    </row>
    <row r="226" spans="1:11">
      <c r="A226" s="13"/>
      <c r="B226" s="13"/>
      <c r="C226" s="5"/>
      <c r="D226" s="13"/>
      <c r="E226" s="13"/>
      <c r="F226" s="13"/>
      <c r="G226" s="13"/>
      <c r="H226" s="5"/>
      <c r="I226" s="5"/>
      <c r="J226" s="6" t="str">
        <f t="shared" si="3"/>
        <v/>
      </c>
      <c r="K226" s="6" t="str">
        <f>IF(A226="","",IF(COUNTIFS('02_KICH_BAN_NODES'!$B$5:$B$204,A226,'02_KICH_BAN_NODES'!$D$5:$D$204,"choice")=0,"ChoiceNodeId không tồn tại hoặc không phải choice",IF(COUNTIFS($A$5:$A$404,A226,$B$5:$B$404,B226)&gt;1,"Trùng OptionOrder trong cùng choice",IF(OR(B226="",C226="",D226="",F226="",H226=""),"Thiếu trường bắt buộc",IF(OR(COUNTIF($A$5:$A$404,A226)&lt;2,COUNTIF($A$5:$A$404,A226)&gt;4),"Mỗi choice cần 2–4 option",IF(COUNTIFS('02_KICH_BAN_NODES'!$B$5:$B$204,A226,'02_KICH_BAN_NODES'!$E$5:$E$204,"Kiến thức")=1,IF(COUNTIFS($A$5:$A$404,A226,$D$5:$D$404,"Có")&lt;&gt;1,"Choice kiến thức cần đúng 1 đáp án đúng",""),IF(COUNTIFS('02_KICH_BAN_NODES'!$B$5:$B$204,A226,'02_KICH_BAN_NODES'!$E$5:$E$204,"Tương tác")=1,IF(COUNTIFS($A$5:$A$404,A226,$D$5:$D$404,"Có")&lt;&gt;0,"Choice tương tác không được đánh dấu đáp án đúng",""),"Choice chưa chọn loại")))))))</f>
        <v/>
      </c>
    </row>
    <row r="227" spans="1:11">
      <c r="A227" s="13"/>
      <c r="B227" s="13"/>
      <c r="C227" s="5"/>
      <c r="D227" s="13"/>
      <c r="E227" s="13"/>
      <c r="F227" s="13"/>
      <c r="G227" s="13"/>
      <c r="H227" s="5"/>
      <c r="I227" s="5"/>
      <c r="J227" s="6" t="str">
        <f t="shared" si="3"/>
        <v/>
      </c>
      <c r="K227" s="6" t="str">
        <f>IF(A227="","",IF(COUNTIFS('02_KICH_BAN_NODES'!$B$5:$B$204,A227,'02_KICH_BAN_NODES'!$D$5:$D$204,"choice")=0,"ChoiceNodeId không tồn tại hoặc không phải choice",IF(COUNTIFS($A$5:$A$404,A227,$B$5:$B$404,B227)&gt;1,"Trùng OptionOrder trong cùng choice",IF(OR(B227="",C227="",D227="",F227="",H227=""),"Thiếu trường bắt buộc",IF(OR(COUNTIF($A$5:$A$404,A227)&lt;2,COUNTIF($A$5:$A$404,A227)&gt;4),"Mỗi choice cần 2–4 option",IF(COUNTIFS('02_KICH_BAN_NODES'!$B$5:$B$204,A227,'02_KICH_BAN_NODES'!$E$5:$E$204,"Kiến thức")=1,IF(COUNTIFS($A$5:$A$404,A227,$D$5:$D$404,"Có")&lt;&gt;1,"Choice kiến thức cần đúng 1 đáp án đúng",""),IF(COUNTIFS('02_KICH_BAN_NODES'!$B$5:$B$204,A227,'02_KICH_BAN_NODES'!$E$5:$E$204,"Tương tác")=1,IF(COUNTIFS($A$5:$A$404,A227,$D$5:$D$404,"Có")&lt;&gt;0,"Choice tương tác không được đánh dấu đáp án đúng",""),"Choice chưa chọn loại")))))))</f>
        <v/>
      </c>
    </row>
    <row r="228" spans="1:11">
      <c r="A228" s="13"/>
      <c r="B228" s="13"/>
      <c r="C228" s="5"/>
      <c r="D228" s="13"/>
      <c r="E228" s="13"/>
      <c r="F228" s="13"/>
      <c r="G228" s="13"/>
      <c r="H228" s="5"/>
      <c r="I228" s="5"/>
      <c r="J228" s="6" t="str">
        <f t="shared" si="3"/>
        <v/>
      </c>
      <c r="K228" s="6" t="str">
        <f>IF(A228="","",IF(COUNTIFS('02_KICH_BAN_NODES'!$B$5:$B$204,A228,'02_KICH_BAN_NODES'!$D$5:$D$204,"choice")=0,"ChoiceNodeId không tồn tại hoặc không phải choice",IF(COUNTIFS($A$5:$A$404,A228,$B$5:$B$404,B228)&gt;1,"Trùng OptionOrder trong cùng choice",IF(OR(B228="",C228="",D228="",F228="",H228=""),"Thiếu trường bắt buộc",IF(OR(COUNTIF($A$5:$A$404,A228)&lt;2,COUNTIF($A$5:$A$404,A228)&gt;4),"Mỗi choice cần 2–4 option",IF(COUNTIFS('02_KICH_BAN_NODES'!$B$5:$B$204,A228,'02_KICH_BAN_NODES'!$E$5:$E$204,"Kiến thức")=1,IF(COUNTIFS($A$5:$A$404,A228,$D$5:$D$404,"Có")&lt;&gt;1,"Choice kiến thức cần đúng 1 đáp án đúng",""),IF(COUNTIFS('02_KICH_BAN_NODES'!$B$5:$B$204,A228,'02_KICH_BAN_NODES'!$E$5:$E$204,"Tương tác")=1,IF(COUNTIFS($A$5:$A$404,A228,$D$5:$D$404,"Có")&lt;&gt;0,"Choice tương tác không được đánh dấu đáp án đúng",""),"Choice chưa chọn loại")))))))</f>
        <v/>
      </c>
    </row>
    <row r="229" spans="1:11">
      <c r="A229" s="13"/>
      <c r="B229" s="13"/>
      <c r="C229" s="5"/>
      <c r="D229" s="13"/>
      <c r="E229" s="13"/>
      <c r="F229" s="13"/>
      <c r="G229" s="13"/>
      <c r="H229" s="5"/>
      <c r="I229" s="5"/>
      <c r="J229" s="6" t="str">
        <f t="shared" si="3"/>
        <v/>
      </c>
      <c r="K229" s="6" t="str">
        <f>IF(A229="","",IF(COUNTIFS('02_KICH_BAN_NODES'!$B$5:$B$204,A229,'02_KICH_BAN_NODES'!$D$5:$D$204,"choice")=0,"ChoiceNodeId không tồn tại hoặc không phải choice",IF(COUNTIFS($A$5:$A$404,A229,$B$5:$B$404,B229)&gt;1,"Trùng OptionOrder trong cùng choice",IF(OR(B229="",C229="",D229="",F229="",H229=""),"Thiếu trường bắt buộc",IF(OR(COUNTIF($A$5:$A$404,A229)&lt;2,COUNTIF($A$5:$A$404,A229)&gt;4),"Mỗi choice cần 2–4 option",IF(COUNTIFS('02_KICH_BAN_NODES'!$B$5:$B$204,A229,'02_KICH_BAN_NODES'!$E$5:$E$204,"Kiến thức")=1,IF(COUNTIFS($A$5:$A$404,A229,$D$5:$D$404,"Có")&lt;&gt;1,"Choice kiến thức cần đúng 1 đáp án đúng",""),IF(COUNTIFS('02_KICH_BAN_NODES'!$B$5:$B$204,A229,'02_KICH_BAN_NODES'!$E$5:$E$204,"Tương tác")=1,IF(COUNTIFS($A$5:$A$404,A229,$D$5:$D$404,"Có")&lt;&gt;0,"Choice tương tác không được đánh dấu đáp án đúng",""),"Choice chưa chọn loại")))))))</f>
        <v/>
      </c>
    </row>
    <row r="230" spans="1:11">
      <c r="A230" s="13"/>
      <c r="B230" s="13"/>
      <c r="C230" s="5"/>
      <c r="D230" s="13"/>
      <c r="E230" s="13"/>
      <c r="F230" s="13"/>
      <c r="G230" s="13"/>
      <c r="H230" s="5"/>
      <c r="I230" s="5"/>
      <c r="J230" s="6" t="str">
        <f t="shared" si="3"/>
        <v/>
      </c>
      <c r="K230" s="6" t="str">
        <f>IF(A230="","",IF(COUNTIFS('02_KICH_BAN_NODES'!$B$5:$B$204,A230,'02_KICH_BAN_NODES'!$D$5:$D$204,"choice")=0,"ChoiceNodeId không tồn tại hoặc không phải choice",IF(COUNTIFS($A$5:$A$404,A230,$B$5:$B$404,B230)&gt;1,"Trùng OptionOrder trong cùng choice",IF(OR(B230="",C230="",D230="",F230="",H230=""),"Thiếu trường bắt buộc",IF(OR(COUNTIF($A$5:$A$404,A230)&lt;2,COUNTIF($A$5:$A$404,A230)&gt;4),"Mỗi choice cần 2–4 option",IF(COUNTIFS('02_KICH_BAN_NODES'!$B$5:$B$204,A230,'02_KICH_BAN_NODES'!$E$5:$E$204,"Kiến thức")=1,IF(COUNTIFS($A$5:$A$404,A230,$D$5:$D$404,"Có")&lt;&gt;1,"Choice kiến thức cần đúng 1 đáp án đúng",""),IF(COUNTIFS('02_KICH_BAN_NODES'!$B$5:$B$204,A230,'02_KICH_BAN_NODES'!$E$5:$E$204,"Tương tác")=1,IF(COUNTIFS($A$5:$A$404,A230,$D$5:$D$404,"Có")&lt;&gt;0,"Choice tương tác không được đánh dấu đáp án đúng",""),"Choice chưa chọn loại")))))))</f>
        <v/>
      </c>
    </row>
    <row r="231" spans="1:11">
      <c r="A231" s="13"/>
      <c r="B231" s="13"/>
      <c r="C231" s="5"/>
      <c r="D231" s="13"/>
      <c r="E231" s="13"/>
      <c r="F231" s="13"/>
      <c r="G231" s="13"/>
      <c r="H231" s="5"/>
      <c r="I231" s="5"/>
      <c r="J231" s="6" t="str">
        <f t="shared" si="3"/>
        <v/>
      </c>
      <c r="K231" s="6" t="str">
        <f>IF(A231="","",IF(COUNTIFS('02_KICH_BAN_NODES'!$B$5:$B$204,A231,'02_KICH_BAN_NODES'!$D$5:$D$204,"choice")=0,"ChoiceNodeId không tồn tại hoặc không phải choice",IF(COUNTIFS($A$5:$A$404,A231,$B$5:$B$404,B231)&gt;1,"Trùng OptionOrder trong cùng choice",IF(OR(B231="",C231="",D231="",F231="",H231=""),"Thiếu trường bắt buộc",IF(OR(COUNTIF($A$5:$A$404,A231)&lt;2,COUNTIF($A$5:$A$404,A231)&gt;4),"Mỗi choice cần 2–4 option",IF(COUNTIFS('02_KICH_BAN_NODES'!$B$5:$B$204,A231,'02_KICH_BAN_NODES'!$E$5:$E$204,"Kiến thức")=1,IF(COUNTIFS($A$5:$A$404,A231,$D$5:$D$404,"Có")&lt;&gt;1,"Choice kiến thức cần đúng 1 đáp án đúng",""),IF(COUNTIFS('02_KICH_BAN_NODES'!$B$5:$B$204,A231,'02_KICH_BAN_NODES'!$E$5:$E$204,"Tương tác")=1,IF(COUNTIFS($A$5:$A$404,A231,$D$5:$D$404,"Có")&lt;&gt;0,"Choice tương tác không được đánh dấu đáp án đúng",""),"Choice chưa chọn loại")))))))</f>
        <v/>
      </c>
    </row>
    <row r="232" spans="1:11">
      <c r="A232" s="13"/>
      <c r="B232" s="13"/>
      <c r="C232" s="5"/>
      <c r="D232" s="13"/>
      <c r="E232" s="13"/>
      <c r="F232" s="13"/>
      <c r="G232" s="13"/>
      <c r="H232" s="5"/>
      <c r="I232" s="5"/>
      <c r="J232" s="6" t="str">
        <f t="shared" si="3"/>
        <v/>
      </c>
      <c r="K232" s="6" t="str">
        <f>IF(A232="","",IF(COUNTIFS('02_KICH_BAN_NODES'!$B$5:$B$204,A232,'02_KICH_BAN_NODES'!$D$5:$D$204,"choice")=0,"ChoiceNodeId không tồn tại hoặc không phải choice",IF(COUNTIFS($A$5:$A$404,A232,$B$5:$B$404,B232)&gt;1,"Trùng OptionOrder trong cùng choice",IF(OR(B232="",C232="",D232="",F232="",H232=""),"Thiếu trường bắt buộc",IF(OR(COUNTIF($A$5:$A$404,A232)&lt;2,COUNTIF($A$5:$A$404,A232)&gt;4),"Mỗi choice cần 2–4 option",IF(COUNTIFS('02_KICH_BAN_NODES'!$B$5:$B$204,A232,'02_KICH_BAN_NODES'!$E$5:$E$204,"Kiến thức")=1,IF(COUNTIFS($A$5:$A$404,A232,$D$5:$D$404,"Có")&lt;&gt;1,"Choice kiến thức cần đúng 1 đáp án đúng",""),IF(COUNTIFS('02_KICH_BAN_NODES'!$B$5:$B$204,A232,'02_KICH_BAN_NODES'!$E$5:$E$204,"Tương tác")=1,IF(COUNTIFS($A$5:$A$404,A232,$D$5:$D$404,"Có")&lt;&gt;0,"Choice tương tác không được đánh dấu đáp án đúng",""),"Choice chưa chọn loại")))))))</f>
        <v/>
      </c>
    </row>
    <row r="233" spans="1:11">
      <c r="A233" s="13"/>
      <c r="B233" s="13"/>
      <c r="C233" s="5"/>
      <c r="D233" s="13"/>
      <c r="E233" s="13"/>
      <c r="F233" s="13"/>
      <c r="G233" s="13"/>
      <c r="H233" s="5"/>
      <c r="I233" s="5"/>
      <c r="J233" s="6" t="str">
        <f t="shared" si="3"/>
        <v/>
      </c>
      <c r="K233" s="6" t="str">
        <f>IF(A233="","",IF(COUNTIFS('02_KICH_BAN_NODES'!$B$5:$B$204,A233,'02_KICH_BAN_NODES'!$D$5:$D$204,"choice")=0,"ChoiceNodeId không tồn tại hoặc không phải choice",IF(COUNTIFS($A$5:$A$404,A233,$B$5:$B$404,B233)&gt;1,"Trùng OptionOrder trong cùng choice",IF(OR(B233="",C233="",D233="",F233="",H233=""),"Thiếu trường bắt buộc",IF(OR(COUNTIF($A$5:$A$404,A233)&lt;2,COUNTIF($A$5:$A$404,A233)&gt;4),"Mỗi choice cần 2–4 option",IF(COUNTIFS('02_KICH_BAN_NODES'!$B$5:$B$204,A233,'02_KICH_BAN_NODES'!$E$5:$E$204,"Kiến thức")=1,IF(COUNTIFS($A$5:$A$404,A233,$D$5:$D$404,"Có")&lt;&gt;1,"Choice kiến thức cần đúng 1 đáp án đúng",""),IF(COUNTIFS('02_KICH_BAN_NODES'!$B$5:$B$204,A233,'02_KICH_BAN_NODES'!$E$5:$E$204,"Tương tác")=1,IF(COUNTIFS($A$5:$A$404,A233,$D$5:$D$404,"Có")&lt;&gt;0,"Choice tương tác không được đánh dấu đáp án đúng",""),"Choice chưa chọn loại")))))))</f>
        <v/>
      </c>
    </row>
    <row r="234" spans="1:11">
      <c r="A234" s="13"/>
      <c r="B234" s="13"/>
      <c r="C234" s="5"/>
      <c r="D234" s="13"/>
      <c r="E234" s="13"/>
      <c r="F234" s="13"/>
      <c r="G234" s="13"/>
      <c r="H234" s="5"/>
      <c r="I234" s="5"/>
      <c r="J234" s="6" t="str">
        <f t="shared" si="3"/>
        <v/>
      </c>
      <c r="K234" s="6" t="str">
        <f>IF(A234="","",IF(COUNTIFS('02_KICH_BAN_NODES'!$B$5:$B$204,A234,'02_KICH_BAN_NODES'!$D$5:$D$204,"choice")=0,"ChoiceNodeId không tồn tại hoặc không phải choice",IF(COUNTIFS($A$5:$A$404,A234,$B$5:$B$404,B234)&gt;1,"Trùng OptionOrder trong cùng choice",IF(OR(B234="",C234="",D234="",F234="",H234=""),"Thiếu trường bắt buộc",IF(OR(COUNTIF($A$5:$A$404,A234)&lt;2,COUNTIF($A$5:$A$404,A234)&gt;4),"Mỗi choice cần 2–4 option",IF(COUNTIFS('02_KICH_BAN_NODES'!$B$5:$B$204,A234,'02_KICH_BAN_NODES'!$E$5:$E$204,"Kiến thức")=1,IF(COUNTIFS($A$5:$A$404,A234,$D$5:$D$404,"Có")&lt;&gt;1,"Choice kiến thức cần đúng 1 đáp án đúng",""),IF(COUNTIFS('02_KICH_BAN_NODES'!$B$5:$B$204,A234,'02_KICH_BAN_NODES'!$E$5:$E$204,"Tương tác")=1,IF(COUNTIFS($A$5:$A$404,A234,$D$5:$D$404,"Có")&lt;&gt;0,"Choice tương tác không được đánh dấu đáp án đúng",""),"Choice chưa chọn loại")))))))</f>
        <v/>
      </c>
    </row>
    <row r="235" spans="1:11">
      <c r="A235" s="13"/>
      <c r="B235" s="13"/>
      <c r="C235" s="5"/>
      <c r="D235" s="13"/>
      <c r="E235" s="13"/>
      <c r="F235" s="13"/>
      <c r="G235" s="13"/>
      <c r="H235" s="5"/>
      <c r="I235" s="5"/>
      <c r="J235" s="6" t="str">
        <f t="shared" si="3"/>
        <v/>
      </c>
      <c r="K235" s="6" t="str">
        <f>IF(A235="","",IF(COUNTIFS('02_KICH_BAN_NODES'!$B$5:$B$204,A235,'02_KICH_BAN_NODES'!$D$5:$D$204,"choice")=0,"ChoiceNodeId không tồn tại hoặc không phải choice",IF(COUNTIFS($A$5:$A$404,A235,$B$5:$B$404,B235)&gt;1,"Trùng OptionOrder trong cùng choice",IF(OR(B235="",C235="",D235="",F235="",H235=""),"Thiếu trường bắt buộc",IF(OR(COUNTIF($A$5:$A$404,A235)&lt;2,COUNTIF($A$5:$A$404,A235)&gt;4),"Mỗi choice cần 2–4 option",IF(COUNTIFS('02_KICH_BAN_NODES'!$B$5:$B$204,A235,'02_KICH_BAN_NODES'!$E$5:$E$204,"Kiến thức")=1,IF(COUNTIFS($A$5:$A$404,A235,$D$5:$D$404,"Có")&lt;&gt;1,"Choice kiến thức cần đúng 1 đáp án đúng",""),IF(COUNTIFS('02_KICH_BAN_NODES'!$B$5:$B$204,A235,'02_KICH_BAN_NODES'!$E$5:$E$204,"Tương tác")=1,IF(COUNTIFS($A$5:$A$404,A235,$D$5:$D$404,"Có")&lt;&gt;0,"Choice tương tác không được đánh dấu đáp án đúng",""),"Choice chưa chọn loại")))))))</f>
        <v/>
      </c>
    </row>
    <row r="236" spans="1:11">
      <c r="A236" s="13"/>
      <c r="B236" s="13"/>
      <c r="C236" s="5"/>
      <c r="D236" s="13"/>
      <c r="E236" s="13"/>
      <c r="F236" s="13"/>
      <c r="G236" s="13"/>
      <c r="H236" s="5"/>
      <c r="I236" s="5"/>
      <c r="J236" s="6" t="str">
        <f t="shared" si="3"/>
        <v/>
      </c>
      <c r="K236" s="6" t="str">
        <f>IF(A236="","",IF(COUNTIFS('02_KICH_BAN_NODES'!$B$5:$B$204,A236,'02_KICH_BAN_NODES'!$D$5:$D$204,"choice")=0,"ChoiceNodeId không tồn tại hoặc không phải choice",IF(COUNTIFS($A$5:$A$404,A236,$B$5:$B$404,B236)&gt;1,"Trùng OptionOrder trong cùng choice",IF(OR(B236="",C236="",D236="",F236="",H236=""),"Thiếu trường bắt buộc",IF(OR(COUNTIF($A$5:$A$404,A236)&lt;2,COUNTIF($A$5:$A$404,A236)&gt;4),"Mỗi choice cần 2–4 option",IF(COUNTIFS('02_KICH_BAN_NODES'!$B$5:$B$204,A236,'02_KICH_BAN_NODES'!$E$5:$E$204,"Kiến thức")=1,IF(COUNTIFS($A$5:$A$404,A236,$D$5:$D$404,"Có")&lt;&gt;1,"Choice kiến thức cần đúng 1 đáp án đúng",""),IF(COUNTIFS('02_KICH_BAN_NODES'!$B$5:$B$204,A236,'02_KICH_BAN_NODES'!$E$5:$E$204,"Tương tác")=1,IF(COUNTIFS($A$5:$A$404,A236,$D$5:$D$404,"Có")&lt;&gt;0,"Choice tương tác không được đánh dấu đáp án đúng",""),"Choice chưa chọn loại")))))))</f>
        <v/>
      </c>
    </row>
    <row r="237" spans="1:11">
      <c r="A237" s="13"/>
      <c r="B237" s="13"/>
      <c r="C237" s="5"/>
      <c r="D237" s="13"/>
      <c r="E237" s="13"/>
      <c r="F237" s="13"/>
      <c r="G237" s="13"/>
      <c r="H237" s="5"/>
      <c r="I237" s="5"/>
      <c r="J237" s="6" t="str">
        <f t="shared" si="3"/>
        <v/>
      </c>
      <c r="K237" s="6" t="str">
        <f>IF(A237="","",IF(COUNTIFS('02_KICH_BAN_NODES'!$B$5:$B$204,A237,'02_KICH_BAN_NODES'!$D$5:$D$204,"choice")=0,"ChoiceNodeId không tồn tại hoặc không phải choice",IF(COUNTIFS($A$5:$A$404,A237,$B$5:$B$404,B237)&gt;1,"Trùng OptionOrder trong cùng choice",IF(OR(B237="",C237="",D237="",F237="",H237=""),"Thiếu trường bắt buộc",IF(OR(COUNTIF($A$5:$A$404,A237)&lt;2,COUNTIF($A$5:$A$404,A237)&gt;4),"Mỗi choice cần 2–4 option",IF(COUNTIFS('02_KICH_BAN_NODES'!$B$5:$B$204,A237,'02_KICH_BAN_NODES'!$E$5:$E$204,"Kiến thức")=1,IF(COUNTIFS($A$5:$A$404,A237,$D$5:$D$404,"Có")&lt;&gt;1,"Choice kiến thức cần đúng 1 đáp án đúng",""),IF(COUNTIFS('02_KICH_BAN_NODES'!$B$5:$B$204,A237,'02_KICH_BAN_NODES'!$E$5:$E$204,"Tương tác")=1,IF(COUNTIFS($A$5:$A$404,A237,$D$5:$D$404,"Có")&lt;&gt;0,"Choice tương tác không được đánh dấu đáp án đúng",""),"Choice chưa chọn loại")))))))</f>
        <v/>
      </c>
    </row>
    <row r="238" spans="1:11">
      <c r="A238" s="13"/>
      <c r="B238" s="13"/>
      <c r="C238" s="5"/>
      <c r="D238" s="13"/>
      <c r="E238" s="13"/>
      <c r="F238" s="13"/>
      <c r="G238" s="13"/>
      <c r="H238" s="5"/>
      <c r="I238" s="5"/>
      <c r="J238" s="6" t="str">
        <f t="shared" si="3"/>
        <v/>
      </c>
      <c r="K238" s="6" t="str">
        <f>IF(A238="","",IF(COUNTIFS('02_KICH_BAN_NODES'!$B$5:$B$204,A238,'02_KICH_BAN_NODES'!$D$5:$D$204,"choice")=0,"ChoiceNodeId không tồn tại hoặc không phải choice",IF(COUNTIFS($A$5:$A$404,A238,$B$5:$B$404,B238)&gt;1,"Trùng OptionOrder trong cùng choice",IF(OR(B238="",C238="",D238="",F238="",H238=""),"Thiếu trường bắt buộc",IF(OR(COUNTIF($A$5:$A$404,A238)&lt;2,COUNTIF($A$5:$A$404,A238)&gt;4),"Mỗi choice cần 2–4 option",IF(COUNTIFS('02_KICH_BAN_NODES'!$B$5:$B$204,A238,'02_KICH_BAN_NODES'!$E$5:$E$204,"Kiến thức")=1,IF(COUNTIFS($A$5:$A$404,A238,$D$5:$D$404,"Có")&lt;&gt;1,"Choice kiến thức cần đúng 1 đáp án đúng",""),IF(COUNTIFS('02_KICH_BAN_NODES'!$B$5:$B$204,A238,'02_KICH_BAN_NODES'!$E$5:$E$204,"Tương tác")=1,IF(COUNTIFS($A$5:$A$404,A238,$D$5:$D$404,"Có")&lt;&gt;0,"Choice tương tác không được đánh dấu đáp án đúng",""),"Choice chưa chọn loại")))))))</f>
        <v/>
      </c>
    </row>
    <row r="239" spans="1:11">
      <c r="A239" s="13"/>
      <c r="B239" s="13"/>
      <c r="C239" s="5"/>
      <c r="D239" s="13"/>
      <c r="E239" s="13"/>
      <c r="F239" s="13"/>
      <c r="G239" s="13"/>
      <c r="H239" s="5"/>
      <c r="I239" s="5"/>
      <c r="J239" s="6" t="str">
        <f t="shared" si="3"/>
        <v/>
      </c>
      <c r="K239" s="6" t="str">
        <f>IF(A239="","",IF(COUNTIFS('02_KICH_BAN_NODES'!$B$5:$B$204,A239,'02_KICH_BAN_NODES'!$D$5:$D$204,"choice")=0,"ChoiceNodeId không tồn tại hoặc không phải choice",IF(COUNTIFS($A$5:$A$404,A239,$B$5:$B$404,B239)&gt;1,"Trùng OptionOrder trong cùng choice",IF(OR(B239="",C239="",D239="",F239="",H239=""),"Thiếu trường bắt buộc",IF(OR(COUNTIF($A$5:$A$404,A239)&lt;2,COUNTIF($A$5:$A$404,A239)&gt;4),"Mỗi choice cần 2–4 option",IF(COUNTIFS('02_KICH_BAN_NODES'!$B$5:$B$204,A239,'02_KICH_BAN_NODES'!$E$5:$E$204,"Kiến thức")=1,IF(COUNTIFS($A$5:$A$404,A239,$D$5:$D$404,"Có")&lt;&gt;1,"Choice kiến thức cần đúng 1 đáp án đúng",""),IF(COUNTIFS('02_KICH_BAN_NODES'!$B$5:$B$204,A239,'02_KICH_BAN_NODES'!$E$5:$E$204,"Tương tác")=1,IF(COUNTIFS($A$5:$A$404,A239,$D$5:$D$404,"Có")&lt;&gt;0,"Choice tương tác không được đánh dấu đáp án đúng",""),"Choice chưa chọn loại")))))))</f>
        <v/>
      </c>
    </row>
    <row r="240" spans="1:11">
      <c r="A240" s="13"/>
      <c r="B240" s="13"/>
      <c r="C240" s="5"/>
      <c r="D240" s="13"/>
      <c r="E240" s="13"/>
      <c r="F240" s="13"/>
      <c r="G240" s="13"/>
      <c r="H240" s="5"/>
      <c r="I240" s="5"/>
      <c r="J240" s="6" t="str">
        <f t="shared" si="3"/>
        <v/>
      </c>
      <c r="K240" s="6" t="str">
        <f>IF(A240="","",IF(COUNTIFS('02_KICH_BAN_NODES'!$B$5:$B$204,A240,'02_KICH_BAN_NODES'!$D$5:$D$204,"choice")=0,"ChoiceNodeId không tồn tại hoặc không phải choice",IF(COUNTIFS($A$5:$A$404,A240,$B$5:$B$404,B240)&gt;1,"Trùng OptionOrder trong cùng choice",IF(OR(B240="",C240="",D240="",F240="",H240=""),"Thiếu trường bắt buộc",IF(OR(COUNTIF($A$5:$A$404,A240)&lt;2,COUNTIF($A$5:$A$404,A240)&gt;4),"Mỗi choice cần 2–4 option",IF(COUNTIFS('02_KICH_BAN_NODES'!$B$5:$B$204,A240,'02_KICH_BAN_NODES'!$E$5:$E$204,"Kiến thức")=1,IF(COUNTIFS($A$5:$A$404,A240,$D$5:$D$404,"Có")&lt;&gt;1,"Choice kiến thức cần đúng 1 đáp án đúng",""),IF(COUNTIFS('02_KICH_BAN_NODES'!$B$5:$B$204,A240,'02_KICH_BAN_NODES'!$E$5:$E$204,"Tương tác")=1,IF(COUNTIFS($A$5:$A$404,A240,$D$5:$D$404,"Có")&lt;&gt;0,"Choice tương tác không được đánh dấu đáp án đúng",""),"Choice chưa chọn loại")))))))</f>
        <v/>
      </c>
    </row>
    <row r="241" spans="1:11">
      <c r="A241" s="13"/>
      <c r="B241" s="13"/>
      <c r="C241" s="5"/>
      <c r="D241" s="13"/>
      <c r="E241" s="13"/>
      <c r="F241" s="13"/>
      <c r="G241" s="13"/>
      <c r="H241" s="5"/>
      <c r="I241" s="5"/>
      <c r="J241" s="6" t="str">
        <f t="shared" si="3"/>
        <v/>
      </c>
      <c r="K241" s="6" t="str">
        <f>IF(A241="","",IF(COUNTIFS('02_KICH_BAN_NODES'!$B$5:$B$204,A241,'02_KICH_BAN_NODES'!$D$5:$D$204,"choice")=0,"ChoiceNodeId không tồn tại hoặc không phải choice",IF(COUNTIFS($A$5:$A$404,A241,$B$5:$B$404,B241)&gt;1,"Trùng OptionOrder trong cùng choice",IF(OR(B241="",C241="",D241="",F241="",H241=""),"Thiếu trường bắt buộc",IF(OR(COUNTIF($A$5:$A$404,A241)&lt;2,COUNTIF($A$5:$A$404,A241)&gt;4),"Mỗi choice cần 2–4 option",IF(COUNTIFS('02_KICH_BAN_NODES'!$B$5:$B$204,A241,'02_KICH_BAN_NODES'!$E$5:$E$204,"Kiến thức")=1,IF(COUNTIFS($A$5:$A$404,A241,$D$5:$D$404,"Có")&lt;&gt;1,"Choice kiến thức cần đúng 1 đáp án đúng",""),IF(COUNTIFS('02_KICH_BAN_NODES'!$B$5:$B$204,A241,'02_KICH_BAN_NODES'!$E$5:$E$204,"Tương tác")=1,IF(COUNTIFS($A$5:$A$404,A241,$D$5:$D$404,"Có")&lt;&gt;0,"Choice tương tác không được đánh dấu đáp án đúng",""),"Choice chưa chọn loại")))))))</f>
        <v/>
      </c>
    </row>
    <row r="242" spans="1:11">
      <c r="A242" s="13"/>
      <c r="B242" s="13"/>
      <c r="C242" s="5"/>
      <c r="D242" s="13"/>
      <c r="E242" s="13"/>
      <c r="F242" s="13"/>
      <c r="G242" s="13"/>
      <c r="H242" s="5"/>
      <c r="I242" s="5"/>
      <c r="J242" s="6" t="str">
        <f t="shared" si="3"/>
        <v/>
      </c>
      <c r="K242" s="6" t="str">
        <f>IF(A242="","",IF(COUNTIFS('02_KICH_BAN_NODES'!$B$5:$B$204,A242,'02_KICH_BAN_NODES'!$D$5:$D$204,"choice")=0,"ChoiceNodeId không tồn tại hoặc không phải choice",IF(COUNTIFS($A$5:$A$404,A242,$B$5:$B$404,B242)&gt;1,"Trùng OptionOrder trong cùng choice",IF(OR(B242="",C242="",D242="",F242="",H242=""),"Thiếu trường bắt buộc",IF(OR(COUNTIF($A$5:$A$404,A242)&lt;2,COUNTIF($A$5:$A$404,A242)&gt;4),"Mỗi choice cần 2–4 option",IF(COUNTIFS('02_KICH_BAN_NODES'!$B$5:$B$204,A242,'02_KICH_BAN_NODES'!$E$5:$E$204,"Kiến thức")=1,IF(COUNTIFS($A$5:$A$404,A242,$D$5:$D$404,"Có")&lt;&gt;1,"Choice kiến thức cần đúng 1 đáp án đúng",""),IF(COUNTIFS('02_KICH_BAN_NODES'!$B$5:$B$204,A242,'02_KICH_BAN_NODES'!$E$5:$E$204,"Tương tác")=1,IF(COUNTIFS($A$5:$A$404,A242,$D$5:$D$404,"Có")&lt;&gt;0,"Choice tương tác không được đánh dấu đáp án đúng",""),"Choice chưa chọn loại")))))))</f>
        <v/>
      </c>
    </row>
    <row r="243" spans="1:11">
      <c r="A243" s="13"/>
      <c r="B243" s="13"/>
      <c r="C243" s="5"/>
      <c r="D243" s="13"/>
      <c r="E243" s="13"/>
      <c r="F243" s="13"/>
      <c r="G243" s="13"/>
      <c r="H243" s="5"/>
      <c r="I243" s="5"/>
      <c r="J243" s="6" t="str">
        <f t="shared" si="3"/>
        <v/>
      </c>
      <c r="K243" s="6" t="str">
        <f>IF(A243="","",IF(COUNTIFS('02_KICH_BAN_NODES'!$B$5:$B$204,A243,'02_KICH_BAN_NODES'!$D$5:$D$204,"choice")=0,"ChoiceNodeId không tồn tại hoặc không phải choice",IF(COUNTIFS($A$5:$A$404,A243,$B$5:$B$404,B243)&gt;1,"Trùng OptionOrder trong cùng choice",IF(OR(B243="",C243="",D243="",F243="",H243=""),"Thiếu trường bắt buộc",IF(OR(COUNTIF($A$5:$A$404,A243)&lt;2,COUNTIF($A$5:$A$404,A243)&gt;4),"Mỗi choice cần 2–4 option",IF(COUNTIFS('02_KICH_BAN_NODES'!$B$5:$B$204,A243,'02_KICH_BAN_NODES'!$E$5:$E$204,"Kiến thức")=1,IF(COUNTIFS($A$5:$A$404,A243,$D$5:$D$404,"Có")&lt;&gt;1,"Choice kiến thức cần đúng 1 đáp án đúng",""),IF(COUNTIFS('02_KICH_BAN_NODES'!$B$5:$B$204,A243,'02_KICH_BAN_NODES'!$E$5:$E$204,"Tương tác")=1,IF(COUNTIFS($A$5:$A$404,A243,$D$5:$D$404,"Có")&lt;&gt;0,"Choice tương tác không được đánh dấu đáp án đúng",""),"Choice chưa chọn loại")))))))</f>
        <v/>
      </c>
    </row>
    <row r="244" spans="1:11">
      <c r="A244" s="13"/>
      <c r="B244" s="13"/>
      <c r="C244" s="5"/>
      <c r="D244" s="13"/>
      <c r="E244" s="13"/>
      <c r="F244" s="13"/>
      <c r="G244" s="13"/>
      <c r="H244" s="5"/>
      <c r="I244" s="5"/>
      <c r="J244" s="6" t="str">
        <f t="shared" si="3"/>
        <v/>
      </c>
      <c r="K244" s="6" t="str">
        <f>IF(A244="","",IF(COUNTIFS('02_KICH_BAN_NODES'!$B$5:$B$204,A244,'02_KICH_BAN_NODES'!$D$5:$D$204,"choice")=0,"ChoiceNodeId không tồn tại hoặc không phải choice",IF(COUNTIFS($A$5:$A$404,A244,$B$5:$B$404,B244)&gt;1,"Trùng OptionOrder trong cùng choice",IF(OR(B244="",C244="",D244="",F244="",H244=""),"Thiếu trường bắt buộc",IF(OR(COUNTIF($A$5:$A$404,A244)&lt;2,COUNTIF($A$5:$A$404,A244)&gt;4),"Mỗi choice cần 2–4 option",IF(COUNTIFS('02_KICH_BAN_NODES'!$B$5:$B$204,A244,'02_KICH_BAN_NODES'!$E$5:$E$204,"Kiến thức")=1,IF(COUNTIFS($A$5:$A$404,A244,$D$5:$D$404,"Có")&lt;&gt;1,"Choice kiến thức cần đúng 1 đáp án đúng",""),IF(COUNTIFS('02_KICH_BAN_NODES'!$B$5:$B$204,A244,'02_KICH_BAN_NODES'!$E$5:$E$204,"Tương tác")=1,IF(COUNTIFS($A$5:$A$404,A244,$D$5:$D$404,"Có")&lt;&gt;0,"Choice tương tác không được đánh dấu đáp án đúng",""),"Choice chưa chọn loại")))))))</f>
        <v/>
      </c>
    </row>
    <row r="245" spans="1:11">
      <c r="A245" s="13"/>
      <c r="B245" s="13"/>
      <c r="C245" s="5"/>
      <c r="D245" s="13"/>
      <c r="E245" s="13"/>
      <c r="F245" s="13"/>
      <c r="G245" s="13"/>
      <c r="H245" s="5"/>
      <c r="I245" s="5"/>
      <c r="J245" s="6" t="str">
        <f t="shared" si="3"/>
        <v/>
      </c>
      <c r="K245" s="6" t="str">
        <f>IF(A245="","",IF(COUNTIFS('02_KICH_BAN_NODES'!$B$5:$B$204,A245,'02_KICH_BAN_NODES'!$D$5:$D$204,"choice")=0,"ChoiceNodeId không tồn tại hoặc không phải choice",IF(COUNTIFS($A$5:$A$404,A245,$B$5:$B$404,B245)&gt;1,"Trùng OptionOrder trong cùng choice",IF(OR(B245="",C245="",D245="",F245="",H245=""),"Thiếu trường bắt buộc",IF(OR(COUNTIF($A$5:$A$404,A245)&lt;2,COUNTIF($A$5:$A$404,A245)&gt;4),"Mỗi choice cần 2–4 option",IF(COUNTIFS('02_KICH_BAN_NODES'!$B$5:$B$204,A245,'02_KICH_BAN_NODES'!$E$5:$E$204,"Kiến thức")=1,IF(COUNTIFS($A$5:$A$404,A245,$D$5:$D$404,"Có")&lt;&gt;1,"Choice kiến thức cần đúng 1 đáp án đúng",""),IF(COUNTIFS('02_KICH_BAN_NODES'!$B$5:$B$204,A245,'02_KICH_BAN_NODES'!$E$5:$E$204,"Tương tác")=1,IF(COUNTIFS($A$5:$A$404,A245,$D$5:$D$404,"Có")&lt;&gt;0,"Choice tương tác không được đánh dấu đáp án đúng",""),"Choice chưa chọn loại")))))))</f>
        <v/>
      </c>
    </row>
    <row r="246" spans="1:11">
      <c r="A246" s="13"/>
      <c r="B246" s="13"/>
      <c r="C246" s="5"/>
      <c r="D246" s="13"/>
      <c r="E246" s="13"/>
      <c r="F246" s="13"/>
      <c r="G246" s="13"/>
      <c r="H246" s="5"/>
      <c r="I246" s="5"/>
      <c r="J246" s="6" t="str">
        <f t="shared" si="3"/>
        <v/>
      </c>
      <c r="K246" s="6" t="str">
        <f>IF(A246="","",IF(COUNTIFS('02_KICH_BAN_NODES'!$B$5:$B$204,A246,'02_KICH_BAN_NODES'!$D$5:$D$204,"choice")=0,"ChoiceNodeId không tồn tại hoặc không phải choice",IF(COUNTIFS($A$5:$A$404,A246,$B$5:$B$404,B246)&gt;1,"Trùng OptionOrder trong cùng choice",IF(OR(B246="",C246="",D246="",F246="",H246=""),"Thiếu trường bắt buộc",IF(OR(COUNTIF($A$5:$A$404,A246)&lt;2,COUNTIF($A$5:$A$404,A246)&gt;4),"Mỗi choice cần 2–4 option",IF(COUNTIFS('02_KICH_BAN_NODES'!$B$5:$B$204,A246,'02_KICH_BAN_NODES'!$E$5:$E$204,"Kiến thức")=1,IF(COUNTIFS($A$5:$A$404,A246,$D$5:$D$404,"Có")&lt;&gt;1,"Choice kiến thức cần đúng 1 đáp án đúng",""),IF(COUNTIFS('02_KICH_BAN_NODES'!$B$5:$B$204,A246,'02_KICH_BAN_NODES'!$E$5:$E$204,"Tương tác")=1,IF(COUNTIFS($A$5:$A$404,A246,$D$5:$D$404,"Có")&lt;&gt;0,"Choice tương tác không được đánh dấu đáp án đúng",""),"Choice chưa chọn loại")))))))</f>
        <v/>
      </c>
    </row>
    <row r="247" spans="1:11">
      <c r="A247" s="13"/>
      <c r="B247" s="13"/>
      <c r="C247" s="5"/>
      <c r="D247" s="13"/>
      <c r="E247" s="13"/>
      <c r="F247" s="13"/>
      <c r="G247" s="13"/>
      <c r="H247" s="5"/>
      <c r="I247" s="5"/>
      <c r="J247" s="6" t="str">
        <f t="shared" si="3"/>
        <v/>
      </c>
      <c r="K247" s="6" t="str">
        <f>IF(A247="","",IF(COUNTIFS('02_KICH_BAN_NODES'!$B$5:$B$204,A247,'02_KICH_BAN_NODES'!$D$5:$D$204,"choice")=0,"ChoiceNodeId không tồn tại hoặc không phải choice",IF(COUNTIFS($A$5:$A$404,A247,$B$5:$B$404,B247)&gt;1,"Trùng OptionOrder trong cùng choice",IF(OR(B247="",C247="",D247="",F247="",H247=""),"Thiếu trường bắt buộc",IF(OR(COUNTIF($A$5:$A$404,A247)&lt;2,COUNTIF($A$5:$A$404,A247)&gt;4),"Mỗi choice cần 2–4 option",IF(COUNTIFS('02_KICH_BAN_NODES'!$B$5:$B$204,A247,'02_KICH_BAN_NODES'!$E$5:$E$204,"Kiến thức")=1,IF(COUNTIFS($A$5:$A$404,A247,$D$5:$D$404,"Có")&lt;&gt;1,"Choice kiến thức cần đúng 1 đáp án đúng",""),IF(COUNTIFS('02_KICH_BAN_NODES'!$B$5:$B$204,A247,'02_KICH_BAN_NODES'!$E$5:$E$204,"Tương tác")=1,IF(COUNTIFS($A$5:$A$404,A247,$D$5:$D$404,"Có")&lt;&gt;0,"Choice tương tác không được đánh dấu đáp án đúng",""),"Choice chưa chọn loại")))))))</f>
        <v/>
      </c>
    </row>
    <row r="248" spans="1:11">
      <c r="A248" s="13"/>
      <c r="B248" s="13"/>
      <c r="C248" s="5"/>
      <c r="D248" s="13"/>
      <c r="E248" s="13"/>
      <c r="F248" s="13"/>
      <c r="G248" s="13"/>
      <c r="H248" s="5"/>
      <c r="I248" s="5"/>
      <c r="J248" s="6" t="str">
        <f t="shared" si="3"/>
        <v/>
      </c>
      <c r="K248" s="6" t="str">
        <f>IF(A248="","",IF(COUNTIFS('02_KICH_BAN_NODES'!$B$5:$B$204,A248,'02_KICH_BAN_NODES'!$D$5:$D$204,"choice")=0,"ChoiceNodeId không tồn tại hoặc không phải choice",IF(COUNTIFS($A$5:$A$404,A248,$B$5:$B$404,B248)&gt;1,"Trùng OptionOrder trong cùng choice",IF(OR(B248="",C248="",D248="",F248="",H248=""),"Thiếu trường bắt buộc",IF(OR(COUNTIF($A$5:$A$404,A248)&lt;2,COUNTIF($A$5:$A$404,A248)&gt;4),"Mỗi choice cần 2–4 option",IF(COUNTIFS('02_KICH_BAN_NODES'!$B$5:$B$204,A248,'02_KICH_BAN_NODES'!$E$5:$E$204,"Kiến thức")=1,IF(COUNTIFS($A$5:$A$404,A248,$D$5:$D$404,"Có")&lt;&gt;1,"Choice kiến thức cần đúng 1 đáp án đúng",""),IF(COUNTIFS('02_KICH_BAN_NODES'!$B$5:$B$204,A248,'02_KICH_BAN_NODES'!$E$5:$E$204,"Tương tác")=1,IF(COUNTIFS($A$5:$A$404,A248,$D$5:$D$404,"Có")&lt;&gt;0,"Choice tương tác không được đánh dấu đáp án đúng",""),"Choice chưa chọn loại")))))))</f>
        <v/>
      </c>
    </row>
    <row r="249" spans="1:11">
      <c r="A249" s="13"/>
      <c r="B249" s="13"/>
      <c r="C249" s="5"/>
      <c r="D249" s="13"/>
      <c r="E249" s="13"/>
      <c r="F249" s="13"/>
      <c r="G249" s="13"/>
      <c r="H249" s="5"/>
      <c r="I249" s="5"/>
      <c r="J249" s="6" t="str">
        <f t="shared" si="3"/>
        <v/>
      </c>
      <c r="K249" s="6" t="str">
        <f>IF(A249="","",IF(COUNTIFS('02_KICH_BAN_NODES'!$B$5:$B$204,A249,'02_KICH_BAN_NODES'!$D$5:$D$204,"choice")=0,"ChoiceNodeId không tồn tại hoặc không phải choice",IF(COUNTIFS($A$5:$A$404,A249,$B$5:$B$404,B249)&gt;1,"Trùng OptionOrder trong cùng choice",IF(OR(B249="",C249="",D249="",F249="",H249=""),"Thiếu trường bắt buộc",IF(OR(COUNTIF($A$5:$A$404,A249)&lt;2,COUNTIF($A$5:$A$404,A249)&gt;4),"Mỗi choice cần 2–4 option",IF(COUNTIFS('02_KICH_BAN_NODES'!$B$5:$B$204,A249,'02_KICH_BAN_NODES'!$E$5:$E$204,"Kiến thức")=1,IF(COUNTIFS($A$5:$A$404,A249,$D$5:$D$404,"Có")&lt;&gt;1,"Choice kiến thức cần đúng 1 đáp án đúng",""),IF(COUNTIFS('02_KICH_BAN_NODES'!$B$5:$B$204,A249,'02_KICH_BAN_NODES'!$E$5:$E$204,"Tương tác")=1,IF(COUNTIFS($A$5:$A$404,A249,$D$5:$D$404,"Có")&lt;&gt;0,"Choice tương tác không được đánh dấu đáp án đúng",""),"Choice chưa chọn loại")))))))</f>
        <v/>
      </c>
    </row>
    <row r="250" spans="1:11">
      <c r="A250" s="13"/>
      <c r="B250" s="13"/>
      <c r="C250" s="5"/>
      <c r="D250" s="13"/>
      <c r="E250" s="13"/>
      <c r="F250" s="13"/>
      <c r="G250" s="13"/>
      <c r="H250" s="5"/>
      <c r="I250" s="5"/>
      <c r="J250" s="6" t="str">
        <f t="shared" si="3"/>
        <v/>
      </c>
      <c r="K250" s="6" t="str">
        <f>IF(A250="","",IF(COUNTIFS('02_KICH_BAN_NODES'!$B$5:$B$204,A250,'02_KICH_BAN_NODES'!$D$5:$D$204,"choice")=0,"ChoiceNodeId không tồn tại hoặc không phải choice",IF(COUNTIFS($A$5:$A$404,A250,$B$5:$B$404,B250)&gt;1,"Trùng OptionOrder trong cùng choice",IF(OR(B250="",C250="",D250="",F250="",H250=""),"Thiếu trường bắt buộc",IF(OR(COUNTIF($A$5:$A$404,A250)&lt;2,COUNTIF($A$5:$A$404,A250)&gt;4),"Mỗi choice cần 2–4 option",IF(COUNTIFS('02_KICH_BAN_NODES'!$B$5:$B$204,A250,'02_KICH_BAN_NODES'!$E$5:$E$204,"Kiến thức")=1,IF(COUNTIFS($A$5:$A$404,A250,$D$5:$D$404,"Có")&lt;&gt;1,"Choice kiến thức cần đúng 1 đáp án đúng",""),IF(COUNTIFS('02_KICH_BAN_NODES'!$B$5:$B$204,A250,'02_KICH_BAN_NODES'!$E$5:$E$204,"Tương tác")=1,IF(COUNTIFS($A$5:$A$404,A250,$D$5:$D$404,"Có")&lt;&gt;0,"Choice tương tác không được đánh dấu đáp án đúng",""),"Choice chưa chọn loại")))))))</f>
        <v/>
      </c>
    </row>
    <row r="251" spans="1:11">
      <c r="A251" s="13"/>
      <c r="B251" s="13"/>
      <c r="C251" s="5"/>
      <c r="D251" s="13"/>
      <c r="E251" s="13"/>
      <c r="F251" s="13"/>
      <c r="G251" s="13"/>
      <c r="H251" s="5"/>
      <c r="I251" s="5"/>
      <c r="J251" s="6" t="str">
        <f t="shared" si="3"/>
        <v/>
      </c>
      <c r="K251" s="6" t="str">
        <f>IF(A251="","",IF(COUNTIFS('02_KICH_BAN_NODES'!$B$5:$B$204,A251,'02_KICH_BAN_NODES'!$D$5:$D$204,"choice")=0,"ChoiceNodeId không tồn tại hoặc không phải choice",IF(COUNTIFS($A$5:$A$404,A251,$B$5:$B$404,B251)&gt;1,"Trùng OptionOrder trong cùng choice",IF(OR(B251="",C251="",D251="",F251="",H251=""),"Thiếu trường bắt buộc",IF(OR(COUNTIF($A$5:$A$404,A251)&lt;2,COUNTIF($A$5:$A$404,A251)&gt;4),"Mỗi choice cần 2–4 option",IF(COUNTIFS('02_KICH_BAN_NODES'!$B$5:$B$204,A251,'02_KICH_BAN_NODES'!$E$5:$E$204,"Kiến thức")=1,IF(COUNTIFS($A$5:$A$404,A251,$D$5:$D$404,"Có")&lt;&gt;1,"Choice kiến thức cần đúng 1 đáp án đúng",""),IF(COUNTIFS('02_KICH_BAN_NODES'!$B$5:$B$204,A251,'02_KICH_BAN_NODES'!$E$5:$E$204,"Tương tác")=1,IF(COUNTIFS($A$5:$A$404,A251,$D$5:$D$404,"Có")&lt;&gt;0,"Choice tương tác không được đánh dấu đáp án đúng",""),"Choice chưa chọn loại")))))))</f>
        <v/>
      </c>
    </row>
    <row r="252" spans="1:11">
      <c r="A252" s="13"/>
      <c r="B252" s="13"/>
      <c r="C252" s="5"/>
      <c r="D252" s="13"/>
      <c r="E252" s="13"/>
      <c r="F252" s="13"/>
      <c r="G252" s="13"/>
      <c r="H252" s="5"/>
      <c r="I252" s="5"/>
      <c r="J252" s="6" t="str">
        <f t="shared" si="3"/>
        <v/>
      </c>
      <c r="K252" s="6" t="str">
        <f>IF(A252="","",IF(COUNTIFS('02_KICH_BAN_NODES'!$B$5:$B$204,A252,'02_KICH_BAN_NODES'!$D$5:$D$204,"choice")=0,"ChoiceNodeId không tồn tại hoặc không phải choice",IF(COUNTIFS($A$5:$A$404,A252,$B$5:$B$404,B252)&gt;1,"Trùng OptionOrder trong cùng choice",IF(OR(B252="",C252="",D252="",F252="",H252=""),"Thiếu trường bắt buộc",IF(OR(COUNTIF($A$5:$A$404,A252)&lt;2,COUNTIF($A$5:$A$404,A252)&gt;4),"Mỗi choice cần 2–4 option",IF(COUNTIFS('02_KICH_BAN_NODES'!$B$5:$B$204,A252,'02_KICH_BAN_NODES'!$E$5:$E$204,"Kiến thức")=1,IF(COUNTIFS($A$5:$A$404,A252,$D$5:$D$404,"Có")&lt;&gt;1,"Choice kiến thức cần đúng 1 đáp án đúng",""),IF(COUNTIFS('02_KICH_BAN_NODES'!$B$5:$B$204,A252,'02_KICH_BAN_NODES'!$E$5:$E$204,"Tương tác")=1,IF(COUNTIFS($A$5:$A$404,A252,$D$5:$D$404,"Có")&lt;&gt;0,"Choice tương tác không được đánh dấu đáp án đúng",""),"Choice chưa chọn loại")))))))</f>
        <v/>
      </c>
    </row>
    <row r="253" spans="1:11">
      <c r="A253" s="13"/>
      <c r="B253" s="13"/>
      <c r="C253" s="5"/>
      <c r="D253" s="13"/>
      <c r="E253" s="13"/>
      <c r="F253" s="13"/>
      <c r="G253" s="13"/>
      <c r="H253" s="5"/>
      <c r="I253" s="5"/>
      <c r="J253" s="6" t="str">
        <f t="shared" si="3"/>
        <v/>
      </c>
      <c r="K253" s="6" t="str">
        <f>IF(A253="","",IF(COUNTIFS('02_KICH_BAN_NODES'!$B$5:$B$204,A253,'02_KICH_BAN_NODES'!$D$5:$D$204,"choice")=0,"ChoiceNodeId không tồn tại hoặc không phải choice",IF(COUNTIFS($A$5:$A$404,A253,$B$5:$B$404,B253)&gt;1,"Trùng OptionOrder trong cùng choice",IF(OR(B253="",C253="",D253="",F253="",H253=""),"Thiếu trường bắt buộc",IF(OR(COUNTIF($A$5:$A$404,A253)&lt;2,COUNTIF($A$5:$A$404,A253)&gt;4),"Mỗi choice cần 2–4 option",IF(COUNTIFS('02_KICH_BAN_NODES'!$B$5:$B$204,A253,'02_KICH_BAN_NODES'!$E$5:$E$204,"Kiến thức")=1,IF(COUNTIFS($A$5:$A$404,A253,$D$5:$D$404,"Có")&lt;&gt;1,"Choice kiến thức cần đúng 1 đáp án đúng",""),IF(COUNTIFS('02_KICH_BAN_NODES'!$B$5:$B$204,A253,'02_KICH_BAN_NODES'!$E$5:$E$204,"Tương tác")=1,IF(COUNTIFS($A$5:$A$404,A253,$D$5:$D$404,"Có")&lt;&gt;0,"Choice tương tác không được đánh dấu đáp án đúng",""),"Choice chưa chọn loại")))))))</f>
        <v/>
      </c>
    </row>
    <row r="254" spans="1:11">
      <c r="A254" s="13"/>
      <c r="B254" s="13"/>
      <c r="C254" s="5"/>
      <c r="D254" s="13"/>
      <c r="E254" s="13"/>
      <c r="F254" s="13"/>
      <c r="G254" s="13"/>
      <c r="H254" s="5"/>
      <c r="I254" s="5"/>
      <c r="J254" s="6" t="str">
        <f t="shared" si="3"/>
        <v/>
      </c>
      <c r="K254" s="6" t="str">
        <f>IF(A254="","",IF(COUNTIFS('02_KICH_BAN_NODES'!$B$5:$B$204,A254,'02_KICH_BAN_NODES'!$D$5:$D$204,"choice")=0,"ChoiceNodeId không tồn tại hoặc không phải choice",IF(COUNTIFS($A$5:$A$404,A254,$B$5:$B$404,B254)&gt;1,"Trùng OptionOrder trong cùng choice",IF(OR(B254="",C254="",D254="",F254="",H254=""),"Thiếu trường bắt buộc",IF(OR(COUNTIF($A$5:$A$404,A254)&lt;2,COUNTIF($A$5:$A$404,A254)&gt;4),"Mỗi choice cần 2–4 option",IF(COUNTIFS('02_KICH_BAN_NODES'!$B$5:$B$204,A254,'02_KICH_BAN_NODES'!$E$5:$E$204,"Kiến thức")=1,IF(COUNTIFS($A$5:$A$404,A254,$D$5:$D$404,"Có")&lt;&gt;1,"Choice kiến thức cần đúng 1 đáp án đúng",""),IF(COUNTIFS('02_KICH_BAN_NODES'!$B$5:$B$204,A254,'02_KICH_BAN_NODES'!$E$5:$E$204,"Tương tác")=1,IF(COUNTIFS($A$5:$A$404,A254,$D$5:$D$404,"Có")&lt;&gt;0,"Choice tương tác không được đánh dấu đáp án đúng",""),"Choice chưa chọn loại")))))))</f>
        <v/>
      </c>
    </row>
    <row r="255" spans="1:11">
      <c r="A255" s="13"/>
      <c r="B255" s="13"/>
      <c r="C255" s="5"/>
      <c r="D255" s="13"/>
      <c r="E255" s="13"/>
      <c r="F255" s="13"/>
      <c r="G255" s="13"/>
      <c r="H255" s="5"/>
      <c r="I255" s="5"/>
      <c r="J255" s="6" t="str">
        <f t="shared" si="3"/>
        <v/>
      </c>
      <c r="K255" s="6" t="str">
        <f>IF(A255="","",IF(COUNTIFS('02_KICH_BAN_NODES'!$B$5:$B$204,A255,'02_KICH_BAN_NODES'!$D$5:$D$204,"choice")=0,"ChoiceNodeId không tồn tại hoặc không phải choice",IF(COUNTIFS($A$5:$A$404,A255,$B$5:$B$404,B255)&gt;1,"Trùng OptionOrder trong cùng choice",IF(OR(B255="",C255="",D255="",F255="",H255=""),"Thiếu trường bắt buộc",IF(OR(COUNTIF($A$5:$A$404,A255)&lt;2,COUNTIF($A$5:$A$404,A255)&gt;4),"Mỗi choice cần 2–4 option",IF(COUNTIFS('02_KICH_BAN_NODES'!$B$5:$B$204,A255,'02_KICH_BAN_NODES'!$E$5:$E$204,"Kiến thức")=1,IF(COUNTIFS($A$5:$A$404,A255,$D$5:$D$404,"Có")&lt;&gt;1,"Choice kiến thức cần đúng 1 đáp án đúng",""),IF(COUNTIFS('02_KICH_BAN_NODES'!$B$5:$B$204,A255,'02_KICH_BAN_NODES'!$E$5:$E$204,"Tương tác")=1,IF(COUNTIFS($A$5:$A$404,A255,$D$5:$D$404,"Có")&lt;&gt;0,"Choice tương tác không được đánh dấu đáp án đúng",""),"Choice chưa chọn loại")))))))</f>
        <v/>
      </c>
    </row>
    <row r="256" spans="1:11">
      <c r="A256" s="13"/>
      <c r="B256" s="13"/>
      <c r="C256" s="5"/>
      <c r="D256" s="13"/>
      <c r="E256" s="13"/>
      <c r="F256" s="13"/>
      <c r="G256" s="13"/>
      <c r="H256" s="5"/>
      <c r="I256" s="5"/>
      <c r="J256" s="6" t="str">
        <f t="shared" si="3"/>
        <v/>
      </c>
      <c r="K256" s="6" t="str">
        <f>IF(A256="","",IF(COUNTIFS('02_KICH_BAN_NODES'!$B$5:$B$204,A256,'02_KICH_BAN_NODES'!$D$5:$D$204,"choice")=0,"ChoiceNodeId không tồn tại hoặc không phải choice",IF(COUNTIFS($A$5:$A$404,A256,$B$5:$B$404,B256)&gt;1,"Trùng OptionOrder trong cùng choice",IF(OR(B256="",C256="",D256="",F256="",H256=""),"Thiếu trường bắt buộc",IF(OR(COUNTIF($A$5:$A$404,A256)&lt;2,COUNTIF($A$5:$A$404,A256)&gt;4),"Mỗi choice cần 2–4 option",IF(COUNTIFS('02_KICH_BAN_NODES'!$B$5:$B$204,A256,'02_KICH_BAN_NODES'!$E$5:$E$204,"Kiến thức")=1,IF(COUNTIFS($A$5:$A$404,A256,$D$5:$D$404,"Có")&lt;&gt;1,"Choice kiến thức cần đúng 1 đáp án đúng",""),IF(COUNTIFS('02_KICH_BAN_NODES'!$B$5:$B$204,A256,'02_KICH_BAN_NODES'!$E$5:$E$204,"Tương tác")=1,IF(COUNTIFS($A$5:$A$404,A256,$D$5:$D$404,"Có")&lt;&gt;0,"Choice tương tác không được đánh dấu đáp án đúng",""),"Choice chưa chọn loại")))))))</f>
        <v/>
      </c>
    </row>
    <row r="257" spans="1:11">
      <c r="A257" s="13"/>
      <c r="B257" s="13"/>
      <c r="C257" s="5"/>
      <c r="D257" s="13"/>
      <c r="E257" s="13"/>
      <c r="F257" s="13"/>
      <c r="G257" s="13"/>
      <c r="H257" s="5"/>
      <c r="I257" s="5"/>
      <c r="J257" s="6" t="str">
        <f t="shared" si="3"/>
        <v/>
      </c>
      <c r="K257" s="6" t="str">
        <f>IF(A257="","",IF(COUNTIFS('02_KICH_BAN_NODES'!$B$5:$B$204,A257,'02_KICH_BAN_NODES'!$D$5:$D$204,"choice")=0,"ChoiceNodeId không tồn tại hoặc không phải choice",IF(COUNTIFS($A$5:$A$404,A257,$B$5:$B$404,B257)&gt;1,"Trùng OptionOrder trong cùng choice",IF(OR(B257="",C257="",D257="",F257="",H257=""),"Thiếu trường bắt buộc",IF(OR(COUNTIF($A$5:$A$404,A257)&lt;2,COUNTIF($A$5:$A$404,A257)&gt;4),"Mỗi choice cần 2–4 option",IF(COUNTIFS('02_KICH_BAN_NODES'!$B$5:$B$204,A257,'02_KICH_BAN_NODES'!$E$5:$E$204,"Kiến thức")=1,IF(COUNTIFS($A$5:$A$404,A257,$D$5:$D$404,"Có")&lt;&gt;1,"Choice kiến thức cần đúng 1 đáp án đúng",""),IF(COUNTIFS('02_KICH_BAN_NODES'!$B$5:$B$204,A257,'02_KICH_BAN_NODES'!$E$5:$E$204,"Tương tác")=1,IF(COUNTIFS($A$5:$A$404,A257,$D$5:$D$404,"Có")&lt;&gt;0,"Choice tương tác không được đánh dấu đáp án đúng",""),"Choice chưa chọn loại")))))))</f>
        <v/>
      </c>
    </row>
    <row r="258" spans="1:11">
      <c r="A258" s="13"/>
      <c r="B258" s="13"/>
      <c r="C258" s="5"/>
      <c r="D258" s="13"/>
      <c r="E258" s="13"/>
      <c r="F258" s="13"/>
      <c r="G258" s="13"/>
      <c r="H258" s="5"/>
      <c r="I258" s="5"/>
      <c r="J258" s="6" t="str">
        <f t="shared" si="3"/>
        <v/>
      </c>
      <c r="K258" s="6" t="str">
        <f>IF(A258="","",IF(COUNTIFS('02_KICH_BAN_NODES'!$B$5:$B$204,A258,'02_KICH_BAN_NODES'!$D$5:$D$204,"choice")=0,"ChoiceNodeId không tồn tại hoặc không phải choice",IF(COUNTIFS($A$5:$A$404,A258,$B$5:$B$404,B258)&gt;1,"Trùng OptionOrder trong cùng choice",IF(OR(B258="",C258="",D258="",F258="",H258=""),"Thiếu trường bắt buộc",IF(OR(COUNTIF($A$5:$A$404,A258)&lt;2,COUNTIF($A$5:$A$404,A258)&gt;4),"Mỗi choice cần 2–4 option",IF(COUNTIFS('02_KICH_BAN_NODES'!$B$5:$B$204,A258,'02_KICH_BAN_NODES'!$E$5:$E$204,"Kiến thức")=1,IF(COUNTIFS($A$5:$A$404,A258,$D$5:$D$404,"Có")&lt;&gt;1,"Choice kiến thức cần đúng 1 đáp án đúng",""),IF(COUNTIFS('02_KICH_BAN_NODES'!$B$5:$B$204,A258,'02_KICH_BAN_NODES'!$E$5:$E$204,"Tương tác")=1,IF(COUNTIFS($A$5:$A$404,A258,$D$5:$D$404,"Có")&lt;&gt;0,"Choice tương tác không được đánh dấu đáp án đúng",""),"Choice chưa chọn loại")))))))</f>
        <v/>
      </c>
    </row>
    <row r="259" spans="1:11">
      <c r="A259" s="13"/>
      <c r="B259" s="13"/>
      <c r="C259" s="5"/>
      <c r="D259" s="13"/>
      <c r="E259" s="13"/>
      <c r="F259" s="13"/>
      <c r="G259" s="13"/>
      <c r="H259" s="5"/>
      <c r="I259" s="5"/>
      <c r="J259" s="6" t="str">
        <f t="shared" si="3"/>
        <v/>
      </c>
      <c r="K259" s="6" t="str">
        <f>IF(A259="","",IF(COUNTIFS('02_KICH_BAN_NODES'!$B$5:$B$204,A259,'02_KICH_BAN_NODES'!$D$5:$D$204,"choice")=0,"ChoiceNodeId không tồn tại hoặc không phải choice",IF(COUNTIFS($A$5:$A$404,A259,$B$5:$B$404,B259)&gt;1,"Trùng OptionOrder trong cùng choice",IF(OR(B259="",C259="",D259="",F259="",H259=""),"Thiếu trường bắt buộc",IF(OR(COUNTIF($A$5:$A$404,A259)&lt;2,COUNTIF($A$5:$A$404,A259)&gt;4),"Mỗi choice cần 2–4 option",IF(COUNTIFS('02_KICH_BAN_NODES'!$B$5:$B$204,A259,'02_KICH_BAN_NODES'!$E$5:$E$204,"Kiến thức")=1,IF(COUNTIFS($A$5:$A$404,A259,$D$5:$D$404,"Có")&lt;&gt;1,"Choice kiến thức cần đúng 1 đáp án đúng",""),IF(COUNTIFS('02_KICH_BAN_NODES'!$B$5:$B$204,A259,'02_KICH_BAN_NODES'!$E$5:$E$204,"Tương tác")=1,IF(COUNTIFS($A$5:$A$404,A259,$D$5:$D$404,"Có")&lt;&gt;0,"Choice tương tác không được đánh dấu đáp án đúng",""),"Choice chưa chọn loại")))))))</f>
        <v/>
      </c>
    </row>
    <row r="260" spans="1:11">
      <c r="A260" s="13"/>
      <c r="B260" s="13"/>
      <c r="C260" s="5"/>
      <c r="D260" s="13"/>
      <c r="E260" s="13"/>
      <c r="F260" s="13"/>
      <c r="G260" s="13"/>
      <c r="H260" s="5"/>
      <c r="I260" s="5"/>
      <c r="J260" s="6" t="str">
        <f t="shared" si="3"/>
        <v/>
      </c>
      <c r="K260" s="6" t="str">
        <f>IF(A260="","",IF(COUNTIFS('02_KICH_BAN_NODES'!$B$5:$B$204,A260,'02_KICH_BAN_NODES'!$D$5:$D$204,"choice")=0,"ChoiceNodeId không tồn tại hoặc không phải choice",IF(COUNTIFS($A$5:$A$404,A260,$B$5:$B$404,B260)&gt;1,"Trùng OptionOrder trong cùng choice",IF(OR(B260="",C260="",D260="",F260="",H260=""),"Thiếu trường bắt buộc",IF(OR(COUNTIF($A$5:$A$404,A260)&lt;2,COUNTIF($A$5:$A$404,A260)&gt;4),"Mỗi choice cần 2–4 option",IF(COUNTIFS('02_KICH_BAN_NODES'!$B$5:$B$204,A260,'02_KICH_BAN_NODES'!$E$5:$E$204,"Kiến thức")=1,IF(COUNTIFS($A$5:$A$404,A260,$D$5:$D$404,"Có")&lt;&gt;1,"Choice kiến thức cần đúng 1 đáp án đúng",""),IF(COUNTIFS('02_KICH_BAN_NODES'!$B$5:$B$204,A260,'02_KICH_BAN_NODES'!$E$5:$E$204,"Tương tác")=1,IF(COUNTIFS($A$5:$A$404,A260,$D$5:$D$404,"Có")&lt;&gt;0,"Choice tương tác không được đánh dấu đáp án đúng",""),"Choice chưa chọn loại")))))))</f>
        <v/>
      </c>
    </row>
    <row r="261" spans="1:11">
      <c r="A261" s="13"/>
      <c r="B261" s="13"/>
      <c r="C261" s="5"/>
      <c r="D261" s="13"/>
      <c r="E261" s="13"/>
      <c r="F261" s="13"/>
      <c r="G261" s="13"/>
      <c r="H261" s="5"/>
      <c r="I261" s="5"/>
      <c r="J261" s="6" t="str">
        <f t="shared" ref="J261:J324" si="4">IF(A261="","",IF(K261="","HỢP LỆ","CẦN SỬA"))</f>
        <v/>
      </c>
      <c r="K261" s="6" t="str">
        <f>IF(A261="","",IF(COUNTIFS('02_KICH_BAN_NODES'!$B$5:$B$204,A261,'02_KICH_BAN_NODES'!$D$5:$D$204,"choice")=0,"ChoiceNodeId không tồn tại hoặc không phải choice",IF(COUNTIFS($A$5:$A$404,A261,$B$5:$B$404,B261)&gt;1,"Trùng OptionOrder trong cùng choice",IF(OR(B261="",C261="",D261="",F261="",H261=""),"Thiếu trường bắt buộc",IF(OR(COUNTIF($A$5:$A$404,A261)&lt;2,COUNTIF($A$5:$A$404,A261)&gt;4),"Mỗi choice cần 2–4 option",IF(COUNTIFS('02_KICH_BAN_NODES'!$B$5:$B$204,A261,'02_KICH_BAN_NODES'!$E$5:$E$204,"Kiến thức")=1,IF(COUNTIFS($A$5:$A$404,A261,$D$5:$D$404,"Có")&lt;&gt;1,"Choice kiến thức cần đúng 1 đáp án đúng",""),IF(COUNTIFS('02_KICH_BAN_NODES'!$B$5:$B$204,A261,'02_KICH_BAN_NODES'!$E$5:$E$204,"Tương tác")=1,IF(COUNTIFS($A$5:$A$404,A261,$D$5:$D$404,"Có")&lt;&gt;0,"Choice tương tác không được đánh dấu đáp án đúng",""),"Choice chưa chọn loại")))))))</f>
        <v/>
      </c>
    </row>
    <row r="262" spans="1:11">
      <c r="A262" s="13"/>
      <c r="B262" s="13"/>
      <c r="C262" s="5"/>
      <c r="D262" s="13"/>
      <c r="E262" s="13"/>
      <c r="F262" s="13"/>
      <c r="G262" s="13"/>
      <c r="H262" s="5"/>
      <c r="I262" s="5"/>
      <c r="J262" s="6" t="str">
        <f t="shared" si="4"/>
        <v/>
      </c>
      <c r="K262" s="6" t="str">
        <f>IF(A262="","",IF(COUNTIFS('02_KICH_BAN_NODES'!$B$5:$B$204,A262,'02_KICH_BAN_NODES'!$D$5:$D$204,"choice")=0,"ChoiceNodeId không tồn tại hoặc không phải choice",IF(COUNTIFS($A$5:$A$404,A262,$B$5:$B$404,B262)&gt;1,"Trùng OptionOrder trong cùng choice",IF(OR(B262="",C262="",D262="",F262="",H262=""),"Thiếu trường bắt buộc",IF(OR(COUNTIF($A$5:$A$404,A262)&lt;2,COUNTIF($A$5:$A$404,A262)&gt;4),"Mỗi choice cần 2–4 option",IF(COUNTIFS('02_KICH_BAN_NODES'!$B$5:$B$204,A262,'02_KICH_BAN_NODES'!$E$5:$E$204,"Kiến thức")=1,IF(COUNTIFS($A$5:$A$404,A262,$D$5:$D$404,"Có")&lt;&gt;1,"Choice kiến thức cần đúng 1 đáp án đúng",""),IF(COUNTIFS('02_KICH_BAN_NODES'!$B$5:$B$204,A262,'02_KICH_BAN_NODES'!$E$5:$E$204,"Tương tác")=1,IF(COUNTIFS($A$5:$A$404,A262,$D$5:$D$404,"Có")&lt;&gt;0,"Choice tương tác không được đánh dấu đáp án đúng",""),"Choice chưa chọn loại")))))))</f>
        <v/>
      </c>
    </row>
    <row r="263" spans="1:11">
      <c r="A263" s="13"/>
      <c r="B263" s="13"/>
      <c r="C263" s="5"/>
      <c r="D263" s="13"/>
      <c r="E263" s="13"/>
      <c r="F263" s="13"/>
      <c r="G263" s="13"/>
      <c r="H263" s="5"/>
      <c r="I263" s="5"/>
      <c r="J263" s="6" t="str">
        <f t="shared" si="4"/>
        <v/>
      </c>
      <c r="K263" s="6" t="str">
        <f>IF(A263="","",IF(COUNTIFS('02_KICH_BAN_NODES'!$B$5:$B$204,A263,'02_KICH_BAN_NODES'!$D$5:$D$204,"choice")=0,"ChoiceNodeId không tồn tại hoặc không phải choice",IF(COUNTIFS($A$5:$A$404,A263,$B$5:$B$404,B263)&gt;1,"Trùng OptionOrder trong cùng choice",IF(OR(B263="",C263="",D263="",F263="",H263=""),"Thiếu trường bắt buộc",IF(OR(COUNTIF($A$5:$A$404,A263)&lt;2,COUNTIF($A$5:$A$404,A263)&gt;4),"Mỗi choice cần 2–4 option",IF(COUNTIFS('02_KICH_BAN_NODES'!$B$5:$B$204,A263,'02_KICH_BAN_NODES'!$E$5:$E$204,"Kiến thức")=1,IF(COUNTIFS($A$5:$A$404,A263,$D$5:$D$404,"Có")&lt;&gt;1,"Choice kiến thức cần đúng 1 đáp án đúng",""),IF(COUNTIFS('02_KICH_BAN_NODES'!$B$5:$B$204,A263,'02_KICH_BAN_NODES'!$E$5:$E$204,"Tương tác")=1,IF(COUNTIFS($A$5:$A$404,A263,$D$5:$D$404,"Có")&lt;&gt;0,"Choice tương tác không được đánh dấu đáp án đúng",""),"Choice chưa chọn loại")))))))</f>
        <v/>
      </c>
    </row>
    <row r="264" spans="1:11">
      <c r="A264" s="13"/>
      <c r="B264" s="13"/>
      <c r="C264" s="5"/>
      <c r="D264" s="13"/>
      <c r="E264" s="13"/>
      <c r="F264" s="13"/>
      <c r="G264" s="13"/>
      <c r="H264" s="5"/>
      <c r="I264" s="5"/>
      <c r="J264" s="6" t="str">
        <f t="shared" si="4"/>
        <v/>
      </c>
      <c r="K264" s="6" t="str">
        <f>IF(A264="","",IF(COUNTIFS('02_KICH_BAN_NODES'!$B$5:$B$204,A264,'02_KICH_BAN_NODES'!$D$5:$D$204,"choice")=0,"ChoiceNodeId không tồn tại hoặc không phải choice",IF(COUNTIFS($A$5:$A$404,A264,$B$5:$B$404,B264)&gt;1,"Trùng OptionOrder trong cùng choice",IF(OR(B264="",C264="",D264="",F264="",H264=""),"Thiếu trường bắt buộc",IF(OR(COUNTIF($A$5:$A$404,A264)&lt;2,COUNTIF($A$5:$A$404,A264)&gt;4),"Mỗi choice cần 2–4 option",IF(COUNTIFS('02_KICH_BAN_NODES'!$B$5:$B$204,A264,'02_KICH_BAN_NODES'!$E$5:$E$204,"Kiến thức")=1,IF(COUNTIFS($A$5:$A$404,A264,$D$5:$D$404,"Có")&lt;&gt;1,"Choice kiến thức cần đúng 1 đáp án đúng",""),IF(COUNTIFS('02_KICH_BAN_NODES'!$B$5:$B$204,A264,'02_KICH_BAN_NODES'!$E$5:$E$204,"Tương tác")=1,IF(COUNTIFS($A$5:$A$404,A264,$D$5:$D$404,"Có")&lt;&gt;0,"Choice tương tác không được đánh dấu đáp án đúng",""),"Choice chưa chọn loại")))))))</f>
        <v/>
      </c>
    </row>
    <row r="265" spans="1:11">
      <c r="A265" s="13"/>
      <c r="B265" s="13"/>
      <c r="C265" s="5"/>
      <c r="D265" s="13"/>
      <c r="E265" s="13"/>
      <c r="F265" s="13"/>
      <c r="G265" s="13"/>
      <c r="H265" s="5"/>
      <c r="I265" s="5"/>
      <c r="J265" s="6" t="str">
        <f t="shared" si="4"/>
        <v/>
      </c>
      <c r="K265" s="6" t="str">
        <f>IF(A265="","",IF(COUNTIFS('02_KICH_BAN_NODES'!$B$5:$B$204,A265,'02_KICH_BAN_NODES'!$D$5:$D$204,"choice")=0,"ChoiceNodeId không tồn tại hoặc không phải choice",IF(COUNTIFS($A$5:$A$404,A265,$B$5:$B$404,B265)&gt;1,"Trùng OptionOrder trong cùng choice",IF(OR(B265="",C265="",D265="",F265="",H265=""),"Thiếu trường bắt buộc",IF(OR(COUNTIF($A$5:$A$404,A265)&lt;2,COUNTIF($A$5:$A$404,A265)&gt;4),"Mỗi choice cần 2–4 option",IF(COUNTIFS('02_KICH_BAN_NODES'!$B$5:$B$204,A265,'02_KICH_BAN_NODES'!$E$5:$E$204,"Kiến thức")=1,IF(COUNTIFS($A$5:$A$404,A265,$D$5:$D$404,"Có")&lt;&gt;1,"Choice kiến thức cần đúng 1 đáp án đúng",""),IF(COUNTIFS('02_KICH_BAN_NODES'!$B$5:$B$204,A265,'02_KICH_BAN_NODES'!$E$5:$E$204,"Tương tác")=1,IF(COUNTIFS($A$5:$A$404,A265,$D$5:$D$404,"Có")&lt;&gt;0,"Choice tương tác không được đánh dấu đáp án đúng",""),"Choice chưa chọn loại")))))))</f>
        <v/>
      </c>
    </row>
    <row r="266" spans="1:11">
      <c r="A266" s="13"/>
      <c r="B266" s="13"/>
      <c r="C266" s="5"/>
      <c r="D266" s="13"/>
      <c r="E266" s="13"/>
      <c r="F266" s="13"/>
      <c r="G266" s="13"/>
      <c r="H266" s="5"/>
      <c r="I266" s="5"/>
      <c r="J266" s="6" t="str">
        <f t="shared" si="4"/>
        <v/>
      </c>
      <c r="K266" s="6" t="str">
        <f>IF(A266="","",IF(COUNTIFS('02_KICH_BAN_NODES'!$B$5:$B$204,A266,'02_KICH_BAN_NODES'!$D$5:$D$204,"choice")=0,"ChoiceNodeId không tồn tại hoặc không phải choice",IF(COUNTIFS($A$5:$A$404,A266,$B$5:$B$404,B266)&gt;1,"Trùng OptionOrder trong cùng choice",IF(OR(B266="",C266="",D266="",F266="",H266=""),"Thiếu trường bắt buộc",IF(OR(COUNTIF($A$5:$A$404,A266)&lt;2,COUNTIF($A$5:$A$404,A266)&gt;4),"Mỗi choice cần 2–4 option",IF(COUNTIFS('02_KICH_BAN_NODES'!$B$5:$B$204,A266,'02_KICH_BAN_NODES'!$E$5:$E$204,"Kiến thức")=1,IF(COUNTIFS($A$5:$A$404,A266,$D$5:$D$404,"Có")&lt;&gt;1,"Choice kiến thức cần đúng 1 đáp án đúng",""),IF(COUNTIFS('02_KICH_BAN_NODES'!$B$5:$B$204,A266,'02_KICH_BAN_NODES'!$E$5:$E$204,"Tương tác")=1,IF(COUNTIFS($A$5:$A$404,A266,$D$5:$D$404,"Có")&lt;&gt;0,"Choice tương tác không được đánh dấu đáp án đúng",""),"Choice chưa chọn loại")))))))</f>
        <v/>
      </c>
    </row>
    <row r="267" spans="1:11">
      <c r="A267" s="13"/>
      <c r="B267" s="13"/>
      <c r="C267" s="5"/>
      <c r="D267" s="13"/>
      <c r="E267" s="13"/>
      <c r="F267" s="13"/>
      <c r="G267" s="13"/>
      <c r="H267" s="5"/>
      <c r="I267" s="5"/>
      <c r="J267" s="6" t="str">
        <f t="shared" si="4"/>
        <v/>
      </c>
      <c r="K267" s="6" t="str">
        <f>IF(A267="","",IF(COUNTIFS('02_KICH_BAN_NODES'!$B$5:$B$204,A267,'02_KICH_BAN_NODES'!$D$5:$D$204,"choice")=0,"ChoiceNodeId không tồn tại hoặc không phải choice",IF(COUNTIFS($A$5:$A$404,A267,$B$5:$B$404,B267)&gt;1,"Trùng OptionOrder trong cùng choice",IF(OR(B267="",C267="",D267="",F267="",H267=""),"Thiếu trường bắt buộc",IF(OR(COUNTIF($A$5:$A$404,A267)&lt;2,COUNTIF($A$5:$A$404,A267)&gt;4),"Mỗi choice cần 2–4 option",IF(COUNTIFS('02_KICH_BAN_NODES'!$B$5:$B$204,A267,'02_KICH_BAN_NODES'!$E$5:$E$204,"Kiến thức")=1,IF(COUNTIFS($A$5:$A$404,A267,$D$5:$D$404,"Có")&lt;&gt;1,"Choice kiến thức cần đúng 1 đáp án đúng",""),IF(COUNTIFS('02_KICH_BAN_NODES'!$B$5:$B$204,A267,'02_KICH_BAN_NODES'!$E$5:$E$204,"Tương tác")=1,IF(COUNTIFS($A$5:$A$404,A267,$D$5:$D$404,"Có")&lt;&gt;0,"Choice tương tác không được đánh dấu đáp án đúng",""),"Choice chưa chọn loại")))))))</f>
        <v/>
      </c>
    </row>
    <row r="268" spans="1:11">
      <c r="A268" s="13"/>
      <c r="B268" s="13"/>
      <c r="C268" s="5"/>
      <c r="D268" s="13"/>
      <c r="E268" s="13"/>
      <c r="F268" s="13"/>
      <c r="G268" s="13"/>
      <c r="H268" s="5"/>
      <c r="I268" s="5"/>
      <c r="J268" s="6" t="str">
        <f t="shared" si="4"/>
        <v/>
      </c>
      <c r="K268" s="6" t="str">
        <f>IF(A268="","",IF(COUNTIFS('02_KICH_BAN_NODES'!$B$5:$B$204,A268,'02_KICH_BAN_NODES'!$D$5:$D$204,"choice")=0,"ChoiceNodeId không tồn tại hoặc không phải choice",IF(COUNTIFS($A$5:$A$404,A268,$B$5:$B$404,B268)&gt;1,"Trùng OptionOrder trong cùng choice",IF(OR(B268="",C268="",D268="",F268="",H268=""),"Thiếu trường bắt buộc",IF(OR(COUNTIF($A$5:$A$404,A268)&lt;2,COUNTIF($A$5:$A$404,A268)&gt;4),"Mỗi choice cần 2–4 option",IF(COUNTIFS('02_KICH_BAN_NODES'!$B$5:$B$204,A268,'02_KICH_BAN_NODES'!$E$5:$E$204,"Kiến thức")=1,IF(COUNTIFS($A$5:$A$404,A268,$D$5:$D$404,"Có")&lt;&gt;1,"Choice kiến thức cần đúng 1 đáp án đúng",""),IF(COUNTIFS('02_KICH_BAN_NODES'!$B$5:$B$204,A268,'02_KICH_BAN_NODES'!$E$5:$E$204,"Tương tác")=1,IF(COUNTIFS($A$5:$A$404,A268,$D$5:$D$404,"Có")&lt;&gt;0,"Choice tương tác không được đánh dấu đáp án đúng",""),"Choice chưa chọn loại")))))))</f>
        <v/>
      </c>
    </row>
    <row r="269" spans="1:11">
      <c r="A269" s="13"/>
      <c r="B269" s="13"/>
      <c r="C269" s="5"/>
      <c r="D269" s="13"/>
      <c r="E269" s="13"/>
      <c r="F269" s="13"/>
      <c r="G269" s="13"/>
      <c r="H269" s="5"/>
      <c r="I269" s="5"/>
      <c r="J269" s="6" t="str">
        <f t="shared" si="4"/>
        <v/>
      </c>
      <c r="K269" s="6" t="str">
        <f>IF(A269="","",IF(COUNTIFS('02_KICH_BAN_NODES'!$B$5:$B$204,A269,'02_KICH_BAN_NODES'!$D$5:$D$204,"choice")=0,"ChoiceNodeId không tồn tại hoặc không phải choice",IF(COUNTIFS($A$5:$A$404,A269,$B$5:$B$404,B269)&gt;1,"Trùng OptionOrder trong cùng choice",IF(OR(B269="",C269="",D269="",F269="",H269=""),"Thiếu trường bắt buộc",IF(OR(COUNTIF($A$5:$A$404,A269)&lt;2,COUNTIF($A$5:$A$404,A269)&gt;4),"Mỗi choice cần 2–4 option",IF(COUNTIFS('02_KICH_BAN_NODES'!$B$5:$B$204,A269,'02_KICH_BAN_NODES'!$E$5:$E$204,"Kiến thức")=1,IF(COUNTIFS($A$5:$A$404,A269,$D$5:$D$404,"Có")&lt;&gt;1,"Choice kiến thức cần đúng 1 đáp án đúng",""),IF(COUNTIFS('02_KICH_BAN_NODES'!$B$5:$B$204,A269,'02_KICH_BAN_NODES'!$E$5:$E$204,"Tương tác")=1,IF(COUNTIFS($A$5:$A$404,A269,$D$5:$D$404,"Có")&lt;&gt;0,"Choice tương tác không được đánh dấu đáp án đúng",""),"Choice chưa chọn loại")))))))</f>
        <v/>
      </c>
    </row>
    <row r="270" spans="1:11">
      <c r="A270" s="13"/>
      <c r="B270" s="13"/>
      <c r="C270" s="5"/>
      <c r="D270" s="13"/>
      <c r="E270" s="13"/>
      <c r="F270" s="13"/>
      <c r="G270" s="13"/>
      <c r="H270" s="5"/>
      <c r="I270" s="5"/>
      <c r="J270" s="6" t="str">
        <f t="shared" si="4"/>
        <v/>
      </c>
      <c r="K270" s="6" t="str">
        <f>IF(A270="","",IF(COUNTIFS('02_KICH_BAN_NODES'!$B$5:$B$204,A270,'02_KICH_BAN_NODES'!$D$5:$D$204,"choice")=0,"ChoiceNodeId không tồn tại hoặc không phải choice",IF(COUNTIFS($A$5:$A$404,A270,$B$5:$B$404,B270)&gt;1,"Trùng OptionOrder trong cùng choice",IF(OR(B270="",C270="",D270="",F270="",H270=""),"Thiếu trường bắt buộc",IF(OR(COUNTIF($A$5:$A$404,A270)&lt;2,COUNTIF($A$5:$A$404,A270)&gt;4),"Mỗi choice cần 2–4 option",IF(COUNTIFS('02_KICH_BAN_NODES'!$B$5:$B$204,A270,'02_KICH_BAN_NODES'!$E$5:$E$204,"Kiến thức")=1,IF(COUNTIFS($A$5:$A$404,A270,$D$5:$D$404,"Có")&lt;&gt;1,"Choice kiến thức cần đúng 1 đáp án đúng",""),IF(COUNTIFS('02_KICH_BAN_NODES'!$B$5:$B$204,A270,'02_KICH_BAN_NODES'!$E$5:$E$204,"Tương tác")=1,IF(COUNTIFS($A$5:$A$404,A270,$D$5:$D$404,"Có")&lt;&gt;0,"Choice tương tác không được đánh dấu đáp án đúng",""),"Choice chưa chọn loại")))))))</f>
        <v/>
      </c>
    </row>
    <row r="271" spans="1:11">
      <c r="A271" s="13"/>
      <c r="B271" s="13"/>
      <c r="C271" s="5"/>
      <c r="D271" s="13"/>
      <c r="E271" s="13"/>
      <c r="F271" s="13"/>
      <c r="G271" s="13"/>
      <c r="H271" s="5"/>
      <c r="I271" s="5"/>
      <c r="J271" s="6" t="str">
        <f t="shared" si="4"/>
        <v/>
      </c>
      <c r="K271" s="6" t="str">
        <f>IF(A271="","",IF(COUNTIFS('02_KICH_BAN_NODES'!$B$5:$B$204,A271,'02_KICH_BAN_NODES'!$D$5:$D$204,"choice")=0,"ChoiceNodeId không tồn tại hoặc không phải choice",IF(COUNTIFS($A$5:$A$404,A271,$B$5:$B$404,B271)&gt;1,"Trùng OptionOrder trong cùng choice",IF(OR(B271="",C271="",D271="",F271="",H271=""),"Thiếu trường bắt buộc",IF(OR(COUNTIF($A$5:$A$404,A271)&lt;2,COUNTIF($A$5:$A$404,A271)&gt;4),"Mỗi choice cần 2–4 option",IF(COUNTIFS('02_KICH_BAN_NODES'!$B$5:$B$204,A271,'02_KICH_BAN_NODES'!$E$5:$E$204,"Kiến thức")=1,IF(COUNTIFS($A$5:$A$404,A271,$D$5:$D$404,"Có")&lt;&gt;1,"Choice kiến thức cần đúng 1 đáp án đúng",""),IF(COUNTIFS('02_KICH_BAN_NODES'!$B$5:$B$204,A271,'02_KICH_BAN_NODES'!$E$5:$E$204,"Tương tác")=1,IF(COUNTIFS($A$5:$A$404,A271,$D$5:$D$404,"Có")&lt;&gt;0,"Choice tương tác không được đánh dấu đáp án đúng",""),"Choice chưa chọn loại")))))))</f>
        <v/>
      </c>
    </row>
    <row r="272" spans="1:11">
      <c r="A272" s="13"/>
      <c r="B272" s="13"/>
      <c r="C272" s="5"/>
      <c r="D272" s="13"/>
      <c r="E272" s="13"/>
      <c r="F272" s="13"/>
      <c r="G272" s="13"/>
      <c r="H272" s="5"/>
      <c r="I272" s="5"/>
      <c r="J272" s="6" t="str">
        <f t="shared" si="4"/>
        <v/>
      </c>
      <c r="K272" s="6" t="str">
        <f>IF(A272="","",IF(COUNTIFS('02_KICH_BAN_NODES'!$B$5:$B$204,A272,'02_KICH_BAN_NODES'!$D$5:$D$204,"choice")=0,"ChoiceNodeId không tồn tại hoặc không phải choice",IF(COUNTIFS($A$5:$A$404,A272,$B$5:$B$404,B272)&gt;1,"Trùng OptionOrder trong cùng choice",IF(OR(B272="",C272="",D272="",F272="",H272=""),"Thiếu trường bắt buộc",IF(OR(COUNTIF($A$5:$A$404,A272)&lt;2,COUNTIF($A$5:$A$404,A272)&gt;4),"Mỗi choice cần 2–4 option",IF(COUNTIFS('02_KICH_BAN_NODES'!$B$5:$B$204,A272,'02_KICH_BAN_NODES'!$E$5:$E$204,"Kiến thức")=1,IF(COUNTIFS($A$5:$A$404,A272,$D$5:$D$404,"Có")&lt;&gt;1,"Choice kiến thức cần đúng 1 đáp án đúng",""),IF(COUNTIFS('02_KICH_BAN_NODES'!$B$5:$B$204,A272,'02_KICH_BAN_NODES'!$E$5:$E$204,"Tương tác")=1,IF(COUNTIFS($A$5:$A$404,A272,$D$5:$D$404,"Có")&lt;&gt;0,"Choice tương tác không được đánh dấu đáp án đúng",""),"Choice chưa chọn loại")))))))</f>
        <v/>
      </c>
    </row>
    <row r="273" spans="1:11">
      <c r="A273" s="13"/>
      <c r="B273" s="13"/>
      <c r="C273" s="5"/>
      <c r="D273" s="13"/>
      <c r="E273" s="13"/>
      <c r="F273" s="13"/>
      <c r="G273" s="13"/>
      <c r="H273" s="5"/>
      <c r="I273" s="5"/>
      <c r="J273" s="6" t="str">
        <f t="shared" si="4"/>
        <v/>
      </c>
      <c r="K273" s="6" t="str">
        <f>IF(A273="","",IF(COUNTIFS('02_KICH_BAN_NODES'!$B$5:$B$204,A273,'02_KICH_BAN_NODES'!$D$5:$D$204,"choice")=0,"ChoiceNodeId không tồn tại hoặc không phải choice",IF(COUNTIFS($A$5:$A$404,A273,$B$5:$B$404,B273)&gt;1,"Trùng OptionOrder trong cùng choice",IF(OR(B273="",C273="",D273="",F273="",H273=""),"Thiếu trường bắt buộc",IF(OR(COUNTIF($A$5:$A$404,A273)&lt;2,COUNTIF($A$5:$A$404,A273)&gt;4),"Mỗi choice cần 2–4 option",IF(COUNTIFS('02_KICH_BAN_NODES'!$B$5:$B$204,A273,'02_KICH_BAN_NODES'!$E$5:$E$204,"Kiến thức")=1,IF(COUNTIFS($A$5:$A$404,A273,$D$5:$D$404,"Có")&lt;&gt;1,"Choice kiến thức cần đúng 1 đáp án đúng",""),IF(COUNTIFS('02_KICH_BAN_NODES'!$B$5:$B$204,A273,'02_KICH_BAN_NODES'!$E$5:$E$204,"Tương tác")=1,IF(COUNTIFS($A$5:$A$404,A273,$D$5:$D$404,"Có")&lt;&gt;0,"Choice tương tác không được đánh dấu đáp án đúng",""),"Choice chưa chọn loại")))))))</f>
        <v/>
      </c>
    </row>
    <row r="274" spans="1:11">
      <c r="A274" s="13"/>
      <c r="B274" s="13"/>
      <c r="C274" s="5"/>
      <c r="D274" s="13"/>
      <c r="E274" s="13"/>
      <c r="F274" s="13"/>
      <c r="G274" s="13"/>
      <c r="H274" s="5"/>
      <c r="I274" s="5"/>
      <c r="J274" s="6" t="str">
        <f t="shared" si="4"/>
        <v/>
      </c>
      <c r="K274" s="6" t="str">
        <f>IF(A274="","",IF(COUNTIFS('02_KICH_BAN_NODES'!$B$5:$B$204,A274,'02_KICH_BAN_NODES'!$D$5:$D$204,"choice")=0,"ChoiceNodeId không tồn tại hoặc không phải choice",IF(COUNTIFS($A$5:$A$404,A274,$B$5:$B$404,B274)&gt;1,"Trùng OptionOrder trong cùng choice",IF(OR(B274="",C274="",D274="",F274="",H274=""),"Thiếu trường bắt buộc",IF(OR(COUNTIF($A$5:$A$404,A274)&lt;2,COUNTIF($A$5:$A$404,A274)&gt;4),"Mỗi choice cần 2–4 option",IF(COUNTIFS('02_KICH_BAN_NODES'!$B$5:$B$204,A274,'02_KICH_BAN_NODES'!$E$5:$E$204,"Kiến thức")=1,IF(COUNTIFS($A$5:$A$404,A274,$D$5:$D$404,"Có")&lt;&gt;1,"Choice kiến thức cần đúng 1 đáp án đúng",""),IF(COUNTIFS('02_KICH_BAN_NODES'!$B$5:$B$204,A274,'02_KICH_BAN_NODES'!$E$5:$E$204,"Tương tác")=1,IF(COUNTIFS($A$5:$A$404,A274,$D$5:$D$404,"Có")&lt;&gt;0,"Choice tương tác không được đánh dấu đáp án đúng",""),"Choice chưa chọn loại")))))))</f>
        <v/>
      </c>
    </row>
    <row r="275" spans="1:11">
      <c r="A275" s="13"/>
      <c r="B275" s="13"/>
      <c r="C275" s="5"/>
      <c r="D275" s="13"/>
      <c r="E275" s="13"/>
      <c r="F275" s="13"/>
      <c r="G275" s="13"/>
      <c r="H275" s="5"/>
      <c r="I275" s="5"/>
      <c r="J275" s="6" t="str">
        <f t="shared" si="4"/>
        <v/>
      </c>
      <c r="K275" s="6" t="str">
        <f>IF(A275="","",IF(COUNTIFS('02_KICH_BAN_NODES'!$B$5:$B$204,A275,'02_KICH_BAN_NODES'!$D$5:$D$204,"choice")=0,"ChoiceNodeId không tồn tại hoặc không phải choice",IF(COUNTIFS($A$5:$A$404,A275,$B$5:$B$404,B275)&gt;1,"Trùng OptionOrder trong cùng choice",IF(OR(B275="",C275="",D275="",F275="",H275=""),"Thiếu trường bắt buộc",IF(OR(COUNTIF($A$5:$A$404,A275)&lt;2,COUNTIF($A$5:$A$404,A275)&gt;4),"Mỗi choice cần 2–4 option",IF(COUNTIFS('02_KICH_BAN_NODES'!$B$5:$B$204,A275,'02_KICH_BAN_NODES'!$E$5:$E$204,"Kiến thức")=1,IF(COUNTIFS($A$5:$A$404,A275,$D$5:$D$404,"Có")&lt;&gt;1,"Choice kiến thức cần đúng 1 đáp án đúng",""),IF(COUNTIFS('02_KICH_BAN_NODES'!$B$5:$B$204,A275,'02_KICH_BAN_NODES'!$E$5:$E$204,"Tương tác")=1,IF(COUNTIFS($A$5:$A$404,A275,$D$5:$D$404,"Có")&lt;&gt;0,"Choice tương tác không được đánh dấu đáp án đúng",""),"Choice chưa chọn loại")))))))</f>
        <v/>
      </c>
    </row>
    <row r="276" spans="1:11">
      <c r="A276" s="13"/>
      <c r="B276" s="13"/>
      <c r="C276" s="5"/>
      <c r="D276" s="13"/>
      <c r="E276" s="13"/>
      <c r="F276" s="13"/>
      <c r="G276" s="13"/>
      <c r="H276" s="5"/>
      <c r="I276" s="5"/>
      <c r="J276" s="6" t="str">
        <f t="shared" si="4"/>
        <v/>
      </c>
      <c r="K276" s="6" t="str">
        <f>IF(A276="","",IF(COUNTIFS('02_KICH_BAN_NODES'!$B$5:$B$204,A276,'02_KICH_BAN_NODES'!$D$5:$D$204,"choice")=0,"ChoiceNodeId không tồn tại hoặc không phải choice",IF(COUNTIFS($A$5:$A$404,A276,$B$5:$B$404,B276)&gt;1,"Trùng OptionOrder trong cùng choice",IF(OR(B276="",C276="",D276="",F276="",H276=""),"Thiếu trường bắt buộc",IF(OR(COUNTIF($A$5:$A$404,A276)&lt;2,COUNTIF($A$5:$A$404,A276)&gt;4),"Mỗi choice cần 2–4 option",IF(COUNTIFS('02_KICH_BAN_NODES'!$B$5:$B$204,A276,'02_KICH_BAN_NODES'!$E$5:$E$204,"Kiến thức")=1,IF(COUNTIFS($A$5:$A$404,A276,$D$5:$D$404,"Có")&lt;&gt;1,"Choice kiến thức cần đúng 1 đáp án đúng",""),IF(COUNTIFS('02_KICH_BAN_NODES'!$B$5:$B$204,A276,'02_KICH_BAN_NODES'!$E$5:$E$204,"Tương tác")=1,IF(COUNTIFS($A$5:$A$404,A276,$D$5:$D$404,"Có")&lt;&gt;0,"Choice tương tác không được đánh dấu đáp án đúng",""),"Choice chưa chọn loại")))))))</f>
        <v/>
      </c>
    </row>
    <row r="277" spans="1:11">
      <c r="A277" s="13"/>
      <c r="B277" s="13"/>
      <c r="C277" s="5"/>
      <c r="D277" s="13"/>
      <c r="E277" s="13"/>
      <c r="F277" s="13"/>
      <c r="G277" s="13"/>
      <c r="H277" s="5"/>
      <c r="I277" s="5"/>
      <c r="J277" s="6" t="str">
        <f t="shared" si="4"/>
        <v/>
      </c>
      <c r="K277" s="6" t="str">
        <f>IF(A277="","",IF(COUNTIFS('02_KICH_BAN_NODES'!$B$5:$B$204,A277,'02_KICH_BAN_NODES'!$D$5:$D$204,"choice")=0,"ChoiceNodeId không tồn tại hoặc không phải choice",IF(COUNTIFS($A$5:$A$404,A277,$B$5:$B$404,B277)&gt;1,"Trùng OptionOrder trong cùng choice",IF(OR(B277="",C277="",D277="",F277="",H277=""),"Thiếu trường bắt buộc",IF(OR(COUNTIF($A$5:$A$404,A277)&lt;2,COUNTIF($A$5:$A$404,A277)&gt;4),"Mỗi choice cần 2–4 option",IF(COUNTIFS('02_KICH_BAN_NODES'!$B$5:$B$204,A277,'02_KICH_BAN_NODES'!$E$5:$E$204,"Kiến thức")=1,IF(COUNTIFS($A$5:$A$404,A277,$D$5:$D$404,"Có")&lt;&gt;1,"Choice kiến thức cần đúng 1 đáp án đúng",""),IF(COUNTIFS('02_KICH_BAN_NODES'!$B$5:$B$204,A277,'02_KICH_BAN_NODES'!$E$5:$E$204,"Tương tác")=1,IF(COUNTIFS($A$5:$A$404,A277,$D$5:$D$404,"Có")&lt;&gt;0,"Choice tương tác không được đánh dấu đáp án đúng",""),"Choice chưa chọn loại")))))))</f>
        <v/>
      </c>
    </row>
    <row r="278" spans="1:11">
      <c r="A278" s="13"/>
      <c r="B278" s="13"/>
      <c r="C278" s="5"/>
      <c r="D278" s="13"/>
      <c r="E278" s="13"/>
      <c r="F278" s="13"/>
      <c r="G278" s="13"/>
      <c r="H278" s="5"/>
      <c r="I278" s="5"/>
      <c r="J278" s="6" t="str">
        <f t="shared" si="4"/>
        <v/>
      </c>
      <c r="K278" s="6" t="str">
        <f>IF(A278="","",IF(COUNTIFS('02_KICH_BAN_NODES'!$B$5:$B$204,A278,'02_KICH_BAN_NODES'!$D$5:$D$204,"choice")=0,"ChoiceNodeId không tồn tại hoặc không phải choice",IF(COUNTIFS($A$5:$A$404,A278,$B$5:$B$404,B278)&gt;1,"Trùng OptionOrder trong cùng choice",IF(OR(B278="",C278="",D278="",F278="",H278=""),"Thiếu trường bắt buộc",IF(OR(COUNTIF($A$5:$A$404,A278)&lt;2,COUNTIF($A$5:$A$404,A278)&gt;4),"Mỗi choice cần 2–4 option",IF(COUNTIFS('02_KICH_BAN_NODES'!$B$5:$B$204,A278,'02_KICH_BAN_NODES'!$E$5:$E$204,"Kiến thức")=1,IF(COUNTIFS($A$5:$A$404,A278,$D$5:$D$404,"Có")&lt;&gt;1,"Choice kiến thức cần đúng 1 đáp án đúng",""),IF(COUNTIFS('02_KICH_BAN_NODES'!$B$5:$B$204,A278,'02_KICH_BAN_NODES'!$E$5:$E$204,"Tương tác")=1,IF(COUNTIFS($A$5:$A$404,A278,$D$5:$D$404,"Có")&lt;&gt;0,"Choice tương tác không được đánh dấu đáp án đúng",""),"Choice chưa chọn loại")))))))</f>
        <v/>
      </c>
    </row>
    <row r="279" spans="1:11">
      <c r="A279" s="13"/>
      <c r="B279" s="13"/>
      <c r="C279" s="5"/>
      <c r="D279" s="13"/>
      <c r="E279" s="13"/>
      <c r="F279" s="13"/>
      <c r="G279" s="13"/>
      <c r="H279" s="5"/>
      <c r="I279" s="5"/>
      <c r="J279" s="6" t="str">
        <f t="shared" si="4"/>
        <v/>
      </c>
      <c r="K279" s="6" t="str">
        <f>IF(A279="","",IF(COUNTIFS('02_KICH_BAN_NODES'!$B$5:$B$204,A279,'02_KICH_BAN_NODES'!$D$5:$D$204,"choice")=0,"ChoiceNodeId không tồn tại hoặc không phải choice",IF(COUNTIFS($A$5:$A$404,A279,$B$5:$B$404,B279)&gt;1,"Trùng OptionOrder trong cùng choice",IF(OR(B279="",C279="",D279="",F279="",H279=""),"Thiếu trường bắt buộc",IF(OR(COUNTIF($A$5:$A$404,A279)&lt;2,COUNTIF($A$5:$A$404,A279)&gt;4),"Mỗi choice cần 2–4 option",IF(COUNTIFS('02_KICH_BAN_NODES'!$B$5:$B$204,A279,'02_KICH_BAN_NODES'!$E$5:$E$204,"Kiến thức")=1,IF(COUNTIFS($A$5:$A$404,A279,$D$5:$D$404,"Có")&lt;&gt;1,"Choice kiến thức cần đúng 1 đáp án đúng",""),IF(COUNTIFS('02_KICH_BAN_NODES'!$B$5:$B$204,A279,'02_KICH_BAN_NODES'!$E$5:$E$204,"Tương tác")=1,IF(COUNTIFS($A$5:$A$404,A279,$D$5:$D$404,"Có")&lt;&gt;0,"Choice tương tác không được đánh dấu đáp án đúng",""),"Choice chưa chọn loại")))))))</f>
        <v/>
      </c>
    </row>
    <row r="280" spans="1:11">
      <c r="A280" s="13"/>
      <c r="B280" s="13"/>
      <c r="C280" s="5"/>
      <c r="D280" s="13"/>
      <c r="E280" s="13"/>
      <c r="F280" s="13"/>
      <c r="G280" s="13"/>
      <c r="H280" s="5"/>
      <c r="I280" s="5"/>
      <c r="J280" s="6" t="str">
        <f t="shared" si="4"/>
        <v/>
      </c>
      <c r="K280" s="6" t="str">
        <f>IF(A280="","",IF(COUNTIFS('02_KICH_BAN_NODES'!$B$5:$B$204,A280,'02_KICH_BAN_NODES'!$D$5:$D$204,"choice")=0,"ChoiceNodeId không tồn tại hoặc không phải choice",IF(COUNTIFS($A$5:$A$404,A280,$B$5:$B$404,B280)&gt;1,"Trùng OptionOrder trong cùng choice",IF(OR(B280="",C280="",D280="",F280="",H280=""),"Thiếu trường bắt buộc",IF(OR(COUNTIF($A$5:$A$404,A280)&lt;2,COUNTIF($A$5:$A$404,A280)&gt;4),"Mỗi choice cần 2–4 option",IF(COUNTIFS('02_KICH_BAN_NODES'!$B$5:$B$204,A280,'02_KICH_BAN_NODES'!$E$5:$E$204,"Kiến thức")=1,IF(COUNTIFS($A$5:$A$404,A280,$D$5:$D$404,"Có")&lt;&gt;1,"Choice kiến thức cần đúng 1 đáp án đúng",""),IF(COUNTIFS('02_KICH_BAN_NODES'!$B$5:$B$204,A280,'02_KICH_BAN_NODES'!$E$5:$E$204,"Tương tác")=1,IF(COUNTIFS($A$5:$A$404,A280,$D$5:$D$404,"Có")&lt;&gt;0,"Choice tương tác không được đánh dấu đáp án đúng",""),"Choice chưa chọn loại")))))))</f>
        <v/>
      </c>
    </row>
    <row r="281" spans="1:11">
      <c r="A281" s="13"/>
      <c r="B281" s="13"/>
      <c r="C281" s="5"/>
      <c r="D281" s="13"/>
      <c r="E281" s="13"/>
      <c r="F281" s="13"/>
      <c r="G281" s="13"/>
      <c r="H281" s="5"/>
      <c r="I281" s="5"/>
      <c r="J281" s="6" t="str">
        <f t="shared" si="4"/>
        <v/>
      </c>
      <c r="K281" s="6" t="str">
        <f>IF(A281="","",IF(COUNTIFS('02_KICH_BAN_NODES'!$B$5:$B$204,A281,'02_KICH_BAN_NODES'!$D$5:$D$204,"choice")=0,"ChoiceNodeId không tồn tại hoặc không phải choice",IF(COUNTIFS($A$5:$A$404,A281,$B$5:$B$404,B281)&gt;1,"Trùng OptionOrder trong cùng choice",IF(OR(B281="",C281="",D281="",F281="",H281=""),"Thiếu trường bắt buộc",IF(OR(COUNTIF($A$5:$A$404,A281)&lt;2,COUNTIF($A$5:$A$404,A281)&gt;4),"Mỗi choice cần 2–4 option",IF(COUNTIFS('02_KICH_BAN_NODES'!$B$5:$B$204,A281,'02_KICH_BAN_NODES'!$E$5:$E$204,"Kiến thức")=1,IF(COUNTIFS($A$5:$A$404,A281,$D$5:$D$404,"Có")&lt;&gt;1,"Choice kiến thức cần đúng 1 đáp án đúng",""),IF(COUNTIFS('02_KICH_BAN_NODES'!$B$5:$B$204,A281,'02_KICH_BAN_NODES'!$E$5:$E$204,"Tương tác")=1,IF(COUNTIFS($A$5:$A$404,A281,$D$5:$D$404,"Có")&lt;&gt;0,"Choice tương tác không được đánh dấu đáp án đúng",""),"Choice chưa chọn loại")))))))</f>
        <v/>
      </c>
    </row>
    <row r="282" spans="1:11">
      <c r="A282" s="13"/>
      <c r="B282" s="13"/>
      <c r="C282" s="5"/>
      <c r="D282" s="13"/>
      <c r="E282" s="13"/>
      <c r="F282" s="13"/>
      <c r="G282" s="13"/>
      <c r="H282" s="5"/>
      <c r="I282" s="5"/>
      <c r="J282" s="6" t="str">
        <f t="shared" si="4"/>
        <v/>
      </c>
      <c r="K282" s="6" t="str">
        <f>IF(A282="","",IF(COUNTIFS('02_KICH_BAN_NODES'!$B$5:$B$204,A282,'02_KICH_BAN_NODES'!$D$5:$D$204,"choice")=0,"ChoiceNodeId không tồn tại hoặc không phải choice",IF(COUNTIFS($A$5:$A$404,A282,$B$5:$B$404,B282)&gt;1,"Trùng OptionOrder trong cùng choice",IF(OR(B282="",C282="",D282="",F282="",H282=""),"Thiếu trường bắt buộc",IF(OR(COUNTIF($A$5:$A$404,A282)&lt;2,COUNTIF($A$5:$A$404,A282)&gt;4),"Mỗi choice cần 2–4 option",IF(COUNTIFS('02_KICH_BAN_NODES'!$B$5:$B$204,A282,'02_KICH_BAN_NODES'!$E$5:$E$204,"Kiến thức")=1,IF(COUNTIFS($A$5:$A$404,A282,$D$5:$D$404,"Có")&lt;&gt;1,"Choice kiến thức cần đúng 1 đáp án đúng",""),IF(COUNTIFS('02_KICH_BAN_NODES'!$B$5:$B$204,A282,'02_KICH_BAN_NODES'!$E$5:$E$204,"Tương tác")=1,IF(COUNTIFS($A$5:$A$404,A282,$D$5:$D$404,"Có")&lt;&gt;0,"Choice tương tác không được đánh dấu đáp án đúng",""),"Choice chưa chọn loại")))))))</f>
        <v/>
      </c>
    </row>
    <row r="283" spans="1:11">
      <c r="A283" s="13"/>
      <c r="B283" s="13"/>
      <c r="C283" s="5"/>
      <c r="D283" s="13"/>
      <c r="E283" s="13"/>
      <c r="F283" s="13"/>
      <c r="G283" s="13"/>
      <c r="H283" s="5"/>
      <c r="I283" s="5"/>
      <c r="J283" s="6" t="str">
        <f t="shared" si="4"/>
        <v/>
      </c>
      <c r="K283" s="6" t="str">
        <f>IF(A283="","",IF(COUNTIFS('02_KICH_BAN_NODES'!$B$5:$B$204,A283,'02_KICH_BAN_NODES'!$D$5:$D$204,"choice")=0,"ChoiceNodeId không tồn tại hoặc không phải choice",IF(COUNTIFS($A$5:$A$404,A283,$B$5:$B$404,B283)&gt;1,"Trùng OptionOrder trong cùng choice",IF(OR(B283="",C283="",D283="",F283="",H283=""),"Thiếu trường bắt buộc",IF(OR(COUNTIF($A$5:$A$404,A283)&lt;2,COUNTIF($A$5:$A$404,A283)&gt;4),"Mỗi choice cần 2–4 option",IF(COUNTIFS('02_KICH_BAN_NODES'!$B$5:$B$204,A283,'02_KICH_BAN_NODES'!$E$5:$E$204,"Kiến thức")=1,IF(COUNTIFS($A$5:$A$404,A283,$D$5:$D$404,"Có")&lt;&gt;1,"Choice kiến thức cần đúng 1 đáp án đúng",""),IF(COUNTIFS('02_KICH_BAN_NODES'!$B$5:$B$204,A283,'02_KICH_BAN_NODES'!$E$5:$E$204,"Tương tác")=1,IF(COUNTIFS($A$5:$A$404,A283,$D$5:$D$404,"Có")&lt;&gt;0,"Choice tương tác không được đánh dấu đáp án đúng",""),"Choice chưa chọn loại")))))))</f>
        <v/>
      </c>
    </row>
    <row r="284" spans="1:11">
      <c r="A284" s="13"/>
      <c r="B284" s="13"/>
      <c r="C284" s="5"/>
      <c r="D284" s="13"/>
      <c r="E284" s="13"/>
      <c r="F284" s="13"/>
      <c r="G284" s="13"/>
      <c r="H284" s="5"/>
      <c r="I284" s="5"/>
      <c r="J284" s="6" t="str">
        <f t="shared" si="4"/>
        <v/>
      </c>
      <c r="K284" s="6" t="str">
        <f>IF(A284="","",IF(COUNTIFS('02_KICH_BAN_NODES'!$B$5:$B$204,A284,'02_KICH_BAN_NODES'!$D$5:$D$204,"choice")=0,"ChoiceNodeId không tồn tại hoặc không phải choice",IF(COUNTIFS($A$5:$A$404,A284,$B$5:$B$404,B284)&gt;1,"Trùng OptionOrder trong cùng choice",IF(OR(B284="",C284="",D284="",F284="",H284=""),"Thiếu trường bắt buộc",IF(OR(COUNTIF($A$5:$A$404,A284)&lt;2,COUNTIF($A$5:$A$404,A284)&gt;4),"Mỗi choice cần 2–4 option",IF(COUNTIFS('02_KICH_BAN_NODES'!$B$5:$B$204,A284,'02_KICH_BAN_NODES'!$E$5:$E$204,"Kiến thức")=1,IF(COUNTIFS($A$5:$A$404,A284,$D$5:$D$404,"Có")&lt;&gt;1,"Choice kiến thức cần đúng 1 đáp án đúng",""),IF(COUNTIFS('02_KICH_BAN_NODES'!$B$5:$B$204,A284,'02_KICH_BAN_NODES'!$E$5:$E$204,"Tương tác")=1,IF(COUNTIFS($A$5:$A$404,A284,$D$5:$D$404,"Có")&lt;&gt;0,"Choice tương tác không được đánh dấu đáp án đúng",""),"Choice chưa chọn loại")))))))</f>
        <v/>
      </c>
    </row>
    <row r="285" spans="1:11">
      <c r="A285" s="13"/>
      <c r="B285" s="13"/>
      <c r="C285" s="5"/>
      <c r="D285" s="13"/>
      <c r="E285" s="13"/>
      <c r="F285" s="13"/>
      <c r="G285" s="13"/>
      <c r="H285" s="5"/>
      <c r="I285" s="5"/>
      <c r="J285" s="6" t="str">
        <f t="shared" si="4"/>
        <v/>
      </c>
      <c r="K285" s="6" t="str">
        <f>IF(A285="","",IF(COUNTIFS('02_KICH_BAN_NODES'!$B$5:$B$204,A285,'02_KICH_BAN_NODES'!$D$5:$D$204,"choice")=0,"ChoiceNodeId không tồn tại hoặc không phải choice",IF(COUNTIFS($A$5:$A$404,A285,$B$5:$B$404,B285)&gt;1,"Trùng OptionOrder trong cùng choice",IF(OR(B285="",C285="",D285="",F285="",H285=""),"Thiếu trường bắt buộc",IF(OR(COUNTIF($A$5:$A$404,A285)&lt;2,COUNTIF($A$5:$A$404,A285)&gt;4),"Mỗi choice cần 2–4 option",IF(COUNTIFS('02_KICH_BAN_NODES'!$B$5:$B$204,A285,'02_KICH_BAN_NODES'!$E$5:$E$204,"Kiến thức")=1,IF(COUNTIFS($A$5:$A$404,A285,$D$5:$D$404,"Có")&lt;&gt;1,"Choice kiến thức cần đúng 1 đáp án đúng",""),IF(COUNTIFS('02_KICH_BAN_NODES'!$B$5:$B$204,A285,'02_KICH_BAN_NODES'!$E$5:$E$204,"Tương tác")=1,IF(COUNTIFS($A$5:$A$404,A285,$D$5:$D$404,"Có")&lt;&gt;0,"Choice tương tác không được đánh dấu đáp án đúng",""),"Choice chưa chọn loại")))))))</f>
        <v/>
      </c>
    </row>
    <row r="286" spans="1:11">
      <c r="A286" s="13"/>
      <c r="B286" s="13"/>
      <c r="C286" s="5"/>
      <c r="D286" s="13"/>
      <c r="E286" s="13"/>
      <c r="F286" s="13"/>
      <c r="G286" s="13"/>
      <c r="H286" s="5"/>
      <c r="I286" s="5"/>
      <c r="J286" s="6" t="str">
        <f t="shared" si="4"/>
        <v/>
      </c>
      <c r="K286" s="6" t="str">
        <f>IF(A286="","",IF(COUNTIFS('02_KICH_BAN_NODES'!$B$5:$B$204,A286,'02_KICH_BAN_NODES'!$D$5:$D$204,"choice")=0,"ChoiceNodeId không tồn tại hoặc không phải choice",IF(COUNTIFS($A$5:$A$404,A286,$B$5:$B$404,B286)&gt;1,"Trùng OptionOrder trong cùng choice",IF(OR(B286="",C286="",D286="",F286="",H286=""),"Thiếu trường bắt buộc",IF(OR(COUNTIF($A$5:$A$404,A286)&lt;2,COUNTIF($A$5:$A$404,A286)&gt;4),"Mỗi choice cần 2–4 option",IF(COUNTIFS('02_KICH_BAN_NODES'!$B$5:$B$204,A286,'02_KICH_BAN_NODES'!$E$5:$E$204,"Kiến thức")=1,IF(COUNTIFS($A$5:$A$404,A286,$D$5:$D$404,"Có")&lt;&gt;1,"Choice kiến thức cần đúng 1 đáp án đúng",""),IF(COUNTIFS('02_KICH_BAN_NODES'!$B$5:$B$204,A286,'02_KICH_BAN_NODES'!$E$5:$E$204,"Tương tác")=1,IF(COUNTIFS($A$5:$A$404,A286,$D$5:$D$404,"Có")&lt;&gt;0,"Choice tương tác không được đánh dấu đáp án đúng",""),"Choice chưa chọn loại")))))))</f>
        <v/>
      </c>
    </row>
    <row r="287" spans="1:11">
      <c r="A287" s="13"/>
      <c r="B287" s="13"/>
      <c r="C287" s="5"/>
      <c r="D287" s="13"/>
      <c r="E287" s="13"/>
      <c r="F287" s="13"/>
      <c r="G287" s="13"/>
      <c r="H287" s="5"/>
      <c r="I287" s="5"/>
      <c r="J287" s="6" t="str">
        <f t="shared" si="4"/>
        <v/>
      </c>
      <c r="K287" s="6" t="str">
        <f>IF(A287="","",IF(COUNTIFS('02_KICH_BAN_NODES'!$B$5:$B$204,A287,'02_KICH_BAN_NODES'!$D$5:$D$204,"choice")=0,"ChoiceNodeId không tồn tại hoặc không phải choice",IF(COUNTIFS($A$5:$A$404,A287,$B$5:$B$404,B287)&gt;1,"Trùng OptionOrder trong cùng choice",IF(OR(B287="",C287="",D287="",F287="",H287=""),"Thiếu trường bắt buộc",IF(OR(COUNTIF($A$5:$A$404,A287)&lt;2,COUNTIF($A$5:$A$404,A287)&gt;4),"Mỗi choice cần 2–4 option",IF(COUNTIFS('02_KICH_BAN_NODES'!$B$5:$B$204,A287,'02_KICH_BAN_NODES'!$E$5:$E$204,"Kiến thức")=1,IF(COUNTIFS($A$5:$A$404,A287,$D$5:$D$404,"Có")&lt;&gt;1,"Choice kiến thức cần đúng 1 đáp án đúng",""),IF(COUNTIFS('02_KICH_BAN_NODES'!$B$5:$B$204,A287,'02_KICH_BAN_NODES'!$E$5:$E$204,"Tương tác")=1,IF(COUNTIFS($A$5:$A$404,A287,$D$5:$D$404,"Có")&lt;&gt;0,"Choice tương tác không được đánh dấu đáp án đúng",""),"Choice chưa chọn loại")))))))</f>
        <v/>
      </c>
    </row>
    <row r="288" spans="1:11">
      <c r="A288" s="13"/>
      <c r="B288" s="13"/>
      <c r="C288" s="5"/>
      <c r="D288" s="13"/>
      <c r="E288" s="13"/>
      <c r="F288" s="13"/>
      <c r="G288" s="13"/>
      <c r="H288" s="5"/>
      <c r="I288" s="5"/>
      <c r="J288" s="6" t="str">
        <f t="shared" si="4"/>
        <v/>
      </c>
      <c r="K288" s="6" t="str">
        <f>IF(A288="","",IF(COUNTIFS('02_KICH_BAN_NODES'!$B$5:$B$204,A288,'02_KICH_BAN_NODES'!$D$5:$D$204,"choice")=0,"ChoiceNodeId không tồn tại hoặc không phải choice",IF(COUNTIFS($A$5:$A$404,A288,$B$5:$B$404,B288)&gt;1,"Trùng OptionOrder trong cùng choice",IF(OR(B288="",C288="",D288="",F288="",H288=""),"Thiếu trường bắt buộc",IF(OR(COUNTIF($A$5:$A$404,A288)&lt;2,COUNTIF($A$5:$A$404,A288)&gt;4),"Mỗi choice cần 2–4 option",IF(COUNTIFS('02_KICH_BAN_NODES'!$B$5:$B$204,A288,'02_KICH_BAN_NODES'!$E$5:$E$204,"Kiến thức")=1,IF(COUNTIFS($A$5:$A$404,A288,$D$5:$D$404,"Có")&lt;&gt;1,"Choice kiến thức cần đúng 1 đáp án đúng",""),IF(COUNTIFS('02_KICH_BAN_NODES'!$B$5:$B$204,A288,'02_KICH_BAN_NODES'!$E$5:$E$204,"Tương tác")=1,IF(COUNTIFS($A$5:$A$404,A288,$D$5:$D$404,"Có")&lt;&gt;0,"Choice tương tác không được đánh dấu đáp án đúng",""),"Choice chưa chọn loại")))))))</f>
        <v/>
      </c>
    </row>
    <row r="289" spans="1:11">
      <c r="A289" s="13"/>
      <c r="B289" s="13"/>
      <c r="C289" s="5"/>
      <c r="D289" s="13"/>
      <c r="E289" s="13"/>
      <c r="F289" s="13"/>
      <c r="G289" s="13"/>
      <c r="H289" s="5"/>
      <c r="I289" s="5"/>
      <c r="J289" s="6" t="str">
        <f t="shared" si="4"/>
        <v/>
      </c>
      <c r="K289" s="6" t="str">
        <f>IF(A289="","",IF(COUNTIFS('02_KICH_BAN_NODES'!$B$5:$B$204,A289,'02_KICH_BAN_NODES'!$D$5:$D$204,"choice")=0,"ChoiceNodeId không tồn tại hoặc không phải choice",IF(COUNTIFS($A$5:$A$404,A289,$B$5:$B$404,B289)&gt;1,"Trùng OptionOrder trong cùng choice",IF(OR(B289="",C289="",D289="",F289="",H289=""),"Thiếu trường bắt buộc",IF(OR(COUNTIF($A$5:$A$404,A289)&lt;2,COUNTIF($A$5:$A$404,A289)&gt;4),"Mỗi choice cần 2–4 option",IF(COUNTIFS('02_KICH_BAN_NODES'!$B$5:$B$204,A289,'02_KICH_BAN_NODES'!$E$5:$E$204,"Kiến thức")=1,IF(COUNTIFS($A$5:$A$404,A289,$D$5:$D$404,"Có")&lt;&gt;1,"Choice kiến thức cần đúng 1 đáp án đúng",""),IF(COUNTIFS('02_KICH_BAN_NODES'!$B$5:$B$204,A289,'02_KICH_BAN_NODES'!$E$5:$E$204,"Tương tác")=1,IF(COUNTIFS($A$5:$A$404,A289,$D$5:$D$404,"Có")&lt;&gt;0,"Choice tương tác không được đánh dấu đáp án đúng",""),"Choice chưa chọn loại")))))))</f>
        <v/>
      </c>
    </row>
    <row r="290" spans="1:11">
      <c r="A290" s="13"/>
      <c r="B290" s="13"/>
      <c r="C290" s="5"/>
      <c r="D290" s="13"/>
      <c r="E290" s="13"/>
      <c r="F290" s="13"/>
      <c r="G290" s="13"/>
      <c r="H290" s="5"/>
      <c r="I290" s="5"/>
      <c r="J290" s="6" t="str">
        <f t="shared" si="4"/>
        <v/>
      </c>
      <c r="K290" s="6" t="str">
        <f>IF(A290="","",IF(COUNTIFS('02_KICH_BAN_NODES'!$B$5:$B$204,A290,'02_KICH_BAN_NODES'!$D$5:$D$204,"choice")=0,"ChoiceNodeId không tồn tại hoặc không phải choice",IF(COUNTIFS($A$5:$A$404,A290,$B$5:$B$404,B290)&gt;1,"Trùng OptionOrder trong cùng choice",IF(OR(B290="",C290="",D290="",F290="",H290=""),"Thiếu trường bắt buộc",IF(OR(COUNTIF($A$5:$A$404,A290)&lt;2,COUNTIF($A$5:$A$404,A290)&gt;4),"Mỗi choice cần 2–4 option",IF(COUNTIFS('02_KICH_BAN_NODES'!$B$5:$B$204,A290,'02_KICH_BAN_NODES'!$E$5:$E$204,"Kiến thức")=1,IF(COUNTIFS($A$5:$A$404,A290,$D$5:$D$404,"Có")&lt;&gt;1,"Choice kiến thức cần đúng 1 đáp án đúng",""),IF(COUNTIFS('02_KICH_BAN_NODES'!$B$5:$B$204,A290,'02_KICH_BAN_NODES'!$E$5:$E$204,"Tương tác")=1,IF(COUNTIFS($A$5:$A$404,A290,$D$5:$D$404,"Có")&lt;&gt;0,"Choice tương tác không được đánh dấu đáp án đúng",""),"Choice chưa chọn loại")))))))</f>
        <v/>
      </c>
    </row>
    <row r="291" spans="1:11">
      <c r="A291" s="13"/>
      <c r="B291" s="13"/>
      <c r="C291" s="5"/>
      <c r="D291" s="13"/>
      <c r="E291" s="13"/>
      <c r="F291" s="13"/>
      <c r="G291" s="13"/>
      <c r="H291" s="5"/>
      <c r="I291" s="5"/>
      <c r="J291" s="6" t="str">
        <f t="shared" si="4"/>
        <v/>
      </c>
      <c r="K291" s="6" t="str">
        <f>IF(A291="","",IF(COUNTIFS('02_KICH_BAN_NODES'!$B$5:$B$204,A291,'02_KICH_BAN_NODES'!$D$5:$D$204,"choice")=0,"ChoiceNodeId không tồn tại hoặc không phải choice",IF(COUNTIFS($A$5:$A$404,A291,$B$5:$B$404,B291)&gt;1,"Trùng OptionOrder trong cùng choice",IF(OR(B291="",C291="",D291="",F291="",H291=""),"Thiếu trường bắt buộc",IF(OR(COUNTIF($A$5:$A$404,A291)&lt;2,COUNTIF($A$5:$A$404,A291)&gt;4),"Mỗi choice cần 2–4 option",IF(COUNTIFS('02_KICH_BAN_NODES'!$B$5:$B$204,A291,'02_KICH_BAN_NODES'!$E$5:$E$204,"Kiến thức")=1,IF(COUNTIFS($A$5:$A$404,A291,$D$5:$D$404,"Có")&lt;&gt;1,"Choice kiến thức cần đúng 1 đáp án đúng",""),IF(COUNTIFS('02_KICH_BAN_NODES'!$B$5:$B$204,A291,'02_KICH_BAN_NODES'!$E$5:$E$204,"Tương tác")=1,IF(COUNTIFS($A$5:$A$404,A291,$D$5:$D$404,"Có")&lt;&gt;0,"Choice tương tác không được đánh dấu đáp án đúng",""),"Choice chưa chọn loại")))))))</f>
        <v/>
      </c>
    </row>
    <row r="292" spans="1:11">
      <c r="A292" s="13"/>
      <c r="B292" s="13"/>
      <c r="C292" s="5"/>
      <c r="D292" s="13"/>
      <c r="E292" s="13"/>
      <c r="F292" s="13"/>
      <c r="G292" s="13"/>
      <c r="H292" s="5"/>
      <c r="I292" s="5"/>
      <c r="J292" s="6" t="str">
        <f t="shared" si="4"/>
        <v/>
      </c>
      <c r="K292" s="6" t="str">
        <f>IF(A292="","",IF(COUNTIFS('02_KICH_BAN_NODES'!$B$5:$B$204,A292,'02_KICH_BAN_NODES'!$D$5:$D$204,"choice")=0,"ChoiceNodeId không tồn tại hoặc không phải choice",IF(COUNTIFS($A$5:$A$404,A292,$B$5:$B$404,B292)&gt;1,"Trùng OptionOrder trong cùng choice",IF(OR(B292="",C292="",D292="",F292="",H292=""),"Thiếu trường bắt buộc",IF(OR(COUNTIF($A$5:$A$404,A292)&lt;2,COUNTIF($A$5:$A$404,A292)&gt;4),"Mỗi choice cần 2–4 option",IF(COUNTIFS('02_KICH_BAN_NODES'!$B$5:$B$204,A292,'02_KICH_BAN_NODES'!$E$5:$E$204,"Kiến thức")=1,IF(COUNTIFS($A$5:$A$404,A292,$D$5:$D$404,"Có")&lt;&gt;1,"Choice kiến thức cần đúng 1 đáp án đúng",""),IF(COUNTIFS('02_KICH_BAN_NODES'!$B$5:$B$204,A292,'02_KICH_BAN_NODES'!$E$5:$E$204,"Tương tác")=1,IF(COUNTIFS($A$5:$A$404,A292,$D$5:$D$404,"Có")&lt;&gt;0,"Choice tương tác không được đánh dấu đáp án đúng",""),"Choice chưa chọn loại")))))))</f>
        <v/>
      </c>
    </row>
    <row r="293" spans="1:11">
      <c r="A293" s="13"/>
      <c r="B293" s="13"/>
      <c r="C293" s="5"/>
      <c r="D293" s="13"/>
      <c r="E293" s="13"/>
      <c r="F293" s="13"/>
      <c r="G293" s="13"/>
      <c r="H293" s="5"/>
      <c r="I293" s="5"/>
      <c r="J293" s="6" t="str">
        <f t="shared" si="4"/>
        <v/>
      </c>
      <c r="K293" s="6" t="str">
        <f>IF(A293="","",IF(COUNTIFS('02_KICH_BAN_NODES'!$B$5:$B$204,A293,'02_KICH_BAN_NODES'!$D$5:$D$204,"choice")=0,"ChoiceNodeId không tồn tại hoặc không phải choice",IF(COUNTIFS($A$5:$A$404,A293,$B$5:$B$404,B293)&gt;1,"Trùng OptionOrder trong cùng choice",IF(OR(B293="",C293="",D293="",F293="",H293=""),"Thiếu trường bắt buộc",IF(OR(COUNTIF($A$5:$A$404,A293)&lt;2,COUNTIF($A$5:$A$404,A293)&gt;4),"Mỗi choice cần 2–4 option",IF(COUNTIFS('02_KICH_BAN_NODES'!$B$5:$B$204,A293,'02_KICH_BAN_NODES'!$E$5:$E$204,"Kiến thức")=1,IF(COUNTIFS($A$5:$A$404,A293,$D$5:$D$404,"Có")&lt;&gt;1,"Choice kiến thức cần đúng 1 đáp án đúng",""),IF(COUNTIFS('02_KICH_BAN_NODES'!$B$5:$B$204,A293,'02_KICH_BAN_NODES'!$E$5:$E$204,"Tương tác")=1,IF(COUNTIFS($A$5:$A$404,A293,$D$5:$D$404,"Có")&lt;&gt;0,"Choice tương tác không được đánh dấu đáp án đúng",""),"Choice chưa chọn loại")))))))</f>
        <v/>
      </c>
    </row>
    <row r="294" spans="1:11">
      <c r="A294" s="13"/>
      <c r="B294" s="13"/>
      <c r="C294" s="5"/>
      <c r="D294" s="13"/>
      <c r="E294" s="13"/>
      <c r="F294" s="13"/>
      <c r="G294" s="13"/>
      <c r="H294" s="5"/>
      <c r="I294" s="5"/>
      <c r="J294" s="6" t="str">
        <f t="shared" si="4"/>
        <v/>
      </c>
      <c r="K294" s="6" t="str">
        <f>IF(A294="","",IF(COUNTIFS('02_KICH_BAN_NODES'!$B$5:$B$204,A294,'02_KICH_BAN_NODES'!$D$5:$D$204,"choice")=0,"ChoiceNodeId không tồn tại hoặc không phải choice",IF(COUNTIFS($A$5:$A$404,A294,$B$5:$B$404,B294)&gt;1,"Trùng OptionOrder trong cùng choice",IF(OR(B294="",C294="",D294="",F294="",H294=""),"Thiếu trường bắt buộc",IF(OR(COUNTIF($A$5:$A$404,A294)&lt;2,COUNTIF($A$5:$A$404,A294)&gt;4),"Mỗi choice cần 2–4 option",IF(COUNTIFS('02_KICH_BAN_NODES'!$B$5:$B$204,A294,'02_KICH_BAN_NODES'!$E$5:$E$204,"Kiến thức")=1,IF(COUNTIFS($A$5:$A$404,A294,$D$5:$D$404,"Có")&lt;&gt;1,"Choice kiến thức cần đúng 1 đáp án đúng",""),IF(COUNTIFS('02_KICH_BAN_NODES'!$B$5:$B$204,A294,'02_KICH_BAN_NODES'!$E$5:$E$204,"Tương tác")=1,IF(COUNTIFS($A$5:$A$404,A294,$D$5:$D$404,"Có")&lt;&gt;0,"Choice tương tác không được đánh dấu đáp án đúng",""),"Choice chưa chọn loại")))))))</f>
        <v/>
      </c>
    </row>
    <row r="295" spans="1:11">
      <c r="A295" s="13"/>
      <c r="B295" s="13"/>
      <c r="C295" s="5"/>
      <c r="D295" s="13"/>
      <c r="E295" s="13"/>
      <c r="F295" s="13"/>
      <c r="G295" s="13"/>
      <c r="H295" s="5"/>
      <c r="I295" s="5"/>
      <c r="J295" s="6" t="str">
        <f t="shared" si="4"/>
        <v/>
      </c>
      <c r="K295" s="6" t="str">
        <f>IF(A295="","",IF(COUNTIFS('02_KICH_BAN_NODES'!$B$5:$B$204,A295,'02_KICH_BAN_NODES'!$D$5:$D$204,"choice")=0,"ChoiceNodeId không tồn tại hoặc không phải choice",IF(COUNTIFS($A$5:$A$404,A295,$B$5:$B$404,B295)&gt;1,"Trùng OptionOrder trong cùng choice",IF(OR(B295="",C295="",D295="",F295="",H295=""),"Thiếu trường bắt buộc",IF(OR(COUNTIF($A$5:$A$404,A295)&lt;2,COUNTIF($A$5:$A$404,A295)&gt;4),"Mỗi choice cần 2–4 option",IF(COUNTIFS('02_KICH_BAN_NODES'!$B$5:$B$204,A295,'02_KICH_BAN_NODES'!$E$5:$E$204,"Kiến thức")=1,IF(COUNTIFS($A$5:$A$404,A295,$D$5:$D$404,"Có")&lt;&gt;1,"Choice kiến thức cần đúng 1 đáp án đúng",""),IF(COUNTIFS('02_KICH_BAN_NODES'!$B$5:$B$204,A295,'02_KICH_BAN_NODES'!$E$5:$E$204,"Tương tác")=1,IF(COUNTIFS($A$5:$A$404,A295,$D$5:$D$404,"Có")&lt;&gt;0,"Choice tương tác không được đánh dấu đáp án đúng",""),"Choice chưa chọn loại")))))))</f>
        <v/>
      </c>
    </row>
    <row r="296" spans="1:11">
      <c r="A296" s="13"/>
      <c r="B296" s="13"/>
      <c r="C296" s="5"/>
      <c r="D296" s="13"/>
      <c r="E296" s="13"/>
      <c r="F296" s="13"/>
      <c r="G296" s="13"/>
      <c r="H296" s="5"/>
      <c r="I296" s="5"/>
      <c r="J296" s="6" t="str">
        <f t="shared" si="4"/>
        <v/>
      </c>
      <c r="K296" s="6" t="str">
        <f>IF(A296="","",IF(COUNTIFS('02_KICH_BAN_NODES'!$B$5:$B$204,A296,'02_KICH_BAN_NODES'!$D$5:$D$204,"choice")=0,"ChoiceNodeId không tồn tại hoặc không phải choice",IF(COUNTIFS($A$5:$A$404,A296,$B$5:$B$404,B296)&gt;1,"Trùng OptionOrder trong cùng choice",IF(OR(B296="",C296="",D296="",F296="",H296=""),"Thiếu trường bắt buộc",IF(OR(COUNTIF($A$5:$A$404,A296)&lt;2,COUNTIF($A$5:$A$404,A296)&gt;4),"Mỗi choice cần 2–4 option",IF(COUNTIFS('02_KICH_BAN_NODES'!$B$5:$B$204,A296,'02_KICH_BAN_NODES'!$E$5:$E$204,"Kiến thức")=1,IF(COUNTIFS($A$5:$A$404,A296,$D$5:$D$404,"Có")&lt;&gt;1,"Choice kiến thức cần đúng 1 đáp án đúng",""),IF(COUNTIFS('02_KICH_BAN_NODES'!$B$5:$B$204,A296,'02_KICH_BAN_NODES'!$E$5:$E$204,"Tương tác")=1,IF(COUNTIFS($A$5:$A$404,A296,$D$5:$D$404,"Có")&lt;&gt;0,"Choice tương tác không được đánh dấu đáp án đúng",""),"Choice chưa chọn loại")))))))</f>
        <v/>
      </c>
    </row>
    <row r="297" spans="1:11">
      <c r="A297" s="13"/>
      <c r="B297" s="13"/>
      <c r="C297" s="5"/>
      <c r="D297" s="13"/>
      <c r="E297" s="13"/>
      <c r="F297" s="13"/>
      <c r="G297" s="13"/>
      <c r="H297" s="5"/>
      <c r="I297" s="5"/>
      <c r="J297" s="6" t="str">
        <f t="shared" si="4"/>
        <v/>
      </c>
      <c r="K297" s="6" t="str">
        <f>IF(A297="","",IF(COUNTIFS('02_KICH_BAN_NODES'!$B$5:$B$204,A297,'02_KICH_BAN_NODES'!$D$5:$D$204,"choice")=0,"ChoiceNodeId không tồn tại hoặc không phải choice",IF(COUNTIFS($A$5:$A$404,A297,$B$5:$B$404,B297)&gt;1,"Trùng OptionOrder trong cùng choice",IF(OR(B297="",C297="",D297="",F297="",H297=""),"Thiếu trường bắt buộc",IF(OR(COUNTIF($A$5:$A$404,A297)&lt;2,COUNTIF($A$5:$A$404,A297)&gt;4),"Mỗi choice cần 2–4 option",IF(COUNTIFS('02_KICH_BAN_NODES'!$B$5:$B$204,A297,'02_KICH_BAN_NODES'!$E$5:$E$204,"Kiến thức")=1,IF(COUNTIFS($A$5:$A$404,A297,$D$5:$D$404,"Có")&lt;&gt;1,"Choice kiến thức cần đúng 1 đáp án đúng",""),IF(COUNTIFS('02_KICH_BAN_NODES'!$B$5:$B$204,A297,'02_KICH_BAN_NODES'!$E$5:$E$204,"Tương tác")=1,IF(COUNTIFS($A$5:$A$404,A297,$D$5:$D$404,"Có")&lt;&gt;0,"Choice tương tác không được đánh dấu đáp án đúng",""),"Choice chưa chọn loại")))))))</f>
        <v/>
      </c>
    </row>
    <row r="298" spans="1:11">
      <c r="A298" s="13"/>
      <c r="B298" s="13"/>
      <c r="C298" s="5"/>
      <c r="D298" s="13"/>
      <c r="E298" s="13"/>
      <c r="F298" s="13"/>
      <c r="G298" s="13"/>
      <c r="H298" s="5"/>
      <c r="I298" s="5"/>
      <c r="J298" s="6" t="str">
        <f t="shared" si="4"/>
        <v/>
      </c>
      <c r="K298" s="6" t="str">
        <f>IF(A298="","",IF(COUNTIFS('02_KICH_BAN_NODES'!$B$5:$B$204,A298,'02_KICH_BAN_NODES'!$D$5:$D$204,"choice")=0,"ChoiceNodeId không tồn tại hoặc không phải choice",IF(COUNTIFS($A$5:$A$404,A298,$B$5:$B$404,B298)&gt;1,"Trùng OptionOrder trong cùng choice",IF(OR(B298="",C298="",D298="",F298="",H298=""),"Thiếu trường bắt buộc",IF(OR(COUNTIF($A$5:$A$404,A298)&lt;2,COUNTIF($A$5:$A$404,A298)&gt;4),"Mỗi choice cần 2–4 option",IF(COUNTIFS('02_KICH_BAN_NODES'!$B$5:$B$204,A298,'02_KICH_BAN_NODES'!$E$5:$E$204,"Kiến thức")=1,IF(COUNTIFS($A$5:$A$404,A298,$D$5:$D$404,"Có")&lt;&gt;1,"Choice kiến thức cần đúng 1 đáp án đúng",""),IF(COUNTIFS('02_KICH_BAN_NODES'!$B$5:$B$204,A298,'02_KICH_BAN_NODES'!$E$5:$E$204,"Tương tác")=1,IF(COUNTIFS($A$5:$A$404,A298,$D$5:$D$404,"Có")&lt;&gt;0,"Choice tương tác không được đánh dấu đáp án đúng",""),"Choice chưa chọn loại")))))))</f>
        <v/>
      </c>
    </row>
    <row r="299" spans="1:11">
      <c r="A299" s="13"/>
      <c r="B299" s="13"/>
      <c r="C299" s="5"/>
      <c r="D299" s="13"/>
      <c r="E299" s="13"/>
      <c r="F299" s="13"/>
      <c r="G299" s="13"/>
      <c r="H299" s="5"/>
      <c r="I299" s="5"/>
      <c r="J299" s="6" t="str">
        <f t="shared" si="4"/>
        <v/>
      </c>
      <c r="K299" s="6" t="str">
        <f>IF(A299="","",IF(COUNTIFS('02_KICH_BAN_NODES'!$B$5:$B$204,A299,'02_KICH_BAN_NODES'!$D$5:$D$204,"choice")=0,"ChoiceNodeId không tồn tại hoặc không phải choice",IF(COUNTIFS($A$5:$A$404,A299,$B$5:$B$404,B299)&gt;1,"Trùng OptionOrder trong cùng choice",IF(OR(B299="",C299="",D299="",F299="",H299=""),"Thiếu trường bắt buộc",IF(OR(COUNTIF($A$5:$A$404,A299)&lt;2,COUNTIF($A$5:$A$404,A299)&gt;4),"Mỗi choice cần 2–4 option",IF(COUNTIFS('02_KICH_BAN_NODES'!$B$5:$B$204,A299,'02_KICH_BAN_NODES'!$E$5:$E$204,"Kiến thức")=1,IF(COUNTIFS($A$5:$A$404,A299,$D$5:$D$404,"Có")&lt;&gt;1,"Choice kiến thức cần đúng 1 đáp án đúng",""),IF(COUNTIFS('02_KICH_BAN_NODES'!$B$5:$B$204,A299,'02_KICH_BAN_NODES'!$E$5:$E$204,"Tương tác")=1,IF(COUNTIFS($A$5:$A$404,A299,$D$5:$D$404,"Có")&lt;&gt;0,"Choice tương tác không được đánh dấu đáp án đúng",""),"Choice chưa chọn loại")))))))</f>
        <v/>
      </c>
    </row>
    <row r="300" spans="1:11">
      <c r="A300" s="13"/>
      <c r="B300" s="13"/>
      <c r="C300" s="5"/>
      <c r="D300" s="13"/>
      <c r="E300" s="13"/>
      <c r="F300" s="13"/>
      <c r="G300" s="13"/>
      <c r="H300" s="5"/>
      <c r="I300" s="5"/>
      <c r="J300" s="6" t="str">
        <f t="shared" si="4"/>
        <v/>
      </c>
      <c r="K300" s="6" t="str">
        <f>IF(A300="","",IF(COUNTIFS('02_KICH_BAN_NODES'!$B$5:$B$204,A300,'02_KICH_BAN_NODES'!$D$5:$D$204,"choice")=0,"ChoiceNodeId không tồn tại hoặc không phải choice",IF(COUNTIFS($A$5:$A$404,A300,$B$5:$B$404,B300)&gt;1,"Trùng OptionOrder trong cùng choice",IF(OR(B300="",C300="",D300="",F300="",H300=""),"Thiếu trường bắt buộc",IF(OR(COUNTIF($A$5:$A$404,A300)&lt;2,COUNTIF($A$5:$A$404,A300)&gt;4),"Mỗi choice cần 2–4 option",IF(COUNTIFS('02_KICH_BAN_NODES'!$B$5:$B$204,A300,'02_KICH_BAN_NODES'!$E$5:$E$204,"Kiến thức")=1,IF(COUNTIFS($A$5:$A$404,A300,$D$5:$D$404,"Có")&lt;&gt;1,"Choice kiến thức cần đúng 1 đáp án đúng",""),IF(COUNTIFS('02_KICH_BAN_NODES'!$B$5:$B$204,A300,'02_KICH_BAN_NODES'!$E$5:$E$204,"Tương tác")=1,IF(COUNTIFS($A$5:$A$404,A300,$D$5:$D$404,"Có")&lt;&gt;0,"Choice tương tác không được đánh dấu đáp án đúng",""),"Choice chưa chọn loại")))))))</f>
        <v/>
      </c>
    </row>
    <row r="301" spans="1:11">
      <c r="A301" s="13"/>
      <c r="B301" s="13"/>
      <c r="C301" s="5"/>
      <c r="D301" s="13"/>
      <c r="E301" s="13"/>
      <c r="F301" s="13"/>
      <c r="G301" s="13"/>
      <c r="H301" s="5"/>
      <c r="I301" s="5"/>
      <c r="J301" s="6" t="str">
        <f t="shared" si="4"/>
        <v/>
      </c>
      <c r="K301" s="6" t="str">
        <f>IF(A301="","",IF(COUNTIFS('02_KICH_BAN_NODES'!$B$5:$B$204,A301,'02_KICH_BAN_NODES'!$D$5:$D$204,"choice")=0,"ChoiceNodeId không tồn tại hoặc không phải choice",IF(COUNTIFS($A$5:$A$404,A301,$B$5:$B$404,B301)&gt;1,"Trùng OptionOrder trong cùng choice",IF(OR(B301="",C301="",D301="",F301="",H301=""),"Thiếu trường bắt buộc",IF(OR(COUNTIF($A$5:$A$404,A301)&lt;2,COUNTIF($A$5:$A$404,A301)&gt;4),"Mỗi choice cần 2–4 option",IF(COUNTIFS('02_KICH_BAN_NODES'!$B$5:$B$204,A301,'02_KICH_BAN_NODES'!$E$5:$E$204,"Kiến thức")=1,IF(COUNTIFS($A$5:$A$404,A301,$D$5:$D$404,"Có")&lt;&gt;1,"Choice kiến thức cần đúng 1 đáp án đúng",""),IF(COUNTIFS('02_KICH_BAN_NODES'!$B$5:$B$204,A301,'02_KICH_BAN_NODES'!$E$5:$E$204,"Tương tác")=1,IF(COUNTIFS($A$5:$A$404,A301,$D$5:$D$404,"Có")&lt;&gt;0,"Choice tương tác không được đánh dấu đáp án đúng",""),"Choice chưa chọn loại")))))))</f>
        <v/>
      </c>
    </row>
    <row r="302" spans="1:11">
      <c r="A302" s="13"/>
      <c r="B302" s="13"/>
      <c r="C302" s="5"/>
      <c r="D302" s="13"/>
      <c r="E302" s="13"/>
      <c r="F302" s="13"/>
      <c r="G302" s="13"/>
      <c r="H302" s="5"/>
      <c r="I302" s="5"/>
      <c r="J302" s="6" t="str">
        <f t="shared" si="4"/>
        <v/>
      </c>
      <c r="K302" s="6" t="str">
        <f>IF(A302="","",IF(COUNTIFS('02_KICH_BAN_NODES'!$B$5:$B$204,A302,'02_KICH_BAN_NODES'!$D$5:$D$204,"choice")=0,"ChoiceNodeId không tồn tại hoặc không phải choice",IF(COUNTIFS($A$5:$A$404,A302,$B$5:$B$404,B302)&gt;1,"Trùng OptionOrder trong cùng choice",IF(OR(B302="",C302="",D302="",F302="",H302=""),"Thiếu trường bắt buộc",IF(OR(COUNTIF($A$5:$A$404,A302)&lt;2,COUNTIF($A$5:$A$404,A302)&gt;4),"Mỗi choice cần 2–4 option",IF(COUNTIFS('02_KICH_BAN_NODES'!$B$5:$B$204,A302,'02_KICH_BAN_NODES'!$E$5:$E$204,"Kiến thức")=1,IF(COUNTIFS($A$5:$A$404,A302,$D$5:$D$404,"Có")&lt;&gt;1,"Choice kiến thức cần đúng 1 đáp án đúng",""),IF(COUNTIFS('02_KICH_BAN_NODES'!$B$5:$B$204,A302,'02_KICH_BAN_NODES'!$E$5:$E$204,"Tương tác")=1,IF(COUNTIFS($A$5:$A$404,A302,$D$5:$D$404,"Có")&lt;&gt;0,"Choice tương tác không được đánh dấu đáp án đúng",""),"Choice chưa chọn loại")))))))</f>
        <v/>
      </c>
    </row>
    <row r="303" spans="1:11">
      <c r="A303" s="13"/>
      <c r="B303" s="13"/>
      <c r="C303" s="5"/>
      <c r="D303" s="13"/>
      <c r="E303" s="13"/>
      <c r="F303" s="13"/>
      <c r="G303" s="13"/>
      <c r="H303" s="5"/>
      <c r="I303" s="5"/>
      <c r="J303" s="6" t="str">
        <f t="shared" si="4"/>
        <v/>
      </c>
      <c r="K303" s="6" t="str">
        <f>IF(A303="","",IF(COUNTIFS('02_KICH_BAN_NODES'!$B$5:$B$204,A303,'02_KICH_BAN_NODES'!$D$5:$D$204,"choice")=0,"ChoiceNodeId không tồn tại hoặc không phải choice",IF(COUNTIFS($A$5:$A$404,A303,$B$5:$B$404,B303)&gt;1,"Trùng OptionOrder trong cùng choice",IF(OR(B303="",C303="",D303="",F303="",H303=""),"Thiếu trường bắt buộc",IF(OR(COUNTIF($A$5:$A$404,A303)&lt;2,COUNTIF($A$5:$A$404,A303)&gt;4),"Mỗi choice cần 2–4 option",IF(COUNTIFS('02_KICH_BAN_NODES'!$B$5:$B$204,A303,'02_KICH_BAN_NODES'!$E$5:$E$204,"Kiến thức")=1,IF(COUNTIFS($A$5:$A$404,A303,$D$5:$D$404,"Có")&lt;&gt;1,"Choice kiến thức cần đúng 1 đáp án đúng",""),IF(COUNTIFS('02_KICH_BAN_NODES'!$B$5:$B$204,A303,'02_KICH_BAN_NODES'!$E$5:$E$204,"Tương tác")=1,IF(COUNTIFS($A$5:$A$404,A303,$D$5:$D$404,"Có")&lt;&gt;0,"Choice tương tác không được đánh dấu đáp án đúng",""),"Choice chưa chọn loại")))))))</f>
        <v/>
      </c>
    </row>
    <row r="304" spans="1:11">
      <c r="A304" s="13"/>
      <c r="B304" s="13"/>
      <c r="C304" s="5"/>
      <c r="D304" s="13"/>
      <c r="E304" s="13"/>
      <c r="F304" s="13"/>
      <c r="G304" s="13"/>
      <c r="H304" s="5"/>
      <c r="I304" s="5"/>
      <c r="J304" s="6" t="str">
        <f t="shared" si="4"/>
        <v/>
      </c>
      <c r="K304" s="6" t="str">
        <f>IF(A304="","",IF(COUNTIFS('02_KICH_BAN_NODES'!$B$5:$B$204,A304,'02_KICH_BAN_NODES'!$D$5:$D$204,"choice")=0,"ChoiceNodeId không tồn tại hoặc không phải choice",IF(COUNTIFS($A$5:$A$404,A304,$B$5:$B$404,B304)&gt;1,"Trùng OptionOrder trong cùng choice",IF(OR(B304="",C304="",D304="",F304="",H304=""),"Thiếu trường bắt buộc",IF(OR(COUNTIF($A$5:$A$404,A304)&lt;2,COUNTIF($A$5:$A$404,A304)&gt;4),"Mỗi choice cần 2–4 option",IF(COUNTIFS('02_KICH_BAN_NODES'!$B$5:$B$204,A304,'02_KICH_BAN_NODES'!$E$5:$E$204,"Kiến thức")=1,IF(COUNTIFS($A$5:$A$404,A304,$D$5:$D$404,"Có")&lt;&gt;1,"Choice kiến thức cần đúng 1 đáp án đúng",""),IF(COUNTIFS('02_KICH_BAN_NODES'!$B$5:$B$204,A304,'02_KICH_BAN_NODES'!$E$5:$E$204,"Tương tác")=1,IF(COUNTIFS($A$5:$A$404,A304,$D$5:$D$404,"Có")&lt;&gt;0,"Choice tương tác không được đánh dấu đáp án đúng",""),"Choice chưa chọn loại")))))))</f>
        <v/>
      </c>
    </row>
    <row r="305" spans="1:11">
      <c r="A305" s="13"/>
      <c r="B305" s="13"/>
      <c r="C305" s="5"/>
      <c r="D305" s="13"/>
      <c r="E305" s="13"/>
      <c r="F305" s="13"/>
      <c r="G305" s="13"/>
      <c r="H305" s="5"/>
      <c r="I305" s="5"/>
      <c r="J305" s="6" t="str">
        <f t="shared" si="4"/>
        <v/>
      </c>
      <c r="K305" s="6" t="str">
        <f>IF(A305="","",IF(COUNTIFS('02_KICH_BAN_NODES'!$B$5:$B$204,A305,'02_KICH_BAN_NODES'!$D$5:$D$204,"choice")=0,"ChoiceNodeId không tồn tại hoặc không phải choice",IF(COUNTIFS($A$5:$A$404,A305,$B$5:$B$404,B305)&gt;1,"Trùng OptionOrder trong cùng choice",IF(OR(B305="",C305="",D305="",F305="",H305=""),"Thiếu trường bắt buộc",IF(OR(COUNTIF($A$5:$A$404,A305)&lt;2,COUNTIF($A$5:$A$404,A305)&gt;4),"Mỗi choice cần 2–4 option",IF(COUNTIFS('02_KICH_BAN_NODES'!$B$5:$B$204,A305,'02_KICH_BAN_NODES'!$E$5:$E$204,"Kiến thức")=1,IF(COUNTIFS($A$5:$A$404,A305,$D$5:$D$404,"Có")&lt;&gt;1,"Choice kiến thức cần đúng 1 đáp án đúng",""),IF(COUNTIFS('02_KICH_BAN_NODES'!$B$5:$B$204,A305,'02_KICH_BAN_NODES'!$E$5:$E$204,"Tương tác")=1,IF(COUNTIFS($A$5:$A$404,A305,$D$5:$D$404,"Có")&lt;&gt;0,"Choice tương tác không được đánh dấu đáp án đúng",""),"Choice chưa chọn loại")))))))</f>
        <v/>
      </c>
    </row>
    <row r="306" spans="1:11">
      <c r="A306" s="13"/>
      <c r="B306" s="13"/>
      <c r="C306" s="5"/>
      <c r="D306" s="13"/>
      <c r="E306" s="13"/>
      <c r="F306" s="13"/>
      <c r="G306" s="13"/>
      <c r="H306" s="5"/>
      <c r="I306" s="5"/>
      <c r="J306" s="6" t="str">
        <f t="shared" si="4"/>
        <v/>
      </c>
      <c r="K306" s="6" t="str">
        <f>IF(A306="","",IF(COUNTIFS('02_KICH_BAN_NODES'!$B$5:$B$204,A306,'02_KICH_BAN_NODES'!$D$5:$D$204,"choice")=0,"ChoiceNodeId không tồn tại hoặc không phải choice",IF(COUNTIFS($A$5:$A$404,A306,$B$5:$B$404,B306)&gt;1,"Trùng OptionOrder trong cùng choice",IF(OR(B306="",C306="",D306="",F306="",H306=""),"Thiếu trường bắt buộc",IF(OR(COUNTIF($A$5:$A$404,A306)&lt;2,COUNTIF($A$5:$A$404,A306)&gt;4),"Mỗi choice cần 2–4 option",IF(COUNTIFS('02_KICH_BAN_NODES'!$B$5:$B$204,A306,'02_KICH_BAN_NODES'!$E$5:$E$204,"Kiến thức")=1,IF(COUNTIFS($A$5:$A$404,A306,$D$5:$D$404,"Có")&lt;&gt;1,"Choice kiến thức cần đúng 1 đáp án đúng",""),IF(COUNTIFS('02_KICH_BAN_NODES'!$B$5:$B$204,A306,'02_KICH_BAN_NODES'!$E$5:$E$204,"Tương tác")=1,IF(COUNTIFS($A$5:$A$404,A306,$D$5:$D$404,"Có")&lt;&gt;0,"Choice tương tác không được đánh dấu đáp án đúng",""),"Choice chưa chọn loại")))))))</f>
        <v/>
      </c>
    </row>
    <row r="307" spans="1:11">
      <c r="A307" s="13"/>
      <c r="B307" s="13"/>
      <c r="C307" s="5"/>
      <c r="D307" s="13"/>
      <c r="E307" s="13"/>
      <c r="F307" s="13"/>
      <c r="G307" s="13"/>
      <c r="H307" s="5"/>
      <c r="I307" s="5"/>
      <c r="J307" s="6" t="str">
        <f t="shared" si="4"/>
        <v/>
      </c>
      <c r="K307" s="6" t="str">
        <f>IF(A307="","",IF(COUNTIFS('02_KICH_BAN_NODES'!$B$5:$B$204,A307,'02_KICH_BAN_NODES'!$D$5:$D$204,"choice")=0,"ChoiceNodeId không tồn tại hoặc không phải choice",IF(COUNTIFS($A$5:$A$404,A307,$B$5:$B$404,B307)&gt;1,"Trùng OptionOrder trong cùng choice",IF(OR(B307="",C307="",D307="",F307="",H307=""),"Thiếu trường bắt buộc",IF(OR(COUNTIF($A$5:$A$404,A307)&lt;2,COUNTIF($A$5:$A$404,A307)&gt;4),"Mỗi choice cần 2–4 option",IF(COUNTIFS('02_KICH_BAN_NODES'!$B$5:$B$204,A307,'02_KICH_BAN_NODES'!$E$5:$E$204,"Kiến thức")=1,IF(COUNTIFS($A$5:$A$404,A307,$D$5:$D$404,"Có")&lt;&gt;1,"Choice kiến thức cần đúng 1 đáp án đúng",""),IF(COUNTIFS('02_KICH_BAN_NODES'!$B$5:$B$204,A307,'02_KICH_BAN_NODES'!$E$5:$E$204,"Tương tác")=1,IF(COUNTIFS($A$5:$A$404,A307,$D$5:$D$404,"Có")&lt;&gt;0,"Choice tương tác không được đánh dấu đáp án đúng",""),"Choice chưa chọn loại")))))))</f>
        <v/>
      </c>
    </row>
    <row r="308" spans="1:11">
      <c r="A308" s="13"/>
      <c r="B308" s="13"/>
      <c r="C308" s="5"/>
      <c r="D308" s="13"/>
      <c r="E308" s="13"/>
      <c r="F308" s="13"/>
      <c r="G308" s="13"/>
      <c r="H308" s="5"/>
      <c r="I308" s="5"/>
      <c r="J308" s="6" t="str">
        <f t="shared" si="4"/>
        <v/>
      </c>
      <c r="K308" s="6" t="str">
        <f>IF(A308="","",IF(COUNTIFS('02_KICH_BAN_NODES'!$B$5:$B$204,A308,'02_KICH_BAN_NODES'!$D$5:$D$204,"choice")=0,"ChoiceNodeId không tồn tại hoặc không phải choice",IF(COUNTIFS($A$5:$A$404,A308,$B$5:$B$404,B308)&gt;1,"Trùng OptionOrder trong cùng choice",IF(OR(B308="",C308="",D308="",F308="",H308=""),"Thiếu trường bắt buộc",IF(OR(COUNTIF($A$5:$A$404,A308)&lt;2,COUNTIF($A$5:$A$404,A308)&gt;4),"Mỗi choice cần 2–4 option",IF(COUNTIFS('02_KICH_BAN_NODES'!$B$5:$B$204,A308,'02_KICH_BAN_NODES'!$E$5:$E$204,"Kiến thức")=1,IF(COUNTIFS($A$5:$A$404,A308,$D$5:$D$404,"Có")&lt;&gt;1,"Choice kiến thức cần đúng 1 đáp án đúng",""),IF(COUNTIFS('02_KICH_BAN_NODES'!$B$5:$B$204,A308,'02_KICH_BAN_NODES'!$E$5:$E$204,"Tương tác")=1,IF(COUNTIFS($A$5:$A$404,A308,$D$5:$D$404,"Có")&lt;&gt;0,"Choice tương tác không được đánh dấu đáp án đúng",""),"Choice chưa chọn loại")))))))</f>
        <v/>
      </c>
    </row>
    <row r="309" spans="1:11">
      <c r="A309" s="13"/>
      <c r="B309" s="13"/>
      <c r="C309" s="5"/>
      <c r="D309" s="13"/>
      <c r="E309" s="13"/>
      <c r="F309" s="13"/>
      <c r="G309" s="13"/>
      <c r="H309" s="5"/>
      <c r="I309" s="5"/>
      <c r="J309" s="6" t="str">
        <f t="shared" si="4"/>
        <v/>
      </c>
      <c r="K309" s="6" t="str">
        <f>IF(A309="","",IF(COUNTIFS('02_KICH_BAN_NODES'!$B$5:$B$204,A309,'02_KICH_BAN_NODES'!$D$5:$D$204,"choice")=0,"ChoiceNodeId không tồn tại hoặc không phải choice",IF(COUNTIFS($A$5:$A$404,A309,$B$5:$B$404,B309)&gt;1,"Trùng OptionOrder trong cùng choice",IF(OR(B309="",C309="",D309="",F309="",H309=""),"Thiếu trường bắt buộc",IF(OR(COUNTIF($A$5:$A$404,A309)&lt;2,COUNTIF($A$5:$A$404,A309)&gt;4),"Mỗi choice cần 2–4 option",IF(COUNTIFS('02_KICH_BAN_NODES'!$B$5:$B$204,A309,'02_KICH_BAN_NODES'!$E$5:$E$204,"Kiến thức")=1,IF(COUNTIFS($A$5:$A$404,A309,$D$5:$D$404,"Có")&lt;&gt;1,"Choice kiến thức cần đúng 1 đáp án đúng",""),IF(COUNTIFS('02_KICH_BAN_NODES'!$B$5:$B$204,A309,'02_KICH_BAN_NODES'!$E$5:$E$204,"Tương tác")=1,IF(COUNTIFS($A$5:$A$404,A309,$D$5:$D$404,"Có")&lt;&gt;0,"Choice tương tác không được đánh dấu đáp án đúng",""),"Choice chưa chọn loại")))))))</f>
        <v/>
      </c>
    </row>
    <row r="310" spans="1:11">
      <c r="A310" s="13"/>
      <c r="B310" s="13"/>
      <c r="C310" s="5"/>
      <c r="D310" s="13"/>
      <c r="E310" s="13"/>
      <c r="F310" s="13"/>
      <c r="G310" s="13"/>
      <c r="H310" s="5"/>
      <c r="I310" s="5"/>
      <c r="J310" s="6" t="str">
        <f t="shared" si="4"/>
        <v/>
      </c>
      <c r="K310" s="6" t="str">
        <f>IF(A310="","",IF(COUNTIFS('02_KICH_BAN_NODES'!$B$5:$B$204,A310,'02_KICH_BAN_NODES'!$D$5:$D$204,"choice")=0,"ChoiceNodeId không tồn tại hoặc không phải choice",IF(COUNTIFS($A$5:$A$404,A310,$B$5:$B$404,B310)&gt;1,"Trùng OptionOrder trong cùng choice",IF(OR(B310="",C310="",D310="",F310="",H310=""),"Thiếu trường bắt buộc",IF(OR(COUNTIF($A$5:$A$404,A310)&lt;2,COUNTIF($A$5:$A$404,A310)&gt;4),"Mỗi choice cần 2–4 option",IF(COUNTIFS('02_KICH_BAN_NODES'!$B$5:$B$204,A310,'02_KICH_BAN_NODES'!$E$5:$E$204,"Kiến thức")=1,IF(COUNTIFS($A$5:$A$404,A310,$D$5:$D$404,"Có")&lt;&gt;1,"Choice kiến thức cần đúng 1 đáp án đúng",""),IF(COUNTIFS('02_KICH_BAN_NODES'!$B$5:$B$204,A310,'02_KICH_BAN_NODES'!$E$5:$E$204,"Tương tác")=1,IF(COUNTIFS($A$5:$A$404,A310,$D$5:$D$404,"Có")&lt;&gt;0,"Choice tương tác không được đánh dấu đáp án đúng",""),"Choice chưa chọn loại")))))))</f>
        <v/>
      </c>
    </row>
    <row r="311" spans="1:11">
      <c r="A311" s="13"/>
      <c r="B311" s="13"/>
      <c r="C311" s="5"/>
      <c r="D311" s="13"/>
      <c r="E311" s="13"/>
      <c r="F311" s="13"/>
      <c r="G311" s="13"/>
      <c r="H311" s="5"/>
      <c r="I311" s="5"/>
      <c r="J311" s="6" t="str">
        <f t="shared" si="4"/>
        <v/>
      </c>
      <c r="K311" s="6" t="str">
        <f>IF(A311="","",IF(COUNTIFS('02_KICH_BAN_NODES'!$B$5:$B$204,A311,'02_KICH_BAN_NODES'!$D$5:$D$204,"choice")=0,"ChoiceNodeId không tồn tại hoặc không phải choice",IF(COUNTIFS($A$5:$A$404,A311,$B$5:$B$404,B311)&gt;1,"Trùng OptionOrder trong cùng choice",IF(OR(B311="",C311="",D311="",F311="",H311=""),"Thiếu trường bắt buộc",IF(OR(COUNTIF($A$5:$A$404,A311)&lt;2,COUNTIF($A$5:$A$404,A311)&gt;4),"Mỗi choice cần 2–4 option",IF(COUNTIFS('02_KICH_BAN_NODES'!$B$5:$B$204,A311,'02_KICH_BAN_NODES'!$E$5:$E$204,"Kiến thức")=1,IF(COUNTIFS($A$5:$A$404,A311,$D$5:$D$404,"Có")&lt;&gt;1,"Choice kiến thức cần đúng 1 đáp án đúng",""),IF(COUNTIFS('02_KICH_BAN_NODES'!$B$5:$B$204,A311,'02_KICH_BAN_NODES'!$E$5:$E$204,"Tương tác")=1,IF(COUNTIFS($A$5:$A$404,A311,$D$5:$D$404,"Có")&lt;&gt;0,"Choice tương tác không được đánh dấu đáp án đúng",""),"Choice chưa chọn loại")))))))</f>
        <v/>
      </c>
    </row>
    <row r="312" spans="1:11">
      <c r="A312" s="13"/>
      <c r="B312" s="13"/>
      <c r="C312" s="5"/>
      <c r="D312" s="13"/>
      <c r="E312" s="13"/>
      <c r="F312" s="13"/>
      <c r="G312" s="13"/>
      <c r="H312" s="5"/>
      <c r="I312" s="5"/>
      <c r="J312" s="6" t="str">
        <f t="shared" si="4"/>
        <v/>
      </c>
      <c r="K312" s="6" t="str">
        <f>IF(A312="","",IF(COUNTIFS('02_KICH_BAN_NODES'!$B$5:$B$204,A312,'02_KICH_BAN_NODES'!$D$5:$D$204,"choice")=0,"ChoiceNodeId không tồn tại hoặc không phải choice",IF(COUNTIFS($A$5:$A$404,A312,$B$5:$B$404,B312)&gt;1,"Trùng OptionOrder trong cùng choice",IF(OR(B312="",C312="",D312="",F312="",H312=""),"Thiếu trường bắt buộc",IF(OR(COUNTIF($A$5:$A$404,A312)&lt;2,COUNTIF($A$5:$A$404,A312)&gt;4),"Mỗi choice cần 2–4 option",IF(COUNTIFS('02_KICH_BAN_NODES'!$B$5:$B$204,A312,'02_KICH_BAN_NODES'!$E$5:$E$204,"Kiến thức")=1,IF(COUNTIFS($A$5:$A$404,A312,$D$5:$D$404,"Có")&lt;&gt;1,"Choice kiến thức cần đúng 1 đáp án đúng",""),IF(COUNTIFS('02_KICH_BAN_NODES'!$B$5:$B$204,A312,'02_KICH_BAN_NODES'!$E$5:$E$204,"Tương tác")=1,IF(COUNTIFS($A$5:$A$404,A312,$D$5:$D$404,"Có")&lt;&gt;0,"Choice tương tác không được đánh dấu đáp án đúng",""),"Choice chưa chọn loại")))))))</f>
        <v/>
      </c>
    </row>
    <row r="313" spans="1:11">
      <c r="A313" s="13"/>
      <c r="B313" s="13"/>
      <c r="C313" s="5"/>
      <c r="D313" s="13"/>
      <c r="E313" s="13"/>
      <c r="F313" s="13"/>
      <c r="G313" s="13"/>
      <c r="H313" s="5"/>
      <c r="I313" s="5"/>
      <c r="J313" s="6" t="str">
        <f t="shared" si="4"/>
        <v/>
      </c>
      <c r="K313" s="6" t="str">
        <f>IF(A313="","",IF(COUNTIFS('02_KICH_BAN_NODES'!$B$5:$B$204,A313,'02_KICH_BAN_NODES'!$D$5:$D$204,"choice")=0,"ChoiceNodeId không tồn tại hoặc không phải choice",IF(COUNTIFS($A$5:$A$404,A313,$B$5:$B$404,B313)&gt;1,"Trùng OptionOrder trong cùng choice",IF(OR(B313="",C313="",D313="",F313="",H313=""),"Thiếu trường bắt buộc",IF(OR(COUNTIF($A$5:$A$404,A313)&lt;2,COUNTIF($A$5:$A$404,A313)&gt;4),"Mỗi choice cần 2–4 option",IF(COUNTIFS('02_KICH_BAN_NODES'!$B$5:$B$204,A313,'02_KICH_BAN_NODES'!$E$5:$E$204,"Kiến thức")=1,IF(COUNTIFS($A$5:$A$404,A313,$D$5:$D$404,"Có")&lt;&gt;1,"Choice kiến thức cần đúng 1 đáp án đúng",""),IF(COUNTIFS('02_KICH_BAN_NODES'!$B$5:$B$204,A313,'02_KICH_BAN_NODES'!$E$5:$E$204,"Tương tác")=1,IF(COUNTIFS($A$5:$A$404,A313,$D$5:$D$404,"Có")&lt;&gt;0,"Choice tương tác không được đánh dấu đáp án đúng",""),"Choice chưa chọn loại")))))))</f>
        <v/>
      </c>
    </row>
    <row r="314" spans="1:11">
      <c r="A314" s="13"/>
      <c r="B314" s="13"/>
      <c r="C314" s="5"/>
      <c r="D314" s="13"/>
      <c r="E314" s="13"/>
      <c r="F314" s="13"/>
      <c r="G314" s="13"/>
      <c r="H314" s="5"/>
      <c r="I314" s="5"/>
      <c r="J314" s="6" t="str">
        <f t="shared" si="4"/>
        <v/>
      </c>
      <c r="K314" s="6" t="str">
        <f>IF(A314="","",IF(COUNTIFS('02_KICH_BAN_NODES'!$B$5:$B$204,A314,'02_KICH_BAN_NODES'!$D$5:$D$204,"choice")=0,"ChoiceNodeId không tồn tại hoặc không phải choice",IF(COUNTIFS($A$5:$A$404,A314,$B$5:$B$404,B314)&gt;1,"Trùng OptionOrder trong cùng choice",IF(OR(B314="",C314="",D314="",F314="",H314=""),"Thiếu trường bắt buộc",IF(OR(COUNTIF($A$5:$A$404,A314)&lt;2,COUNTIF($A$5:$A$404,A314)&gt;4),"Mỗi choice cần 2–4 option",IF(COUNTIFS('02_KICH_BAN_NODES'!$B$5:$B$204,A314,'02_KICH_BAN_NODES'!$E$5:$E$204,"Kiến thức")=1,IF(COUNTIFS($A$5:$A$404,A314,$D$5:$D$404,"Có")&lt;&gt;1,"Choice kiến thức cần đúng 1 đáp án đúng",""),IF(COUNTIFS('02_KICH_BAN_NODES'!$B$5:$B$204,A314,'02_KICH_BAN_NODES'!$E$5:$E$204,"Tương tác")=1,IF(COUNTIFS($A$5:$A$404,A314,$D$5:$D$404,"Có")&lt;&gt;0,"Choice tương tác không được đánh dấu đáp án đúng",""),"Choice chưa chọn loại")))))))</f>
        <v/>
      </c>
    </row>
    <row r="315" spans="1:11">
      <c r="A315" s="13"/>
      <c r="B315" s="13"/>
      <c r="C315" s="5"/>
      <c r="D315" s="13"/>
      <c r="E315" s="13"/>
      <c r="F315" s="13"/>
      <c r="G315" s="13"/>
      <c r="H315" s="5"/>
      <c r="I315" s="5"/>
      <c r="J315" s="6" t="str">
        <f t="shared" si="4"/>
        <v/>
      </c>
      <c r="K315" s="6" t="str">
        <f>IF(A315="","",IF(COUNTIFS('02_KICH_BAN_NODES'!$B$5:$B$204,A315,'02_KICH_BAN_NODES'!$D$5:$D$204,"choice")=0,"ChoiceNodeId không tồn tại hoặc không phải choice",IF(COUNTIFS($A$5:$A$404,A315,$B$5:$B$404,B315)&gt;1,"Trùng OptionOrder trong cùng choice",IF(OR(B315="",C315="",D315="",F315="",H315=""),"Thiếu trường bắt buộc",IF(OR(COUNTIF($A$5:$A$404,A315)&lt;2,COUNTIF($A$5:$A$404,A315)&gt;4),"Mỗi choice cần 2–4 option",IF(COUNTIFS('02_KICH_BAN_NODES'!$B$5:$B$204,A315,'02_KICH_BAN_NODES'!$E$5:$E$204,"Kiến thức")=1,IF(COUNTIFS($A$5:$A$404,A315,$D$5:$D$404,"Có")&lt;&gt;1,"Choice kiến thức cần đúng 1 đáp án đúng",""),IF(COUNTIFS('02_KICH_BAN_NODES'!$B$5:$B$204,A315,'02_KICH_BAN_NODES'!$E$5:$E$204,"Tương tác")=1,IF(COUNTIFS($A$5:$A$404,A315,$D$5:$D$404,"Có")&lt;&gt;0,"Choice tương tác không được đánh dấu đáp án đúng",""),"Choice chưa chọn loại")))))))</f>
        <v/>
      </c>
    </row>
    <row r="316" spans="1:11">
      <c r="A316" s="13"/>
      <c r="B316" s="13"/>
      <c r="C316" s="5"/>
      <c r="D316" s="13"/>
      <c r="E316" s="13"/>
      <c r="F316" s="13"/>
      <c r="G316" s="13"/>
      <c r="H316" s="5"/>
      <c r="I316" s="5"/>
      <c r="J316" s="6" t="str">
        <f t="shared" si="4"/>
        <v/>
      </c>
      <c r="K316" s="6" t="str">
        <f>IF(A316="","",IF(COUNTIFS('02_KICH_BAN_NODES'!$B$5:$B$204,A316,'02_KICH_BAN_NODES'!$D$5:$D$204,"choice")=0,"ChoiceNodeId không tồn tại hoặc không phải choice",IF(COUNTIFS($A$5:$A$404,A316,$B$5:$B$404,B316)&gt;1,"Trùng OptionOrder trong cùng choice",IF(OR(B316="",C316="",D316="",F316="",H316=""),"Thiếu trường bắt buộc",IF(OR(COUNTIF($A$5:$A$404,A316)&lt;2,COUNTIF($A$5:$A$404,A316)&gt;4),"Mỗi choice cần 2–4 option",IF(COUNTIFS('02_KICH_BAN_NODES'!$B$5:$B$204,A316,'02_KICH_BAN_NODES'!$E$5:$E$204,"Kiến thức")=1,IF(COUNTIFS($A$5:$A$404,A316,$D$5:$D$404,"Có")&lt;&gt;1,"Choice kiến thức cần đúng 1 đáp án đúng",""),IF(COUNTIFS('02_KICH_BAN_NODES'!$B$5:$B$204,A316,'02_KICH_BAN_NODES'!$E$5:$E$204,"Tương tác")=1,IF(COUNTIFS($A$5:$A$404,A316,$D$5:$D$404,"Có")&lt;&gt;0,"Choice tương tác không được đánh dấu đáp án đúng",""),"Choice chưa chọn loại")))))))</f>
        <v/>
      </c>
    </row>
    <row r="317" spans="1:11">
      <c r="A317" s="13"/>
      <c r="B317" s="13"/>
      <c r="C317" s="5"/>
      <c r="D317" s="13"/>
      <c r="E317" s="13"/>
      <c r="F317" s="13"/>
      <c r="G317" s="13"/>
      <c r="H317" s="5"/>
      <c r="I317" s="5"/>
      <c r="J317" s="6" t="str">
        <f t="shared" si="4"/>
        <v/>
      </c>
      <c r="K317" s="6" t="str">
        <f>IF(A317="","",IF(COUNTIFS('02_KICH_BAN_NODES'!$B$5:$B$204,A317,'02_KICH_BAN_NODES'!$D$5:$D$204,"choice")=0,"ChoiceNodeId không tồn tại hoặc không phải choice",IF(COUNTIFS($A$5:$A$404,A317,$B$5:$B$404,B317)&gt;1,"Trùng OptionOrder trong cùng choice",IF(OR(B317="",C317="",D317="",F317="",H317=""),"Thiếu trường bắt buộc",IF(OR(COUNTIF($A$5:$A$404,A317)&lt;2,COUNTIF($A$5:$A$404,A317)&gt;4),"Mỗi choice cần 2–4 option",IF(COUNTIFS('02_KICH_BAN_NODES'!$B$5:$B$204,A317,'02_KICH_BAN_NODES'!$E$5:$E$204,"Kiến thức")=1,IF(COUNTIFS($A$5:$A$404,A317,$D$5:$D$404,"Có")&lt;&gt;1,"Choice kiến thức cần đúng 1 đáp án đúng",""),IF(COUNTIFS('02_KICH_BAN_NODES'!$B$5:$B$204,A317,'02_KICH_BAN_NODES'!$E$5:$E$204,"Tương tác")=1,IF(COUNTIFS($A$5:$A$404,A317,$D$5:$D$404,"Có")&lt;&gt;0,"Choice tương tác không được đánh dấu đáp án đúng",""),"Choice chưa chọn loại")))))))</f>
        <v/>
      </c>
    </row>
    <row r="318" spans="1:11">
      <c r="A318" s="13"/>
      <c r="B318" s="13"/>
      <c r="C318" s="5"/>
      <c r="D318" s="13"/>
      <c r="E318" s="13"/>
      <c r="F318" s="13"/>
      <c r="G318" s="13"/>
      <c r="H318" s="5"/>
      <c r="I318" s="5"/>
      <c r="J318" s="6" t="str">
        <f t="shared" si="4"/>
        <v/>
      </c>
      <c r="K318" s="6" t="str">
        <f>IF(A318="","",IF(COUNTIFS('02_KICH_BAN_NODES'!$B$5:$B$204,A318,'02_KICH_BAN_NODES'!$D$5:$D$204,"choice")=0,"ChoiceNodeId không tồn tại hoặc không phải choice",IF(COUNTIFS($A$5:$A$404,A318,$B$5:$B$404,B318)&gt;1,"Trùng OptionOrder trong cùng choice",IF(OR(B318="",C318="",D318="",F318="",H318=""),"Thiếu trường bắt buộc",IF(OR(COUNTIF($A$5:$A$404,A318)&lt;2,COUNTIF($A$5:$A$404,A318)&gt;4),"Mỗi choice cần 2–4 option",IF(COUNTIFS('02_KICH_BAN_NODES'!$B$5:$B$204,A318,'02_KICH_BAN_NODES'!$E$5:$E$204,"Kiến thức")=1,IF(COUNTIFS($A$5:$A$404,A318,$D$5:$D$404,"Có")&lt;&gt;1,"Choice kiến thức cần đúng 1 đáp án đúng",""),IF(COUNTIFS('02_KICH_BAN_NODES'!$B$5:$B$204,A318,'02_KICH_BAN_NODES'!$E$5:$E$204,"Tương tác")=1,IF(COUNTIFS($A$5:$A$404,A318,$D$5:$D$404,"Có")&lt;&gt;0,"Choice tương tác không được đánh dấu đáp án đúng",""),"Choice chưa chọn loại")))))))</f>
        <v/>
      </c>
    </row>
    <row r="319" spans="1:11">
      <c r="A319" s="13"/>
      <c r="B319" s="13"/>
      <c r="C319" s="5"/>
      <c r="D319" s="13"/>
      <c r="E319" s="13"/>
      <c r="F319" s="13"/>
      <c r="G319" s="13"/>
      <c r="H319" s="5"/>
      <c r="I319" s="5"/>
      <c r="J319" s="6" t="str">
        <f t="shared" si="4"/>
        <v/>
      </c>
      <c r="K319" s="6" t="str">
        <f>IF(A319="","",IF(COUNTIFS('02_KICH_BAN_NODES'!$B$5:$B$204,A319,'02_KICH_BAN_NODES'!$D$5:$D$204,"choice")=0,"ChoiceNodeId không tồn tại hoặc không phải choice",IF(COUNTIFS($A$5:$A$404,A319,$B$5:$B$404,B319)&gt;1,"Trùng OptionOrder trong cùng choice",IF(OR(B319="",C319="",D319="",F319="",H319=""),"Thiếu trường bắt buộc",IF(OR(COUNTIF($A$5:$A$404,A319)&lt;2,COUNTIF($A$5:$A$404,A319)&gt;4),"Mỗi choice cần 2–4 option",IF(COUNTIFS('02_KICH_BAN_NODES'!$B$5:$B$204,A319,'02_KICH_BAN_NODES'!$E$5:$E$204,"Kiến thức")=1,IF(COUNTIFS($A$5:$A$404,A319,$D$5:$D$404,"Có")&lt;&gt;1,"Choice kiến thức cần đúng 1 đáp án đúng",""),IF(COUNTIFS('02_KICH_BAN_NODES'!$B$5:$B$204,A319,'02_KICH_BAN_NODES'!$E$5:$E$204,"Tương tác")=1,IF(COUNTIFS($A$5:$A$404,A319,$D$5:$D$404,"Có")&lt;&gt;0,"Choice tương tác không được đánh dấu đáp án đúng",""),"Choice chưa chọn loại")))))))</f>
        <v/>
      </c>
    </row>
    <row r="320" spans="1:11">
      <c r="A320" s="13"/>
      <c r="B320" s="13"/>
      <c r="C320" s="5"/>
      <c r="D320" s="13"/>
      <c r="E320" s="13"/>
      <c r="F320" s="13"/>
      <c r="G320" s="13"/>
      <c r="H320" s="5"/>
      <c r="I320" s="5"/>
      <c r="J320" s="6" t="str">
        <f t="shared" si="4"/>
        <v/>
      </c>
      <c r="K320" s="6" t="str">
        <f>IF(A320="","",IF(COUNTIFS('02_KICH_BAN_NODES'!$B$5:$B$204,A320,'02_KICH_BAN_NODES'!$D$5:$D$204,"choice")=0,"ChoiceNodeId không tồn tại hoặc không phải choice",IF(COUNTIFS($A$5:$A$404,A320,$B$5:$B$404,B320)&gt;1,"Trùng OptionOrder trong cùng choice",IF(OR(B320="",C320="",D320="",F320="",H320=""),"Thiếu trường bắt buộc",IF(OR(COUNTIF($A$5:$A$404,A320)&lt;2,COUNTIF($A$5:$A$404,A320)&gt;4),"Mỗi choice cần 2–4 option",IF(COUNTIFS('02_KICH_BAN_NODES'!$B$5:$B$204,A320,'02_KICH_BAN_NODES'!$E$5:$E$204,"Kiến thức")=1,IF(COUNTIFS($A$5:$A$404,A320,$D$5:$D$404,"Có")&lt;&gt;1,"Choice kiến thức cần đúng 1 đáp án đúng",""),IF(COUNTIFS('02_KICH_BAN_NODES'!$B$5:$B$204,A320,'02_KICH_BAN_NODES'!$E$5:$E$204,"Tương tác")=1,IF(COUNTIFS($A$5:$A$404,A320,$D$5:$D$404,"Có")&lt;&gt;0,"Choice tương tác không được đánh dấu đáp án đúng",""),"Choice chưa chọn loại")))))))</f>
        <v/>
      </c>
    </row>
    <row r="321" spans="1:11">
      <c r="A321" s="13"/>
      <c r="B321" s="13"/>
      <c r="C321" s="5"/>
      <c r="D321" s="13"/>
      <c r="E321" s="13"/>
      <c r="F321" s="13"/>
      <c r="G321" s="13"/>
      <c r="H321" s="5"/>
      <c r="I321" s="5"/>
      <c r="J321" s="6" t="str">
        <f t="shared" si="4"/>
        <v/>
      </c>
      <c r="K321" s="6" t="str">
        <f>IF(A321="","",IF(COUNTIFS('02_KICH_BAN_NODES'!$B$5:$B$204,A321,'02_KICH_BAN_NODES'!$D$5:$D$204,"choice")=0,"ChoiceNodeId không tồn tại hoặc không phải choice",IF(COUNTIFS($A$5:$A$404,A321,$B$5:$B$404,B321)&gt;1,"Trùng OptionOrder trong cùng choice",IF(OR(B321="",C321="",D321="",F321="",H321=""),"Thiếu trường bắt buộc",IF(OR(COUNTIF($A$5:$A$404,A321)&lt;2,COUNTIF($A$5:$A$404,A321)&gt;4),"Mỗi choice cần 2–4 option",IF(COUNTIFS('02_KICH_BAN_NODES'!$B$5:$B$204,A321,'02_KICH_BAN_NODES'!$E$5:$E$204,"Kiến thức")=1,IF(COUNTIFS($A$5:$A$404,A321,$D$5:$D$404,"Có")&lt;&gt;1,"Choice kiến thức cần đúng 1 đáp án đúng",""),IF(COUNTIFS('02_KICH_BAN_NODES'!$B$5:$B$204,A321,'02_KICH_BAN_NODES'!$E$5:$E$204,"Tương tác")=1,IF(COUNTIFS($A$5:$A$404,A321,$D$5:$D$404,"Có")&lt;&gt;0,"Choice tương tác không được đánh dấu đáp án đúng",""),"Choice chưa chọn loại")))))))</f>
        <v/>
      </c>
    </row>
    <row r="322" spans="1:11">
      <c r="A322" s="13"/>
      <c r="B322" s="13"/>
      <c r="C322" s="5"/>
      <c r="D322" s="13"/>
      <c r="E322" s="13"/>
      <c r="F322" s="13"/>
      <c r="G322" s="13"/>
      <c r="H322" s="5"/>
      <c r="I322" s="5"/>
      <c r="J322" s="6" t="str">
        <f t="shared" si="4"/>
        <v/>
      </c>
      <c r="K322" s="6" t="str">
        <f>IF(A322="","",IF(COUNTIFS('02_KICH_BAN_NODES'!$B$5:$B$204,A322,'02_KICH_BAN_NODES'!$D$5:$D$204,"choice")=0,"ChoiceNodeId không tồn tại hoặc không phải choice",IF(COUNTIFS($A$5:$A$404,A322,$B$5:$B$404,B322)&gt;1,"Trùng OptionOrder trong cùng choice",IF(OR(B322="",C322="",D322="",F322="",H322=""),"Thiếu trường bắt buộc",IF(OR(COUNTIF($A$5:$A$404,A322)&lt;2,COUNTIF($A$5:$A$404,A322)&gt;4),"Mỗi choice cần 2–4 option",IF(COUNTIFS('02_KICH_BAN_NODES'!$B$5:$B$204,A322,'02_KICH_BAN_NODES'!$E$5:$E$204,"Kiến thức")=1,IF(COUNTIFS($A$5:$A$404,A322,$D$5:$D$404,"Có")&lt;&gt;1,"Choice kiến thức cần đúng 1 đáp án đúng",""),IF(COUNTIFS('02_KICH_BAN_NODES'!$B$5:$B$204,A322,'02_KICH_BAN_NODES'!$E$5:$E$204,"Tương tác")=1,IF(COUNTIFS($A$5:$A$404,A322,$D$5:$D$404,"Có")&lt;&gt;0,"Choice tương tác không được đánh dấu đáp án đúng",""),"Choice chưa chọn loại")))))))</f>
        <v/>
      </c>
    </row>
    <row r="323" spans="1:11">
      <c r="A323" s="13"/>
      <c r="B323" s="13"/>
      <c r="C323" s="5"/>
      <c r="D323" s="13"/>
      <c r="E323" s="13"/>
      <c r="F323" s="13"/>
      <c r="G323" s="13"/>
      <c r="H323" s="5"/>
      <c r="I323" s="5"/>
      <c r="J323" s="6" t="str">
        <f t="shared" si="4"/>
        <v/>
      </c>
      <c r="K323" s="6" t="str">
        <f>IF(A323="","",IF(COUNTIFS('02_KICH_BAN_NODES'!$B$5:$B$204,A323,'02_KICH_BAN_NODES'!$D$5:$D$204,"choice")=0,"ChoiceNodeId không tồn tại hoặc không phải choice",IF(COUNTIFS($A$5:$A$404,A323,$B$5:$B$404,B323)&gt;1,"Trùng OptionOrder trong cùng choice",IF(OR(B323="",C323="",D323="",F323="",H323=""),"Thiếu trường bắt buộc",IF(OR(COUNTIF($A$5:$A$404,A323)&lt;2,COUNTIF($A$5:$A$404,A323)&gt;4),"Mỗi choice cần 2–4 option",IF(COUNTIFS('02_KICH_BAN_NODES'!$B$5:$B$204,A323,'02_KICH_BAN_NODES'!$E$5:$E$204,"Kiến thức")=1,IF(COUNTIFS($A$5:$A$404,A323,$D$5:$D$404,"Có")&lt;&gt;1,"Choice kiến thức cần đúng 1 đáp án đúng",""),IF(COUNTIFS('02_KICH_BAN_NODES'!$B$5:$B$204,A323,'02_KICH_BAN_NODES'!$E$5:$E$204,"Tương tác")=1,IF(COUNTIFS($A$5:$A$404,A323,$D$5:$D$404,"Có")&lt;&gt;0,"Choice tương tác không được đánh dấu đáp án đúng",""),"Choice chưa chọn loại")))))))</f>
        <v/>
      </c>
    </row>
    <row r="324" spans="1:11">
      <c r="A324" s="13"/>
      <c r="B324" s="13"/>
      <c r="C324" s="5"/>
      <c r="D324" s="13"/>
      <c r="E324" s="13"/>
      <c r="F324" s="13"/>
      <c r="G324" s="13"/>
      <c r="H324" s="5"/>
      <c r="I324" s="5"/>
      <c r="J324" s="6" t="str">
        <f t="shared" si="4"/>
        <v/>
      </c>
      <c r="K324" s="6" t="str">
        <f>IF(A324="","",IF(COUNTIFS('02_KICH_BAN_NODES'!$B$5:$B$204,A324,'02_KICH_BAN_NODES'!$D$5:$D$204,"choice")=0,"ChoiceNodeId không tồn tại hoặc không phải choice",IF(COUNTIFS($A$5:$A$404,A324,$B$5:$B$404,B324)&gt;1,"Trùng OptionOrder trong cùng choice",IF(OR(B324="",C324="",D324="",F324="",H324=""),"Thiếu trường bắt buộc",IF(OR(COUNTIF($A$5:$A$404,A324)&lt;2,COUNTIF($A$5:$A$404,A324)&gt;4),"Mỗi choice cần 2–4 option",IF(COUNTIFS('02_KICH_BAN_NODES'!$B$5:$B$204,A324,'02_KICH_BAN_NODES'!$E$5:$E$204,"Kiến thức")=1,IF(COUNTIFS($A$5:$A$404,A324,$D$5:$D$404,"Có")&lt;&gt;1,"Choice kiến thức cần đúng 1 đáp án đúng",""),IF(COUNTIFS('02_KICH_BAN_NODES'!$B$5:$B$204,A324,'02_KICH_BAN_NODES'!$E$5:$E$204,"Tương tác")=1,IF(COUNTIFS($A$5:$A$404,A324,$D$5:$D$404,"Có")&lt;&gt;0,"Choice tương tác không được đánh dấu đáp án đúng",""),"Choice chưa chọn loại")))))))</f>
        <v/>
      </c>
    </row>
    <row r="325" spans="1:11">
      <c r="A325" s="13"/>
      <c r="B325" s="13"/>
      <c r="C325" s="5"/>
      <c r="D325" s="13"/>
      <c r="E325" s="13"/>
      <c r="F325" s="13"/>
      <c r="G325" s="13"/>
      <c r="H325" s="5"/>
      <c r="I325" s="5"/>
      <c r="J325" s="6" t="str">
        <f t="shared" ref="J325:J388" si="5">IF(A325="","",IF(K325="","HỢP LỆ","CẦN SỬA"))</f>
        <v/>
      </c>
      <c r="K325" s="6" t="str">
        <f>IF(A325="","",IF(COUNTIFS('02_KICH_BAN_NODES'!$B$5:$B$204,A325,'02_KICH_BAN_NODES'!$D$5:$D$204,"choice")=0,"ChoiceNodeId không tồn tại hoặc không phải choice",IF(COUNTIFS($A$5:$A$404,A325,$B$5:$B$404,B325)&gt;1,"Trùng OptionOrder trong cùng choice",IF(OR(B325="",C325="",D325="",F325="",H325=""),"Thiếu trường bắt buộc",IF(OR(COUNTIF($A$5:$A$404,A325)&lt;2,COUNTIF($A$5:$A$404,A325)&gt;4),"Mỗi choice cần 2–4 option",IF(COUNTIFS('02_KICH_BAN_NODES'!$B$5:$B$204,A325,'02_KICH_BAN_NODES'!$E$5:$E$204,"Kiến thức")=1,IF(COUNTIFS($A$5:$A$404,A325,$D$5:$D$404,"Có")&lt;&gt;1,"Choice kiến thức cần đúng 1 đáp án đúng",""),IF(COUNTIFS('02_KICH_BAN_NODES'!$B$5:$B$204,A325,'02_KICH_BAN_NODES'!$E$5:$E$204,"Tương tác")=1,IF(COUNTIFS($A$5:$A$404,A325,$D$5:$D$404,"Có")&lt;&gt;0,"Choice tương tác không được đánh dấu đáp án đúng",""),"Choice chưa chọn loại")))))))</f>
        <v/>
      </c>
    </row>
    <row r="326" spans="1:11">
      <c r="A326" s="13"/>
      <c r="B326" s="13"/>
      <c r="C326" s="5"/>
      <c r="D326" s="13"/>
      <c r="E326" s="13"/>
      <c r="F326" s="13"/>
      <c r="G326" s="13"/>
      <c r="H326" s="5"/>
      <c r="I326" s="5"/>
      <c r="J326" s="6" t="str">
        <f t="shared" si="5"/>
        <v/>
      </c>
      <c r="K326" s="6" t="str">
        <f>IF(A326="","",IF(COUNTIFS('02_KICH_BAN_NODES'!$B$5:$B$204,A326,'02_KICH_BAN_NODES'!$D$5:$D$204,"choice")=0,"ChoiceNodeId không tồn tại hoặc không phải choice",IF(COUNTIFS($A$5:$A$404,A326,$B$5:$B$404,B326)&gt;1,"Trùng OptionOrder trong cùng choice",IF(OR(B326="",C326="",D326="",F326="",H326=""),"Thiếu trường bắt buộc",IF(OR(COUNTIF($A$5:$A$404,A326)&lt;2,COUNTIF($A$5:$A$404,A326)&gt;4),"Mỗi choice cần 2–4 option",IF(COUNTIFS('02_KICH_BAN_NODES'!$B$5:$B$204,A326,'02_KICH_BAN_NODES'!$E$5:$E$204,"Kiến thức")=1,IF(COUNTIFS($A$5:$A$404,A326,$D$5:$D$404,"Có")&lt;&gt;1,"Choice kiến thức cần đúng 1 đáp án đúng",""),IF(COUNTIFS('02_KICH_BAN_NODES'!$B$5:$B$204,A326,'02_KICH_BAN_NODES'!$E$5:$E$204,"Tương tác")=1,IF(COUNTIFS($A$5:$A$404,A326,$D$5:$D$404,"Có")&lt;&gt;0,"Choice tương tác không được đánh dấu đáp án đúng",""),"Choice chưa chọn loại")))))))</f>
        <v/>
      </c>
    </row>
    <row r="327" spans="1:11">
      <c r="A327" s="13"/>
      <c r="B327" s="13"/>
      <c r="C327" s="5"/>
      <c r="D327" s="13"/>
      <c r="E327" s="13"/>
      <c r="F327" s="13"/>
      <c r="G327" s="13"/>
      <c r="H327" s="5"/>
      <c r="I327" s="5"/>
      <c r="J327" s="6" t="str">
        <f t="shared" si="5"/>
        <v/>
      </c>
      <c r="K327" s="6" t="str">
        <f>IF(A327="","",IF(COUNTIFS('02_KICH_BAN_NODES'!$B$5:$B$204,A327,'02_KICH_BAN_NODES'!$D$5:$D$204,"choice")=0,"ChoiceNodeId không tồn tại hoặc không phải choice",IF(COUNTIFS($A$5:$A$404,A327,$B$5:$B$404,B327)&gt;1,"Trùng OptionOrder trong cùng choice",IF(OR(B327="",C327="",D327="",F327="",H327=""),"Thiếu trường bắt buộc",IF(OR(COUNTIF($A$5:$A$404,A327)&lt;2,COUNTIF($A$5:$A$404,A327)&gt;4),"Mỗi choice cần 2–4 option",IF(COUNTIFS('02_KICH_BAN_NODES'!$B$5:$B$204,A327,'02_KICH_BAN_NODES'!$E$5:$E$204,"Kiến thức")=1,IF(COUNTIFS($A$5:$A$404,A327,$D$5:$D$404,"Có")&lt;&gt;1,"Choice kiến thức cần đúng 1 đáp án đúng",""),IF(COUNTIFS('02_KICH_BAN_NODES'!$B$5:$B$204,A327,'02_KICH_BAN_NODES'!$E$5:$E$204,"Tương tác")=1,IF(COUNTIFS($A$5:$A$404,A327,$D$5:$D$404,"Có")&lt;&gt;0,"Choice tương tác không được đánh dấu đáp án đúng",""),"Choice chưa chọn loại")))))))</f>
        <v/>
      </c>
    </row>
    <row r="328" spans="1:11">
      <c r="A328" s="13"/>
      <c r="B328" s="13"/>
      <c r="C328" s="5"/>
      <c r="D328" s="13"/>
      <c r="E328" s="13"/>
      <c r="F328" s="13"/>
      <c r="G328" s="13"/>
      <c r="H328" s="5"/>
      <c r="I328" s="5"/>
      <c r="J328" s="6" t="str">
        <f t="shared" si="5"/>
        <v/>
      </c>
      <c r="K328" s="6" t="str">
        <f>IF(A328="","",IF(COUNTIFS('02_KICH_BAN_NODES'!$B$5:$B$204,A328,'02_KICH_BAN_NODES'!$D$5:$D$204,"choice")=0,"ChoiceNodeId không tồn tại hoặc không phải choice",IF(COUNTIFS($A$5:$A$404,A328,$B$5:$B$404,B328)&gt;1,"Trùng OptionOrder trong cùng choice",IF(OR(B328="",C328="",D328="",F328="",H328=""),"Thiếu trường bắt buộc",IF(OR(COUNTIF($A$5:$A$404,A328)&lt;2,COUNTIF($A$5:$A$404,A328)&gt;4),"Mỗi choice cần 2–4 option",IF(COUNTIFS('02_KICH_BAN_NODES'!$B$5:$B$204,A328,'02_KICH_BAN_NODES'!$E$5:$E$204,"Kiến thức")=1,IF(COUNTIFS($A$5:$A$404,A328,$D$5:$D$404,"Có")&lt;&gt;1,"Choice kiến thức cần đúng 1 đáp án đúng",""),IF(COUNTIFS('02_KICH_BAN_NODES'!$B$5:$B$204,A328,'02_KICH_BAN_NODES'!$E$5:$E$204,"Tương tác")=1,IF(COUNTIFS($A$5:$A$404,A328,$D$5:$D$404,"Có")&lt;&gt;0,"Choice tương tác không được đánh dấu đáp án đúng",""),"Choice chưa chọn loại")))))))</f>
        <v/>
      </c>
    </row>
    <row r="329" spans="1:11">
      <c r="A329" s="13"/>
      <c r="B329" s="13"/>
      <c r="C329" s="5"/>
      <c r="D329" s="13"/>
      <c r="E329" s="13"/>
      <c r="F329" s="13"/>
      <c r="G329" s="13"/>
      <c r="H329" s="5"/>
      <c r="I329" s="5"/>
      <c r="J329" s="6" t="str">
        <f t="shared" si="5"/>
        <v/>
      </c>
      <c r="K329" s="6" t="str">
        <f>IF(A329="","",IF(COUNTIFS('02_KICH_BAN_NODES'!$B$5:$B$204,A329,'02_KICH_BAN_NODES'!$D$5:$D$204,"choice")=0,"ChoiceNodeId không tồn tại hoặc không phải choice",IF(COUNTIFS($A$5:$A$404,A329,$B$5:$B$404,B329)&gt;1,"Trùng OptionOrder trong cùng choice",IF(OR(B329="",C329="",D329="",F329="",H329=""),"Thiếu trường bắt buộc",IF(OR(COUNTIF($A$5:$A$404,A329)&lt;2,COUNTIF($A$5:$A$404,A329)&gt;4),"Mỗi choice cần 2–4 option",IF(COUNTIFS('02_KICH_BAN_NODES'!$B$5:$B$204,A329,'02_KICH_BAN_NODES'!$E$5:$E$204,"Kiến thức")=1,IF(COUNTIFS($A$5:$A$404,A329,$D$5:$D$404,"Có")&lt;&gt;1,"Choice kiến thức cần đúng 1 đáp án đúng",""),IF(COUNTIFS('02_KICH_BAN_NODES'!$B$5:$B$204,A329,'02_KICH_BAN_NODES'!$E$5:$E$204,"Tương tác")=1,IF(COUNTIFS($A$5:$A$404,A329,$D$5:$D$404,"Có")&lt;&gt;0,"Choice tương tác không được đánh dấu đáp án đúng",""),"Choice chưa chọn loại")))))))</f>
        <v/>
      </c>
    </row>
    <row r="330" spans="1:11">
      <c r="A330" s="13"/>
      <c r="B330" s="13"/>
      <c r="C330" s="5"/>
      <c r="D330" s="13"/>
      <c r="E330" s="13"/>
      <c r="F330" s="13"/>
      <c r="G330" s="13"/>
      <c r="H330" s="5"/>
      <c r="I330" s="5"/>
      <c r="J330" s="6" t="str">
        <f t="shared" si="5"/>
        <v/>
      </c>
      <c r="K330" s="6" t="str">
        <f>IF(A330="","",IF(COUNTIFS('02_KICH_BAN_NODES'!$B$5:$B$204,A330,'02_KICH_BAN_NODES'!$D$5:$D$204,"choice")=0,"ChoiceNodeId không tồn tại hoặc không phải choice",IF(COUNTIFS($A$5:$A$404,A330,$B$5:$B$404,B330)&gt;1,"Trùng OptionOrder trong cùng choice",IF(OR(B330="",C330="",D330="",F330="",H330=""),"Thiếu trường bắt buộc",IF(OR(COUNTIF($A$5:$A$404,A330)&lt;2,COUNTIF($A$5:$A$404,A330)&gt;4),"Mỗi choice cần 2–4 option",IF(COUNTIFS('02_KICH_BAN_NODES'!$B$5:$B$204,A330,'02_KICH_BAN_NODES'!$E$5:$E$204,"Kiến thức")=1,IF(COUNTIFS($A$5:$A$404,A330,$D$5:$D$404,"Có")&lt;&gt;1,"Choice kiến thức cần đúng 1 đáp án đúng",""),IF(COUNTIFS('02_KICH_BAN_NODES'!$B$5:$B$204,A330,'02_KICH_BAN_NODES'!$E$5:$E$204,"Tương tác")=1,IF(COUNTIFS($A$5:$A$404,A330,$D$5:$D$404,"Có")&lt;&gt;0,"Choice tương tác không được đánh dấu đáp án đúng",""),"Choice chưa chọn loại")))))))</f>
        <v/>
      </c>
    </row>
    <row r="331" spans="1:11">
      <c r="A331" s="13"/>
      <c r="B331" s="13"/>
      <c r="C331" s="5"/>
      <c r="D331" s="13"/>
      <c r="E331" s="13"/>
      <c r="F331" s="13"/>
      <c r="G331" s="13"/>
      <c r="H331" s="5"/>
      <c r="I331" s="5"/>
      <c r="J331" s="6" t="str">
        <f t="shared" si="5"/>
        <v/>
      </c>
      <c r="K331" s="6" t="str">
        <f>IF(A331="","",IF(COUNTIFS('02_KICH_BAN_NODES'!$B$5:$B$204,A331,'02_KICH_BAN_NODES'!$D$5:$D$204,"choice")=0,"ChoiceNodeId không tồn tại hoặc không phải choice",IF(COUNTIFS($A$5:$A$404,A331,$B$5:$B$404,B331)&gt;1,"Trùng OptionOrder trong cùng choice",IF(OR(B331="",C331="",D331="",F331="",H331=""),"Thiếu trường bắt buộc",IF(OR(COUNTIF($A$5:$A$404,A331)&lt;2,COUNTIF($A$5:$A$404,A331)&gt;4),"Mỗi choice cần 2–4 option",IF(COUNTIFS('02_KICH_BAN_NODES'!$B$5:$B$204,A331,'02_KICH_BAN_NODES'!$E$5:$E$204,"Kiến thức")=1,IF(COUNTIFS($A$5:$A$404,A331,$D$5:$D$404,"Có")&lt;&gt;1,"Choice kiến thức cần đúng 1 đáp án đúng",""),IF(COUNTIFS('02_KICH_BAN_NODES'!$B$5:$B$204,A331,'02_KICH_BAN_NODES'!$E$5:$E$204,"Tương tác")=1,IF(COUNTIFS($A$5:$A$404,A331,$D$5:$D$404,"Có")&lt;&gt;0,"Choice tương tác không được đánh dấu đáp án đúng",""),"Choice chưa chọn loại")))))))</f>
        <v/>
      </c>
    </row>
    <row r="332" spans="1:11">
      <c r="A332" s="13"/>
      <c r="B332" s="13"/>
      <c r="C332" s="5"/>
      <c r="D332" s="13"/>
      <c r="E332" s="13"/>
      <c r="F332" s="13"/>
      <c r="G332" s="13"/>
      <c r="H332" s="5"/>
      <c r="I332" s="5"/>
      <c r="J332" s="6" t="str">
        <f t="shared" si="5"/>
        <v/>
      </c>
      <c r="K332" s="6" t="str">
        <f>IF(A332="","",IF(COUNTIFS('02_KICH_BAN_NODES'!$B$5:$B$204,A332,'02_KICH_BAN_NODES'!$D$5:$D$204,"choice")=0,"ChoiceNodeId không tồn tại hoặc không phải choice",IF(COUNTIFS($A$5:$A$404,A332,$B$5:$B$404,B332)&gt;1,"Trùng OptionOrder trong cùng choice",IF(OR(B332="",C332="",D332="",F332="",H332=""),"Thiếu trường bắt buộc",IF(OR(COUNTIF($A$5:$A$404,A332)&lt;2,COUNTIF($A$5:$A$404,A332)&gt;4),"Mỗi choice cần 2–4 option",IF(COUNTIFS('02_KICH_BAN_NODES'!$B$5:$B$204,A332,'02_KICH_BAN_NODES'!$E$5:$E$204,"Kiến thức")=1,IF(COUNTIFS($A$5:$A$404,A332,$D$5:$D$404,"Có")&lt;&gt;1,"Choice kiến thức cần đúng 1 đáp án đúng",""),IF(COUNTIFS('02_KICH_BAN_NODES'!$B$5:$B$204,A332,'02_KICH_BAN_NODES'!$E$5:$E$204,"Tương tác")=1,IF(COUNTIFS($A$5:$A$404,A332,$D$5:$D$404,"Có")&lt;&gt;0,"Choice tương tác không được đánh dấu đáp án đúng",""),"Choice chưa chọn loại")))))))</f>
        <v/>
      </c>
    </row>
    <row r="333" spans="1:11">
      <c r="A333" s="13"/>
      <c r="B333" s="13"/>
      <c r="C333" s="5"/>
      <c r="D333" s="13"/>
      <c r="E333" s="13"/>
      <c r="F333" s="13"/>
      <c r="G333" s="13"/>
      <c r="H333" s="5"/>
      <c r="I333" s="5"/>
      <c r="J333" s="6" t="str">
        <f t="shared" si="5"/>
        <v/>
      </c>
      <c r="K333" s="6" t="str">
        <f>IF(A333="","",IF(COUNTIFS('02_KICH_BAN_NODES'!$B$5:$B$204,A333,'02_KICH_BAN_NODES'!$D$5:$D$204,"choice")=0,"ChoiceNodeId không tồn tại hoặc không phải choice",IF(COUNTIFS($A$5:$A$404,A333,$B$5:$B$404,B333)&gt;1,"Trùng OptionOrder trong cùng choice",IF(OR(B333="",C333="",D333="",F333="",H333=""),"Thiếu trường bắt buộc",IF(OR(COUNTIF($A$5:$A$404,A333)&lt;2,COUNTIF($A$5:$A$404,A333)&gt;4),"Mỗi choice cần 2–4 option",IF(COUNTIFS('02_KICH_BAN_NODES'!$B$5:$B$204,A333,'02_KICH_BAN_NODES'!$E$5:$E$204,"Kiến thức")=1,IF(COUNTIFS($A$5:$A$404,A333,$D$5:$D$404,"Có")&lt;&gt;1,"Choice kiến thức cần đúng 1 đáp án đúng",""),IF(COUNTIFS('02_KICH_BAN_NODES'!$B$5:$B$204,A333,'02_KICH_BAN_NODES'!$E$5:$E$204,"Tương tác")=1,IF(COUNTIFS($A$5:$A$404,A333,$D$5:$D$404,"Có")&lt;&gt;0,"Choice tương tác không được đánh dấu đáp án đúng",""),"Choice chưa chọn loại")))))))</f>
        <v/>
      </c>
    </row>
    <row r="334" spans="1:11">
      <c r="A334" s="13"/>
      <c r="B334" s="13"/>
      <c r="C334" s="5"/>
      <c r="D334" s="13"/>
      <c r="E334" s="13"/>
      <c r="F334" s="13"/>
      <c r="G334" s="13"/>
      <c r="H334" s="5"/>
      <c r="I334" s="5"/>
      <c r="J334" s="6" t="str">
        <f t="shared" si="5"/>
        <v/>
      </c>
      <c r="K334" s="6" t="str">
        <f>IF(A334="","",IF(COUNTIFS('02_KICH_BAN_NODES'!$B$5:$B$204,A334,'02_KICH_BAN_NODES'!$D$5:$D$204,"choice")=0,"ChoiceNodeId không tồn tại hoặc không phải choice",IF(COUNTIFS($A$5:$A$404,A334,$B$5:$B$404,B334)&gt;1,"Trùng OptionOrder trong cùng choice",IF(OR(B334="",C334="",D334="",F334="",H334=""),"Thiếu trường bắt buộc",IF(OR(COUNTIF($A$5:$A$404,A334)&lt;2,COUNTIF($A$5:$A$404,A334)&gt;4),"Mỗi choice cần 2–4 option",IF(COUNTIFS('02_KICH_BAN_NODES'!$B$5:$B$204,A334,'02_KICH_BAN_NODES'!$E$5:$E$204,"Kiến thức")=1,IF(COUNTIFS($A$5:$A$404,A334,$D$5:$D$404,"Có")&lt;&gt;1,"Choice kiến thức cần đúng 1 đáp án đúng",""),IF(COUNTIFS('02_KICH_BAN_NODES'!$B$5:$B$204,A334,'02_KICH_BAN_NODES'!$E$5:$E$204,"Tương tác")=1,IF(COUNTIFS($A$5:$A$404,A334,$D$5:$D$404,"Có")&lt;&gt;0,"Choice tương tác không được đánh dấu đáp án đúng",""),"Choice chưa chọn loại")))))))</f>
        <v/>
      </c>
    </row>
    <row r="335" spans="1:11">
      <c r="A335" s="13"/>
      <c r="B335" s="13"/>
      <c r="C335" s="5"/>
      <c r="D335" s="13"/>
      <c r="E335" s="13"/>
      <c r="F335" s="13"/>
      <c r="G335" s="13"/>
      <c r="H335" s="5"/>
      <c r="I335" s="5"/>
      <c r="J335" s="6" t="str">
        <f t="shared" si="5"/>
        <v/>
      </c>
      <c r="K335" s="6" t="str">
        <f>IF(A335="","",IF(COUNTIFS('02_KICH_BAN_NODES'!$B$5:$B$204,A335,'02_KICH_BAN_NODES'!$D$5:$D$204,"choice")=0,"ChoiceNodeId không tồn tại hoặc không phải choice",IF(COUNTIFS($A$5:$A$404,A335,$B$5:$B$404,B335)&gt;1,"Trùng OptionOrder trong cùng choice",IF(OR(B335="",C335="",D335="",F335="",H335=""),"Thiếu trường bắt buộc",IF(OR(COUNTIF($A$5:$A$404,A335)&lt;2,COUNTIF($A$5:$A$404,A335)&gt;4),"Mỗi choice cần 2–4 option",IF(COUNTIFS('02_KICH_BAN_NODES'!$B$5:$B$204,A335,'02_KICH_BAN_NODES'!$E$5:$E$204,"Kiến thức")=1,IF(COUNTIFS($A$5:$A$404,A335,$D$5:$D$404,"Có")&lt;&gt;1,"Choice kiến thức cần đúng 1 đáp án đúng",""),IF(COUNTIFS('02_KICH_BAN_NODES'!$B$5:$B$204,A335,'02_KICH_BAN_NODES'!$E$5:$E$204,"Tương tác")=1,IF(COUNTIFS($A$5:$A$404,A335,$D$5:$D$404,"Có")&lt;&gt;0,"Choice tương tác không được đánh dấu đáp án đúng",""),"Choice chưa chọn loại")))))))</f>
        <v/>
      </c>
    </row>
    <row r="336" spans="1:11">
      <c r="A336" s="13"/>
      <c r="B336" s="13"/>
      <c r="C336" s="5"/>
      <c r="D336" s="13"/>
      <c r="E336" s="13"/>
      <c r="F336" s="13"/>
      <c r="G336" s="13"/>
      <c r="H336" s="5"/>
      <c r="I336" s="5"/>
      <c r="J336" s="6" t="str">
        <f t="shared" si="5"/>
        <v/>
      </c>
      <c r="K336" s="6" t="str">
        <f>IF(A336="","",IF(COUNTIFS('02_KICH_BAN_NODES'!$B$5:$B$204,A336,'02_KICH_BAN_NODES'!$D$5:$D$204,"choice")=0,"ChoiceNodeId không tồn tại hoặc không phải choice",IF(COUNTIFS($A$5:$A$404,A336,$B$5:$B$404,B336)&gt;1,"Trùng OptionOrder trong cùng choice",IF(OR(B336="",C336="",D336="",F336="",H336=""),"Thiếu trường bắt buộc",IF(OR(COUNTIF($A$5:$A$404,A336)&lt;2,COUNTIF($A$5:$A$404,A336)&gt;4),"Mỗi choice cần 2–4 option",IF(COUNTIFS('02_KICH_BAN_NODES'!$B$5:$B$204,A336,'02_KICH_BAN_NODES'!$E$5:$E$204,"Kiến thức")=1,IF(COUNTIFS($A$5:$A$404,A336,$D$5:$D$404,"Có")&lt;&gt;1,"Choice kiến thức cần đúng 1 đáp án đúng",""),IF(COUNTIFS('02_KICH_BAN_NODES'!$B$5:$B$204,A336,'02_KICH_BAN_NODES'!$E$5:$E$204,"Tương tác")=1,IF(COUNTIFS($A$5:$A$404,A336,$D$5:$D$404,"Có")&lt;&gt;0,"Choice tương tác không được đánh dấu đáp án đúng",""),"Choice chưa chọn loại")))))))</f>
        <v/>
      </c>
    </row>
    <row r="337" spans="1:11">
      <c r="A337" s="13"/>
      <c r="B337" s="13"/>
      <c r="C337" s="5"/>
      <c r="D337" s="13"/>
      <c r="E337" s="13"/>
      <c r="F337" s="13"/>
      <c r="G337" s="13"/>
      <c r="H337" s="5"/>
      <c r="I337" s="5"/>
      <c r="J337" s="6" t="str">
        <f t="shared" si="5"/>
        <v/>
      </c>
      <c r="K337" s="6" t="str">
        <f>IF(A337="","",IF(COUNTIFS('02_KICH_BAN_NODES'!$B$5:$B$204,A337,'02_KICH_BAN_NODES'!$D$5:$D$204,"choice")=0,"ChoiceNodeId không tồn tại hoặc không phải choice",IF(COUNTIFS($A$5:$A$404,A337,$B$5:$B$404,B337)&gt;1,"Trùng OptionOrder trong cùng choice",IF(OR(B337="",C337="",D337="",F337="",H337=""),"Thiếu trường bắt buộc",IF(OR(COUNTIF($A$5:$A$404,A337)&lt;2,COUNTIF($A$5:$A$404,A337)&gt;4),"Mỗi choice cần 2–4 option",IF(COUNTIFS('02_KICH_BAN_NODES'!$B$5:$B$204,A337,'02_KICH_BAN_NODES'!$E$5:$E$204,"Kiến thức")=1,IF(COUNTIFS($A$5:$A$404,A337,$D$5:$D$404,"Có")&lt;&gt;1,"Choice kiến thức cần đúng 1 đáp án đúng",""),IF(COUNTIFS('02_KICH_BAN_NODES'!$B$5:$B$204,A337,'02_KICH_BAN_NODES'!$E$5:$E$204,"Tương tác")=1,IF(COUNTIFS($A$5:$A$404,A337,$D$5:$D$404,"Có")&lt;&gt;0,"Choice tương tác không được đánh dấu đáp án đúng",""),"Choice chưa chọn loại")))))))</f>
        <v/>
      </c>
    </row>
    <row r="338" spans="1:11">
      <c r="A338" s="13"/>
      <c r="B338" s="13"/>
      <c r="C338" s="5"/>
      <c r="D338" s="13"/>
      <c r="E338" s="13"/>
      <c r="F338" s="13"/>
      <c r="G338" s="13"/>
      <c r="H338" s="5"/>
      <c r="I338" s="5"/>
      <c r="J338" s="6" t="str">
        <f t="shared" si="5"/>
        <v/>
      </c>
      <c r="K338" s="6" t="str">
        <f>IF(A338="","",IF(COUNTIFS('02_KICH_BAN_NODES'!$B$5:$B$204,A338,'02_KICH_BAN_NODES'!$D$5:$D$204,"choice")=0,"ChoiceNodeId không tồn tại hoặc không phải choice",IF(COUNTIFS($A$5:$A$404,A338,$B$5:$B$404,B338)&gt;1,"Trùng OptionOrder trong cùng choice",IF(OR(B338="",C338="",D338="",F338="",H338=""),"Thiếu trường bắt buộc",IF(OR(COUNTIF($A$5:$A$404,A338)&lt;2,COUNTIF($A$5:$A$404,A338)&gt;4),"Mỗi choice cần 2–4 option",IF(COUNTIFS('02_KICH_BAN_NODES'!$B$5:$B$204,A338,'02_KICH_BAN_NODES'!$E$5:$E$204,"Kiến thức")=1,IF(COUNTIFS($A$5:$A$404,A338,$D$5:$D$404,"Có")&lt;&gt;1,"Choice kiến thức cần đúng 1 đáp án đúng",""),IF(COUNTIFS('02_KICH_BAN_NODES'!$B$5:$B$204,A338,'02_KICH_BAN_NODES'!$E$5:$E$204,"Tương tác")=1,IF(COUNTIFS($A$5:$A$404,A338,$D$5:$D$404,"Có")&lt;&gt;0,"Choice tương tác không được đánh dấu đáp án đúng",""),"Choice chưa chọn loại")))))))</f>
        <v/>
      </c>
    </row>
    <row r="339" spans="1:11">
      <c r="A339" s="13"/>
      <c r="B339" s="13"/>
      <c r="C339" s="5"/>
      <c r="D339" s="13"/>
      <c r="E339" s="13"/>
      <c r="F339" s="13"/>
      <c r="G339" s="13"/>
      <c r="H339" s="5"/>
      <c r="I339" s="5"/>
      <c r="J339" s="6" t="str">
        <f t="shared" si="5"/>
        <v/>
      </c>
      <c r="K339" s="6" t="str">
        <f>IF(A339="","",IF(COUNTIFS('02_KICH_BAN_NODES'!$B$5:$B$204,A339,'02_KICH_BAN_NODES'!$D$5:$D$204,"choice")=0,"ChoiceNodeId không tồn tại hoặc không phải choice",IF(COUNTIFS($A$5:$A$404,A339,$B$5:$B$404,B339)&gt;1,"Trùng OptionOrder trong cùng choice",IF(OR(B339="",C339="",D339="",F339="",H339=""),"Thiếu trường bắt buộc",IF(OR(COUNTIF($A$5:$A$404,A339)&lt;2,COUNTIF($A$5:$A$404,A339)&gt;4),"Mỗi choice cần 2–4 option",IF(COUNTIFS('02_KICH_BAN_NODES'!$B$5:$B$204,A339,'02_KICH_BAN_NODES'!$E$5:$E$204,"Kiến thức")=1,IF(COUNTIFS($A$5:$A$404,A339,$D$5:$D$404,"Có")&lt;&gt;1,"Choice kiến thức cần đúng 1 đáp án đúng",""),IF(COUNTIFS('02_KICH_BAN_NODES'!$B$5:$B$204,A339,'02_KICH_BAN_NODES'!$E$5:$E$204,"Tương tác")=1,IF(COUNTIFS($A$5:$A$404,A339,$D$5:$D$404,"Có")&lt;&gt;0,"Choice tương tác không được đánh dấu đáp án đúng",""),"Choice chưa chọn loại")))))))</f>
        <v/>
      </c>
    </row>
    <row r="340" spans="1:11">
      <c r="A340" s="13"/>
      <c r="B340" s="13"/>
      <c r="C340" s="5"/>
      <c r="D340" s="13"/>
      <c r="E340" s="13"/>
      <c r="F340" s="13"/>
      <c r="G340" s="13"/>
      <c r="H340" s="5"/>
      <c r="I340" s="5"/>
      <c r="J340" s="6" t="str">
        <f t="shared" si="5"/>
        <v/>
      </c>
      <c r="K340" s="6" t="str">
        <f>IF(A340="","",IF(COUNTIFS('02_KICH_BAN_NODES'!$B$5:$B$204,A340,'02_KICH_BAN_NODES'!$D$5:$D$204,"choice")=0,"ChoiceNodeId không tồn tại hoặc không phải choice",IF(COUNTIFS($A$5:$A$404,A340,$B$5:$B$404,B340)&gt;1,"Trùng OptionOrder trong cùng choice",IF(OR(B340="",C340="",D340="",F340="",H340=""),"Thiếu trường bắt buộc",IF(OR(COUNTIF($A$5:$A$404,A340)&lt;2,COUNTIF($A$5:$A$404,A340)&gt;4),"Mỗi choice cần 2–4 option",IF(COUNTIFS('02_KICH_BAN_NODES'!$B$5:$B$204,A340,'02_KICH_BAN_NODES'!$E$5:$E$204,"Kiến thức")=1,IF(COUNTIFS($A$5:$A$404,A340,$D$5:$D$404,"Có")&lt;&gt;1,"Choice kiến thức cần đúng 1 đáp án đúng",""),IF(COUNTIFS('02_KICH_BAN_NODES'!$B$5:$B$204,A340,'02_KICH_BAN_NODES'!$E$5:$E$204,"Tương tác")=1,IF(COUNTIFS($A$5:$A$404,A340,$D$5:$D$404,"Có")&lt;&gt;0,"Choice tương tác không được đánh dấu đáp án đúng",""),"Choice chưa chọn loại")))))))</f>
        <v/>
      </c>
    </row>
    <row r="341" spans="1:11">
      <c r="A341" s="13"/>
      <c r="B341" s="13"/>
      <c r="C341" s="5"/>
      <c r="D341" s="13"/>
      <c r="E341" s="13"/>
      <c r="F341" s="13"/>
      <c r="G341" s="13"/>
      <c r="H341" s="5"/>
      <c r="I341" s="5"/>
      <c r="J341" s="6" t="str">
        <f t="shared" si="5"/>
        <v/>
      </c>
      <c r="K341" s="6" t="str">
        <f>IF(A341="","",IF(COUNTIFS('02_KICH_BAN_NODES'!$B$5:$B$204,A341,'02_KICH_BAN_NODES'!$D$5:$D$204,"choice")=0,"ChoiceNodeId không tồn tại hoặc không phải choice",IF(COUNTIFS($A$5:$A$404,A341,$B$5:$B$404,B341)&gt;1,"Trùng OptionOrder trong cùng choice",IF(OR(B341="",C341="",D341="",F341="",H341=""),"Thiếu trường bắt buộc",IF(OR(COUNTIF($A$5:$A$404,A341)&lt;2,COUNTIF($A$5:$A$404,A341)&gt;4),"Mỗi choice cần 2–4 option",IF(COUNTIFS('02_KICH_BAN_NODES'!$B$5:$B$204,A341,'02_KICH_BAN_NODES'!$E$5:$E$204,"Kiến thức")=1,IF(COUNTIFS($A$5:$A$404,A341,$D$5:$D$404,"Có")&lt;&gt;1,"Choice kiến thức cần đúng 1 đáp án đúng",""),IF(COUNTIFS('02_KICH_BAN_NODES'!$B$5:$B$204,A341,'02_KICH_BAN_NODES'!$E$5:$E$204,"Tương tác")=1,IF(COUNTIFS($A$5:$A$404,A341,$D$5:$D$404,"Có")&lt;&gt;0,"Choice tương tác không được đánh dấu đáp án đúng",""),"Choice chưa chọn loại")))))))</f>
        <v/>
      </c>
    </row>
    <row r="342" spans="1:11">
      <c r="A342" s="13"/>
      <c r="B342" s="13"/>
      <c r="C342" s="5"/>
      <c r="D342" s="13"/>
      <c r="E342" s="13"/>
      <c r="F342" s="13"/>
      <c r="G342" s="13"/>
      <c r="H342" s="5"/>
      <c r="I342" s="5"/>
      <c r="J342" s="6" t="str">
        <f t="shared" si="5"/>
        <v/>
      </c>
      <c r="K342" s="6" t="str">
        <f>IF(A342="","",IF(COUNTIFS('02_KICH_BAN_NODES'!$B$5:$B$204,A342,'02_KICH_BAN_NODES'!$D$5:$D$204,"choice")=0,"ChoiceNodeId không tồn tại hoặc không phải choice",IF(COUNTIFS($A$5:$A$404,A342,$B$5:$B$404,B342)&gt;1,"Trùng OptionOrder trong cùng choice",IF(OR(B342="",C342="",D342="",F342="",H342=""),"Thiếu trường bắt buộc",IF(OR(COUNTIF($A$5:$A$404,A342)&lt;2,COUNTIF($A$5:$A$404,A342)&gt;4),"Mỗi choice cần 2–4 option",IF(COUNTIFS('02_KICH_BAN_NODES'!$B$5:$B$204,A342,'02_KICH_BAN_NODES'!$E$5:$E$204,"Kiến thức")=1,IF(COUNTIFS($A$5:$A$404,A342,$D$5:$D$404,"Có")&lt;&gt;1,"Choice kiến thức cần đúng 1 đáp án đúng",""),IF(COUNTIFS('02_KICH_BAN_NODES'!$B$5:$B$204,A342,'02_KICH_BAN_NODES'!$E$5:$E$204,"Tương tác")=1,IF(COUNTIFS($A$5:$A$404,A342,$D$5:$D$404,"Có")&lt;&gt;0,"Choice tương tác không được đánh dấu đáp án đúng",""),"Choice chưa chọn loại")))))))</f>
        <v/>
      </c>
    </row>
    <row r="343" spans="1:11">
      <c r="A343" s="13"/>
      <c r="B343" s="13"/>
      <c r="C343" s="5"/>
      <c r="D343" s="13"/>
      <c r="E343" s="13"/>
      <c r="F343" s="13"/>
      <c r="G343" s="13"/>
      <c r="H343" s="5"/>
      <c r="I343" s="5"/>
      <c r="J343" s="6" t="str">
        <f t="shared" si="5"/>
        <v/>
      </c>
      <c r="K343" s="6" t="str">
        <f>IF(A343="","",IF(COUNTIFS('02_KICH_BAN_NODES'!$B$5:$B$204,A343,'02_KICH_BAN_NODES'!$D$5:$D$204,"choice")=0,"ChoiceNodeId không tồn tại hoặc không phải choice",IF(COUNTIFS($A$5:$A$404,A343,$B$5:$B$404,B343)&gt;1,"Trùng OptionOrder trong cùng choice",IF(OR(B343="",C343="",D343="",F343="",H343=""),"Thiếu trường bắt buộc",IF(OR(COUNTIF($A$5:$A$404,A343)&lt;2,COUNTIF($A$5:$A$404,A343)&gt;4),"Mỗi choice cần 2–4 option",IF(COUNTIFS('02_KICH_BAN_NODES'!$B$5:$B$204,A343,'02_KICH_BAN_NODES'!$E$5:$E$204,"Kiến thức")=1,IF(COUNTIFS($A$5:$A$404,A343,$D$5:$D$404,"Có")&lt;&gt;1,"Choice kiến thức cần đúng 1 đáp án đúng",""),IF(COUNTIFS('02_KICH_BAN_NODES'!$B$5:$B$204,A343,'02_KICH_BAN_NODES'!$E$5:$E$204,"Tương tác")=1,IF(COUNTIFS($A$5:$A$404,A343,$D$5:$D$404,"Có")&lt;&gt;0,"Choice tương tác không được đánh dấu đáp án đúng",""),"Choice chưa chọn loại")))))))</f>
        <v/>
      </c>
    </row>
    <row r="344" spans="1:11">
      <c r="A344" s="13"/>
      <c r="B344" s="13"/>
      <c r="C344" s="5"/>
      <c r="D344" s="13"/>
      <c r="E344" s="13"/>
      <c r="F344" s="13"/>
      <c r="G344" s="13"/>
      <c r="H344" s="5"/>
      <c r="I344" s="5"/>
      <c r="J344" s="6" t="str">
        <f t="shared" si="5"/>
        <v/>
      </c>
      <c r="K344" s="6" t="str">
        <f>IF(A344="","",IF(COUNTIFS('02_KICH_BAN_NODES'!$B$5:$B$204,A344,'02_KICH_BAN_NODES'!$D$5:$D$204,"choice")=0,"ChoiceNodeId không tồn tại hoặc không phải choice",IF(COUNTIFS($A$5:$A$404,A344,$B$5:$B$404,B344)&gt;1,"Trùng OptionOrder trong cùng choice",IF(OR(B344="",C344="",D344="",F344="",H344=""),"Thiếu trường bắt buộc",IF(OR(COUNTIF($A$5:$A$404,A344)&lt;2,COUNTIF($A$5:$A$404,A344)&gt;4),"Mỗi choice cần 2–4 option",IF(COUNTIFS('02_KICH_BAN_NODES'!$B$5:$B$204,A344,'02_KICH_BAN_NODES'!$E$5:$E$204,"Kiến thức")=1,IF(COUNTIFS($A$5:$A$404,A344,$D$5:$D$404,"Có")&lt;&gt;1,"Choice kiến thức cần đúng 1 đáp án đúng",""),IF(COUNTIFS('02_KICH_BAN_NODES'!$B$5:$B$204,A344,'02_KICH_BAN_NODES'!$E$5:$E$204,"Tương tác")=1,IF(COUNTIFS($A$5:$A$404,A344,$D$5:$D$404,"Có")&lt;&gt;0,"Choice tương tác không được đánh dấu đáp án đúng",""),"Choice chưa chọn loại")))))))</f>
        <v/>
      </c>
    </row>
    <row r="345" spans="1:11">
      <c r="A345" s="13"/>
      <c r="B345" s="13"/>
      <c r="C345" s="5"/>
      <c r="D345" s="13"/>
      <c r="E345" s="13"/>
      <c r="F345" s="13"/>
      <c r="G345" s="13"/>
      <c r="H345" s="5"/>
      <c r="I345" s="5"/>
      <c r="J345" s="6" t="str">
        <f t="shared" si="5"/>
        <v/>
      </c>
      <c r="K345" s="6" t="str">
        <f>IF(A345="","",IF(COUNTIFS('02_KICH_BAN_NODES'!$B$5:$B$204,A345,'02_KICH_BAN_NODES'!$D$5:$D$204,"choice")=0,"ChoiceNodeId không tồn tại hoặc không phải choice",IF(COUNTIFS($A$5:$A$404,A345,$B$5:$B$404,B345)&gt;1,"Trùng OptionOrder trong cùng choice",IF(OR(B345="",C345="",D345="",F345="",H345=""),"Thiếu trường bắt buộc",IF(OR(COUNTIF($A$5:$A$404,A345)&lt;2,COUNTIF($A$5:$A$404,A345)&gt;4),"Mỗi choice cần 2–4 option",IF(COUNTIFS('02_KICH_BAN_NODES'!$B$5:$B$204,A345,'02_KICH_BAN_NODES'!$E$5:$E$204,"Kiến thức")=1,IF(COUNTIFS($A$5:$A$404,A345,$D$5:$D$404,"Có")&lt;&gt;1,"Choice kiến thức cần đúng 1 đáp án đúng",""),IF(COUNTIFS('02_KICH_BAN_NODES'!$B$5:$B$204,A345,'02_KICH_BAN_NODES'!$E$5:$E$204,"Tương tác")=1,IF(COUNTIFS($A$5:$A$404,A345,$D$5:$D$404,"Có")&lt;&gt;0,"Choice tương tác không được đánh dấu đáp án đúng",""),"Choice chưa chọn loại")))))))</f>
        <v/>
      </c>
    </row>
    <row r="346" spans="1:11">
      <c r="A346" s="13"/>
      <c r="B346" s="13"/>
      <c r="C346" s="5"/>
      <c r="D346" s="13"/>
      <c r="E346" s="13"/>
      <c r="F346" s="13"/>
      <c r="G346" s="13"/>
      <c r="H346" s="5"/>
      <c r="I346" s="5"/>
      <c r="J346" s="6" t="str">
        <f t="shared" si="5"/>
        <v/>
      </c>
      <c r="K346" s="6" t="str">
        <f>IF(A346="","",IF(COUNTIFS('02_KICH_BAN_NODES'!$B$5:$B$204,A346,'02_KICH_BAN_NODES'!$D$5:$D$204,"choice")=0,"ChoiceNodeId không tồn tại hoặc không phải choice",IF(COUNTIFS($A$5:$A$404,A346,$B$5:$B$404,B346)&gt;1,"Trùng OptionOrder trong cùng choice",IF(OR(B346="",C346="",D346="",F346="",H346=""),"Thiếu trường bắt buộc",IF(OR(COUNTIF($A$5:$A$404,A346)&lt;2,COUNTIF($A$5:$A$404,A346)&gt;4),"Mỗi choice cần 2–4 option",IF(COUNTIFS('02_KICH_BAN_NODES'!$B$5:$B$204,A346,'02_KICH_BAN_NODES'!$E$5:$E$204,"Kiến thức")=1,IF(COUNTIFS($A$5:$A$404,A346,$D$5:$D$404,"Có")&lt;&gt;1,"Choice kiến thức cần đúng 1 đáp án đúng",""),IF(COUNTIFS('02_KICH_BAN_NODES'!$B$5:$B$204,A346,'02_KICH_BAN_NODES'!$E$5:$E$204,"Tương tác")=1,IF(COUNTIFS($A$5:$A$404,A346,$D$5:$D$404,"Có")&lt;&gt;0,"Choice tương tác không được đánh dấu đáp án đúng",""),"Choice chưa chọn loại")))))))</f>
        <v/>
      </c>
    </row>
    <row r="347" spans="1:11">
      <c r="A347" s="13"/>
      <c r="B347" s="13"/>
      <c r="C347" s="5"/>
      <c r="D347" s="13"/>
      <c r="E347" s="13"/>
      <c r="F347" s="13"/>
      <c r="G347" s="13"/>
      <c r="H347" s="5"/>
      <c r="I347" s="5"/>
      <c r="J347" s="6" t="str">
        <f t="shared" si="5"/>
        <v/>
      </c>
      <c r="K347" s="6" t="str">
        <f>IF(A347="","",IF(COUNTIFS('02_KICH_BAN_NODES'!$B$5:$B$204,A347,'02_KICH_BAN_NODES'!$D$5:$D$204,"choice")=0,"ChoiceNodeId không tồn tại hoặc không phải choice",IF(COUNTIFS($A$5:$A$404,A347,$B$5:$B$404,B347)&gt;1,"Trùng OptionOrder trong cùng choice",IF(OR(B347="",C347="",D347="",F347="",H347=""),"Thiếu trường bắt buộc",IF(OR(COUNTIF($A$5:$A$404,A347)&lt;2,COUNTIF($A$5:$A$404,A347)&gt;4),"Mỗi choice cần 2–4 option",IF(COUNTIFS('02_KICH_BAN_NODES'!$B$5:$B$204,A347,'02_KICH_BAN_NODES'!$E$5:$E$204,"Kiến thức")=1,IF(COUNTIFS($A$5:$A$404,A347,$D$5:$D$404,"Có")&lt;&gt;1,"Choice kiến thức cần đúng 1 đáp án đúng",""),IF(COUNTIFS('02_KICH_BAN_NODES'!$B$5:$B$204,A347,'02_KICH_BAN_NODES'!$E$5:$E$204,"Tương tác")=1,IF(COUNTIFS($A$5:$A$404,A347,$D$5:$D$404,"Có")&lt;&gt;0,"Choice tương tác không được đánh dấu đáp án đúng",""),"Choice chưa chọn loại")))))))</f>
        <v/>
      </c>
    </row>
    <row r="348" spans="1:11">
      <c r="A348" s="13"/>
      <c r="B348" s="13"/>
      <c r="C348" s="5"/>
      <c r="D348" s="13"/>
      <c r="E348" s="13"/>
      <c r="F348" s="13"/>
      <c r="G348" s="13"/>
      <c r="H348" s="5"/>
      <c r="I348" s="5"/>
      <c r="J348" s="6" t="str">
        <f t="shared" si="5"/>
        <v/>
      </c>
      <c r="K348" s="6" t="str">
        <f>IF(A348="","",IF(COUNTIFS('02_KICH_BAN_NODES'!$B$5:$B$204,A348,'02_KICH_BAN_NODES'!$D$5:$D$204,"choice")=0,"ChoiceNodeId không tồn tại hoặc không phải choice",IF(COUNTIFS($A$5:$A$404,A348,$B$5:$B$404,B348)&gt;1,"Trùng OptionOrder trong cùng choice",IF(OR(B348="",C348="",D348="",F348="",H348=""),"Thiếu trường bắt buộc",IF(OR(COUNTIF($A$5:$A$404,A348)&lt;2,COUNTIF($A$5:$A$404,A348)&gt;4),"Mỗi choice cần 2–4 option",IF(COUNTIFS('02_KICH_BAN_NODES'!$B$5:$B$204,A348,'02_KICH_BAN_NODES'!$E$5:$E$204,"Kiến thức")=1,IF(COUNTIFS($A$5:$A$404,A348,$D$5:$D$404,"Có")&lt;&gt;1,"Choice kiến thức cần đúng 1 đáp án đúng",""),IF(COUNTIFS('02_KICH_BAN_NODES'!$B$5:$B$204,A348,'02_KICH_BAN_NODES'!$E$5:$E$204,"Tương tác")=1,IF(COUNTIFS($A$5:$A$404,A348,$D$5:$D$404,"Có")&lt;&gt;0,"Choice tương tác không được đánh dấu đáp án đúng",""),"Choice chưa chọn loại")))))))</f>
        <v/>
      </c>
    </row>
    <row r="349" spans="1:11">
      <c r="A349" s="13"/>
      <c r="B349" s="13"/>
      <c r="C349" s="5"/>
      <c r="D349" s="13"/>
      <c r="E349" s="13"/>
      <c r="F349" s="13"/>
      <c r="G349" s="13"/>
      <c r="H349" s="5"/>
      <c r="I349" s="5"/>
      <c r="J349" s="6" t="str">
        <f t="shared" si="5"/>
        <v/>
      </c>
      <c r="K349" s="6" t="str">
        <f>IF(A349="","",IF(COUNTIFS('02_KICH_BAN_NODES'!$B$5:$B$204,A349,'02_KICH_BAN_NODES'!$D$5:$D$204,"choice")=0,"ChoiceNodeId không tồn tại hoặc không phải choice",IF(COUNTIFS($A$5:$A$404,A349,$B$5:$B$404,B349)&gt;1,"Trùng OptionOrder trong cùng choice",IF(OR(B349="",C349="",D349="",F349="",H349=""),"Thiếu trường bắt buộc",IF(OR(COUNTIF($A$5:$A$404,A349)&lt;2,COUNTIF($A$5:$A$404,A349)&gt;4),"Mỗi choice cần 2–4 option",IF(COUNTIFS('02_KICH_BAN_NODES'!$B$5:$B$204,A349,'02_KICH_BAN_NODES'!$E$5:$E$204,"Kiến thức")=1,IF(COUNTIFS($A$5:$A$404,A349,$D$5:$D$404,"Có")&lt;&gt;1,"Choice kiến thức cần đúng 1 đáp án đúng",""),IF(COUNTIFS('02_KICH_BAN_NODES'!$B$5:$B$204,A349,'02_KICH_BAN_NODES'!$E$5:$E$204,"Tương tác")=1,IF(COUNTIFS($A$5:$A$404,A349,$D$5:$D$404,"Có")&lt;&gt;0,"Choice tương tác không được đánh dấu đáp án đúng",""),"Choice chưa chọn loại")))))))</f>
        <v/>
      </c>
    </row>
    <row r="350" spans="1:11">
      <c r="A350" s="13"/>
      <c r="B350" s="13"/>
      <c r="C350" s="5"/>
      <c r="D350" s="13"/>
      <c r="E350" s="13"/>
      <c r="F350" s="13"/>
      <c r="G350" s="13"/>
      <c r="H350" s="5"/>
      <c r="I350" s="5"/>
      <c r="J350" s="6" t="str">
        <f t="shared" si="5"/>
        <v/>
      </c>
      <c r="K350" s="6" t="str">
        <f>IF(A350="","",IF(COUNTIFS('02_KICH_BAN_NODES'!$B$5:$B$204,A350,'02_KICH_BAN_NODES'!$D$5:$D$204,"choice")=0,"ChoiceNodeId không tồn tại hoặc không phải choice",IF(COUNTIFS($A$5:$A$404,A350,$B$5:$B$404,B350)&gt;1,"Trùng OptionOrder trong cùng choice",IF(OR(B350="",C350="",D350="",F350="",H350=""),"Thiếu trường bắt buộc",IF(OR(COUNTIF($A$5:$A$404,A350)&lt;2,COUNTIF($A$5:$A$404,A350)&gt;4),"Mỗi choice cần 2–4 option",IF(COUNTIFS('02_KICH_BAN_NODES'!$B$5:$B$204,A350,'02_KICH_BAN_NODES'!$E$5:$E$204,"Kiến thức")=1,IF(COUNTIFS($A$5:$A$404,A350,$D$5:$D$404,"Có")&lt;&gt;1,"Choice kiến thức cần đúng 1 đáp án đúng",""),IF(COUNTIFS('02_KICH_BAN_NODES'!$B$5:$B$204,A350,'02_KICH_BAN_NODES'!$E$5:$E$204,"Tương tác")=1,IF(COUNTIFS($A$5:$A$404,A350,$D$5:$D$404,"Có")&lt;&gt;0,"Choice tương tác không được đánh dấu đáp án đúng",""),"Choice chưa chọn loại")))))))</f>
        <v/>
      </c>
    </row>
    <row r="351" spans="1:11">
      <c r="A351" s="13"/>
      <c r="B351" s="13"/>
      <c r="C351" s="5"/>
      <c r="D351" s="13"/>
      <c r="E351" s="13"/>
      <c r="F351" s="13"/>
      <c r="G351" s="13"/>
      <c r="H351" s="5"/>
      <c r="I351" s="5"/>
      <c r="J351" s="6" t="str">
        <f t="shared" si="5"/>
        <v/>
      </c>
      <c r="K351" s="6" t="str">
        <f>IF(A351="","",IF(COUNTIFS('02_KICH_BAN_NODES'!$B$5:$B$204,A351,'02_KICH_BAN_NODES'!$D$5:$D$204,"choice")=0,"ChoiceNodeId không tồn tại hoặc không phải choice",IF(COUNTIFS($A$5:$A$404,A351,$B$5:$B$404,B351)&gt;1,"Trùng OptionOrder trong cùng choice",IF(OR(B351="",C351="",D351="",F351="",H351=""),"Thiếu trường bắt buộc",IF(OR(COUNTIF($A$5:$A$404,A351)&lt;2,COUNTIF($A$5:$A$404,A351)&gt;4),"Mỗi choice cần 2–4 option",IF(COUNTIFS('02_KICH_BAN_NODES'!$B$5:$B$204,A351,'02_KICH_BAN_NODES'!$E$5:$E$204,"Kiến thức")=1,IF(COUNTIFS($A$5:$A$404,A351,$D$5:$D$404,"Có")&lt;&gt;1,"Choice kiến thức cần đúng 1 đáp án đúng",""),IF(COUNTIFS('02_KICH_BAN_NODES'!$B$5:$B$204,A351,'02_KICH_BAN_NODES'!$E$5:$E$204,"Tương tác")=1,IF(COUNTIFS($A$5:$A$404,A351,$D$5:$D$404,"Có")&lt;&gt;0,"Choice tương tác không được đánh dấu đáp án đúng",""),"Choice chưa chọn loại")))))))</f>
        <v/>
      </c>
    </row>
    <row r="352" spans="1:11">
      <c r="A352" s="13"/>
      <c r="B352" s="13"/>
      <c r="C352" s="5"/>
      <c r="D352" s="13"/>
      <c r="E352" s="13"/>
      <c r="F352" s="13"/>
      <c r="G352" s="13"/>
      <c r="H352" s="5"/>
      <c r="I352" s="5"/>
      <c r="J352" s="6" t="str">
        <f t="shared" si="5"/>
        <v/>
      </c>
      <c r="K352" s="6" t="str">
        <f>IF(A352="","",IF(COUNTIFS('02_KICH_BAN_NODES'!$B$5:$B$204,A352,'02_KICH_BAN_NODES'!$D$5:$D$204,"choice")=0,"ChoiceNodeId không tồn tại hoặc không phải choice",IF(COUNTIFS($A$5:$A$404,A352,$B$5:$B$404,B352)&gt;1,"Trùng OptionOrder trong cùng choice",IF(OR(B352="",C352="",D352="",F352="",H352=""),"Thiếu trường bắt buộc",IF(OR(COUNTIF($A$5:$A$404,A352)&lt;2,COUNTIF($A$5:$A$404,A352)&gt;4),"Mỗi choice cần 2–4 option",IF(COUNTIFS('02_KICH_BAN_NODES'!$B$5:$B$204,A352,'02_KICH_BAN_NODES'!$E$5:$E$204,"Kiến thức")=1,IF(COUNTIFS($A$5:$A$404,A352,$D$5:$D$404,"Có")&lt;&gt;1,"Choice kiến thức cần đúng 1 đáp án đúng",""),IF(COUNTIFS('02_KICH_BAN_NODES'!$B$5:$B$204,A352,'02_KICH_BAN_NODES'!$E$5:$E$204,"Tương tác")=1,IF(COUNTIFS($A$5:$A$404,A352,$D$5:$D$404,"Có")&lt;&gt;0,"Choice tương tác không được đánh dấu đáp án đúng",""),"Choice chưa chọn loại")))))))</f>
        <v/>
      </c>
    </row>
    <row r="353" spans="1:11">
      <c r="A353" s="13"/>
      <c r="B353" s="13"/>
      <c r="C353" s="5"/>
      <c r="D353" s="13"/>
      <c r="E353" s="13"/>
      <c r="F353" s="13"/>
      <c r="G353" s="13"/>
      <c r="H353" s="5"/>
      <c r="I353" s="5"/>
      <c r="J353" s="6" t="str">
        <f t="shared" si="5"/>
        <v/>
      </c>
      <c r="K353" s="6" t="str">
        <f>IF(A353="","",IF(COUNTIFS('02_KICH_BAN_NODES'!$B$5:$B$204,A353,'02_KICH_BAN_NODES'!$D$5:$D$204,"choice")=0,"ChoiceNodeId không tồn tại hoặc không phải choice",IF(COUNTIFS($A$5:$A$404,A353,$B$5:$B$404,B353)&gt;1,"Trùng OptionOrder trong cùng choice",IF(OR(B353="",C353="",D353="",F353="",H353=""),"Thiếu trường bắt buộc",IF(OR(COUNTIF($A$5:$A$404,A353)&lt;2,COUNTIF($A$5:$A$404,A353)&gt;4),"Mỗi choice cần 2–4 option",IF(COUNTIFS('02_KICH_BAN_NODES'!$B$5:$B$204,A353,'02_KICH_BAN_NODES'!$E$5:$E$204,"Kiến thức")=1,IF(COUNTIFS($A$5:$A$404,A353,$D$5:$D$404,"Có")&lt;&gt;1,"Choice kiến thức cần đúng 1 đáp án đúng",""),IF(COUNTIFS('02_KICH_BAN_NODES'!$B$5:$B$204,A353,'02_KICH_BAN_NODES'!$E$5:$E$204,"Tương tác")=1,IF(COUNTIFS($A$5:$A$404,A353,$D$5:$D$404,"Có")&lt;&gt;0,"Choice tương tác không được đánh dấu đáp án đúng",""),"Choice chưa chọn loại")))))))</f>
        <v/>
      </c>
    </row>
    <row r="354" spans="1:11">
      <c r="A354" s="13"/>
      <c r="B354" s="13"/>
      <c r="C354" s="5"/>
      <c r="D354" s="13"/>
      <c r="E354" s="13"/>
      <c r="F354" s="13"/>
      <c r="G354" s="13"/>
      <c r="H354" s="5"/>
      <c r="I354" s="5"/>
      <c r="J354" s="6" t="str">
        <f t="shared" si="5"/>
        <v/>
      </c>
      <c r="K354" s="6" t="str">
        <f>IF(A354="","",IF(COUNTIFS('02_KICH_BAN_NODES'!$B$5:$B$204,A354,'02_KICH_BAN_NODES'!$D$5:$D$204,"choice")=0,"ChoiceNodeId không tồn tại hoặc không phải choice",IF(COUNTIFS($A$5:$A$404,A354,$B$5:$B$404,B354)&gt;1,"Trùng OptionOrder trong cùng choice",IF(OR(B354="",C354="",D354="",F354="",H354=""),"Thiếu trường bắt buộc",IF(OR(COUNTIF($A$5:$A$404,A354)&lt;2,COUNTIF($A$5:$A$404,A354)&gt;4),"Mỗi choice cần 2–4 option",IF(COUNTIFS('02_KICH_BAN_NODES'!$B$5:$B$204,A354,'02_KICH_BAN_NODES'!$E$5:$E$204,"Kiến thức")=1,IF(COUNTIFS($A$5:$A$404,A354,$D$5:$D$404,"Có")&lt;&gt;1,"Choice kiến thức cần đúng 1 đáp án đúng",""),IF(COUNTIFS('02_KICH_BAN_NODES'!$B$5:$B$204,A354,'02_KICH_BAN_NODES'!$E$5:$E$204,"Tương tác")=1,IF(COUNTIFS($A$5:$A$404,A354,$D$5:$D$404,"Có")&lt;&gt;0,"Choice tương tác không được đánh dấu đáp án đúng",""),"Choice chưa chọn loại")))))))</f>
        <v/>
      </c>
    </row>
    <row r="355" spans="1:11">
      <c r="A355" s="13"/>
      <c r="B355" s="13"/>
      <c r="C355" s="5"/>
      <c r="D355" s="13"/>
      <c r="E355" s="13"/>
      <c r="F355" s="13"/>
      <c r="G355" s="13"/>
      <c r="H355" s="5"/>
      <c r="I355" s="5"/>
      <c r="J355" s="6" t="str">
        <f t="shared" si="5"/>
        <v/>
      </c>
      <c r="K355" s="6" t="str">
        <f>IF(A355="","",IF(COUNTIFS('02_KICH_BAN_NODES'!$B$5:$B$204,A355,'02_KICH_BAN_NODES'!$D$5:$D$204,"choice")=0,"ChoiceNodeId không tồn tại hoặc không phải choice",IF(COUNTIFS($A$5:$A$404,A355,$B$5:$B$404,B355)&gt;1,"Trùng OptionOrder trong cùng choice",IF(OR(B355="",C355="",D355="",F355="",H355=""),"Thiếu trường bắt buộc",IF(OR(COUNTIF($A$5:$A$404,A355)&lt;2,COUNTIF($A$5:$A$404,A355)&gt;4),"Mỗi choice cần 2–4 option",IF(COUNTIFS('02_KICH_BAN_NODES'!$B$5:$B$204,A355,'02_KICH_BAN_NODES'!$E$5:$E$204,"Kiến thức")=1,IF(COUNTIFS($A$5:$A$404,A355,$D$5:$D$404,"Có")&lt;&gt;1,"Choice kiến thức cần đúng 1 đáp án đúng",""),IF(COUNTIFS('02_KICH_BAN_NODES'!$B$5:$B$204,A355,'02_KICH_BAN_NODES'!$E$5:$E$204,"Tương tác")=1,IF(COUNTIFS($A$5:$A$404,A355,$D$5:$D$404,"Có")&lt;&gt;0,"Choice tương tác không được đánh dấu đáp án đúng",""),"Choice chưa chọn loại")))))))</f>
        <v/>
      </c>
    </row>
    <row r="356" spans="1:11">
      <c r="A356" s="13"/>
      <c r="B356" s="13"/>
      <c r="C356" s="5"/>
      <c r="D356" s="13"/>
      <c r="E356" s="13"/>
      <c r="F356" s="13"/>
      <c r="G356" s="13"/>
      <c r="H356" s="5"/>
      <c r="I356" s="5"/>
      <c r="J356" s="6" t="str">
        <f t="shared" si="5"/>
        <v/>
      </c>
      <c r="K356" s="6" t="str">
        <f>IF(A356="","",IF(COUNTIFS('02_KICH_BAN_NODES'!$B$5:$B$204,A356,'02_KICH_BAN_NODES'!$D$5:$D$204,"choice")=0,"ChoiceNodeId không tồn tại hoặc không phải choice",IF(COUNTIFS($A$5:$A$404,A356,$B$5:$B$404,B356)&gt;1,"Trùng OptionOrder trong cùng choice",IF(OR(B356="",C356="",D356="",F356="",H356=""),"Thiếu trường bắt buộc",IF(OR(COUNTIF($A$5:$A$404,A356)&lt;2,COUNTIF($A$5:$A$404,A356)&gt;4),"Mỗi choice cần 2–4 option",IF(COUNTIFS('02_KICH_BAN_NODES'!$B$5:$B$204,A356,'02_KICH_BAN_NODES'!$E$5:$E$204,"Kiến thức")=1,IF(COUNTIFS($A$5:$A$404,A356,$D$5:$D$404,"Có")&lt;&gt;1,"Choice kiến thức cần đúng 1 đáp án đúng",""),IF(COUNTIFS('02_KICH_BAN_NODES'!$B$5:$B$204,A356,'02_KICH_BAN_NODES'!$E$5:$E$204,"Tương tác")=1,IF(COUNTIFS($A$5:$A$404,A356,$D$5:$D$404,"Có")&lt;&gt;0,"Choice tương tác không được đánh dấu đáp án đúng",""),"Choice chưa chọn loại")))))))</f>
        <v/>
      </c>
    </row>
    <row r="357" spans="1:11">
      <c r="A357" s="13"/>
      <c r="B357" s="13"/>
      <c r="C357" s="5"/>
      <c r="D357" s="13"/>
      <c r="E357" s="13"/>
      <c r="F357" s="13"/>
      <c r="G357" s="13"/>
      <c r="H357" s="5"/>
      <c r="I357" s="5"/>
      <c r="J357" s="6" t="str">
        <f t="shared" si="5"/>
        <v/>
      </c>
      <c r="K357" s="6" t="str">
        <f>IF(A357="","",IF(COUNTIFS('02_KICH_BAN_NODES'!$B$5:$B$204,A357,'02_KICH_BAN_NODES'!$D$5:$D$204,"choice")=0,"ChoiceNodeId không tồn tại hoặc không phải choice",IF(COUNTIFS($A$5:$A$404,A357,$B$5:$B$404,B357)&gt;1,"Trùng OptionOrder trong cùng choice",IF(OR(B357="",C357="",D357="",F357="",H357=""),"Thiếu trường bắt buộc",IF(OR(COUNTIF($A$5:$A$404,A357)&lt;2,COUNTIF($A$5:$A$404,A357)&gt;4),"Mỗi choice cần 2–4 option",IF(COUNTIFS('02_KICH_BAN_NODES'!$B$5:$B$204,A357,'02_KICH_BAN_NODES'!$E$5:$E$204,"Kiến thức")=1,IF(COUNTIFS($A$5:$A$404,A357,$D$5:$D$404,"Có")&lt;&gt;1,"Choice kiến thức cần đúng 1 đáp án đúng",""),IF(COUNTIFS('02_KICH_BAN_NODES'!$B$5:$B$204,A357,'02_KICH_BAN_NODES'!$E$5:$E$204,"Tương tác")=1,IF(COUNTIFS($A$5:$A$404,A357,$D$5:$D$404,"Có")&lt;&gt;0,"Choice tương tác không được đánh dấu đáp án đúng",""),"Choice chưa chọn loại")))))))</f>
        <v/>
      </c>
    </row>
    <row r="358" spans="1:11">
      <c r="A358" s="13"/>
      <c r="B358" s="13"/>
      <c r="C358" s="5"/>
      <c r="D358" s="13"/>
      <c r="E358" s="13"/>
      <c r="F358" s="13"/>
      <c r="G358" s="13"/>
      <c r="H358" s="5"/>
      <c r="I358" s="5"/>
      <c r="J358" s="6" t="str">
        <f t="shared" si="5"/>
        <v/>
      </c>
      <c r="K358" s="6" t="str">
        <f>IF(A358="","",IF(COUNTIFS('02_KICH_BAN_NODES'!$B$5:$B$204,A358,'02_KICH_BAN_NODES'!$D$5:$D$204,"choice")=0,"ChoiceNodeId không tồn tại hoặc không phải choice",IF(COUNTIFS($A$5:$A$404,A358,$B$5:$B$404,B358)&gt;1,"Trùng OptionOrder trong cùng choice",IF(OR(B358="",C358="",D358="",F358="",H358=""),"Thiếu trường bắt buộc",IF(OR(COUNTIF($A$5:$A$404,A358)&lt;2,COUNTIF($A$5:$A$404,A358)&gt;4),"Mỗi choice cần 2–4 option",IF(COUNTIFS('02_KICH_BAN_NODES'!$B$5:$B$204,A358,'02_KICH_BAN_NODES'!$E$5:$E$204,"Kiến thức")=1,IF(COUNTIFS($A$5:$A$404,A358,$D$5:$D$404,"Có")&lt;&gt;1,"Choice kiến thức cần đúng 1 đáp án đúng",""),IF(COUNTIFS('02_KICH_BAN_NODES'!$B$5:$B$204,A358,'02_KICH_BAN_NODES'!$E$5:$E$204,"Tương tác")=1,IF(COUNTIFS($A$5:$A$404,A358,$D$5:$D$404,"Có")&lt;&gt;0,"Choice tương tác không được đánh dấu đáp án đúng",""),"Choice chưa chọn loại")))))))</f>
        <v/>
      </c>
    </row>
    <row r="359" spans="1:11">
      <c r="A359" s="13"/>
      <c r="B359" s="13"/>
      <c r="C359" s="5"/>
      <c r="D359" s="13"/>
      <c r="E359" s="13"/>
      <c r="F359" s="13"/>
      <c r="G359" s="13"/>
      <c r="H359" s="5"/>
      <c r="I359" s="5"/>
      <c r="J359" s="6" t="str">
        <f t="shared" si="5"/>
        <v/>
      </c>
      <c r="K359" s="6" t="str">
        <f>IF(A359="","",IF(COUNTIFS('02_KICH_BAN_NODES'!$B$5:$B$204,A359,'02_KICH_BAN_NODES'!$D$5:$D$204,"choice")=0,"ChoiceNodeId không tồn tại hoặc không phải choice",IF(COUNTIFS($A$5:$A$404,A359,$B$5:$B$404,B359)&gt;1,"Trùng OptionOrder trong cùng choice",IF(OR(B359="",C359="",D359="",F359="",H359=""),"Thiếu trường bắt buộc",IF(OR(COUNTIF($A$5:$A$404,A359)&lt;2,COUNTIF($A$5:$A$404,A359)&gt;4),"Mỗi choice cần 2–4 option",IF(COUNTIFS('02_KICH_BAN_NODES'!$B$5:$B$204,A359,'02_KICH_BAN_NODES'!$E$5:$E$204,"Kiến thức")=1,IF(COUNTIFS($A$5:$A$404,A359,$D$5:$D$404,"Có")&lt;&gt;1,"Choice kiến thức cần đúng 1 đáp án đúng",""),IF(COUNTIFS('02_KICH_BAN_NODES'!$B$5:$B$204,A359,'02_KICH_BAN_NODES'!$E$5:$E$204,"Tương tác")=1,IF(COUNTIFS($A$5:$A$404,A359,$D$5:$D$404,"Có")&lt;&gt;0,"Choice tương tác không được đánh dấu đáp án đúng",""),"Choice chưa chọn loại")))))))</f>
        <v/>
      </c>
    </row>
    <row r="360" spans="1:11">
      <c r="A360" s="13"/>
      <c r="B360" s="13"/>
      <c r="C360" s="5"/>
      <c r="D360" s="13"/>
      <c r="E360" s="13"/>
      <c r="F360" s="13"/>
      <c r="G360" s="13"/>
      <c r="H360" s="5"/>
      <c r="I360" s="5"/>
      <c r="J360" s="6" t="str">
        <f t="shared" si="5"/>
        <v/>
      </c>
      <c r="K360" s="6" t="str">
        <f>IF(A360="","",IF(COUNTIFS('02_KICH_BAN_NODES'!$B$5:$B$204,A360,'02_KICH_BAN_NODES'!$D$5:$D$204,"choice")=0,"ChoiceNodeId không tồn tại hoặc không phải choice",IF(COUNTIFS($A$5:$A$404,A360,$B$5:$B$404,B360)&gt;1,"Trùng OptionOrder trong cùng choice",IF(OR(B360="",C360="",D360="",F360="",H360=""),"Thiếu trường bắt buộc",IF(OR(COUNTIF($A$5:$A$404,A360)&lt;2,COUNTIF($A$5:$A$404,A360)&gt;4),"Mỗi choice cần 2–4 option",IF(COUNTIFS('02_KICH_BAN_NODES'!$B$5:$B$204,A360,'02_KICH_BAN_NODES'!$E$5:$E$204,"Kiến thức")=1,IF(COUNTIFS($A$5:$A$404,A360,$D$5:$D$404,"Có")&lt;&gt;1,"Choice kiến thức cần đúng 1 đáp án đúng",""),IF(COUNTIFS('02_KICH_BAN_NODES'!$B$5:$B$204,A360,'02_KICH_BAN_NODES'!$E$5:$E$204,"Tương tác")=1,IF(COUNTIFS($A$5:$A$404,A360,$D$5:$D$404,"Có")&lt;&gt;0,"Choice tương tác không được đánh dấu đáp án đúng",""),"Choice chưa chọn loại")))))))</f>
        <v/>
      </c>
    </row>
    <row r="361" spans="1:11">
      <c r="A361" s="13"/>
      <c r="B361" s="13"/>
      <c r="C361" s="5"/>
      <c r="D361" s="13"/>
      <c r="E361" s="13"/>
      <c r="F361" s="13"/>
      <c r="G361" s="13"/>
      <c r="H361" s="5"/>
      <c r="I361" s="5"/>
      <c r="J361" s="6" t="str">
        <f t="shared" si="5"/>
        <v/>
      </c>
      <c r="K361" s="6" t="str">
        <f>IF(A361="","",IF(COUNTIFS('02_KICH_BAN_NODES'!$B$5:$B$204,A361,'02_KICH_BAN_NODES'!$D$5:$D$204,"choice")=0,"ChoiceNodeId không tồn tại hoặc không phải choice",IF(COUNTIFS($A$5:$A$404,A361,$B$5:$B$404,B361)&gt;1,"Trùng OptionOrder trong cùng choice",IF(OR(B361="",C361="",D361="",F361="",H361=""),"Thiếu trường bắt buộc",IF(OR(COUNTIF($A$5:$A$404,A361)&lt;2,COUNTIF($A$5:$A$404,A361)&gt;4),"Mỗi choice cần 2–4 option",IF(COUNTIFS('02_KICH_BAN_NODES'!$B$5:$B$204,A361,'02_KICH_BAN_NODES'!$E$5:$E$204,"Kiến thức")=1,IF(COUNTIFS($A$5:$A$404,A361,$D$5:$D$404,"Có")&lt;&gt;1,"Choice kiến thức cần đúng 1 đáp án đúng",""),IF(COUNTIFS('02_KICH_BAN_NODES'!$B$5:$B$204,A361,'02_KICH_BAN_NODES'!$E$5:$E$204,"Tương tác")=1,IF(COUNTIFS($A$5:$A$404,A361,$D$5:$D$404,"Có")&lt;&gt;0,"Choice tương tác không được đánh dấu đáp án đúng",""),"Choice chưa chọn loại")))))))</f>
        <v/>
      </c>
    </row>
    <row r="362" spans="1:11">
      <c r="A362" s="13"/>
      <c r="B362" s="13"/>
      <c r="C362" s="5"/>
      <c r="D362" s="13"/>
      <c r="E362" s="13"/>
      <c r="F362" s="13"/>
      <c r="G362" s="13"/>
      <c r="H362" s="5"/>
      <c r="I362" s="5"/>
      <c r="J362" s="6" t="str">
        <f t="shared" si="5"/>
        <v/>
      </c>
      <c r="K362" s="6" t="str">
        <f>IF(A362="","",IF(COUNTIFS('02_KICH_BAN_NODES'!$B$5:$B$204,A362,'02_KICH_BAN_NODES'!$D$5:$D$204,"choice")=0,"ChoiceNodeId không tồn tại hoặc không phải choice",IF(COUNTIFS($A$5:$A$404,A362,$B$5:$B$404,B362)&gt;1,"Trùng OptionOrder trong cùng choice",IF(OR(B362="",C362="",D362="",F362="",H362=""),"Thiếu trường bắt buộc",IF(OR(COUNTIF($A$5:$A$404,A362)&lt;2,COUNTIF($A$5:$A$404,A362)&gt;4),"Mỗi choice cần 2–4 option",IF(COUNTIFS('02_KICH_BAN_NODES'!$B$5:$B$204,A362,'02_KICH_BAN_NODES'!$E$5:$E$204,"Kiến thức")=1,IF(COUNTIFS($A$5:$A$404,A362,$D$5:$D$404,"Có")&lt;&gt;1,"Choice kiến thức cần đúng 1 đáp án đúng",""),IF(COUNTIFS('02_KICH_BAN_NODES'!$B$5:$B$204,A362,'02_KICH_BAN_NODES'!$E$5:$E$204,"Tương tác")=1,IF(COUNTIFS($A$5:$A$404,A362,$D$5:$D$404,"Có")&lt;&gt;0,"Choice tương tác không được đánh dấu đáp án đúng",""),"Choice chưa chọn loại")))))))</f>
        <v/>
      </c>
    </row>
    <row r="363" spans="1:11">
      <c r="A363" s="13"/>
      <c r="B363" s="13"/>
      <c r="C363" s="5"/>
      <c r="D363" s="13"/>
      <c r="E363" s="13"/>
      <c r="F363" s="13"/>
      <c r="G363" s="13"/>
      <c r="H363" s="5"/>
      <c r="I363" s="5"/>
      <c r="J363" s="6" t="str">
        <f t="shared" si="5"/>
        <v/>
      </c>
      <c r="K363" s="6" t="str">
        <f>IF(A363="","",IF(COUNTIFS('02_KICH_BAN_NODES'!$B$5:$B$204,A363,'02_KICH_BAN_NODES'!$D$5:$D$204,"choice")=0,"ChoiceNodeId không tồn tại hoặc không phải choice",IF(COUNTIFS($A$5:$A$404,A363,$B$5:$B$404,B363)&gt;1,"Trùng OptionOrder trong cùng choice",IF(OR(B363="",C363="",D363="",F363="",H363=""),"Thiếu trường bắt buộc",IF(OR(COUNTIF($A$5:$A$404,A363)&lt;2,COUNTIF($A$5:$A$404,A363)&gt;4),"Mỗi choice cần 2–4 option",IF(COUNTIFS('02_KICH_BAN_NODES'!$B$5:$B$204,A363,'02_KICH_BAN_NODES'!$E$5:$E$204,"Kiến thức")=1,IF(COUNTIFS($A$5:$A$404,A363,$D$5:$D$404,"Có")&lt;&gt;1,"Choice kiến thức cần đúng 1 đáp án đúng",""),IF(COUNTIFS('02_KICH_BAN_NODES'!$B$5:$B$204,A363,'02_KICH_BAN_NODES'!$E$5:$E$204,"Tương tác")=1,IF(COUNTIFS($A$5:$A$404,A363,$D$5:$D$404,"Có")&lt;&gt;0,"Choice tương tác không được đánh dấu đáp án đúng",""),"Choice chưa chọn loại")))))))</f>
        <v/>
      </c>
    </row>
    <row r="364" spans="1:11">
      <c r="A364" s="13"/>
      <c r="B364" s="13"/>
      <c r="C364" s="5"/>
      <c r="D364" s="13"/>
      <c r="E364" s="13"/>
      <c r="F364" s="13"/>
      <c r="G364" s="13"/>
      <c r="H364" s="5"/>
      <c r="I364" s="5"/>
      <c r="J364" s="6" t="str">
        <f t="shared" si="5"/>
        <v/>
      </c>
      <c r="K364" s="6" t="str">
        <f>IF(A364="","",IF(COUNTIFS('02_KICH_BAN_NODES'!$B$5:$B$204,A364,'02_KICH_BAN_NODES'!$D$5:$D$204,"choice")=0,"ChoiceNodeId không tồn tại hoặc không phải choice",IF(COUNTIFS($A$5:$A$404,A364,$B$5:$B$404,B364)&gt;1,"Trùng OptionOrder trong cùng choice",IF(OR(B364="",C364="",D364="",F364="",H364=""),"Thiếu trường bắt buộc",IF(OR(COUNTIF($A$5:$A$404,A364)&lt;2,COUNTIF($A$5:$A$404,A364)&gt;4),"Mỗi choice cần 2–4 option",IF(COUNTIFS('02_KICH_BAN_NODES'!$B$5:$B$204,A364,'02_KICH_BAN_NODES'!$E$5:$E$204,"Kiến thức")=1,IF(COUNTIFS($A$5:$A$404,A364,$D$5:$D$404,"Có")&lt;&gt;1,"Choice kiến thức cần đúng 1 đáp án đúng",""),IF(COUNTIFS('02_KICH_BAN_NODES'!$B$5:$B$204,A364,'02_KICH_BAN_NODES'!$E$5:$E$204,"Tương tác")=1,IF(COUNTIFS($A$5:$A$404,A364,$D$5:$D$404,"Có")&lt;&gt;0,"Choice tương tác không được đánh dấu đáp án đúng",""),"Choice chưa chọn loại")))))))</f>
        <v/>
      </c>
    </row>
    <row r="365" spans="1:11">
      <c r="A365" s="13"/>
      <c r="B365" s="13"/>
      <c r="C365" s="5"/>
      <c r="D365" s="13"/>
      <c r="E365" s="13"/>
      <c r="F365" s="13"/>
      <c r="G365" s="13"/>
      <c r="H365" s="5"/>
      <c r="I365" s="5"/>
      <c r="J365" s="6" t="str">
        <f t="shared" si="5"/>
        <v/>
      </c>
      <c r="K365" s="6" t="str">
        <f>IF(A365="","",IF(COUNTIFS('02_KICH_BAN_NODES'!$B$5:$B$204,A365,'02_KICH_BAN_NODES'!$D$5:$D$204,"choice")=0,"ChoiceNodeId không tồn tại hoặc không phải choice",IF(COUNTIFS($A$5:$A$404,A365,$B$5:$B$404,B365)&gt;1,"Trùng OptionOrder trong cùng choice",IF(OR(B365="",C365="",D365="",F365="",H365=""),"Thiếu trường bắt buộc",IF(OR(COUNTIF($A$5:$A$404,A365)&lt;2,COUNTIF($A$5:$A$404,A365)&gt;4),"Mỗi choice cần 2–4 option",IF(COUNTIFS('02_KICH_BAN_NODES'!$B$5:$B$204,A365,'02_KICH_BAN_NODES'!$E$5:$E$204,"Kiến thức")=1,IF(COUNTIFS($A$5:$A$404,A365,$D$5:$D$404,"Có")&lt;&gt;1,"Choice kiến thức cần đúng 1 đáp án đúng",""),IF(COUNTIFS('02_KICH_BAN_NODES'!$B$5:$B$204,A365,'02_KICH_BAN_NODES'!$E$5:$E$204,"Tương tác")=1,IF(COUNTIFS($A$5:$A$404,A365,$D$5:$D$404,"Có")&lt;&gt;0,"Choice tương tác không được đánh dấu đáp án đúng",""),"Choice chưa chọn loại")))))))</f>
        <v/>
      </c>
    </row>
    <row r="366" spans="1:11">
      <c r="A366" s="13"/>
      <c r="B366" s="13"/>
      <c r="C366" s="5"/>
      <c r="D366" s="13"/>
      <c r="E366" s="13"/>
      <c r="F366" s="13"/>
      <c r="G366" s="13"/>
      <c r="H366" s="5"/>
      <c r="I366" s="5"/>
      <c r="J366" s="6" t="str">
        <f t="shared" si="5"/>
        <v/>
      </c>
      <c r="K366" s="6" t="str">
        <f>IF(A366="","",IF(COUNTIFS('02_KICH_BAN_NODES'!$B$5:$B$204,A366,'02_KICH_BAN_NODES'!$D$5:$D$204,"choice")=0,"ChoiceNodeId không tồn tại hoặc không phải choice",IF(COUNTIFS($A$5:$A$404,A366,$B$5:$B$404,B366)&gt;1,"Trùng OptionOrder trong cùng choice",IF(OR(B366="",C366="",D366="",F366="",H366=""),"Thiếu trường bắt buộc",IF(OR(COUNTIF($A$5:$A$404,A366)&lt;2,COUNTIF($A$5:$A$404,A366)&gt;4),"Mỗi choice cần 2–4 option",IF(COUNTIFS('02_KICH_BAN_NODES'!$B$5:$B$204,A366,'02_KICH_BAN_NODES'!$E$5:$E$204,"Kiến thức")=1,IF(COUNTIFS($A$5:$A$404,A366,$D$5:$D$404,"Có")&lt;&gt;1,"Choice kiến thức cần đúng 1 đáp án đúng",""),IF(COUNTIFS('02_KICH_BAN_NODES'!$B$5:$B$204,A366,'02_KICH_BAN_NODES'!$E$5:$E$204,"Tương tác")=1,IF(COUNTIFS($A$5:$A$404,A366,$D$5:$D$404,"Có")&lt;&gt;0,"Choice tương tác không được đánh dấu đáp án đúng",""),"Choice chưa chọn loại")))))))</f>
        <v/>
      </c>
    </row>
    <row r="367" spans="1:11">
      <c r="A367" s="13"/>
      <c r="B367" s="13"/>
      <c r="C367" s="5"/>
      <c r="D367" s="13"/>
      <c r="E367" s="13"/>
      <c r="F367" s="13"/>
      <c r="G367" s="13"/>
      <c r="H367" s="5"/>
      <c r="I367" s="5"/>
      <c r="J367" s="6" t="str">
        <f t="shared" si="5"/>
        <v/>
      </c>
      <c r="K367" s="6" t="str">
        <f>IF(A367="","",IF(COUNTIFS('02_KICH_BAN_NODES'!$B$5:$B$204,A367,'02_KICH_BAN_NODES'!$D$5:$D$204,"choice")=0,"ChoiceNodeId không tồn tại hoặc không phải choice",IF(COUNTIFS($A$5:$A$404,A367,$B$5:$B$404,B367)&gt;1,"Trùng OptionOrder trong cùng choice",IF(OR(B367="",C367="",D367="",F367="",H367=""),"Thiếu trường bắt buộc",IF(OR(COUNTIF($A$5:$A$404,A367)&lt;2,COUNTIF($A$5:$A$404,A367)&gt;4),"Mỗi choice cần 2–4 option",IF(COUNTIFS('02_KICH_BAN_NODES'!$B$5:$B$204,A367,'02_KICH_BAN_NODES'!$E$5:$E$204,"Kiến thức")=1,IF(COUNTIFS($A$5:$A$404,A367,$D$5:$D$404,"Có")&lt;&gt;1,"Choice kiến thức cần đúng 1 đáp án đúng",""),IF(COUNTIFS('02_KICH_BAN_NODES'!$B$5:$B$204,A367,'02_KICH_BAN_NODES'!$E$5:$E$204,"Tương tác")=1,IF(COUNTIFS($A$5:$A$404,A367,$D$5:$D$404,"Có")&lt;&gt;0,"Choice tương tác không được đánh dấu đáp án đúng",""),"Choice chưa chọn loại")))))))</f>
        <v/>
      </c>
    </row>
    <row r="368" spans="1:11">
      <c r="A368" s="13"/>
      <c r="B368" s="13"/>
      <c r="C368" s="5"/>
      <c r="D368" s="13"/>
      <c r="E368" s="13"/>
      <c r="F368" s="13"/>
      <c r="G368" s="13"/>
      <c r="H368" s="5"/>
      <c r="I368" s="5"/>
      <c r="J368" s="6" t="str">
        <f t="shared" si="5"/>
        <v/>
      </c>
      <c r="K368" s="6" t="str">
        <f>IF(A368="","",IF(COUNTIFS('02_KICH_BAN_NODES'!$B$5:$B$204,A368,'02_KICH_BAN_NODES'!$D$5:$D$204,"choice")=0,"ChoiceNodeId không tồn tại hoặc không phải choice",IF(COUNTIFS($A$5:$A$404,A368,$B$5:$B$404,B368)&gt;1,"Trùng OptionOrder trong cùng choice",IF(OR(B368="",C368="",D368="",F368="",H368=""),"Thiếu trường bắt buộc",IF(OR(COUNTIF($A$5:$A$404,A368)&lt;2,COUNTIF($A$5:$A$404,A368)&gt;4),"Mỗi choice cần 2–4 option",IF(COUNTIFS('02_KICH_BAN_NODES'!$B$5:$B$204,A368,'02_KICH_BAN_NODES'!$E$5:$E$204,"Kiến thức")=1,IF(COUNTIFS($A$5:$A$404,A368,$D$5:$D$404,"Có")&lt;&gt;1,"Choice kiến thức cần đúng 1 đáp án đúng",""),IF(COUNTIFS('02_KICH_BAN_NODES'!$B$5:$B$204,A368,'02_KICH_BAN_NODES'!$E$5:$E$204,"Tương tác")=1,IF(COUNTIFS($A$5:$A$404,A368,$D$5:$D$404,"Có")&lt;&gt;0,"Choice tương tác không được đánh dấu đáp án đúng",""),"Choice chưa chọn loại")))))))</f>
        <v/>
      </c>
    </row>
    <row r="369" spans="1:11">
      <c r="A369" s="13"/>
      <c r="B369" s="13"/>
      <c r="C369" s="5"/>
      <c r="D369" s="13"/>
      <c r="E369" s="13"/>
      <c r="F369" s="13"/>
      <c r="G369" s="13"/>
      <c r="H369" s="5"/>
      <c r="I369" s="5"/>
      <c r="J369" s="6" t="str">
        <f t="shared" si="5"/>
        <v/>
      </c>
      <c r="K369" s="6" t="str">
        <f>IF(A369="","",IF(COUNTIFS('02_KICH_BAN_NODES'!$B$5:$B$204,A369,'02_KICH_BAN_NODES'!$D$5:$D$204,"choice")=0,"ChoiceNodeId không tồn tại hoặc không phải choice",IF(COUNTIFS($A$5:$A$404,A369,$B$5:$B$404,B369)&gt;1,"Trùng OptionOrder trong cùng choice",IF(OR(B369="",C369="",D369="",F369="",H369=""),"Thiếu trường bắt buộc",IF(OR(COUNTIF($A$5:$A$404,A369)&lt;2,COUNTIF($A$5:$A$404,A369)&gt;4),"Mỗi choice cần 2–4 option",IF(COUNTIFS('02_KICH_BAN_NODES'!$B$5:$B$204,A369,'02_KICH_BAN_NODES'!$E$5:$E$204,"Kiến thức")=1,IF(COUNTIFS($A$5:$A$404,A369,$D$5:$D$404,"Có")&lt;&gt;1,"Choice kiến thức cần đúng 1 đáp án đúng",""),IF(COUNTIFS('02_KICH_BAN_NODES'!$B$5:$B$204,A369,'02_KICH_BAN_NODES'!$E$5:$E$204,"Tương tác")=1,IF(COUNTIFS($A$5:$A$404,A369,$D$5:$D$404,"Có")&lt;&gt;0,"Choice tương tác không được đánh dấu đáp án đúng",""),"Choice chưa chọn loại")))))))</f>
        <v/>
      </c>
    </row>
    <row r="370" spans="1:11">
      <c r="A370" s="13"/>
      <c r="B370" s="13"/>
      <c r="C370" s="5"/>
      <c r="D370" s="13"/>
      <c r="E370" s="13"/>
      <c r="F370" s="13"/>
      <c r="G370" s="13"/>
      <c r="H370" s="5"/>
      <c r="I370" s="5"/>
      <c r="J370" s="6" t="str">
        <f t="shared" si="5"/>
        <v/>
      </c>
      <c r="K370" s="6" t="str">
        <f>IF(A370="","",IF(COUNTIFS('02_KICH_BAN_NODES'!$B$5:$B$204,A370,'02_KICH_BAN_NODES'!$D$5:$D$204,"choice")=0,"ChoiceNodeId không tồn tại hoặc không phải choice",IF(COUNTIFS($A$5:$A$404,A370,$B$5:$B$404,B370)&gt;1,"Trùng OptionOrder trong cùng choice",IF(OR(B370="",C370="",D370="",F370="",H370=""),"Thiếu trường bắt buộc",IF(OR(COUNTIF($A$5:$A$404,A370)&lt;2,COUNTIF($A$5:$A$404,A370)&gt;4),"Mỗi choice cần 2–4 option",IF(COUNTIFS('02_KICH_BAN_NODES'!$B$5:$B$204,A370,'02_KICH_BAN_NODES'!$E$5:$E$204,"Kiến thức")=1,IF(COUNTIFS($A$5:$A$404,A370,$D$5:$D$404,"Có")&lt;&gt;1,"Choice kiến thức cần đúng 1 đáp án đúng",""),IF(COUNTIFS('02_KICH_BAN_NODES'!$B$5:$B$204,A370,'02_KICH_BAN_NODES'!$E$5:$E$204,"Tương tác")=1,IF(COUNTIFS($A$5:$A$404,A370,$D$5:$D$404,"Có")&lt;&gt;0,"Choice tương tác không được đánh dấu đáp án đúng",""),"Choice chưa chọn loại")))))))</f>
        <v/>
      </c>
    </row>
    <row r="371" spans="1:11">
      <c r="A371" s="13"/>
      <c r="B371" s="13"/>
      <c r="C371" s="5"/>
      <c r="D371" s="13"/>
      <c r="E371" s="13"/>
      <c r="F371" s="13"/>
      <c r="G371" s="13"/>
      <c r="H371" s="5"/>
      <c r="I371" s="5"/>
      <c r="J371" s="6" t="str">
        <f t="shared" si="5"/>
        <v/>
      </c>
      <c r="K371" s="6" t="str">
        <f>IF(A371="","",IF(COUNTIFS('02_KICH_BAN_NODES'!$B$5:$B$204,A371,'02_KICH_BAN_NODES'!$D$5:$D$204,"choice")=0,"ChoiceNodeId không tồn tại hoặc không phải choice",IF(COUNTIFS($A$5:$A$404,A371,$B$5:$B$404,B371)&gt;1,"Trùng OptionOrder trong cùng choice",IF(OR(B371="",C371="",D371="",F371="",H371=""),"Thiếu trường bắt buộc",IF(OR(COUNTIF($A$5:$A$404,A371)&lt;2,COUNTIF($A$5:$A$404,A371)&gt;4),"Mỗi choice cần 2–4 option",IF(COUNTIFS('02_KICH_BAN_NODES'!$B$5:$B$204,A371,'02_KICH_BAN_NODES'!$E$5:$E$204,"Kiến thức")=1,IF(COUNTIFS($A$5:$A$404,A371,$D$5:$D$404,"Có")&lt;&gt;1,"Choice kiến thức cần đúng 1 đáp án đúng",""),IF(COUNTIFS('02_KICH_BAN_NODES'!$B$5:$B$204,A371,'02_KICH_BAN_NODES'!$E$5:$E$204,"Tương tác")=1,IF(COUNTIFS($A$5:$A$404,A371,$D$5:$D$404,"Có")&lt;&gt;0,"Choice tương tác không được đánh dấu đáp án đúng",""),"Choice chưa chọn loại")))))))</f>
        <v/>
      </c>
    </row>
    <row r="372" spans="1:11">
      <c r="A372" s="13"/>
      <c r="B372" s="13"/>
      <c r="C372" s="5"/>
      <c r="D372" s="13"/>
      <c r="E372" s="13"/>
      <c r="F372" s="13"/>
      <c r="G372" s="13"/>
      <c r="H372" s="5"/>
      <c r="I372" s="5"/>
      <c r="J372" s="6" t="str">
        <f t="shared" si="5"/>
        <v/>
      </c>
      <c r="K372" s="6" t="str">
        <f>IF(A372="","",IF(COUNTIFS('02_KICH_BAN_NODES'!$B$5:$B$204,A372,'02_KICH_BAN_NODES'!$D$5:$D$204,"choice")=0,"ChoiceNodeId không tồn tại hoặc không phải choice",IF(COUNTIFS($A$5:$A$404,A372,$B$5:$B$404,B372)&gt;1,"Trùng OptionOrder trong cùng choice",IF(OR(B372="",C372="",D372="",F372="",H372=""),"Thiếu trường bắt buộc",IF(OR(COUNTIF($A$5:$A$404,A372)&lt;2,COUNTIF($A$5:$A$404,A372)&gt;4),"Mỗi choice cần 2–4 option",IF(COUNTIFS('02_KICH_BAN_NODES'!$B$5:$B$204,A372,'02_KICH_BAN_NODES'!$E$5:$E$204,"Kiến thức")=1,IF(COUNTIFS($A$5:$A$404,A372,$D$5:$D$404,"Có")&lt;&gt;1,"Choice kiến thức cần đúng 1 đáp án đúng",""),IF(COUNTIFS('02_KICH_BAN_NODES'!$B$5:$B$204,A372,'02_KICH_BAN_NODES'!$E$5:$E$204,"Tương tác")=1,IF(COUNTIFS($A$5:$A$404,A372,$D$5:$D$404,"Có")&lt;&gt;0,"Choice tương tác không được đánh dấu đáp án đúng",""),"Choice chưa chọn loại")))))))</f>
        <v/>
      </c>
    </row>
    <row r="373" spans="1:11">
      <c r="A373" s="13"/>
      <c r="B373" s="13"/>
      <c r="C373" s="5"/>
      <c r="D373" s="13"/>
      <c r="E373" s="13"/>
      <c r="F373" s="13"/>
      <c r="G373" s="13"/>
      <c r="H373" s="5"/>
      <c r="I373" s="5"/>
      <c r="J373" s="6" t="str">
        <f t="shared" si="5"/>
        <v/>
      </c>
      <c r="K373" s="6" t="str">
        <f>IF(A373="","",IF(COUNTIFS('02_KICH_BAN_NODES'!$B$5:$B$204,A373,'02_KICH_BAN_NODES'!$D$5:$D$204,"choice")=0,"ChoiceNodeId không tồn tại hoặc không phải choice",IF(COUNTIFS($A$5:$A$404,A373,$B$5:$B$404,B373)&gt;1,"Trùng OptionOrder trong cùng choice",IF(OR(B373="",C373="",D373="",F373="",H373=""),"Thiếu trường bắt buộc",IF(OR(COUNTIF($A$5:$A$404,A373)&lt;2,COUNTIF($A$5:$A$404,A373)&gt;4),"Mỗi choice cần 2–4 option",IF(COUNTIFS('02_KICH_BAN_NODES'!$B$5:$B$204,A373,'02_KICH_BAN_NODES'!$E$5:$E$204,"Kiến thức")=1,IF(COUNTIFS($A$5:$A$404,A373,$D$5:$D$404,"Có")&lt;&gt;1,"Choice kiến thức cần đúng 1 đáp án đúng",""),IF(COUNTIFS('02_KICH_BAN_NODES'!$B$5:$B$204,A373,'02_KICH_BAN_NODES'!$E$5:$E$204,"Tương tác")=1,IF(COUNTIFS($A$5:$A$404,A373,$D$5:$D$404,"Có")&lt;&gt;0,"Choice tương tác không được đánh dấu đáp án đúng",""),"Choice chưa chọn loại")))))))</f>
        <v/>
      </c>
    </row>
    <row r="374" spans="1:11">
      <c r="A374" s="13"/>
      <c r="B374" s="13"/>
      <c r="C374" s="5"/>
      <c r="D374" s="13"/>
      <c r="E374" s="13"/>
      <c r="F374" s="13"/>
      <c r="G374" s="13"/>
      <c r="H374" s="5"/>
      <c r="I374" s="5"/>
      <c r="J374" s="6" t="str">
        <f t="shared" si="5"/>
        <v/>
      </c>
      <c r="K374" s="6" t="str">
        <f>IF(A374="","",IF(COUNTIFS('02_KICH_BAN_NODES'!$B$5:$B$204,A374,'02_KICH_BAN_NODES'!$D$5:$D$204,"choice")=0,"ChoiceNodeId không tồn tại hoặc không phải choice",IF(COUNTIFS($A$5:$A$404,A374,$B$5:$B$404,B374)&gt;1,"Trùng OptionOrder trong cùng choice",IF(OR(B374="",C374="",D374="",F374="",H374=""),"Thiếu trường bắt buộc",IF(OR(COUNTIF($A$5:$A$404,A374)&lt;2,COUNTIF($A$5:$A$404,A374)&gt;4),"Mỗi choice cần 2–4 option",IF(COUNTIFS('02_KICH_BAN_NODES'!$B$5:$B$204,A374,'02_KICH_BAN_NODES'!$E$5:$E$204,"Kiến thức")=1,IF(COUNTIFS($A$5:$A$404,A374,$D$5:$D$404,"Có")&lt;&gt;1,"Choice kiến thức cần đúng 1 đáp án đúng",""),IF(COUNTIFS('02_KICH_BAN_NODES'!$B$5:$B$204,A374,'02_KICH_BAN_NODES'!$E$5:$E$204,"Tương tác")=1,IF(COUNTIFS($A$5:$A$404,A374,$D$5:$D$404,"Có")&lt;&gt;0,"Choice tương tác không được đánh dấu đáp án đúng",""),"Choice chưa chọn loại")))))))</f>
        <v/>
      </c>
    </row>
    <row r="375" spans="1:11">
      <c r="A375" s="13"/>
      <c r="B375" s="13"/>
      <c r="C375" s="5"/>
      <c r="D375" s="13"/>
      <c r="E375" s="13"/>
      <c r="F375" s="13"/>
      <c r="G375" s="13"/>
      <c r="H375" s="5"/>
      <c r="I375" s="5"/>
      <c r="J375" s="6" t="str">
        <f t="shared" si="5"/>
        <v/>
      </c>
      <c r="K375" s="6" t="str">
        <f>IF(A375="","",IF(COUNTIFS('02_KICH_BAN_NODES'!$B$5:$B$204,A375,'02_KICH_BAN_NODES'!$D$5:$D$204,"choice")=0,"ChoiceNodeId không tồn tại hoặc không phải choice",IF(COUNTIFS($A$5:$A$404,A375,$B$5:$B$404,B375)&gt;1,"Trùng OptionOrder trong cùng choice",IF(OR(B375="",C375="",D375="",F375="",H375=""),"Thiếu trường bắt buộc",IF(OR(COUNTIF($A$5:$A$404,A375)&lt;2,COUNTIF($A$5:$A$404,A375)&gt;4),"Mỗi choice cần 2–4 option",IF(COUNTIFS('02_KICH_BAN_NODES'!$B$5:$B$204,A375,'02_KICH_BAN_NODES'!$E$5:$E$204,"Kiến thức")=1,IF(COUNTIFS($A$5:$A$404,A375,$D$5:$D$404,"Có")&lt;&gt;1,"Choice kiến thức cần đúng 1 đáp án đúng",""),IF(COUNTIFS('02_KICH_BAN_NODES'!$B$5:$B$204,A375,'02_KICH_BAN_NODES'!$E$5:$E$204,"Tương tác")=1,IF(COUNTIFS($A$5:$A$404,A375,$D$5:$D$404,"Có")&lt;&gt;0,"Choice tương tác không được đánh dấu đáp án đúng",""),"Choice chưa chọn loại")))))))</f>
        <v/>
      </c>
    </row>
    <row r="376" spans="1:11">
      <c r="A376" s="13"/>
      <c r="B376" s="13"/>
      <c r="C376" s="5"/>
      <c r="D376" s="13"/>
      <c r="E376" s="13"/>
      <c r="F376" s="13"/>
      <c r="G376" s="13"/>
      <c r="H376" s="5"/>
      <c r="I376" s="5"/>
      <c r="J376" s="6" t="str">
        <f t="shared" si="5"/>
        <v/>
      </c>
      <c r="K376" s="6" t="str">
        <f>IF(A376="","",IF(COUNTIFS('02_KICH_BAN_NODES'!$B$5:$B$204,A376,'02_KICH_BAN_NODES'!$D$5:$D$204,"choice")=0,"ChoiceNodeId không tồn tại hoặc không phải choice",IF(COUNTIFS($A$5:$A$404,A376,$B$5:$B$404,B376)&gt;1,"Trùng OptionOrder trong cùng choice",IF(OR(B376="",C376="",D376="",F376="",H376=""),"Thiếu trường bắt buộc",IF(OR(COUNTIF($A$5:$A$404,A376)&lt;2,COUNTIF($A$5:$A$404,A376)&gt;4),"Mỗi choice cần 2–4 option",IF(COUNTIFS('02_KICH_BAN_NODES'!$B$5:$B$204,A376,'02_KICH_BAN_NODES'!$E$5:$E$204,"Kiến thức")=1,IF(COUNTIFS($A$5:$A$404,A376,$D$5:$D$404,"Có")&lt;&gt;1,"Choice kiến thức cần đúng 1 đáp án đúng",""),IF(COUNTIFS('02_KICH_BAN_NODES'!$B$5:$B$204,A376,'02_KICH_BAN_NODES'!$E$5:$E$204,"Tương tác")=1,IF(COUNTIFS($A$5:$A$404,A376,$D$5:$D$404,"Có")&lt;&gt;0,"Choice tương tác không được đánh dấu đáp án đúng",""),"Choice chưa chọn loại")))))))</f>
        <v/>
      </c>
    </row>
    <row r="377" spans="1:11">
      <c r="A377" s="13"/>
      <c r="B377" s="13"/>
      <c r="C377" s="5"/>
      <c r="D377" s="13"/>
      <c r="E377" s="13"/>
      <c r="F377" s="13"/>
      <c r="G377" s="13"/>
      <c r="H377" s="5"/>
      <c r="I377" s="5"/>
      <c r="J377" s="6" t="str">
        <f t="shared" si="5"/>
        <v/>
      </c>
      <c r="K377" s="6" t="str">
        <f>IF(A377="","",IF(COUNTIFS('02_KICH_BAN_NODES'!$B$5:$B$204,A377,'02_KICH_BAN_NODES'!$D$5:$D$204,"choice")=0,"ChoiceNodeId không tồn tại hoặc không phải choice",IF(COUNTIFS($A$5:$A$404,A377,$B$5:$B$404,B377)&gt;1,"Trùng OptionOrder trong cùng choice",IF(OR(B377="",C377="",D377="",F377="",H377=""),"Thiếu trường bắt buộc",IF(OR(COUNTIF($A$5:$A$404,A377)&lt;2,COUNTIF($A$5:$A$404,A377)&gt;4),"Mỗi choice cần 2–4 option",IF(COUNTIFS('02_KICH_BAN_NODES'!$B$5:$B$204,A377,'02_KICH_BAN_NODES'!$E$5:$E$204,"Kiến thức")=1,IF(COUNTIFS($A$5:$A$404,A377,$D$5:$D$404,"Có")&lt;&gt;1,"Choice kiến thức cần đúng 1 đáp án đúng",""),IF(COUNTIFS('02_KICH_BAN_NODES'!$B$5:$B$204,A377,'02_KICH_BAN_NODES'!$E$5:$E$204,"Tương tác")=1,IF(COUNTIFS($A$5:$A$404,A377,$D$5:$D$404,"Có")&lt;&gt;0,"Choice tương tác không được đánh dấu đáp án đúng",""),"Choice chưa chọn loại")))))))</f>
        <v/>
      </c>
    </row>
    <row r="378" spans="1:11">
      <c r="A378" s="13"/>
      <c r="B378" s="13"/>
      <c r="C378" s="5"/>
      <c r="D378" s="13"/>
      <c r="E378" s="13"/>
      <c r="F378" s="13"/>
      <c r="G378" s="13"/>
      <c r="H378" s="5"/>
      <c r="I378" s="5"/>
      <c r="J378" s="6" t="str">
        <f t="shared" si="5"/>
        <v/>
      </c>
      <c r="K378" s="6" t="str">
        <f>IF(A378="","",IF(COUNTIFS('02_KICH_BAN_NODES'!$B$5:$B$204,A378,'02_KICH_BAN_NODES'!$D$5:$D$204,"choice")=0,"ChoiceNodeId không tồn tại hoặc không phải choice",IF(COUNTIFS($A$5:$A$404,A378,$B$5:$B$404,B378)&gt;1,"Trùng OptionOrder trong cùng choice",IF(OR(B378="",C378="",D378="",F378="",H378=""),"Thiếu trường bắt buộc",IF(OR(COUNTIF($A$5:$A$404,A378)&lt;2,COUNTIF($A$5:$A$404,A378)&gt;4),"Mỗi choice cần 2–4 option",IF(COUNTIFS('02_KICH_BAN_NODES'!$B$5:$B$204,A378,'02_KICH_BAN_NODES'!$E$5:$E$204,"Kiến thức")=1,IF(COUNTIFS($A$5:$A$404,A378,$D$5:$D$404,"Có")&lt;&gt;1,"Choice kiến thức cần đúng 1 đáp án đúng",""),IF(COUNTIFS('02_KICH_BAN_NODES'!$B$5:$B$204,A378,'02_KICH_BAN_NODES'!$E$5:$E$204,"Tương tác")=1,IF(COUNTIFS($A$5:$A$404,A378,$D$5:$D$404,"Có")&lt;&gt;0,"Choice tương tác không được đánh dấu đáp án đúng",""),"Choice chưa chọn loại")))))))</f>
        <v/>
      </c>
    </row>
    <row r="379" spans="1:11">
      <c r="A379" s="13"/>
      <c r="B379" s="13"/>
      <c r="C379" s="5"/>
      <c r="D379" s="13"/>
      <c r="E379" s="13"/>
      <c r="F379" s="13"/>
      <c r="G379" s="13"/>
      <c r="H379" s="5"/>
      <c r="I379" s="5"/>
      <c r="J379" s="6" t="str">
        <f t="shared" si="5"/>
        <v/>
      </c>
      <c r="K379" s="6" t="str">
        <f>IF(A379="","",IF(COUNTIFS('02_KICH_BAN_NODES'!$B$5:$B$204,A379,'02_KICH_BAN_NODES'!$D$5:$D$204,"choice")=0,"ChoiceNodeId không tồn tại hoặc không phải choice",IF(COUNTIFS($A$5:$A$404,A379,$B$5:$B$404,B379)&gt;1,"Trùng OptionOrder trong cùng choice",IF(OR(B379="",C379="",D379="",F379="",H379=""),"Thiếu trường bắt buộc",IF(OR(COUNTIF($A$5:$A$404,A379)&lt;2,COUNTIF($A$5:$A$404,A379)&gt;4),"Mỗi choice cần 2–4 option",IF(COUNTIFS('02_KICH_BAN_NODES'!$B$5:$B$204,A379,'02_KICH_BAN_NODES'!$E$5:$E$204,"Kiến thức")=1,IF(COUNTIFS($A$5:$A$404,A379,$D$5:$D$404,"Có")&lt;&gt;1,"Choice kiến thức cần đúng 1 đáp án đúng",""),IF(COUNTIFS('02_KICH_BAN_NODES'!$B$5:$B$204,A379,'02_KICH_BAN_NODES'!$E$5:$E$204,"Tương tác")=1,IF(COUNTIFS($A$5:$A$404,A379,$D$5:$D$404,"Có")&lt;&gt;0,"Choice tương tác không được đánh dấu đáp án đúng",""),"Choice chưa chọn loại")))))))</f>
        <v/>
      </c>
    </row>
    <row r="380" spans="1:11">
      <c r="A380" s="13"/>
      <c r="B380" s="13"/>
      <c r="C380" s="5"/>
      <c r="D380" s="13"/>
      <c r="E380" s="13"/>
      <c r="F380" s="13"/>
      <c r="G380" s="13"/>
      <c r="H380" s="5"/>
      <c r="I380" s="5"/>
      <c r="J380" s="6" t="str">
        <f t="shared" si="5"/>
        <v/>
      </c>
      <c r="K380" s="6" t="str">
        <f>IF(A380="","",IF(COUNTIFS('02_KICH_BAN_NODES'!$B$5:$B$204,A380,'02_KICH_BAN_NODES'!$D$5:$D$204,"choice")=0,"ChoiceNodeId không tồn tại hoặc không phải choice",IF(COUNTIFS($A$5:$A$404,A380,$B$5:$B$404,B380)&gt;1,"Trùng OptionOrder trong cùng choice",IF(OR(B380="",C380="",D380="",F380="",H380=""),"Thiếu trường bắt buộc",IF(OR(COUNTIF($A$5:$A$404,A380)&lt;2,COUNTIF($A$5:$A$404,A380)&gt;4),"Mỗi choice cần 2–4 option",IF(COUNTIFS('02_KICH_BAN_NODES'!$B$5:$B$204,A380,'02_KICH_BAN_NODES'!$E$5:$E$204,"Kiến thức")=1,IF(COUNTIFS($A$5:$A$404,A380,$D$5:$D$404,"Có")&lt;&gt;1,"Choice kiến thức cần đúng 1 đáp án đúng",""),IF(COUNTIFS('02_KICH_BAN_NODES'!$B$5:$B$204,A380,'02_KICH_BAN_NODES'!$E$5:$E$204,"Tương tác")=1,IF(COUNTIFS($A$5:$A$404,A380,$D$5:$D$404,"Có")&lt;&gt;0,"Choice tương tác không được đánh dấu đáp án đúng",""),"Choice chưa chọn loại")))))))</f>
        <v/>
      </c>
    </row>
    <row r="381" spans="1:11">
      <c r="A381" s="13"/>
      <c r="B381" s="13"/>
      <c r="C381" s="5"/>
      <c r="D381" s="13"/>
      <c r="E381" s="13"/>
      <c r="F381" s="13"/>
      <c r="G381" s="13"/>
      <c r="H381" s="5"/>
      <c r="I381" s="5"/>
      <c r="J381" s="6" t="str">
        <f t="shared" si="5"/>
        <v/>
      </c>
      <c r="K381" s="6" t="str">
        <f>IF(A381="","",IF(COUNTIFS('02_KICH_BAN_NODES'!$B$5:$B$204,A381,'02_KICH_BAN_NODES'!$D$5:$D$204,"choice")=0,"ChoiceNodeId không tồn tại hoặc không phải choice",IF(COUNTIFS($A$5:$A$404,A381,$B$5:$B$404,B381)&gt;1,"Trùng OptionOrder trong cùng choice",IF(OR(B381="",C381="",D381="",F381="",H381=""),"Thiếu trường bắt buộc",IF(OR(COUNTIF($A$5:$A$404,A381)&lt;2,COUNTIF($A$5:$A$404,A381)&gt;4),"Mỗi choice cần 2–4 option",IF(COUNTIFS('02_KICH_BAN_NODES'!$B$5:$B$204,A381,'02_KICH_BAN_NODES'!$E$5:$E$204,"Kiến thức")=1,IF(COUNTIFS($A$5:$A$404,A381,$D$5:$D$404,"Có")&lt;&gt;1,"Choice kiến thức cần đúng 1 đáp án đúng",""),IF(COUNTIFS('02_KICH_BAN_NODES'!$B$5:$B$204,A381,'02_KICH_BAN_NODES'!$E$5:$E$204,"Tương tác")=1,IF(COUNTIFS($A$5:$A$404,A381,$D$5:$D$404,"Có")&lt;&gt;0,"Choice tương tác không được đánh dấu đáp án đúng",""),"Choice chưa chọn loại")))))))</f>
        <v/>
      </c>
    </row>
    <row r="382" spans="1:11">
      <c r="A382" s="13"/>
      <c r="B382" s="13"/>
      <c r="C382" s="5"/>
      <c r="D382" s="13"/>
      <c r="E382" s="13"/>
      <c r="F382" s="13"/>
      <c r="G382" s="13"/>
      <c r="H382" s="5"/>
      <c r="I382" s="5"/>
      <c r="J382" s="6" t="str">
        <f t="shared" si="5"/>
        <v/>
      </c>
      <c r="K382" s="6" t="str">
        <f>IF(A382="","",IF(COUNTIFS('02_KICH_BAN_NODES'!$B$5:$B$204,A382,'02_KICH_BAN_NODES'!$D$5:$D$204,"choice")=0,"ChoiceNodeId không tồn tại hoặc không phải choice",IF(COUNTIFS($A$5:$A$404,A382,$B$5:$B$404,B382)&gt;1,"Trùng OptionOrder trong cùng choice",IF(OR(B382="",C382="",D382="",F382="",H382=""),"Thiếu trường bắt buộc",IF(OR(COUNTIF($A$5:$A$404,A382)&lt;2,COUNTIF($A$5:$A$404,A382)&gt;4),"Mỗi choice cần 2–4 option",IF(COUNTIFS('02_KICH_BAN_NODES'!$B$5:$B$204,A382,'02_KICH_BAN_NODES'!$E$5:$E$204,"Kiến thức")=1,IF(COUNTIFS($A$5:$A$404,A382,$D$5:$D$404,"Có")&lt;&gt;1,"Choice kiến thức cần đúng 1 đáp án đúng",""),IF(COUNTIFS('02_KICH_BAN_NODES'!$B$5:$B$204,A382,'02_KICH_BAN_NODES'!$E$5:$E$204,"Tương tác")=1,IF(COUNTIFS($A$5:$A$404,A382,$D$5:$D$404,"Có")&lt;&gt;0,"Choice tương tác không được đánh dấu đáp án đúng",""),"Choice chưa chọn loại")))))))</f>
        <v/>
      </c>
    </row>
    <row r="383" spans="1:11">
      <c r="A383" s="13"/>
      <c r="B383" s="13"/>
      <c r="C383" s="5"/>
      <c r="D383" s="13"/>
      <c r="E383" s="13"/>
      <c r="F383" s="13"/>
      <c r="G383" s="13"/>
      <c r="H383" s="5"/>
      <c r="I383" s="5"/>
      <c r="J383" s="6" t="str">
        <f t="shared" si="5"/>
        <v/>
      </c>
      <c r="K383" s="6" t="str">
        <f>IF(A383="","",IF(COUNTIFS('02_KICH_BAN_NODES'!$B$5:$B$204,A383,'02_KICH_BAN_NODES'!$D$5:$D$204,"choice")=0,"ChoiceNodeId không tồn tại hoặc không phải choice",IF(COUNTIFS($A$5:$A$404,A383,$B$5:$B$404,B383)&gt;1,"Trùng OptionOrder trong cùng choice",IF(OR(B383="",C383="",D383="",F383="",H383=""),"Thiếu trường bắt buộc",IF(OR(COUNTIF($A$5:$A$404,A383)&lt;2,COUNTIF($A$5:$A$404,A383)&gt;4),"Mỗi choice cần 2–4 option",IF(COUNTIFS('02_KICH_BAN_NODES'!$B$5:$B$204,A383,'02_KICH_BAN_NODES'!$E$5:$E$204,"Kiến thức")=1,IF(COUNTIFS($A$5:$A$404,A383,$D$5:$D$404,"Có")&lt;&gt;1,"Choice kiến thức cần đúng 1 đáp án đúng",""),IF(COUNTIFS('02_KICH_BAN_NODES'!$B$5:$B$204,A383,'02_KICH_BAN_NODES'!$E$5:$E$204,"Tương tác")=1,IF(COUNTIFS($A$5:$A$404,A383,$D$5:$D$404,"Có")&lt;&gt;0,"Choice tương tác không được đánh dấu đáp án đúng",""),"Choice chưa chọn loại")))))))</f>
        <v/>
      </c>
    </row>
    <row r="384" spans="1:11">
      <c r="A384" s="13"/>
      <c r="B384" s="13"/>
      <c r="C384" s="5"/>
      <c r="D384" s="13"/>
      <c r="E384" s="13"/>
      <c r="F384" s="13"/>
      <c r="G384" s="13"/>
      <c r="H384" s="5"/>
      <c r="I384" s="5"/>
      <c r="J384" s="6" t="str">
        <f t="shared" si="5"/>
        <v/>
      </c>
      <c r="K384" s="6" t="str">
        <f>IF(A384="","",IF(COUNTIFS('02_KICH_BAN_NODES'!$B$5:$B$204,A384,'02_KICH_BAN_NODES'!$D$5:$D$204,"choice")=0,"ChoiceNodeId không tồn tại hoặc không phải choice",IF(COUNTIFS($A$5:$A$404,A384,$B$5:$B$404,B384)&gt;1,"Trùng OptionOrder trong cùng choice",IF(OR(B384="",C384="",D384="",F384="",H384=""),"Thiếu trường bắt buộc",IF(OR(COUNTIF($A$5:$A$404,A384)&lt;2,COUNTIF($A$5:$A$404,A384)&gt;4),"Mỗi choice cần 2–4 option",IF(COUNTIFS('02_KICH_BAN_NODES'!$B$5:$B$204,A384,'02_KICH_BAN_NODES'!$E$5:$E$204,"Kiến thức")=1,IF(COUNTIFS($A$5:$A$404,A384,$D$5:$D$404,"Có")&lt;&gt;1,"Choice kiến thức cần đúng 1 đáp án đúng",""),IF(COUNTIFS('02_KICH_BAN_NODES'!$B$5:$B$204,A384,'02_KICH_BAN_NODES'!$E$5:$E$204,"Tương tác")=1,IF(COUNTIFS($A$5:$A$404,A384,$D$5:$D$404,"Có")&lt;&gt;0,"Choice tương tác không được đánh dấu đáp án đúng",""),"Choice chưa chọn loại")))))))</f>
        <v/>
      </c>
    </row>
    <row r="385" spans="1:11">
      <c r="A385" s="13"/>
      <c r="B385" s="13"/>
      <c r="C385" s="5"/>
      <c r="D385" s="13"/>
      <c r="E385" s="13"/>
      <c r="F385" s="13"/>
      <c r="G385" s="13"/>
      <c r="H385" s="5"/>
      <c r="I385" s="5"/>
      <c r="J385" s="6" t="str">
        <f t="shared" si="5"/>
        <v/>
      </c>
      <c r="K385" s="6" t="str">
        <f>IF(A385="","",IF(COUNTIFS('02_KICH_BAN_NODES'!$B$5:$B$204,A385,'02_KICH_BAN_NODES'!$D$5:$D$204,"choice")=0,"ChoiceNodeId không tồn tại hoặc không phải choice",IF(COUNTIFS($A$5:$A$404,A385,$B$5:$B$404,B385)&gt;1,"Trùng OptionOrder trong cùng choice",IF(OR(B385="",C385="",D385="",F385="",H385=""),"Thiếu trường bắt buộc",IF(OR(COUNTIF($A$5:$A$404,A385)&lt;2,COUNTIF($A$5:$A$404,A385)&gt;4),"Mỗi choice cần 2–4 option",IF(COUNTIFS('02_KICH_BAN_NODES'!$B$5:$B$204,A385,'02_KICH_BAN_NODES'!$E$5:$E$204,"Kiến thức")=1,IF(COUNTIFS($A$5:$A$404,A385,$D$5:$D$404,"Có")&lt;&gt;1,"Choice kiến thức cần đúng 1 đáp án đúng",""),IF(COUNTIFS('02_KICH_BAN_NODES'!$B$5:$B$204,A385,'02_KICH_BAN_NODES'!$E$5:$E$204,"Tương tác")=1,IF(COUNTIFS($A$5:$A$404,A385,$D$5:$D$404,"Có")&lt;&gt;0,"Choice tương tác không được đánh dấu đáp án đúng",""),"Choice chưa chọn loại")))))))</f>
        <v/>
      </c>
    </row>
    <row r="386" spans="1:11">
      <c r="A386" s="13"/>
      <c r="B386" s="13"/>
      <c r="C386" s="5"/>
      <c r="D386" s="13"/>
      <c r="E386" s="13"/>
      <c r="F386" s="13"/>
      <c r="G386" s="13"/>
      <c r="H386" s="5"/>
      <c r="I386" s="5"/>
      <c r="J386" s="6" t="str">
        <f t="shared" si="5"/>
        <v/>
      </c>
      <c r="K386" s="6" t="str">
        <f>IF(A386="","",IF(COUNTIFS('02_KICH_BAN_NODES'!$B$5:$B$204,A386,'02_KICH_BAN_NODES'!$D$5:$D$204,"choice")=0,"ChoiceNodeId không tồn tại hoặc không phải choice",IF(COUNTIFS($A$5:$A$404,A386,$B$5:$B$404,B386)&gt;1,"Trùng OptionOrder trong cùng choice",IF(OR(B386="",C386="",D386="",F386="",H386=""),"Thiếu trường bắt buộc",IF(OR(COUNTIF($A$5:$A$404,A386)&lt;2,COUNTIF($A$5:$A$404,A386)&gt;4),"Mỗi choice cần 2–4 option",IF(COUNTIFS('02_KICH_BAN_NODES'!$B$5:$B$204,A386,'02_KICH_BAN_NODES'!$E$5:$E$204,"Kiến thức")=1,IF(COUNTIFS($A$5:$A$404,A386,$D$5:$D$404,"Có")&lt;&gt;1,"Choice kiến thức cần đúng 1 đáp án đúng",""),IF(COUNTIFS('02_KICH_BAN_NODES'!$B$5:$B$204,A386,'02_KICH_BAN_NODES'!$E$5:$E$204,"Tương tác")=1,IF(COUNTIFS($A$5:$A$404,A386,$D$5:$D$404,"Có")&lt;&gt;0,"Choice tương tác không được đánh dấu đáp án đúng",""),"Choice chưa chọn loại")))))))</f>
        <v/>
      </c>
    </row>
    <row r="387" spans="1:11">
      <c r="A387" s="13"/>
      <c r="B387" s="13"/>
      <c r="C387" s="5"/>
      <c r="D387" s="13"/>
      <c r="E387" s="13"/>
      <c r="F387" s="13"/>
      <c r="G387" s="13"/>
      <c r="H387" s="5"/>
      <c r="I387" s="5"/>
      <c r="J387" s="6" t="str">
        <f t="shared" si="5"/>
        <v/>
      </c>
      <c r="K387" s="6" t="str">
        <f>IF(A387="","",IF(COUNTIFS('02_KICH_BAN_NODES'!$B$5:$B$204,A387,'02_KICH_BAN_NODES'!$D$5:$D$204,"choice")=0,"ChoiceNodeId không tồn tại hoặc không phải choice",IF(COUNTIFS($A$5:$A$404,A387,$B$5:$B$404,B387)&gt;1,"Trùng OptionOrder trong cùng choice",IF(OR(B387="",C387="",D387="",F387="",H387=""),"Thiếu trường bắt buộc",IF(OR(COUNTIF($A$5:$A$404,A387)&lt;2,COUNTIF($A$5:$A$404,A387)&gt;4),"Mỗi choice cần 2–4 option",IF(COUNTIFS('02_KICH_BAN_NODES'!$B$5:$B$204,A387,'02_KICH_BAN_NODES'!$E$5:$E$204,"Kiến thức")=1,IF(COUNTIFS($A$5:$A$404,A387,$D$5:$D$404,"Có")&lt;&gt;1,"Choice kiến thức cần đúng 1 đáp án đúng",""),IF(COUNTIFS('02_KICH_BAN_NODES'!$B$5:$B$204,A387,'02_KICH_BAN_NODES'!$E$5:$E$204,"Tương tác")=1,IF(COUNTIFS($A$5:$A$404,A387,$D$5:$D$404,"Có")&lt;&gt;0,"Choice tương tác không được đánh dấu đáp án đúng",""),"Choice chưa chọn loại")))))))</f>
        <v/>
      </c>
    </row>
    <row r="388" spans="1:11">
      <c r="A388" s="13"/>
      <c r="B388" s="13"/>
      <c r="C388" s="5"/>
      <c r="D388" s="13"/>
      <c r="E388" s="13"/>
      <c r="F388" s="13"/>
      <c r="G388" s="13"/>
      <c r="H388" s="5"/>
      <c r="I388" s="5"/>
      <c r="J388" s="6" t="str">
        <f t="shared" si="5"/>
        <v/>
      </c>
      <c r="K388" s="6" t="str">
        <f>IF(A388="","",IF(COUNTIFS('02_KICH_BAN_NODES'!$B$5:$B$204,A388,'02_KICH_BAN_NODES'!$D$5:$D$204,"choice")=0,"ChoiceNodeId không tồn tại hoặc không phải choice",IF(COUNTIFS($A$5:$A$404,A388,$B$5:$B$404,B388)&gt;1,"Trùng OptionOrder trong cùng choice",IF(OR(B388="",C388="",D388="",F388="",H388=""),"Thiếu trường bắt buộc",IF(OR(COUNTIF($A$5:$A$404,A388)&lt;2,COUNTIF($A$5:$A$404,A388)&gt;4),"Mỗi choice cần 2–4 option",IF(COUNTIFS('02_KICH_BAN_NODES'!$B$5:$B$204,A388,'02_KICH_BAN_NODES'!$E$5:$E$204,"Kiến thức")=1,IF(COUNTIFS($A$5:$A$404,A388,$D$5:$D$404,"Có")&lt;&gt;1,"Choice kiến thức cần đúng 1 đáp án đúng",""),IF(COUNTIFS('02_KICH_BAN_NODES'!$B$5:$B$204,A388,'02_KICH_BAN_NODES'!$E$5:$E$204,"Tương tác")=1,IF(COUNTIFS($A$5:$A$404,A388,$D$5:$D$404,"Có")&lt;&gt;0,"Choice tương tác không được đánh dấu đáp án đúng",""),"Choice chưa chọn loại")))))))</f>
        <v/>
      </c>
    </row>
    <row r="389" spans="1:11">
      <c r="A389" s="13"/>
      <c r="B389" s="13"/>
      <c r="C389" s="5"/>
      <c r="D389" s="13"/>
      <c r="E389" s="13"/>
      <c r="F389" s="13"/>
      <c r="G389" s="13"/>
      <c r="H389" s="5"/>
      <c r="I389" s="5"/>
      <c r="J389" s="6" t="str">
        <f t="shared" ref="J389:J452" si="6">IF(A389="","",IF(K389="","HỢP LỆ","CẦN SỬA"))</f>
        <v/>
      </c>
      <c r="K389" s="6" t="str">
        <f>IF(A389="","",IF(COUNTIFS('02_KICH_BAN_NODES'!$B$5:$B$204,A389,'02_KICH_BAN_NODES'!$D$5:$D$204,"choice")=0,"ChoiceNodeId không tồn tại hoặc không phải choice",IF(COUNTIFS($A$5:$A$404,A389,$B$5:$B$404,B389)&gt;1,"Trùng OptionOrder trong cùng choice",IF(OR(B389="",C389="",D389="",F389="",H389=""),"Thiếu trường bắt buộc",IF(OR(COUNTIF($A$5:$A$404,A389)&lt;2,COUNTIF($A$5:$A$404,A389)&gt;4),"Mỗi choice cần 2–4 option",IF(COUNTIFS('02_KICH_BAN_NODES'!$B$5:$B$204,A389,'02_KICH_BAN_NODES'!$E$5:$E$204,"Kiến thức")=1,IF(COUNTIFS($A$5:$A$404,A389,$D$5:$D$404,"Có")&lt;&gt;1,"Choice kiến thức cần đúng 1 đáp án đúng",""),IF(COUNTIFS('02_KICH_BAN_NODES'!$B$5:$B$204,A389,'02_KICH_BAN_NODES'!$E$5:$E$204,"Tương tác")=1,IF(COUNTIFS($A$5:$A$404,A389,$D$5:$D$404,"Có")&lt;&gt;0,"Choice tương tác không được đánh dấu đáp án đúng",""),"Choice chưa chọn loại")))))))</f>
        <v/>
      </c>
    </row>
    <row r="390" spans="1:11">
      <c r="A390" s="13"/>
      <c r="B390" s="13"/>
      <c r="C390" s="5"/>
      <c r="D390" s="13"/>
      <c r="E390" s="13"/>
      <c r="F390" s="13"/>
      <c r="G390" s="13"/>
      <c r="H390" s="5"/>
      <c r="I390" s="5"/>
      <c r="J390" s="6" t="str">
        <f t="shared" si="6"/>
        <v/>
      </c>
      <c r="K390" s="6" t="str">
        <f>IF(A390="","",IF(COUNTIFS('02_KICH_BAN_NODES'!$B$5:$B$204,A390,'02_KICH_BAN_NODES'!$D$5:$D$204,"choice")=0,"ChoiceNodeId không tồn tại hoặc không phải choice",IF(COUNTIFS($A$5:$A$404,A390,$B$5:$B$404,B390)&gt;1,"Trùng OptionOrder trong cùng choice",IF(OR(B390="",C390="",D390="",F390="",H390=""),"Thiếu trường bắt buộc",IF(OR(COUNTIF($A$5:$A$404,A390)&lt;2,COUNTIF($A$5:$A$404,A390)&gt;4),"Mỗi choice cần 2–4 option",IF(COUNTIFS('02_KICH_BAN_NODES'!$B$5:$B$204,A390,'02_KICH_BAN_NODES'!$E$5:$E$204,"Kiến thức")=1,IF(COUNTIFS($A$5:$A$404,A390,$D$5:$D$404,"Có")&lt;&gt;1,"Choice kiến thức cần đúng 1 đáp án đúng",""),IF(COUNTIFS('02_KICH_BAN_NODES'!$B$5:$B$204,A390,'02_KICH_BAN_NODES'!$E$5:$E$204,"Tương tác")=1,IF(COUNTIFS($A$5:$A$404,A390,$D$5:$D$404,"Có")&lt;&gt;0,"Choice tương tác không được đánh dấu đáp án đúng",""),"Choice chưa chọn loại")))))))</f>
        <v/>
      </c>
    </row>
    <row r="391" spans="1:11">
      <c r="A391" s="13"/>
      <c r="B391" s="13"/>
      <c r="C391" s="5"/>
      <c r="D391" s="13"/>
      <c r="E391" s="13"/>
      <c r="F391" s="13"/>
      <c r="G391" s="13"/>
      <c r="H391" s="5"/>
      <c r="I391" s="5"/>
      <c r="J391" s="6" t="str">
        <f t="shared" si="6"/>
        <v/>
      </c>
      <c r="K391" s="6" t="str">
        <f>IF(A391="","",IF(COUNTIFS('02_KICH_BAN_NODES'!$B$5:$B$204,A391,'02_KICH_BAN_NODES'!$D$5:$D$204,"choice")=0,"ChoiceNodeId không tồn tại hoặc không phải choice",IF(COUNTIFS($A$5:$A$404,A391,$B$5:$B$404,B391)&gt;1,"Trùng OptionOrder trong cùng choice",IF(OR(B391="",C391="",D391="",F391="",H391=""),"Thiếu trường bắt buộc",IF(OR(COUNTIF($A$5:$A$404,A391)&lt;2,COUNTIF($A$5:$A$404,A391)&gt;4),"Mỗi choice cần 2–4 option",IF(COUNTIFS('02_KICH_BAN_NODES'!$B$5:$B$204,A391,'02_KICH_BAN_NODES'!$E$5:$E$204,"Kiến thức")=1,IF(COUNTIFS($A$5:$A$404,A391,$D$5:$D$404,"Có")&lt;&gt;1,"Choice kiến thức cần đúng 1 đáp án đúng",""),IF(COUNTIFS('02_KICH_BAN_NODES'!$B$5:$B$204,A391,'02_KICH_BAN_NODES'!$E$5:$E$204,"Tương tác")=1,IF(COUNTIFS($A$5:$A$404,A391,$D$5:$D$404,"Có")&lt;&gt;0,"Choice tương tác không được đánh dấu đáp án đúng",""),"Choice chưa chọn loại")))))))</f>
        <v/>
      </c>
    </row>
    <row r="392" spans="1:11">
      <c r="A392" s="13"/>
      <c r="B392" s="13"/>
      <c r="C392" s="5"/>
      <c r="D392" s="13"/>
      <c r="E392" s="13"/>
      <c r="F392" s="13"/>
      <c r="G392" s="13"/>
      <c r="H392" s="5"/>
      <c r="I392" s="5"/>
      <c r="J392" s="6" t="str">
        <f t="shared" si="6"/>
        <v/>
      </c>
      <c r="K392" s="6" t="str">
        <f>IF(A392="","",IF(COUNTIFS('02_KICH_BAN_NODES'!$B$5:$B$204,A392,'02_KICH_BAN_NODES'!$D$5:$D$204,"choice")=0,"ChoiceNodeId không tồn tại hoặc không phải choice",IF(COUNTIFS($A$5:$A$404,A392,$B$5:$B$404,B392)&gt;1,"Trùng OptionOrder trong cùng choice",IF(OR(B392="",C392="",D392="",F392="",H392=""),"Thiếu trường bắt buộc",IF(OR(COUNTIF($A$5:$A$404,A392)&lt;2,COUNTIF($A$5:$A$404,A392)&gt;4),"Mỗi choice cần 2–4 option",IF(COUNTIFS('02_KICH_BAN_NODES'!$B$5:$B$204,A392,'02_KICH_BAN_NODES'!$E$5:$E$204,"Kiến thức")=1,IF(COUNTIFS($A$5:$A$404,A392,$D$5:$D$404,"Có")&lt;&gt;1,"Choice kiến thức cần đúng 1 đáp án đúng",""),IF(COUNTIFS('02_KICH_BAN_NODES'!$B$5:$B$204,A392,'02_KICH_BAN_NODES'!$E$5:$E$204,"Tương tác")=1,IF(COUNTIFS($A$5:$A$404,A392,$D$5:$D$404,"Có")&lt;&gt;0,"Choice tương tác không được đánh dấu đáp án đúng",""),"Choice chưa chọn loại")))))))</f>
        <v/>
      </c>
    </row>
    <row r="393" spans="1:11">
      <c r="A393" s="13"/>
      <c r="B393" s="13"/>
      <c r="C393" s="5"/>
      <c r="D393" s="13"/>
      <c r="E393" s="13"/>
      <c r="F393" s="13"/>
      <c r="G393" s="13"/>
      <c r="H393" s="5"/>
      <c r="I393" s="5"/>
      <c r="J393" s="6" t="str">
        <f t="shared" si="6"/>
        <v/>
      </c>
      <c r="K393" s="6" t="str">
        <f>IF(A393="","",IF(COUNTIFS('02_KICH_BAN_NODES'!$B$5:$B$204,A393,'02_KICH_BAN_NODES'!$D$5:$D$204,"choice")=0,"ChoiceNodeId không tồn tại hoặc không phải choice",IF(COUNTIFS($A$5:$A$404,A393,$B$5:$B$404,B393)&gt;1,"Trùng OptionOrder trong cùng choice",IF(OR(B393="",C393="",D393="",F393="",H393=""),"Thiếu trường bắt buộc",IF(OR(COUNTIF($A$5:$A$404,A393)&lt;2,COUNTIF($A$5:$A$404,A393)&gt;4),"Mỗi choice cần 2–4 option",IF(COUNTIFS('02_KICH_BAN_NODES'!$B$5:$B$204,A393,'02_KICH_BAN_NODES'!$E$5:$E$204,"Kiến thức")=1,IF(COUNTIFS($A$5:$A$404,A393,$D$5:$D$404,"Có")&lt;&gt;1,"Choice kiến thức cần đúng 1 đáp án đúng",""),IF(COUNTIFS('02_KICH_BAN_NODES'!$B$5:$B$204,A393,'02_KICH_BAN_NODES'!$E$5:$E$204,"Tương tác")=1,IF(COUNTIFS($A$5:$A$404,A393,$D$5:$D$404,"Có")&lt;&gt;0,"Choice tương tác không được đánh dấu đáp án đúng",""),"Choice chưa chọn loại")))))))</f>
        <v/>
      </c>
    </row>
    <row r="394" spans="1:11">
      <c r="A394" s="13"/>
      <c r="B394" s="13"/>
      <c r="C394" s="5"/>
      <c r="D394" s="13"/>
      <c r="E394" s="13"/>
      <c r="F394" s="13"/>
      <c r="G394" s="13"/>
      <c r="H394" s="5"/>
      <c r="I394" s="5"/>
      <c r="J394" s="6" t="str">
        <f t="shared" si="6"/>
        <v/>
      </c>
      <c r="K394" s="6" t="str">
        <f>IF(A394="","",IF(COUNTIFS('02_KICH_BAN_NODES'!$B$5:$B$204,A394,'02_KICH_BAN_NODES'!$D$5:$D$204,"choice")=0,"ChoiceNodeId không tồn tại hoặc không phải choice",IF(COUNTIFS($A$5:$A$404,A394,$B$5:$B$404,B394)&gt;1,"Trùng OptionOrder trong cùng choice",IF(OR(B394="",C394="",D394="",F394="",H394=""),"Thiếu trường bắt buộc",IF(OR(COUNTIF($A$5:$A$404,A394)&lt;2,COUNTIF($A$5:$A$404,A394)&gt;4),"Mỗi choice cần 2–4 option",IF(COUNTIFS('02_KICH_BAN_NODES'!$B$5:$B$204,A394,'02_KICH_BAN_NODES'!$E$5:$E$204,"Kiến thức")=1,IF(COUNTIFS($A$5:$A$404,A394,$D$5:$D$404,"Có")&lt;&gt;1,"Choice kiến thức cần đúng 1 đáp án đúng",""),IF(COUNTIFS('02_KICH_BAN_NODES'!$B$5:$B$204,A394,'02_KICH_BAN_NODES'!$E$5:$E$204,"Tương tác")=1,IF(COUNTIFS($A$5:$A$404,A394,$D$5:$D$404,"Có")&lt;&gt;0,"Choice tương tác không được đánh dấu đáp án đúng",""),"Choice chưa chọn loại")))))))</f>
        <v/>
      </c>
    </row>
    <row r="395" spans="1:11">
      <c r="A395" s="13"/>
      <c r="B395" s="13"/>
      <c r="C395" s="5"/>
      <c r="D395" s="13"/>
      <c r="E395" s="13"/>
      <c r="F395" s="13"/>
      <c r="G395" s="13"/>
      <c r="H395" s="5"/>
      <c r="I395" s="5"/>
      <c r="J395" s="6" t="str">
        <f t="shared" si="6"/>
        <v/>
      </c>
      <c r="K395" s="6" t="str">
        <f>IF(A395="","",IF(COUNTIFS('02_KICH_BAN_NODES'!$B$5:$B$204,A395,'02_KICH_BAN_NODES'!$D$5:$D$204,"choice")=0,"ChoiceNodeId không tồn tại hoặc không phải choice",IF(COUNTIFS($A$5:$A$404,A395,$B$5:$B$404,B395)&gt;1,"Trùng OptionOrder trong cùng choice",IF(OR(B395="",C395="",D395="",F395="",H395=""),"Thiếu trường bắt buộc",IF(OR(COUNTIF($A$5:$A$404,A395)&lt;2,COUNTIF($A$5:$A$404,A395)&gt;4),"Mỗi choice cần 2–4 option",IF(COUNTIFS('02_KICH_BAN_NODES'!$B$5:$B$204,A395,'02_KICH_BAN_NODES'!$E$5:$E$204,"Kiến thức")=1,IF(COUNTIFS($A$5:$A$404,A395,$D$5:$D$404,"Có")&lt;&gt;1,"Choice kiến thức cần đúng 1 đáp án đúng",""),IF(COUNTIFS('02_KICH_BAN_NODES'!$B$5:$B$204,A395,'02_KICH_BAN_NODES'!$E$5:$E$204,"Tương tác")=1,IF(COUNTIFS($A$5:$A$404,A395,$D$5:$D$404,"Có")&lt;&gt;0,"Choice tương tác không được đánh dấu đáp án đúng",""),"Choice chưa chọn loại")))))))</f>
        <v/>
      </c>
    </row>
    <row r="396" spans="1:11">
      <c r="A396" s="13"/>
      <c r="B396" s="13"/>
      <c r="C396" s="5"/>
      <c r="D396" s="13"/>
      <c r="E396" s="13"/>
      <c r="F396" s="13"/>
      <c r="G396" s="13"/>
      <c r="H396" s="5"/>
      <c r="I396" s="5"/>
      <c r="J396" s="6" t="str">
        <f t="shared" si="6"/>
        <v/>
      </c>
      <c r="K396" s="6" t="str">
        <f>IF(A396="","",IF(COUNTIFS('02_KICH_BAN_NODES'!$B$5:$B$204,A396,'02_KICH_BAN_NODES'!$D$5:$D$204,"choice")=0,"ChoiceNodeId không tồn tại hoặc không phải choice",IF(COUNTIFS($A$5:$A$404,A396,$B$5:$B$404,B396)&gt;1,"Trùng OptionOrder trong cùng choice",IF(OR(B396="",C396="",D396="",F396="",H396=""),"Thiếu trường bắt buộc",IF(OR(COUNTIF($A$5:$A$404,A396)&lt;2,COUNTIF($A$5:$A$404,A396)&gt;4),"Mỗi choice cần 2–4 option",IF(COUNTIFS('02_KICH_BAN_NODES'!$B$5:$B$204,A396,'02_KICH_BAN_NODES'!$E$5:$E$204,"Kiến thức")=1,IF(COUNTIFS($A$5:$A$404,A396,$D$5:$D$404,"Có")&lt;&gt;1,"Choice kiến thức cần đúng 1 đáp án đúng",""),IF(COUNTIFS('02_KICH_BAN_NODES'!$B$5:$B$204,A396,'02_KICH_BAN_NODES'!$E$5:$E$204,"Tương tác")=1,IF(COUNTIFS($A$5:$A$404,A396,$D$5:$D$404,"Có")&lt;&gt;0,"Choice tương tác không được đánh dấu đáp án đúng",""),"Choice chưa chọn loại")))))))</f>
        <v/>
      </c>
    </row>
    <row r="397" spans="1:11">
      <c r="A397" s="13"/>
      <c r="B397" s="13"/>
      <c r="C397" s="5"/>
      <c r="D397" s="13"/>
      <c r="E397" s="13"/>
      <c r="F397" s="13"/>
      <c r="G397" s="13"/>
      <c r="H397" s="5"/>
      <c r="I397" s="5"/>
      <c r="J397" s="6" t="str">
        <f t="shared" si="6"/>
        <v/>
      </c>
      <c r="K397" s="6" t="str">
        <f>IF(A397="","",IF(COUNTIFS('02_KICH_BAN_NODES'!$B$5:$B$204,A397,'02_KICH_BAN_NODES'!$D$5:$D$204,"choice")=0,"ChoiceNodeId không tồn tại hoặc không phải choice",IF(COUNTIFS($A$5:$A$404,A397,$B$5:$B$404,B397)&gt;1,"Trùng OptionOrder trong cùng choice",IF(OR(B397="",C397="",D397="",F397="",H397=""),"Thiếu trường bắt buộc",IF(OR(COUNTIF($A$5:$A$404,A397)&lt;2,COUNTIF($A$5:$A$404,A397)&gt;4),"Mỗi choice cần 2–4 option",IF(COUNTIFS('02_KICH_BAN_NODES'!$B$5:$B$204,A397,'02_KICH_BAN_NODES'!$E$5:$E$204,"Kiến thức")=1,IF(COUNTIFS($A$5:$A$404,A397,$D$5:$D$404,"Có")&lt;&gt;1,"Choice kiến thức cần đúng 1 đáp án đúng",""),IF(COUNTIFS('02_KICH_BAN_NODES'!$B$5:$B$204,A397,'02_KICH_BAN_NODES'!$E$5:$E$204,"Tương tác")=1,IF(COUNTIFS($A$5:$A$404,A397,$D$5:$D$404,"Có")&lt;&gt;0,"Choice tương tác không được đánh dấu đáp án đúng",""),"Choice chưa chọn loại")))))))</f>
        <v/>
      </c>
    </row>
    <row r="398" spans="1:11">
      <c r="A398" s="13"/>
      <c r="B398" s="13"/>
      <c r="C398" s="5"/>
      <c r="D398" s="13"/>
      <c r="E398" s="13"/>
      <c r="F398" s="13"/>
      <c r="G398" s="13"/>
      <c r="H398" s="5"/>
      <c r="I398" s="5"/>
      <c r="J398" s="6" t="str">
        <f t="shared" si="6"/>
        <v/>
      </c>
      <c r="K398" s="6" t="str">
        <f>IF(A398="","",IF(COUNTIFS('02_KICH_BAN_NODES'!$B$5:$B$204,A398,'02_KICH_BAN_NODES'!$D$5:$D$204,"choice")=0,"ChoiceNodeId không tồn tại hoặc không phải choice",IF(COUNTIFS($A$5:$A$404,A398,$B$5:$B$404,B398)&gt;1,"Trùng OptionOrder trong cùng choice",IF(OR(B398="",C398="",D398="",F398="",H398=""),"Thiếu trường bắt buộc",IF(OR(COUNTIF($A$5:$A$404,A398)&lt;2,COUNTIF($A$5:$A$404,A398)&gt;4),"Mỗi choice cần 2–4 option",IF(COUNTIFS('02_KICH_BAN_NODES'!$B$5:$B$204,A398,'02_KICH_BAN_NODES'!$E$5:$E$204,"Kiến thức")=1,IF(COUNTIFS($A$5:$A$404,A398,$D$5:$D$404,"Có")&lt;&gt;1,"Choice kiến thức cần đúng 1 đáp án đúng",""),IF(COUNTIFS('02_KICH_BAN_NODES'!$B$5:$B$204,A398,'02_KICH_BAN_NODES'!$E$5:$E$204,"Tương tác")=1,IF(COUNTIFS($A$5:$A$404,A398,$D$5:$D$404,"Có")&lt;&gt;0,"Choice tương tác không được đánh dấu đáp án đúng",""),"Choice chưa chọn loại")))))))</f>
        <v/>
      </c>
    </row>
    <row r="399" spans="1:11">
      <c r="A399" s="13"/>
      <c r="B399" s="13"/>
      <c r="C399" s="5"/>
      <c r="D399" s="13"/>
      <c r="E399" s="13"/>
      <c r="F399" s="13"/>
      <c r="G399" s="13"/>
      <c r="H399" s="5"/>
      <c r="I399" s="5"/>
      <c r="J399" s="6" t="str">
        <f t="shared" si="6"/>
        <v/>
      </c>
      <c r="K399" s="6" t="str">
        <f>IF(A399="","",IF(COUNTIFS('02_KICH_BAN_NODES'!$B$5:$B$204,A399,'02_KICH_BAN_NODES'!$D$5:$D$204,"choice")=0,"ChoiceNodeId không tồn tại hoặc không phải choice",IF(COUNTIFS($A$5:$A$404,A399,$B$5:$B$404,B399)&gt;1,"Trùng OptionOrder trong cùng choice",IF(OR(B399="",C399="",D399="",F399="",H399=""),"Thiếu trường bắt buộc",IF(OR(COUNTIF($A$5:$A$404,A399)&lt;2,COUNTIF($A$5:$A$404,A399)&gt;4),"Mỗi choice cần 2–4 option",IF(COUNTIFS('02_KICH_BAN_NODES'!$B$5:$B$204,A399,'02_KICH_BAN_NODES'!$E$5:$E$204,"Kiến thức")=1,IF(COUNTIFS($A$5:$A$404,A399,$D$5:$D$404,"Có")&lt;&gt;1,"Choice kiến thức cần đúng 1 đáp án đúng",""),IF(COUNTIFS('02_KICH_BAN_NODES'!$B$5:$B$204,A399,'02_KICH_BAN_NODES'!$E$5:$E$204,"Tương tác")=1,IF(COUNTIFS($A$5:$A$404,A399,$D$5:$D$404,"Có")&lt;&gt;0,"Choice tương tác không được đánh dấu đáp án đúng",""),"Choice chưa chọn loại")))))))</f>
        <v/>
      </c>
    </row>
    <row r="400" spans="1:11">
      <c r="A400" s="13"/>
      <c r="B400" s="13"/>
      <c r="C400" s="5"/>
      <c r="D400" s="13"/>
      <c r="E400" s="13"/>
      <c r="F400" s="13"/>
      <c r="G400" s="13"/>
      <c r="H400" s="5"/>
      <c r="I400" s="5"/>
      <c r="J400" s="6" t="str">
        <f t="shared" si="6"/>
        <v/>
      </c>
      <c r="K400" s="6" t="str">
        <f>IF(A400="","",IF(COUNTIFS('02_KICH_BAN_NODES'!$B$5:$B$204,A400,'02_KICH_BAN_NODES'!$D$5:$D$204,"choice")=0,"ChoiceNodeId không tồn tại hoặc không phải choice",IF(COUNTIFS($A$5:$A$404,A400,$B$5:$B$404,B400)&gt;1,"Trùng OptionOrder trong cùng choice",IF(OR(B400="",C400="",D400="",F400="",H400=""),"Thiếu trường bắt buộc",IF(OR(COUNTIF($A$5:$A$404,A400)&lt;2,COUNTIF($A$5:$A$404,A400)&gt;4),"Mỗi choice cần 2–4 option",IF(COUNTIFS('02_KICH_BAN_NODES'!$B$5:$B$204,A400,'02_KICH_BAN_NODES'!$E$5:$E$204,"Kiến thức")=1,IF(COUNTIFS($A$5:$A$404,A400,$D$5:$D$404,"Có")&lt;&gt;1,"Choice kiến thức cần đúng 1 đáp án đúng",""),IF(COUNTIFS('02_KICH_BAN_NODES'!$B$5:$B$204,A400,'02_KICH_BAN_NODES'!$E$5:$E$204,"Tương tác")=1,IF(COUNTIFS($A$5:$A$404,A400,$D$5:$D$404,"Có")&lt;&gt;0,"Choice tương tác không được đánh dấu đáp án đúng",""),"Choice chưa chọn loại")))))))</f>
        <v/>
      </c>
    </row>
    <row r="401" spans="1:11">
      <c r="A401" s="13"/>
      <c r="B401" s="13"/>
      <c r="C401" s="5"/>
      <c r="D401" s="13"/>
      <c r="E401" s="13"/>
      <c r="F401" s="13"/>
      <c r="G401" s="13"/>
      <c r="H401" s="5"/>
      <c r="I401" s="5"/>
      <c r="J401" s="6" t="str">
        <f t="shared" si="6"/>
        <v/>
      </c>
      <c r="K401" s="6" t="str">
        <f>IF(A401="","",IF(COUNTIFS('02_KICH_BAN_NODES'!$B$5:$B$204,A401,'02_KICH_BAN_NODES'!$D$5:$D$204,"choice")=0,"ChoiceNodeId không tồn tại hoặc không phải choice",IF(COUNTIFS($A$5:$A$404,A401,$B$5:$B$404,B401)&gt;1,"Trùng OptionOrder trong cùng choice",IF(OR(B401="",C401="",D401="",F401="",H401=""),"Thiếu trường bắt buộc",IF(OR(COUNTIF($A$5:$A$404,A401)&lt;2,COUNTIF($A$5:$A$404,A401)&gt;4),"Mỗi choice cần 2–4 option",IF(COUNTIFS('02_KICH_BAN_NODES'!$B$5:$B$204,A401,'02_KICH_BAN_NODES'!$E$5:$E$204,"Kiến thức")=1,IF(COUNTIFS($A$5:$A$404,A401,$D$5:$D$404,"Có")&lt;&gt;1,"Choice kiến thức cần đúng 1 đáp án đúng",""),IF(COUNTIFS('02_KICH_BAN_NODES'!$B$5:$B$204,A401,'02_KICH_BAN_NODES'!$E$5:$E$204,"Tương tác")=1,IF(COUNTIFS($A$5:$A$404,A401,$D$5:$D$404,"Có")&lt;&gt;0,"Choice tương tác không được đánh dấu đáp án đúng",""),"Choice chưa chọn loại")))))))</f>
        <v/>
      </c>
    </row>
    <row r="402" spans="1:11">
      <c r="A402" s="13"/>
      <c r="B402" s="13"/>
      <c r="C402" s="5"/>
      <c r="D402" s="13"/>
      <c r="E402" s="13"/>
      <c r="F402" s="13"/>
      <c r="G402" s="13"/>
      <c r="H402" s="5"/>
      <c r="I402" s="5"/>
      <c r="J402" s="6" t="str">
        <f t="shared" si="6"/>
        <v/>
      </c>
      <c r="K402" s="6" t="str">
        <f>IF(A402="","",IF(COUNTIFS('02_KICH_BAN_NODES'!$B$5:$B$204,A402,'02_KICH_BAN_NODES'!$D$5:$D$204,"choice")=0,"ChoiceNodeId không tồn tại hoặc không phải choice",IF(COUNTIFS($A$5:$A$404,A402,$B$5:$B$404,B402)&gt;1,"Trùng OptionOrder trong cùng choice",IF(OR(B402="",C402="",D402="",F402="",H402=""),"Thiếu trường bắt buộc",IF(OR(COUNTIF($A$5:$A$404,A402)&lt;2,COUNTIF($A$5:$A$404,A402)&gt;4),"Mỗi choice cần 2–4 option",IF(COUNTIFS('02_KICH_BAN_NODES'!$B$5:$B$204,A402,'02_KICH_BAN_NODES'!$E$5:$E$204,"Kiến thức")=1,IF(COUNTIFS($A$5:$A$404,A402,$D$5:$D$404,"Có")&lt;&gt;1,"Choice kiến thức cần đúng 1 đáp án đúng",""),IF(COUNTIFS('02_KICH_BAN_NODES'!$B$5:$B$204,A402,'02_KICH_BAN_NODES'!$E$5:$E$204,"Tương tác")=1,IF(COUNTIFS($A$5:$A$404,A402,$D$5:$D$404,"Có")&lt;&gt;0,"Choice tương tác không được đánh dấu đáp án đúng",""),"Choice chưa chọn loại")))))))</f>
        <v/>
      </c>
    </row>
    <row r="403" spans="1:11">
      <c r="A403" s="13"/>
      <c r="B403" s="13"/>
      <c r="C403" s="5"/>
      <c r="D403" s="13"/>
      <c r="E403" s="13"/>
      <c r="F403" s="13"/>
      <c r="G403" s="13"/>
      <c r="H403" s="5"/>
      <c r="I403" s="5"/>
      <c r="J403" s="6" t="str">
        <f t="shared" si="6"/>
        <v/>
      </c>
      <c r="K403" s="6" t="str">
        <f>IF(A403="","",IF(COUNTIFS('02_KICH_BAN_NODES'!$B$5:$B$204,A403,'02_KICH_BAN_NODES'!$D$5:$D$204,"choice")=0,"ChoiceNodeId không tồn tại hoặc không phải choice",IF(COUNTIFS($A$5:$A$404,A403,$B$5:$B$404,B403)&gt;1,"Trùng OptionOrder trong cùng choice",IF(OR(B403="",C403="",D403="",F403="",H403=""),"Thiếu trường bắt buộc",IF(OR(COUNTIF($A$5:$A$404,A403)&lt;2,COUNTIF($A$5:$A$404,A403)&gt;4),"Mỗi choice cần 2–4 option",IF(COUNTIFS('02_KICH_BAN_NODES'!$B$5:$B$204,A403,'02_KICH_BAN_NODES'!$E$5:$E$204,"Kiến thức")=1,IF(COUNTIFS($A$5:$A$404,A403,$D$5:$D$404,"Có")&lt;&gt;1,"Choice kiến thức cần đúng 1 đáp án đúng",""),IF(COUNTIFS('02_KICH_BAN_NODES'!$B$5:$B$204,A403,'02_KICH_BAN_NODES'!$E$5:$E$204,"Tương tác")=1,IF(COUNTIFS($A$5:$A$404,A403,$D$5:$D$404,"Có")&lt;&gt;0,"Choice tương tác không được đánh dấu đáp án đúng",""),"Choice chưa chọn loại")))))))</f>
        <v/>
      </c>
    </row>
    <row r="404" spans="1:11">
      <c r="A404" s="13"/>
      <c r="B404" s="13"/>
      <c r="C404" s="5"/>
      <c r="D404" s="13"/>
      <c r="E404" s="13"/>
      <c r="F404" s="13"/>
      <c r="G404" s="13"/>
      <c r="H404" s="5"/>
      <c r="I404" s="5"/>
      <c r="J404" s="6" t="str">
        <f t="shared" si="6"/>
        <v/>
      </c>
      <c r="K404" s="6" t="str">
        <f>IF(A404="","",IF(COUNTIFS('02_KICH_BAN_NODES'!$B$5:$B$204,A404,'02_KICH_BAN_NODES'!$D$5:$D$204,"choice")=0,"ChoiceNodeId không tồn tại hoặc không phải choice",IF(COUNTIFS($A$5:$A$404,A404,$B$5:$B$404,B404)&gt;1,"Trùng OptionOrder trong cùng choice",IF(OR(B404="",C404="",D404="",F404="",H404=""),"Thiếu trường bắt buộc",IF(OR(COUNTIF($A$5:$A$404,A404)&lt;2,COUNTIF($A$5:$A$404,A404)&gt;4),"Mỗi choice cần 2–4 option",IF(COUNTIFS('02_KICH_BAN_NODES'!$B$5:$B$204,A404,'02_KICH_BAN_NODES'!$E$5:$E$204,"Kiến thức")=1,IF(COUNTIFS($A$5:$A$404,A404,$D$5:$D$404,"Có")&lt;&gt;1,"Choice kiến thức cần đúng 1 đáp án đúng",""),IF(COUNTIFS('02_KICH_BAN_NODES'!$B$5:$B$204,A404,'02_KICH_BAN_NODES'!$E$5:$E$204,"Tương tác")=1,IF(COUNTIFS($A$5:$A$404,A404,$D$5:$D$404,"Có")&lt;&gt;0,"Choice tương tác không được đánh dấu đáp án đúng",""),"Choice chưa chọn loại")))))))</f>
        <v/>
      </c>
    </row>
  </sheetData>
  <mergeCells count="2">
    <mergeCell ref="A1:K1"/>
    <mergeCell ref="A2:K2"/>
  </mergeCells>
  <conditionalFormatting sqref="D5:D404">
    <cfRule type="expression" dxfId="12" priority="4">
      <formula>D5="Có"</formula>
    </cfRule>
    <cfRule type="expression" dxfId="11" priority="5">
      <formula>D5="Không"</formula>
    </cfRule>
  </conditionalFormatting>
  <conditionalFormatting sqref="J5:J404">
    <cfRule type="expression" dxfId="10" priority="1">
      <formula>J5="HỢP LỆ"</formula>
    </cfRule>
    <cfRule type="expression" dxfId="9" priority="2">
      <formula>J5="CẦN SỬA"</formula>
    </cfRule>
  </conditionalFormatting>
  <conditionalFormatting sqref="K5:K404">
    <cfRule type="expression" dxfId="8" priority="3">
      <formula>K5&lt;&gt;""</formula>
    </cfRule>
  </conditionalFormatting>
  <dataValidations count="1">
    <dataValidation type="list" sqref="D5:D404" xr:uid="{00000000-0002-0000-0300-000000000000}">
      <formula1>"Có,Không"</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heetViews>
  <sheetFormatPr defaultRowHeight="14.25"/>
  <cols>
    <col min="1" max="1" width="16" customWidth="1"/>
    <col min="2" max="2" width="22" customWidth="1"/>
    <col min="3" max="3" width="28" customWidth="1"/>
    <col min="4" max="4" width="18" customWidth="1"/>
    <col min="5" max="5" width="40" customWidth="1"/>
    <col min="6" max="6" width="18" customWidth="1"/>
    <col min="7" max="7" width="14" customWidth="1"/>
    <col min="8" max="8" width="32" customWidth="1"/>
    <col min="9" max="9" width="3" customWidth="1"/>
    <col min="10" max="10" width="14" customWidth="1"/>
    <col min="11" max="11" width="38" customWidth="1"/>
    <col min="12" max="12" width="42" customWidth="1"/>
  </cols>
  <sheetData>
    <row r="1" spans="1:12" ht="30" customHeight="1">
      <c r="A1" s="19" t="s">
        <v>166</v>
      </c>
      <c r="B1" s="19"/>
      <c r="C1" s="19"/>
      <c r="D1" s="19"/>
      <c r="E1" s="19"/>
      <c r="F1" s="19"/>
      <c r="G1" s="19"/>
      <c r="H1" s="19"/>
      <c r="I1" s="19"/>
      <c r="J1" s="19"/>
      <c r="K1" s="19"/>
      <c r="L1" s="19"/>
    </row>
    <row r="2" spans="1:12" ht="36" customHeight="1">
      <c r="A2" s="20" t="s">
        <v>167</v>
      </c>
      <c r="B2" s="20"/>
      <c r="C2" s="20"/>
      <c r="D2" s="20"/>
      <c r="E2" s="20"/>
      <c r="F2" s="20"/>
      <c r="G2" s="20"/>
      <c r="H2" s="20"/>
      <c r="I2" s="20"/>
      <c r="J2" s="20"/>
      <c r="K2" s="20"/>
      <c r="L2" s="20"/>
    </row>
    <row r="4" spans="1:12" ht="24" customHeight="1">
      <c r="A4" s="18" t="s">
        <v>168</v>
      </c>
      <c r="B4" s="18"/>
      <c r="C4" s="18"/>
      <c r="D4" s="18" t="s">
        <v>169</v>
      </c>
      <c r="E4" s="18"/>
      <c r="F4" s="18"/>
      <c r="G4" s="18" t="s">
        <v>170</v>
      </c>
      <c r="H4" s="18"/>
      <c r="J4" s="18" t="s">
        <v>171</v>
      </c>
      <c r="K4" s="18"/>
      <c r="L4" s="18"/>
    </row>
    <row r="5" spans="1:12" ht="39.950000000000003" customHeight="1">
      <c r="A5" s="1" t="s">
        <v>150</v>
      </c>
      <c r="B5" s="1" t="s">
        <v>172</v>
      </c>
      <c r="C5" s="1" t="s">
        <v>173</v>
      </c>
      <c r="D5" s="1" t="s">
        <v>174</v>
      </c>
      <c r="E5" s="1" t="s">
        <v>175</v>
      </c>
      <c r="F5" s="1" t="s">
        <v>176</v>
      </c>
      <c r="G5" s="1" t="s">
        <v>177</v>
      </c>
      <c r="H5" s="1" t="s">
        <v>178</v>
      </c>
      <c r="J5" s="1" t="s">
        <v>179</v>
      </c>
      <c r="K5" s="1" t="s">
        <v>180</v>
      </c>
      <c r="L5" s="1" t="s">
        <v>181</v>
      </c>
    </row>
    <row r="6" spans="1:12">
      <c r="A6" s="2" t="s">
        <v>182</v>
      </c>
      <c r="B6" s="2"/>
      <c r="C6" s="2" t="s">
        <v>76</v>
      </c>
      <c r="D6" s="2" t="s">
        <v>183</v>
      </c>
      <c r="E6" s="2" t="s">
        <v>184</v>
      </c>
      <c r="F6" s="2" t="s">
        <v>185</v>
      </c>
      <c r="G6" s="2" t="s">
        <v>186</v>
      </c>
      <c r="H6" s="2" t="s">
        <v>187</v>
      </c>
      <c r="I6" s="2"/>
      <c r="J6" s="2" t="s">
        <v>188</v>
      </c>
      <c r="K6" s="2" t="s">
        <v>189</v>
      </c>
      <c r="L6" s="2" t="s">
        <v>190</v>
      </c>
    </row>
    <row r="7" spans="1:12">
      <c r="A7" s="2" t="s">
        <v>191</v>
      </c>
      <c r="B7" s="2" t="s">
        <v>192</v>
      </c>
      <c r="C7" s="2" t="s">
        <v>193</v>
      </c>
      <c r="D7" s="2" t="s">
        <v>194</v>
      </c>
      <c r="E7" s="2" t="s">
        <v>195</v>
      </c>
      <c r="F7" s="2" t="s">
        <v>185</v>
      </c>
      <c r="G7" s="2" t="s">
        <v>196</v>
      </c>
      <c r="H7" s="2" t="s">
        <v>197</v>
      </c>
      <c r="I7" s="2"/>
      <c r="J7" s="2" t="s">
        <v>198</v>
      </c>
      <c r="K7" s="2" t="s">
        <v>199</v>
      </c>
      <c r="L7" s="2" t="s">
        <v>200</v>
      </c>
    </row>
    <row r="8" spans="1:12" ht="28.5">
      <c r="A8" s="2" t="s">
        <v>201</v>
      </c>
      <c r="B8" s="2" t="s">
        <v>202</v>
      </c>
      <c r="C8" s="2" t="s">
        <v>203</v>
      </c>
      <c r="D8" s="2" t="s">
        <v>204</v>
      </c>
      <c r="E8" s="2" t="s">
        <v>205</v>
      </c>
      <c r="F8" s="2" t="s">
        <v>185</v>
      </c>
      <c r="G8" s="2" t="s">
        <v>206</v>
      </c>
      <c r="H8" s="2" t="s">
        <v>207</v>
      </c>
      <c r="I8" s="2"/>
      <c r="J8" s="2" t="s">
        <v>208</v>
      </c>
      <c r="K8" s="2" t="s">
        <v>209</v>
      </c>
      <c r="L8" s="2" t="s">
        <v>210</v>
      </c>
    </row>
    <row r="9" spans="1:12">
      <c r="A9" s="2" t="s">
        <v>211</v>
      </c>
      <c r="B9" s="2" t="s">
        <v>212</v>
      </c>
      <c r="C9" s="2" t="s">
        <v>213</v>
      </c>
      <c r="D9" s="5"/>
      <c r="E9" s="5"/>
      <c r="F9" s="5"/>
      <c r="G9" s="2" t="s">
        <v>214</v>
      </c>
      <c r="H9" s="2" t="s">
        <v>215</v>
      </c>
      <c r="I9" s="2"/>
      <c r="J9" s="2" t="s">
        <v>216</v>
      </c>
      <c r="K9" s="2" t="s">
        <v>153</v>
      </c>
      <c r="L9" s="2" t="s">
        <v>217</v>
      </c>
    </row>
    <row r="10" spans="1:12">
      <c r="A10" s="2" t="s">
        <v>218</v>
      </c>
      <c r="B10" s="2" t="s">
        <v>219</v>
      </c>
      <c r="C10" s="2" t="s">
        <v>220</v>
      </c>
      <c r="D10" s="5"/>
      <c r="E10" s="5"/>
      <c r="F10" s="5"/>
      <c r="G10" s="2"/>
      <c r="H10" s="2"/>
      <c r="I10" s="2"/>
      <c r="J10" s="2" t="s">
        <v>221</v>
      </c>
      <c r="K10" s="2" t="s">
        <v>222</v>
      </c>
      <c r="L10" s="2" t="s">
        <v>223</v>
      </c>
    </row>
    <row r="11" spans="1:12">
      <c r="A11" s="2" t="s">
        <v>224</v>
      </c>
      <c r="B11" s="2" t="s">
        <v>225</v>
      </c>
      <c r="C11" s="2" t="s">
        <v>226</v>
      </c>
      <c r="D11" s="5"/>
      <c r="E11" s="5"/>
      <c r="F11" s="5"/>
      <c r="G11" s="2"/>
      <c r="H11" s="2"/>
      <c r="I11" s="2"/>
      <c r="J11" s="2"/>
      <c r="K11" s="2"/>
      <c r="L11" s="2"/>
    </row>
    <row r="12" spans="1:12">
      <c r="A12" s="5"/>
      <c r="B12" s="5"/>
      <c r="C12" s="5"/>
      <c r="D12" s="5"/>
      <c r="E12" s="5"/>
      <c r="F12" s="5"/>
      <c r="G12" s="2"/>
      <c r="H12" s="2"/>
      <c r="I12" s="2"/>
      <c r="J12" s="2"/>
      <c r="K12" s="2"/>
      <c r="L12" s="2"/>
    </row>
    <row r="13" spans="1:12">
      <c r="A13" s="5"/>
      <c r="B13" s="5"/>
      <c r="C13" s="5"/>
      <c r="D13" s="5"/>
      <c r="E13" s="5"/>
      <c r="F13" s="5"/>
      <c r="G13" s="2"/>
      <c r="H13" s="2"/>
      <c r="I13" s="2"/>
      <c r="J13" s="2"/>
      <c r="K13" s="2"/>
      <c r="L13" s="2"/>
    </row>
    <row r="14" spans="1:12">
      <c r="A14" s="5"/>
      <c r="B14" s="5"/>
      <c r="C14" s="5"/>
      <c r="D14" s="5"/>
      <c r="E14" s="5"/>
      <c r="F14" s="5"/>
      <c r="G14" s="2"/>
      <c r="H14" s="2"/>
      <c r="I14" s="2"/>
      <c r="J14" s="2"/>
      <c r="K14" s="2"/>
      <c r="L14" s="2"/>
    </row>
    <row r="15" spans="1:12">
      <c r="A15" s="5"/>
      <c r="B15" s="5"/>
      <c r="C15" s="5"/>
      <c r="D15" s="5"/>
      <c r="E15" s="5"/>
      <c r="F15" s="5"/>
      <c r="G15" s="2"/>
      <c r="H15" s="2"/>
      <c r="I15" s="2"/>
      <c r="J15" s="2"/>
      <c r="K15" s="2"/>
      <c r="L15" s="2"/>
    </row>
    <row r="16" spans="1:12">
      <c r="A16" s="5"/>
      <c r="B16" s="5"/>
      <c r="C16" s="5"/>
      <c r="D16" s="5"/>
      <c r="E16" s="5"/>
      <c r="F16" s="5"/>
      <c r="G16" s="2"/>
      <c r="H16" s="2"/>
      <c r="I16" s="2"/>
      <c r="J16" s="2"/>
      <c r="K16" s="2"/>
      <c r="L16" s="2"/>
    </row>
    <row r="17" spans="1:12">
      <c r="A17" s="5"/>
      <c r="B17" s="5"/>
      <c r="C17" s="5"/>
      <c r="D17" s="5"/>
      <c r="E17" s="5"/>
      <c r="F17" s="5"/>
      <c r="G17" s="2"/>
      <c r="H17" s="2"/>
      <c r="I17" s="2"/>
      <c r="J17" s="2"/>
      <c r="K17" s="2"/>
      <c r="L17" s="2"/>
    </row>
    <row r="18" spans="1:12">
      <c r="A18" s="5"/>
      <c r="B18" s="5"/>
      <c r="C18" s="5"/>
      <c r="D18" s="5"/>
      <c r="E18" s="5"/>
      <c r="F18" s="5"/>
      <c r="G18" s="2"/>
      <c r="H18" s="2"/>
      <c r="I18" s="2"/>
      <c r="J18" s="2"/>
      <c r="K18" s="2"/>
      <c r="L18" s="2"/>
    </row>
    <row r="19" spans="1:12">
      <c r="A19" s="5"/>
      <c r="B19" s="5"/>
      <c r="C19" s="5"/>
      <c r="D19" s="5"/>
      <c r="E19" s="5"/>
      <c r="F19" s="5"/>
      <c r="G19" s="2"/>
      <c r="H19" s="2"/>
      <c r="I19" s="2"/>
      <c r="J19" s="2"/>
      <c r="K19" s="2"/>
      <c r="L19" s="2"/>
    </row>
    <row r="20" spans="1:12">
      <c r="A20" s="5"/>
      <c r="B20" s="5"/>
      <c r="C20" s="5"/>
      <c r="D20" s="5"/>
      <c r="E20" s="5"/>
      <c r="F20" s="5"/>
      <c r="G20" s="2"/>
      <c r="H20" s="2"/>
      <c r="I20" s="2"/>
      <c r="J20" s="2"/>
      <c r="K20" s="2"/>
      <c r="L20" s="2"/>
    </row>
  </sheetData>
  <mergeCells count="6">
    <mergeCell ref="A1:L1"/>
    <mergeCell ref="A2:L2"/>
    <mergeCell ref="A4:C4"/>
    <mergeCell ref="D4:F4"/>
    <mergeCell ref="G4:H4"/>
    <mergeCell ref="J4:L4"/>
  </mergeCells>
  <dataValidations count="1">
    <dataValidation type="list" sqref="F6:F20" xr:uid="{00000000-0002-0000-0400-000000000000}">
      <formula1>"Có sẵn,Cần dev bổ sung,Đang làm,Đã duyệt"</formula1>
    </dataValidation>
  </dataValidations>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8"/>
  <sheetViews>
    <sheetView workbookViewId="0"/>
  </sheetViews>
  <sheetFormatPr defaultRowHeight="14.25"/>
  <cols>
    <col min="1" max="2" width="16" customWidth="1"/>
    <col min="3" max="3" width="14" customWidth="1"/>
    <col min="4" max="4" width="18" customWidth="1"/>
    <col min="5" max="5" width="16" customWidth="1"/>
    <col min="6" max="6" width="42" customWidth="1"/>
    <col min="7" max="7" width="4" customWidth="1"/>
    <col min="8" max="8" width="34" customWidth="1"/>
    <col min="9" max="9" width="20" customWidth="1"/>
  </cols>
  <sheetData>
    <row r="1" spans="1:9" ht="30" customHeight="1">
      <c r="A1" s="19" t="s">
        <v>227</v>
      </c>
      <c r="B1" s="19"/>
      <c r="C1" s="19"/>
      <c r="D1" s="19"/>
      <c r="E1" s="19"/>
      <c r="F1" s="19"/>
      <c r="G1" s="19"/>
      <c r="H1" s="19"/>
      <c r="I1" s="19"/>
    </row>
    <row r="2" spans="1:9" ht="36" customHeight="1">
      <c r="A2" s="20" t="s">
        <v>228</v>
      </c>
      <c r="B2" s="20"/>
      <c r="C2" s="20"/>
      <c r="D2" s="20"/>
      <c r="E2" s="20"/>
      <c r="F2" s="20"/>
      <c r="G2" s="20"/>
      <c r="H2" s="20"/>
      <c r="I2" s="20"/>
    </row>
    <row r="4" spans="1:9" ht="24" customHeight="1">
      <c r="A4" s="18" t="s">
        <v>229</v>
      </c>
      <c r="B4" s="18"/>
      <c r="C4" s="18"/>
      <c r="D4" s="18"/>
      <c r="E4" s="18"/>
      <c r="F4" s="18"/>
      <c r="G4" s="18"/>
      <c r="H4" s="18"/>
      <c r="I4" s="18"/>
    </row>
    <row r="5" spans="1:9" ht="39.950000000000003" customHeight="1">
      <c r="A5" s="1" t="s">
        <v>230</v>
      </c>
      <c r="B5" s="1" t="s">
        <v>231</v>
      </c>
      <c r="C5" s="1" t="s">
        <v>232</v>
      </c>
      <c r="D5" s="1" t="s">
        <v>233</v>
      </c>
      <c r="E5" s="1" t="s">
        <v>234</v>
      </c>
      <c r="F5" s="1" t="s">
        <v>235</v>
      </c>
      <c r="G5" s="1" t="s">
        <v>236</v>
      </c>
      <c r="H5" s="1" t="s">
        <v>237</v>
      </c>
    </row>
    <row r="6" spans="1:9" ht="27.95" customHeight="1">
      <c r="A6" s="14">
        <f>COUNT('02_KICH_BAN_NODES'!A5:A204)</f>
        <v>31</v>
      </c>
      <c r="B6" s="14">
        <f>COUNTIF('02_KICH_BAN_NODES'!D5:D204,"scene")</f>
        <v>3</v>
      </c>
      <c r="C6" s="14">
        <f>COUNTIF('02_KICH_BAN_NODES'!D5:D204,"say")</f>
        <v>7</v>
      </c>
      <c r="D6" s="14">
        <f>COUNTIF('02_KICH_BAN_NODES'!D5:D204,"choice")</f>
        <v>17</v>
      </c>
      <c r="E6" s="14">
        <f>COUNTIF('02_KICH_BAN_NODES'!D5:D204,"act")</f>
        <v>3</v>
      </c>
      <c r="F6" s="14">
        <f>COUNTIF('02_KICH_BAN_NODES'!D5:D204,"end")</f>
        <v>1</v>
      </c>
      <c r="G6" s="14">
        <f>COUNTIF('02_KICH_BAN_NODES'!M5:M204,"CẦN SỬA")</f>
        <v>0</v>
      </c>
      <c r="H6" s="14">
        <f>COUNTIF('03_LUA_CHON'!J5:J404,"CẦN SỬA")</f>
        <v>0</v>
      </c>
    </row>
    <row r="8" spans="1:9" ht="24" customHeight="1">
      <c r="A8" s="18" t="s">
        <v>238</v>
      </c>
      <c r="B8" s="18"/>
      <c r="C8" s="18"/>
      <c r="D8" s="18"/>
      <c r="E8" s="18"/>
      <c r="F8" s="18"/>
      <c r="G8" s="18"/>
      <c r="H8" s="18"/>
      <c r="I8" s="18"/>
    </row>
    <row r="9" spans="1:9" ht="39.950000000000003" customHeight="1">
      <c r="A9" s="1" t="s">
        <v>239</v>
      </c>
      <c r="B9" s="1" t="s">
        <v>85</v>
      </c>
      <c r="C9" s="1" t="s">
        <v>240</v>
      </c>
      <c r="D9" s="1" t="s">
        <v>75</v>
      </c>
    </row>
    <row r="10" spans="1:9" ht="29.25">
      <c r="A10" s="2" t="s">
        <v>241</v>
      </c>
      <c r="B10" s="6">
        <f>F6</f>
        <v>1</v>
      </c>
      <c r="C10" s="6" t="str">
        <f>IF(B10=1,"HỢP LỆ","CẦN SỬA")</f>
        <v>HỢP LỆ</v>
      </c>
      <c r="D10" s="2" t="s">
        <v>242</v>
      </c>
    </row>
    <row r="11" spans="1:9" ht="29.25">
      <c r="A11" s="2" t="s">
        <v>243</v>
      </c>
      <c r="B11" s="6">
        <f>G6</f>
        <v>0</v>
      </c>
      <c r="C11" s="6" t="str">
        <f>IF(B11=0,"HỢP LỆ","CẦN SỬA")</f>
        <v>HỢP LỆ</v>
      </c>
      <c r="D11" s="2" t="s">
        <v>244</v>
      </c>
    </row>
    <row r="12" spans="1:9" ht="29.25">
      <c r="A12" s="2" t="s">
        <v>245</v>
      </c>
      <c r="B12" s="6">
        <f>H6</f>
        <v>0</v>
      </c>
      <c r="C12" s="6" t="str">
        <f>IF(B12=0,"HỢP LỆ","CẦN SỬA")</f>
        <v>HỢP LỆ</v>
      </c>
      <c r="D12" s="2" t="s">
        <v>246</v>
      </c>
    </row>
    <row r="13" spans="1:9" ht="29.25">
      <c r="A13" s="2" t="s">
        <v>247</v>
      </c>
      <c r="B13" s="6">
        <f>B6</f>
        <v>3</v>
      </c>
      <c r="C13" s="6" t="str">
        <f>IF(AND(B13&gt;=2,B13&lt;=4),"HỢP LỆ","CẢNH BÁO")</f>
        <v>HỢP LỆ</v>
      </c>
      <c r="D13" s="2" t="s">
        <v>248</v>
      </c>
    </row>
    <row r="14" spans="1:9" ht="29.25">
      <c r="A14" s="2" t="s">
        <v>249</v>
      </c>
      <c r="B14" s="6" t="str">
        <f>'01_THONG_TIN_PHIM'!B22</f>
        <v>KHÔNG</v>
      </c>
      <c r="C14" s="6" t="str">
        <f>IF(B14="CÓ","HỢP LỆ","CẦN SỬA")</f>
        <v>CẦN SỬA</v>
      </c>
      <c r="D14" s="2" t="s">
        <v>250</v>
      </c>
    </row>
    <row r="15" spans="1:9" ht="30">
      <c r="A15" s="2" t="s">
        <v>251</v>
      </c>
      <c r="B15" s="6" t="str">
        <f>IF(AND(C10="HỢP LỆ",C11="HỢP LỆ",C12="HỢP LỆ",C14="HỢP LỆ"),"SẴN SÀNG","CHƯA SẴN SÀNG")</f>
        <v>CHƯA SẴN SÀNG</v>
      </c>
      <c r="C15" s="6" t="str">
        <f>B15</f>
        <v>CHƯA SẴN SÀNG</v>
      </c>
      <c r="D15" s="2" t="s">
        <v>252</v>
      </c>
    </row>
    <row r="17" spans="1:9" ht="24" customHeight="1">
      <c r="A17" s="18" t="s">
        <v>253</v>
      </c>
      <c r="B17" s="18"/>
      <c r="C17" s="18"/>
      <c r="D17" s="18"/>
      <c r="E17" s="18"/>
      <c r="F17" s="18"/>
      <c r="H17" s="18" t="s">
        <v>254</v>
      </c>
      <c r="I17" s="18"/>
    </row>
    <row r="18" spans="1:9" ht="39.950000000000003" customHeight="1">
      <c r="A18" s="1" t="s">
        <v>255</v>
      </c>
      <c r="B18" s="1" t="s">
        <v>147</v>
      </c>
      <c r="C18" s="1" t="s">
        <v>256</v>
      </c>
      <c r="D18" s="1" t="s">
        <v>257</v>
      </c>
      <c r="E18" s="1" t="s">
        <v>135</v>
      </c>
      <c r="F18" s="1" t="s">
        <v>258</v>
      </c>
      <c r="H18" s="1" t="s">
        <v>259</v>
      </c>
      <c r="I18" s="1" t="s">
        <v>260</v>
      </c>
    </row>
    <row r="19" spans="1:9">
      <c r="A19" s="2" t="str">
        <f>IF('02_KICH_BAN_NODES'!D5="choice",'02_KICH_BAN_NODES'!B5,"")</f>
        <v/>
      </c>
      <c r="B19" s="2" t="str">
        <f>IF(A19="","",'02_KICH_BAN_NODES'!E5)</f>
        <v/>
      </c>
      <c r="C19" s="2" t="str">
        <f>IF(A19="","",COUNTIF('03_LUA_CHON'!$A$5:$A$404,A19))</f>
        <v/>
      </c>
      <c r="D19" s="2" t="str">
        <f>IF(A19="","",COUNTIFS('03_LUA_CHON'!$A$5:$A$404,A19,'03_LUA_CHON'!$D$5:$D$404,"Có"))</f>
        <v/>
      </c>
      <c r="E19" s="2" t="str">
        <f t="shared" ref="E19:E50" si="0">IF(A19="","",IF(OR(C19&lt;2,C19&gt;4),"CẦN SỬA",IF(AND(B19="Kiến thức",D19=1),"HỢP LỆ",IF(AND(B19="Tương tác",D19=0),"HỢP LỆ","CẦN SỬA"))))</f>
        <v/>
      </c>
      <c r="F19" s="2" t="str">
        <f t="shared" ref="F19:F50" si="1">IF(A19="","",IF(OR(C19&lt;2,C19&gt;4),"Cần 2–4 option",IF(AND(B19="Kiến thức",D19&lt;&gt;1),"Câu kiến thức cần đúng 1 đáp án đúng",IF(AND(B19="Tương tác",D19&lt;&gt;0),"Câu tương tác không có đáp án đúng",IF(B19="","Thiếu ChoiceMode","")))))</f>
        <v/>
      </c>
      <c r="H19" s="2" t="s">
        <v>261</v>
      </c>
      <c r="I19" s="5" t="s">
        <v>262</v>
      </c>
    </row>
    <row r="20" spans="1:9">
      <c r="A20" s="2" t="str">
        <f>IF('02_KICH_BAN_NODES'!D6="choice",'02_KICH_BAN_NODES'!B6,"")</f>
        <v/>
      </c>
      <c r="B20" s="2" t="str">
        <f>IF(A20="","",'02_KICH_BAN_NODES'!E6)</f>
        <v/>
      </c>
      <c r="C20" s="2" t="str">
        <f>IF(A20="","",COUNTIF('03_LUA_CHON'!$A$5:$A$404,A20))</f>
        <v/>
      </c>
      <c r="D20" s="2" t="str">
        <f>IF(A20="","",COUNTIFS('03_LUA_CHON'!$A$5:$A$404,A20,'03_LUA_CHON'!$D$5:$D$404,"Có"))</f>
        <v/>
      </c>
      <c r="E20" s="2" t="str">
        <f t="shared" si="0"/>
        <v/>
      </c>
      <c r="F20" s="2" t="str">
        <f t="shared" si="1"/>
        <v/>
      </c>
      <c r="H20" s="2" t="s">
        <v>263</v>
      </c>
      <c r="I20" s="5" t="s">
        <v>262</v>
      </c>
    </row>
    <row r="21" spans="1:9">
      <c r="A21" s="2" t="str">
        <f>IF('02_KICH_BAN_NODES'!D7="choice",'02_KICH_BAN_NODES'!B7,"")</f>
        <v/>
      </c>
      <c r="B21" s="2" t="str">
        <f>IF(A21="","",'02_KICH_BAN_NODES'!E7)</f>
        <v/>
      </c>
      <c r="C21" s="2" t="str">
        <f>IF(A21="","",COUNTIF('03_LUA_CHON'!$A$5:$A$404,A21))</f>
        <v/>
      </c>
      <c r="D21" s="2" t="str">
        <f>IF(A21="","",COUNTIFS('03_LUA_CHON'!$A$5:$A$404,A21,'03_LUA_CHON'!$D$5:$D$404,"Có"))</f>
        <v/>
      </c>
      <c r="E21" s="2" t="str">
        <f t="shared" si="0"/>
        <v/>
      </c>
      <c r="F21" s="2" t="str">
        <f t="shared" si="1"/>
        <v/>
      </c>
      <c r="H21" s="2" t="s">
        <v>264</v>
      </c>
      <c r="I21" s="5" t="s">
        <v>262</v>
      </c>
    </row>
    <row r="22" spans="1:9" ht="15">
      <c r="A22" s="2" t="str">
        <f>IF('02_KICH_BAN_NODES'!D8="choice",'02_KICH_BAN_NODES'!B8,"")</f>
        <v>N004</v>
      </c>
      <c r="B22" s="2" t="str">
        <f>IF(A22="","",'02_KICH_BAN_NODES'!E8)</f>
        <v>Tương tác</v>
      </c>
      <c r="C22" s="2">
        <f>IF(A22="","",COUNTIF('03_LUA_CHON'!$A$5:$A$404,A22))</f>
        <v>2</v>
      </c>
      <c r="D22" s="2">
        <f>IF(A22="","",COUNTIFS('03_LUA_CHON'!$A$5:$A$404,A22,'03_LUA_CHON'!$D$5:$D$404,"Có"))</f>
        <v>0</v>
      </c>
      <c r="E22" s="2" t="str">
        <f t="shared" si="0"/>
        <v>HỢP LỆ</v>
      </c>
      <c r="F22" s="2" t="str">
        <f t="shared" si="1"/>
        <v/>
      </c>
      <c r="H22" s="2" t="s">
        <v>265</v>
      </c>
      <c r="I22" s="5" t="s">
        <v>262</v>
      </c>
    </row>
    <row r="23" spans="1:9" ht="15">
      <c r="A23" s="2" t="str">
        <f>IF('02_KICH_BAN_NODES'!D9="choice",'02_KICH_BAN_NODES'!B9,"")</f>
        <v>N005</v>
      </c>
      <c r="B23" s="2" t="str">
        <f>IF(A23="","",'02_KICH_BAN_NODES'!E9)</f>
        <v>Kiến thức</v>
      </c>
      <c r="C23" s="2">
        <f>IF(A23="","",COUNTIF('03_LUA_CHON'!$A$5:$A$404,A23))</f>
        <v>3</v>
      </c>
      <c r="D23" s="2">
        <f>IF(A23="","",COUNTIFS('03_LUA_CHON'!$A$5:$A$404,A23,'03_LUA_CHON'!$D$5:$D$404,"Có"))</f>
        <v>1</v>
      </c>
      <c r="E23" s="2" t="str">
        <f t="shared" si="0"/>
        <v>HỢP LỆ</v>
      </c>
      <c r="F23" s="2" t="str">
        <f t="shared" si="1"/>
        <v/>
      </c>
      <c r="H23" s="2" t="s">
        <v>266</v>
      </c>
      <c r="I23" s="5" t="s">
        <v>262</v>
      </c>
    </row>
    <row r="24" spans="1:9" ht="15">
      <c r="A24" s="2" t="str">
        <f>IF('02_KICH_BAN_NODES'!D10="choice",'02_KICH_BAN_NODES'!B10,"")</f>
        <v>N006</v>
      </c>
      <c r="B24" s="2" t="str">
        <f>IF(A24="","",'02_KICH_BAN_NODES'!E10)</f>
        <v>Kiến thức</v>
      </c>
      <c r="C24" s="2">
        <f>IF(A24="","",COUNTIF('03_LUA_CHON'!$A$5:$A$404,A24))</f>
        <v>3</v>
      </c>
      <c r="D24" s="2">
        <f>IF(A24="","",COUNTIFS('03_LUA_CHON'!$A$5:$A$404,A24,'03_LUA_CHON'!$D$5:$D$404,"Có"))</f>
        <v>1</v>
      </c>
      <c r="E24" s="2" t="str">
        <f t="shared" si="0"/>
        <v>HỢP LỆ</v>
      </c>
      <c r="F24" s="2" t="str">
        <f t="shared" si="1"/>
        <v/>
      </c>
      <c r="H24" s="2" t="s">
        <v>267</v>
      </c>
      <c r="I24" s="5" t="s">
        <v>262</v>
      </c>
    </row>
    <row r="25" spans="1:9" ht="15">
      <c r="A25" s="2" t="str">
        <f>IF('02_KICH_BAN_NODES'!D11="choice",'02_KICH_BAN_NODES'!B11,"")</f>
        <v>N007</v>
      </c>
      <c r="B25" s="2" t="str">
        <f>IF(A25="","",'02_KICH_BAN_NODES'!E11)</f>
        <v>Kiến thức</v>
      </c>
      <c r="C25" s="2">
        <f>IF(A25="","",COUNTIF('03_LUA_CHON'!$A$5:$A$404,A25))</f>
        <v>3</v>
      </c>
      <c r="D25" s="2">
        <f>IF(A25="","",COUNTIFS('03_LUA_CHON'!$A$5:$A$404,A25,'03_LUA_CHON'!$D$5:$D$404,"Có"))</f>
        <v>1</v>
      </c>
      <c r="E25" s="2" t="str">
        <f t="shared" si="0"/>
        <v>HỢP LỆ</v>
      </c>
      <c r="F25" s="2" t="str">
        <f t="shared" si="1"/>
        <v/>
      </c>
      <c r="H25" s="2" t="s">
        <v>268</v>
      </c>
      <c r="I25" s="5" t="s">
        <v>262</v>
      </c>
    </row>
    <row r="26" spans="1:9" ht="15">
      <c r="A26" s="2" t="str">
        <f>IF('02_KICH_BAN_NODES'!D12="choice",'02_KICH_BAN_NODES'!B12,"")</f>
        <v>N008</v>
      </c>
      <c r="B26" s="2" t="str">
        <f>IF(A26="","",'02_KICH_BAN_NODES'!E12)</f>
        <v>Kiến thức</v>
      </c>
      <c r="C26" s="2">
        <f>IF(A26="","",COUNTIF('03_LUA_CHON'!$A$5:$A$404,A26))</f>
        <v>3</v>
      </c>
      <c r="D26" s="2">
        <f>IF(A26="","",COUNTIFS('03_LUA_CHON'!$A$5:$A$404,A26,'03_LUA_CHON'!$D$5:$D$404,"Có"))</f>
        <v>1</v>
      </c>
      <c r="E26" s="2" t="str">
        <f t="shared" si="0"/>
        <v>HỢP LỆ</v>
      </c>
      <c r="F26" s="2" t="str">
        <f t="shared" si="1"/>
        <v/>
      </c>
    </row>
    <row r="27" spans="1:9" ht="15">
      <c r="A27" s="2" t="str">
        <f>IF('02_KICH_BAN_NODES'!D13="choice",'02_KICH_BAN_NODES'!B13,"")</f>
        <v>N009</v>
      </c>
      <c r="B27" s="2" t="str">
        <f>IF(A27="","",'02_KICH_BAN_NODES'!E13)</f>
        <v>Kiến thức</v>
      </c>
      <c r="C27" s="2">
        <f>IF(A27="","",COUNTIF('03_LUA_CHON'!$A$5:$A$404,A27))</f>
        <v>3</v>
      </c>
      <c r="D27" s="2">
        <f>IF(A27="","",COUNTIFS('03_LUA_CHON'!$A$5:$A$404,A27,'03_LUA_CHON'!$D$5:$D$404,"Có"))</f>
        <v>1</v>
      </c>
      <c r="E27" s="2" t="str">
        <f t="shared" si="0"/>
        <v>HỢP LỆ</v>
      </c>
      <c r="F27" s="2" t="str">
        <f t="shared" si="1"/>
        <v/>
      </c>
    </row>
    <row r="28" spans="1:9">
      <c r="A28" s="2" t="str">
        <f>IF('02_KICH_BAN_NODES'!D14="choice",'02_KICH_BAN_NODES'!B14,"")</f>
        <v/>
      </c>
      <c r="B28" s="2" t="str">
        <f>IF(A28="","",'02_KICH_BAN_NODES'!E14)</f>
        <v/>
      </c>
      <c r="C28" s="2" t="str">
        <f>IF(A28="","",COUNTIF('03_LUA_CHON'!$A$5:$A$404,A28))</f>
        <v/>
      </c>
      <c r="D28" s="2" t="str">
        <f>IF(A28="","",COUNTIFS('03_LUA_CHON'!$A$5:$A$404,A28,'03_LUA_CHON'!$D$5:$D$404,"Có"))</f>
        <v/>
      </c>
      <c r="E28" s="2" t="str">
        <f t="shared" si="0"/>
        <v/>
      </c>
      <c r="F28" s="2" t="str">
        <f t="shared" si="1"/>
        <v/>
      </c>
    </row>
    <row r="29" spans="1:9">
      <c r="A29" s="2" t="str">
        <f>IF('02_KICH_BAN_NODES'!D15="choice",'02_KICH_BAN_NODES'!B15,"")</f>
        <v/>
      </c>
      <c r="B29" s="2" t="str">
        <f>IF(A29="","",'02_KICH_BAN_NODES'!E15)</f>
        <v/>
      </c>
      <c r="C29" s="2" t="str">
        <f>IF(A29="","",COUNTIF('03_LUA_CHON'!$A$5:$A$404,A29))</f>
        <v/>
      </c>
      <c r="D29" s="2" t="str">
        <f>IF(A29="","",COUNTIFS('03_LUA_CHON'!$A$5:$A$404,A29,'03_LUA_CHON'!$D$5:$D$404,"Có"))</f>
        <v/>
      </c>
      <c r="E29" s="2" t="str">
        <f t="shared" si="0"/>
        <v/>
      </c>
      <c r="F29" s="2" t="str">
        <f t="shared" si="1"/>
        <v/>
      </c>
    </row>
    <row r="30" spans="1:9">
      <c r="A30" s="2" t="str">
        <f>IF('02_KICH_BAN_NODES'!D16="choice",'02_KICH_BAN_NODES'!B16,"")</f>
        <v/>
      </c>
      <c r="B30" s="2" t="str">
        <f>IF(A30="","",'02_KICH_BAN_NODES'!E16)</f>
        <v/>
      </c>
      <c r="C30" s="2" t="str">
        <f>IF(A30="","",COUNTIF('03_LUA_CHON'!$A$5:$A$404,A30))</f>
        <v/>
      </c>
      <c r="D30" s="2" t="str">
        <f>IF(A30="","",COUNTIFS('03_LUA_CHON'!$A$5:$A$404,A30,'03_LUA_CHON'!$D$5:$D$404,"Có"))</f>
        <v/>
      </c>
      <c r="E30" s="2" t="str">
        <f t="shared" si="0"/>
        <v/>
      </c>
      <c r="F30" s="2" t="str">
        <f t="shared" si="1"/>
        <v/>
      </c>
    </row>
    <row r="31" spans="1:9">
      <c r="A31" s="2" t="str">
        <f>IF('02_KICH_BAN_NODES'!D17="choice",'02_KICH_BAN_NODES'!B17,"")</f>
        <v/>
      </c>
      <c r="B31" s="2" t="str">
        <f>IF(A31="","",'02_KICH_BAN_NODES'!E17)</f>
        <v/>
      </c>
      <c r="C31" s="2" t="str">
        <f>IF(A31="","",COUNTIF('03_LUA_CHON'!$A$5:$A$404,A31))</f>
        <v/>
      </c>
      <c r="D31" s="2" t="str">
        <f>IF(A31="","",COUNTIFS('03_LUA_CHON'!$A$5:$A$404,A31,'03_LUA_CHON'!$D$5:$D$404,"Có"))</f>
        <v/>
      </c>
      <c r="E31" s="2" t="str">
        <f t="shared" si="0"/>
        <v/>
      </c>
      <c r="F31" s="2" t="str">
        <f t="shared" si="1"/>
        <v/>
      </c>
    </row>
    <row r="32" spans="1:9" ht="15">
      <c r="A32" s="2" t="str">
        <f>IF('02_KICH_BAN_NODES'!D18="choice",'02_KICH_BAN_NODES'!B18,"")</f>
        <v>N014</v>
      </c>
      <c r="B32" s="2" t="str">
        <f>IF(A32="","",'02_KICH_BAN_NODES'!E18)</f>
        <v>Kiến thức</v>
      </c>
      <c r="C32" s="2">
        <f>IF(A32="","",COUNTIF('03_LUA_CHON'!$A$5:$A$404,A32))</f>
        <v>3</v>
      </c>
      <c r="D32" s="2">
        <f>IF(A32="","",COUNTIFS('03_LUA_CHON'!$A$5:$A$404,A32,'03_LUA_CHON'!$D$5:$D$404,"Có"))</f>
        <v>1</v>
      </c>
      <c r="E32" s="2" t="str">
        <f t="shared" si="0"/>
        <v>HỢP LỆ</v>
      </c>
      <c r="F32" s="2" t="str">
        <f t="shared" si="1"/>
        <v/>
      </c>
    </row>
    <row r="33" spans="1:6" ht="15">
      <c r="A33" s="2" t="str">
        <f>IF('02_KICH_BAN_NODES'!D19="choice",'02_KICH_BAN_NODES'!B19,"")</f>
        <v>N015</v>
      </c>
      <c r="B33" s="2" t="str">
        <f>IF(A33="","",'02_KICH_BAN_NODES'!E19)</f>
        <v>Kiến thức</v>
      </c>
      <c r="C33" s="2">
        <f>IF(A33="","",COUNTIF('03_LUA_CHON'!$A$5:$A$404,A33))</f>
        <v>3</v>
      </c>
      <c r="D33" s="2">
        <f>IF(A33="","",COUNTIFS('03_LUA_CHON'!$A$5:$A$404,A33,'03_LUA_CHON'!$D$5:$D$404,"Có"))</f>
        <v>1</v>
      </c>
      <c r="E33" s="2" t="str">
        <f t="shared" si="0"/>
        <v>HỢP LỆ</v>
      </c>
      <c r="F33" s="2" t="str">
        <f t="shared" si="1"/>
        <v/>
      </c>
    </row>
    <row r="34" spans="1:6" ht="15">
      <c r="A34" s="2" t="str">
        <f>IF('02_KICH_BAN_NODES'!D20="choice",'02_KICH_BAN_NODES'!B20,"")</f>
        <v>N016</v>
      </c>
      <c r="B34" s="2" t="str">
        <f>IF(A34="","",'02_KICH_BAN_NODES'!E20)</f>
        <v>Kiến thức</v>
      </c>
      <c r="C34" s="2">
        <f>IF(A34="","",COUNTIF('03_LUA_CHON'!$A$5:$A$404,A34))</f>
        <v>3</v>
      </c>
      <c r="D34" s="2">
        <f>IF(A34="","",COUNTIFS('03_LUA_CHON'!$A$5:$A$404,A34,'03_LUA_CHON'!$D$5:$D$404,"Có"))</f>
        <v>1</v>
      </c>
      <c r="E34" s="2" t="str">
        <f t="shared" si="0"/>
        <v>HỢP LỆ</v>
      </c>
      <c r="F34" s="2" t="str">
        <f t="shared" si="1"/>
        <v/>
      </c>
    </row>
    <row r="35" spans="1:6" ht="15">
      <c r="A35" s="2" t="str">
        <f>IF('02_KICH_BAN_NODES'!D21="choice",'02_KICH_BAN_NODES'!B21,"")</f>
        <v>N017</v>
      </c>
      <c r="B35" s="2" t="str">
        <f>IF(A35="","",'02_KICH_BAN_NODES'!E21)</f>
        <v>Kiến thức</v>
      </c>
      <c r="C35" s="2">
        <f>IF(A35="","",COUNTIF('03_LUA_CHON'!$A$5:$A$404,A35))</f>
        <v>3</v>
      </c>
      <c r="D35" s="2">
        <f>IF(A35="","",COUNTIFS('03_LUA_CHON'!$A$5:$A$404,A35,'03_LUA_CHON'!$D$5:$D$404,"Có"))</f>
        <v>1</v>
      </c>
      <c r="E35" s="2" t="str">
        <f t="shared" si="0"/>
        <v>HỢP LỆ</v>
      </c>
      <c r="F35" s="2" t="str">
        <f t="shared" si="1"/>
        <v/>
      </c>
    </row>
    <row r="36" spans="1:6" ht="15">
      <c r="A36" s="2" t="str">
        <f>IF('02_KICH_BAN_NODES'!D22="choice",'02_KICH_BAN_NODES'!B22,"")</f>
        <v>N018</v>
      </c>
      <c r="B36" s="2" t="str">
        <f>IF(A36="","",'02_KICH_BAN_NODES'!E22)</f>
        <v>Kiến thức</v>
      </c>
      <c r="C36" s="2">
        <f>IF(A36="","",COUNTIF('03_LUA_CHON'!$A$5:$A$404,A36))</f>
        <v>3</v>
      </c>
      <c r="D36" s="2">
        <f>IF(A36="","",COUNTIFS('03_LUA_CHON'!$A$5:$A$404,A36,'03_LUA_CHON'!$D$5:$D$404,"Có"))</f>
        <v>1</v>
      </c>
      <c r="E36" s="2" t="str">
        <f t="shared" si="0"/>
        <v>HỢP LỆ</v>
      </c>
      <c r="F36" s="2" t="str">
        <f t="shared" si="1"/>
        <v/>
      </c>
    </row>
    <row r="37" spans="1:6" ht="15">
      <c r="A37" s="2" t="str">
        <f>IF('02_KICH_BAN_NODES'!D23="choice",'02_KICH_BAN_NODES'!B23,"")</f>
        <v>N019</v>
      </c>
      <c r="B37" s="2" t="str">
        <f>IF(A37="","",'02_KICH_BAN_NODES'!E23)</f>
        <v>Kiến thức</v>
      </c>
      <c r="C37" s="2">
        <f>IF(A37="","",COUNTIF('03_LUA_CHON'!$A$5:$A$404,A37))</f>
        <v>3</v>
      </c>
      <c r="D37" s="2">
        <f>IF(A37="","",COUNTIFS('03_LUA_CHON'!$A$5:$A$404,A37,'03_LUA_CHON'!$D$5:$D$404,"Có"))</f>
        <v>1</v>
      </c>
      <c r="E37" s="2" t="str">
        <f t="shared" si="0"/>
        <v>HỢP LỆ</v>
      </c>
      <c r="F37" s="2" t="str">
        <f t="shared" si="1"/>
        <v/>
      </c>
    </row>
    <row r="38" spans="1:6">
      <c r="A38" s="2" t="str">
        <f>IF('02_KICH_BAN_NODES'!D24="choice",'02_KICH_BAN_NODES'!B24,"")</f>
        <v/>
      </c>
      <c r="B38" s="2" t="str">
        <f>IF(A38="","",'02_KICH_BAN_NODES'!E24)</f>
        <v/>
      </c>
      <c r="C38" s="2" t="str">
        <f>IF(A38="","",COUNTIF('03_LUA_CHON'!$A$5:$A$404,A38))</f>
        <v/>
      </c>
      <c r="D38" s="2" t="str">
        <f>IF(A38="","",COUNTIFS('03_LUA_CHON'!$A$5:$A$404,A38,'03_LUA_CHON'!$D$5:$D$404,"Có"))</f>
        <v/>
      </c>
      <c r="E38" s="2" t="str">
        <f t="shared" si="0"/>
        <v/>
      </c>
      <c r="F38" s="2" t="str">
        <f t="shared" si="1"/>
        <v/>
      </c>
    </row>
    <row r="39" spans="1:6">
      <c r="A39" s="2" t="str">
        <f>IF('02_KICH_BAN_NODES'!D25="choice",'02_KICH_BAN_NODES'!B25,"")</f>
        <v/>
      </c>
      <c r="B39" s="2" t="str">
        <f>IF(A39="","",'02_KICH_BAN_NODES'!E25)</f>
        <v/>
      </c>
      <c r="C39" s="2" t="str">
        <f>IF(A39="","",COUNTIF('03_LUA_CHON'!$A$5:$A$404,A39))</f>
        <v/>
      </c>
      <c r="D39" s="2" t="str">
        <f>IF(A39="","",COUNTIFS('03_LUA_CHON'!$A$5:$A$404,A39,'03_LUA_CHON'!$D$5:$D$404,"Có"))</f>
        <v/>
      </c>
      <c r="E39" s="2" t="str">
        <f t="shared" si="0"/>
        <v/>
      </c>
      <c r="F39" s="2" t="str">
        <f t="shared" si="1"/>
        <v/>
      </c>
    </row>
    <row r="40" spans="1:6">
      <c r="A40" s="2" t="str">
        <f>IF('02_KICH_BAN_NODES'!D26="choice",'02_KICH_BAN_NODES'!B26,"")</f>
        <v/>
      </c>
      <c r="B40" s="2" t="str">
        <f>IF(A40="","",'02_KICH_BAN_NODES'!E26)</f>
        <v/>
      </c>
      <c r="C40" s="2" t="str">
        <f>IF(A40="","",COUNTIF('03_LUA_CHON'!$A$5:$A$404,A40))</f>
        <v/>
      </c>
      <c r="D40" s="2" t="str">
        <f>IF(A40="","",COUNTIFS('03_LUA_CHON'!$A$5:$A$404,A40,'03_LUA_CHON'!$D$5:$D$404,"Có"))</f>
        <v/>
      </c>
      <c r="E40" s="2" t="str">
        <f t="shared" si="0"/>
        <v/>
      </c>
      <c r="F40" s="2" t="str">
        <f t="shared" si="1"/>
        <v/>
      </c>
    </row>
    <row r="41" spans="1:6">
      <c r="A41" s="2" t="str">
        <f>IF('02_KICH_BAN_NODES'!D27="choice",'02_KICH_BAN_NODES'!B27,"")</f>
        <v/>
      </c>
      <c r="B41" s="2" t="str">
        <f>IF(A41="","",'02_KICH_BAN_NODES'!E27)</f>
        <v/>
      </c>
      <c r="C41" s="2" t="str">
        <f>IF(A41="","",COUNTIF('03_LUA_CHON'!$A$5:$A$404,A41))</f>
        <v/>
      </c>
      <c r="D41" s="2" t="str">
        <f>IF(A41="","",COUNTIFS('03_LUA_CHON'!$A$5:$A$404,A41,'03_LUA_CHON'!$D$5:$D$404,"Có"))</f>
        <v/>
      </c>
      <c r="E41" s="2" t="str">
        <f t="shared" si="0"/>
        <v/>
      </c>
      <c r="F41" s="2" t="str">
        <f t="shared" si="1"/>
        <v/>
      </c>
    </row>
    <row r="42" spans="1:6" ht="15">
      <c r="A42" s="2" t="str">
        <f>IF('02_KICH_BAN_NODES'!D28="choice",'02_KICH_BAN_NODES'!B28,"")</f>
        <v>N024</v>
      </c>
      <c r="B42" s="2" t="str">
        <f>IF(A42="","",'02_KICH_BAN_NODES'!E28)</f>
        <v>Kiến thức</v>
      </c>
      <c r="C42" s="2">
        <f>IF(A42="","",COUNTIF('03_LUA_CHON'!$A$5:$A$404,A42))</f>
        <v>3</v>
      </c>
      <c r="D42" s="2">
        <f>IF(A42="","",COUNTIFS('03_LUA_CHON'!$A$5:$A$404,A42,'03_LUA_CHON'!$D$5:$D$404,"Có"))</f>
        <v>1</v>
      </c>
      <c r="E42" s="2" t="str">
        <f t="shared" si="0"/>
        <v>HỢP LỆ</v>
      </c>
      <c r="F42" s="2" t="str">
        <f t="shared" si="1"/>
        <v/>
      </c>
    </row>
    <row r="43" spans="1:6" ht="15">
      <c r="A43" s="2" t="str">
        <f>IF('02_KICH_BAN_NODES'!D29="choice",'02_KICH_BAN_NODES'!B29,"")</f>
        <v>N025</v>
      </c>
      <c r="B43" s="2" t="str">
        <f>IF(A43="","",'02_KICH_BAN_NODES'!E29)</f>
        <v>Kiến thức</v>
      </c>
      <c r="C43" s="2">
        <f>IF(A43="","",COUNTIF('03_LUA_CHON'!$A$5:$A$404,A43))</f>
        <v>3</v>
      </c>
      <c r="D43" s="2">
        <f>IF(A43="","",COUNTIFS('03_LUA_CHON'!$A$5:$A$404,A43,'03_LUA_CHON'!$D$5:$D$404,"Có"))</f>
        <v>1</v>
      </c>
      <c r="E43" s="2" t="str">
        <f t="shared" si="0"/>
        <v>HỢP LỆ</v>
      </c>
      <c r="F43" s="2" t="str">
        <f t="shared" si="1"/>
        <v/>
      </c>
    </row>
    <row r="44" spans="1:6" ht="15">
      <c r="A44" s="2" t="str">
        <f>IF('02_KICH_BAN_NODES'!D30="choice",'02_KICH_BAN_NODES'!B30,"")</f>
        <v>N026</v>
      </c>
      <c r="B44" s="2" t="str">
        <f>IF(A44="","",'02_KICH_BAN_NODES'!E30)</f>
        <v>Kiến thức</v>
      </c>
      <c r="C44" s="2">
        <f>IF(A44="","",COUNTIF('03_LUA_CHON'!$A$5:$A$404,A44))</f>
        <v>3</v>
      </c>
      <c r="D44" s="2">
        <f>IF(A44="","",COUNTIFS('03_LUA_CHON'!$A$5:$A$404,A44,'03_LUA_CHON'!$D$5:$D$404,"Có"))</f>
        <v>1</v>
      </c>
      <c r="E44" s="2" t="str">
        <f t="shared" si="0"/>
        <v>HỢP LỆ</v>
      </c>
      <c r="F44" s="2" t="str">
        <f t="shared" si="1"/>
        <v/>
      </c>
    </row>
    <row r="45" spans="1:6" ht="15">
      <c r="A45" s="2" t="str">
        <f>IF('02_KICH_BAN_NODES'!D31="choice",'02_KICH_BAN_NODES'!B31,"")</f>
        <v>N027</v>
      </c>
      <c r="B45" s="2" t="str">
        <f>IF(A45="","",'02_KICH_BAN_NODES'!E31)</f>
        <v>Kiến thức</v>
      </c>
      <c r="C45" s="2">
        <f>IF(A45="","",COUNTIF('03_LUA_CHON'!$A$5:$A$404,A45))</f>
        <v>3</v>
      </c>
      <c r="D45" s="2">
        <f>IF(A45="","",COUNTIFS('03_LUA_CHON'!$A$5:$A$404,A45,'03_LUA_CHON'!$D$5:$D$404,"Có"))</f>
        <v>1</v>
      </c>
      <c r="E45" s="2" t="str">
        <f t="shared" si="0"/>
        <v>HỢP LỆ</v>
      </c>
      <c r="F45" s="2" t="str">
        <f t="shared" si="1"/>
        <v/>
      </c>
    </row>
    <row r="46" spans="1:6" ht="15">
      <c r="A46" s="2" t="str">
        <f>IF('02_KICH_BAN_NODES'!D32="choice",'02_KICH_BAN_NODES'!B32,"")</f>
        <v>N028</v>
      </c>
      <c r="B46" s="2" t="str">
        <f>IF(A46="","",'02_KICH_BAN_NODES'!E32)</f>
        <v>Kiến thức</v>
      </c>
      <c r="C46" s="2">
        <f>IF(A46="","",COUNTIF('03_LUA_CHON'!$A$5:$A$404,A46))</f>
        <v>3</v>
      </c>
      <c r="D46" s="2">
        <f>IF(A46="","",COUNTIFS('03_LUA_CHON'!$A$5:$A$404,A46,'03_LUA_CHON'!$D$5:$D$404,"Có"))</f>
        <v>1</v>
      </c>
      <c r="E46" s="2" t="str">
        <f t="shared" si="0"/>
        <v>HỢP LỆ</v>
      </c>
      <c r="F46" s="2" t="str">
        <f t="shared" si="1"/>
        <v/>
      </c>
    </row>
    <row r="47" spans="1:6">
      <c r="A47" s="2" t="str">
        <f>IF('02_KICH_BAN_NODES'!D33="choice",'02_KICH_BAN_NODES'!B33,"")</f>
        <v/>
      </c>
      <c r="B47" s="2" t="str">
        <f>IF(A47="","",'02_KICH_BAN_NODES'!E33)</f>
        <v/>
      </c>
      <c r="C47" s="2" t="str">
        <f>IF(A47="","",COUNTIF('03_LUA_CHON'!$A$5:$A$404,A47))</f>
        <v/>
      </c>
      <c r="D47" s="2" t="str">
        <f>IF(A47="","",COUNTIFS('03_LUA_CHON'!$A$5:$A$404,A47,'03_LUA_CHON'!$D$5:$D$404,"Có"))</f>
        <v/>
      </c>
      <c r="E47" s="2" t="str">
        <f t="shared" si="0"/>
        <v/>
      </c>
      <c r="F47" s="2" t="str">
        <f t="shared" si="1"/>
        <v/>
      </c>
    </row>
    <row r="48" spans="1:6">
      <c r="A48" s="2" t="str">
        <f>IF('02_KICH_BAN_NODES'!D34="choice",'02_KICH_BAN_NODES'!B34,"")</f>
        <v/>
      </c>
      <c r="B48" s="2" t="str">
        <f>IF(A48="","",'02_KICH_BAN_NODES'!E34)</f>
        <v/>
      </c>
      <c r="C48" s="2" t="str">
        <f>IF(A48="","",COUNTIF('03_LUA_CHON'!$A$5:$A$404,A48))</f>
        <v/>
      </c>
      <c r="D48" s="2" t="str">
        <f>IF(A48="","",COUNTIFS('03_LUA_CHON'!$A$5:$A$404,A48,'03_LUA_CHON'!$D$5:$D$404,"Có"))</f>
        <v/>
      </c>
      <c r="E48" s="2" t="str">
        <f t="shared" si="0"/>
        <v/>
      </c>
      <c r="F48" s="2" t="str">
        <f t="shared" si="1"/>
        <v/>
      </c>
    </row>
    <row r="49" spans="1:6">
      <c r="A49" s="2" t="str">
        <f>IF('02_KICH_BAN_NODES'!D35="choice",'02_KICH_BAN_NODES'!B35,"")</f>
        <v/>
      </c>
      <c r="B49" s="2" t="str">
        <f>IF(A49="","",'02_KICH_BAN_NODES'!E35)</f>
        <v/>
      </c>
      <c r="C49" s="2" t="str">
        <f>IF(A49="","",COUNTIF('03_LUA_CHON'!$A$5:$A$404,A49))</f>
        <v/>
      </c>
      <c r="D49" s="2" t="str">
        <f>IF(A49="","",COUNTIFS('03_LUA_CHON'!$A$5:$A$404,A49,'03_LUA_CHON'!$D$5:$D$404,"Có"))</f>
        <v/>
      </c>
      <c r="E49" s="2" t="str">
        <f t="shared" si="0"/>
        <v/>
      </c>
      <c r="F49" s="2" t="str">
        <f t="shared" si="1"/>
        <v/>
      </c>
    </row>
    <row r="50" spans="1:6">
      <c r="A50" s="2" t="str">
        <f>IF('02_KICH_BAN_NODES'!D36="choice",'02_KICH_BAN_NODES'!B36,"")</f>
        <v/>
      </c>
      <c r="B50" s="2" t="str">
        <f>IF(A50="","",'02_KICH_BAN_NODES'!E36)</f>
        <v/>
      </c>
      <c r="C50" s="2" t="str">
        <f>IF(A50="","",COUNTIF('03_LUA_CHON'!$A$5:$A$404,A50))</f>
        <v/>
      </c>
      <c r="D50" s="2" t="str">
        <f>IF(A50="","",COUNTIFS('03_LUA_CHON'!$A$5:$A$404,A50,'03_LUA_CHON'!$D$5:$D$404,"Có"))</f>
        <v/>
      </c>
      <c r="E50" s="2" t="str">
        <f t="shared" si="0"/>
        <v/>
      </c>
      <c r="F50" s="2" t="str">
        <f t="shared" si="1"/>
        <v/>
      </c>
    </row>
    <row r="51" spans="1:6">
      <c r="A51" s="2" t="str">
        <f>IF('02_KICH_BAN_NODES'!D37="choice",'02_KICH_BAN_NODES'!B37,"")</f>
        <v/>
      </c>
      <c r="B51" s="2" t="str">
        <f>IF(A51="","",'02_KICH_BAN_NODES'!E37)</f>
        <v/>
      </c>
      <c r="C51" s="2" t="str">
        <f>IF(A51="","",COUNTIF('03_LUA_CHON'!$A$5:$A$404,A51))</f>
        <v/>
      </c>
      <c r="D51" s="2" t="str">
        <f>IF(A51="","",COUNTIFS('03_LUA_CHON'!$A$5:$A$404,A51,'03_LUA_CHON'!$D$5:$D$404,"Có"))</f>
        <v/>
      </c>
      <c r="E51" s="2" t="str">
        <f t="shared" ref="E51:E82" si="2">IF(A51="","",IF(OR(C51&lt;2,C51&gt;4),"CẦN SỬA",IF(AND(B51="Kiến thức",D51=1),"HỢP LỆ",IF(AND(B51="Tương tác",D51=0),"HỢP LỆ","CẦN SỬA"))))</f>
        <v/>
      </c>
      <c r="F51" s="2" t="str">
        <f t="shared" ref="F51:F82" si="3">IF(A51="","",IF(OR(C51&lt;2,C51&gt;4),"Cần 2–4 option",IF(AND(B51="Kiến thức",D51&lt;&gt;1),"Câu kiến thức cần đúng 1 đáp án đúng",IF(AND(B51="Tương tác",D51&lt;&gt;0),"Câu tương tác không có đáp án đúng",IF(B51="","Thiếu ChoiceMode","")))))</f>
        <v/>
      </c>
    </row>
    <row r="52" spans="1:6">
      <c r="A52" s="2" t="str">
        <f>IF('02_KICH_BAN_NODES'!D38="choice",'02_KICH_BAN_NODES'!B38,"")</f>
        <v/>
      </c>
      <c r="B52" s="2" t="str">
        <f>IF(A52="","",'02_KICH_BAN_NODES'!E38)</f>
        <v/>
      </c>
      <c r="C52" s="2" t="str">
        <f>IF(A52="","",COUNTIF('03_LUA_CHON'!$A$5:$A$404,A52))</f>
        <v/>
      </c>
      <c r="D52" s="2" t="str">
        <f>IF(A52="","",COUNTIFS('03_LUA_CHON'!$A$5:$A$404,A52,'03_LUA_CHON'!$D$5:$D$404,"Có"))</f>
        <v/>
      </c>
      <c r="E52" s="2" t="str">
        <f t="shared" si="2"/>
        <v/>
      </c>
      <c r="F52" s="2" t="str">
        <f t="shared" si="3"/>
        <v/>
      </c>
    </row>
    <row r="53" spans="1:6">
      <c r="A53" s="2" t="str">
        <f>IF('02_KICH_BAN_NODES'!D39="choice",'02_KICH_BAN_NODES'!B39,"")</f>
        <v/>
      </c>
      <c r="B53" s="2" t="str">
        <f>IF(A53="","",'02_KICH_BAN_NODES'!E39)</f>
        <v/>
      </c>
      <c r="C53" s="2" t="str">
        <f>IF(A53="","",COUNTIF('03_LUA_CHON'!$A$5:$A$404,A53))</f>
        <v/>
      </c>
      <c r="D53" s="2" t="str">
        <f>IF(A53="","",COUNTIFS('03_LUA_CHON'!$A$5:$A$404,A53,'03_LUA_CHON'!$D$5:$D$404,"Có"))</f>
        <v/>
      </c>
      <c r="E53" s="2" t="str">
        <f t="shared" si="2"/>
        <v/>
      </c>
      <c r="F53" s="2" t="str">
        <f t="shared" si="3"/>
        <v/>
      </c>
    </row>
    <row r="54" spans="1:6">
      <c r="A54" s="2" t="str">
        <f>IF('02_KICH_BAN_NODES'!D40="choice",'02_KICH_BAN_NODES'!B40,"")</f>
        <v/>
      </c>
      <c r="B54" s="2" t="str">
        <f>IF(A54="","",'02_KICH_BAN_NODES'!E40)</f>
        <v/>
      </c>
      <c r="C54" s="2" t="str">
        <f>IF(A54="","",COUNTIF('03_LUA_CHON'!$A$5:$A$404,A54))</f>
        <v/>
      </c>
      <c r="D54" s="2" t="str">
        <f>IF(A54="","",COUNTIFS('03_LUA_CHON'!$A$5:$A$404,A54,'03_LUA_CHON'!$D$5:$D$404,"Có"))</f>
        <v/>
      </c>
      <c r="E54" s="2" t="str">
        <f t="shared" si="2"/>
        <v/>
      </c>
      <c r="F54" s="2" t="str">
        <f t="shared" si="3"/>
        <v/>
      </c>
    </row>
    <row r="55" spans="1:6">
      <c r="A55" s="2" t="str">
        <f>IF('02_KICH_BAN_NODES'!D41="choice",'02_KICH_BAN_NODES'!B41,"")</f>
        <v/>
      </c>
      <c r="B55" s="2" t="str">
        <f>IF(A55="","",'02_KICH_BAN_NODES'!E41)</f>
        <v/>
      </c>
      <c r="C55" s="2" t="str">
        <f>IF(A55="","",COUNTIF('03_LUA_CHON'!$A$5:$A$404,A55))</f>
        <v/>
      </c>
      <c r="D55" s="2" t="str">
        <f>IF(A55="","",COUNTIFS('03_LUA_CHON'!$A$5:$A$404,A55,'03_LUA_CHON'!$D$5:$D$404,"Có"))</f>
        <v/>
      </c>
      <c r="E55" s="2" t="str">
        <f t="shared" si="2"/>
        <v/>
      </c>
      <c r="F55" s="2" t="str">
        <f t="shared" si="3"/>
        <v/>
      </c>
    </row>
    <row r="56" spans="1:6">
      <c r="A56" s="2" t="str">
        <f>IF('02_KICH_BAN_NODES'!D42="choice",'02_KICH_BAN_NODES'!B42,"")</f>
        <v/>
      </c>
      <c r="B56" s="2" t="str">
        <f>IF(A56="","",'02_KICH_BAN_NODES'!E42)</f>
        <v/>
      </c>
      <c r="C56" s="2" t="str">
        <f>IF(A56="","",COUNTIF('03_LUA_CHON'!$A$5:$A$404,A56))</f>
        <v/>
      </c>
      <c r="D56" s="2" t="str">
        <f>IF(A56="","",COUNTIFS('03_LUA_CHON'!$A$5:$A$404,A56,'03_LUA_CHON'!$D$5:$D$404,"Có"))</f>
        <v/>
      </c>
      <c r="E56" s="2" t="str">
        <f t="shared" si="2"/>
        <v/>
      </c>
      <c r="F56" s="2" t="str">
        <f t="shared" si="3"/>
        <v/>
      </c>
    </row>
    <row r="57" spans="1:6">
      <c r="A57" s="2" t="str">
        <f>IF('02_KICH_BAN_NODES'!D43="choice",'02_KICH_BAN_NODES'!B43,"")</f>
        <v/>
      </c>
      <c r="B57" s="2" t="str">
        <f>IF(A57="","",'02_KICH_BAN_NODES'!E43)</f>
        <v/>
      </c>
      <c r="C57" s="2" t="str">
        <f>IF(A57="","",COUNTIF('03_LUA_CHON'!$A$5:$A$404,A57))</f>
        <v/>
      </c>
      <c r="D57" s="2" t="str">
        <f>IF(A57="","",COUNTIFS('03_LUA_CHON'!$A$5:$A$404,A57,'03_LUA_CHON'!$D$5:$D$404,"Có"))</f>
        <v/>
      </c>
      <c r="E57" s="2" t="str">
        <f t="shared" si="2"/>
        <v/>
      </c>
      <c r="F57" s="2" t="str">
        <f t="shared" si="3"/>
        <v/>
      </c>
    </row>
    <row r="58" spans="1:6">
      <c r="A58" s="2" t="str">
        <f>IF('02_KICH_BAN_NODES'!D44="choice",'02_KICH_BAN_NODES'!B44,"")</f>
        <v/>
      </c>
      <c r="B58" s="2" t="str">
        <f>IF(A58="","",'02_KICH_BAN_NODES'!E44)</f>
        <v/>
      </c>
      <c r="C58" s="2" t="str">
        <f>IF(A58="","",COUNTIF('03_LUA_CHON'!$A$5:$A$404,A58))</f>
        <v/>
      </c>
      <c r="D58" s="2" t="str">
        <f>IF(A58="","",COUNTIFS('03_LUA_CHON'!$A$5:$A$404,A58,'03_LUA_CHON'!$D$5:$D$404,"Có"))</f>
        <v/>
      </c>
      <c r="E58" s="2" t="str">
        <f t="shared" si="2"/>
        <v/>
      </c>
      <c r="F58" s="2" t="str">
        <f t="shared" si="3"/>
        <v/>
      </c>
    </row>
    <row r="59" spans="1:6">
      <c r="A59" s="2" t="str">
        <f>IF('02_KICH_BAN_NODES'!D45="choice",'02_KICH_BAN_NODES'!B45,"")</f>
        <v/>
      </c>
      <c r="B59" s="2" t="str">
        <f>IF(A59="","",'02_KICH_BAN_NODES'!E45)</f>
        <v/>
      </c>
      <c r="C59" s="2" t="str">
        <f>IF(A59="","",COUNTIF('03_LUA_CHON'!$A$5:$A$404,A59))</f>
        <v/>
      </c>
      <c r="D59" s="2" t="str">
        <f>IF(A59="","",COUNTIFS('03_LUA_CHON'!$A$5:$A$404,A59,'03_LUA_CHON'!$D$5:$D$404,"Có"))</f>
        <v/>
      </c>
      <c r="E59" s="2" t="str">
        <f t="shared" si="2"/>
        <v/>
      </c>
      <c r="F59" s="2" t="str">
        <f t="shared" si="3"/>
        <v/>
      </c>
    </row>
    <row r="60" spans="1:6">
      <c r="A60" s="2" t="str">
        <f>IF('02_KICH_BAN_NODES'!D46="choice",'02_KICH_BAN_NODES'!B46,"")</f>
        <v/>
      </c>
      <c r="B60" s="2" t="str">
        <f>IF(A60="","",'02_KICH_BAN_NODES'!E46)</f>
        <v/>
      </c>
      <c r="C60" s="2" t="str">
        <f>IF(A60="","",COUNTIF('03_LUA_CHON'!$A$5:$A$404,A60))</f>
        <v/>
      </c>
      <c r="D60" s="2" t="str">
        <f>IF(A60="","",COUNTIFS('03_LUA_CHON'!$A$5:$A$404,A60,'03_LUA_CHON'!$D$5:$D$404,"Có"))</f>
        <v/>
      </c>
      <c r="E60" s="2" t="str">
        <f t="shared" si="2"/>
        <v/>
      </c>
      <c r="F60" s="2" t="str">
        <f t="shared" si="3"/>
        <v/>
      </c>
    </row>
    <row r="61" spans="1:6">
      <c r="A61" s="2" t="str">
        <f>IF('02_KICH_BAN_NODES'!D47="choice",'02_KICH_BAN_NODES'!B47,"")</f>
        <v/>
      </c>
      <c r="B61" s="2" t="str">
        <f>IF(A61="","",'02_KICH_BAN_NODES'!E47)</f>
        <v/>
      </c>
      <c r="C61" s="2" t="str">
        <f>IF(A61="","",COUNTIF('03_LUA_CHON'!$A$5:$A$404,A61))</f>
        <v/>
      </c>
      <c r="D61" s="2" t="str">
        <f>IF(A61="","",COUNTIFS('03_LUA_CHON'!$A$5:$A$404,A61,'03_LUA_CHON'!$D$5:$D$404,"Có"))</f>
        <v/>
      </c>
      <c r="E61" s="2" t="str">
        <f t="shared" si="2"/>
        <v/>
      </c>
      <c r="F61" s="2" t="str">
        <f t="shared" si="3"/>
        <v/>
      </c>
    </row>
    <row r="62" spans="1:6">
      <c r="A62" s="2" t="str">
        <f>IF('02_KICH_BAN_NODES'!D48="choice",'02_KICH_BAN_NODES'!B48,"")</f>
        <v/>
      </c>
      <c r="B62" s="2" t="str">
        <f>IF(A62="","",'02_KICH_BAN_NODES'!E48)</f>
        <v/>
      </c>
      <c r="C62" s="2" t="str">
        <f>IF(A62="","",COUNTIF('03_LUA_CHON'!$A$5:$A$404,A62))</f>
        <v/>
      </c>
      <c r="D62" s="2" t="str">
        <f>IF(A62="","",COUNTIFS('03_LUA_CHON'!$A$5:$A$404,A62,'03_LUA_CHON'!$D$5:$D$404,"Có"))</f>
        <v/>
      </c>
      <c r="E62" s="2" t="str">
        <f t="shared" si="2"/>
        <v/>
      </c>
      <c r="F62" s="2" t="str">
        <f t="shared" si="3"/>
        <v/>
      </c>
    </row>
    <row r="63" spans="1:6">
      <c r="A63" s="2" t="str">
        <f>IF('02_KICH_BAN_NODES'!D49="choice",'02_KICH_BAN_NODES'!B49,"")</f>
        <v/>
      </c>
      <c r="B63" s="2" t="str">
        <f>IF(A63="","",'02_KICH_BAN_NODES'!E49)</f>
        <v/>
      </c>
      <c r="C63" s="2" t="str">
        <f>IF(A63="","",COUNTIF('03_LUA_CHON'!$A$5:$A$404,A63))</f>
        <v/>
      </c>
      <c r="D63" s="2" t="str">
        <f>IF(A63="","",COUNTIFS('03_LUA_CHON'!$A$5:$A$404,A63,'03_LUA_CHON'!$D$5:$D$404,"Có"))</f>
        <v/>
      </c>
      <c r="E63" s="2" t="str">
        <f t="shared" si="2"/>
        <v/>
      </c>
      <c r="F63" s="2" t="str">
        <f t="shared" si="3"/>
        <v/>
      </c>
    </row>
    <row r="64" spans="1:6">
      <c r="A64" s="2" t="str">
        <f>IF('02_KICH_BAN_NODES'!D50="choice",'02_KICH_BAN_NODES'!B50,"")</f>
        <v/>
      </c>
      <c r="B64" s="2" t="str">
        <f>IF(A64="","",'02_KICH_BAN_NODES'!E50)</f>
        <v/>
      </c>
      <c r="C64" s="2" t="str">
        <f>IF(A64="","",COUNTIF('03_LUA_CHON'!$A$5:$A$404,A64))</f>
        <v/>
      </c>
      <c r="D64" s="2" t="str">
        <f>IF(A64="","",COUNTIFS('03_LUA_CHON'!$A$5:$A$404,A64,'03_LUA_CHON'!$D$5:$D$404,"Có"))</f>
        <v/>
      </c>
      <c r="E64" s="2" t="str">
        <f t="shared" si="2"/>
        <v/>
      </c>
      <c r="F64" s="2" t="str">
        <f t="shared" si="3"/>
        <v/>
      </c>
    </row>
    <row r="65" spans="1:6">
      <c r="A65" s="2" t="str">
        <f>IF('02_KICH_BAN_NODES'!D51="choice",'02_KICH_BAN_NODES'!B51,"")</f>
        <v/>
      </c>
      <c r="B65" s="2" t="str">
        <f>IF(A65="","",'02_KICH_BAN_NODES'!E51)</f>
        <v/>
      </c>
      <c r="C65" s="2" t="str">
        <f>IF(A65="","",COUNTIF('03_LUA_CHON'!$A$5:$A$404,A65))</f>
        <v/>
      </c>
      <c r="D65" s="2" t="str">
        <f>IF(A65="","",COUNTIFS('03_LUA_CHON'!$A$5:$A$404,A65,'03_LUA_CHON'!$D$5:$D$404,"Có"))</f>
        <v/>
      </c>
      <c r="E65" s="2" t="str">
        <f t="shared" si="2"/>
        <v/>
      </c>
      <c r="F65" s="2" t="str">
        <f t="shared" si="3"/>
        <v/>
      </c>
    </row>
    <row r="66" spans="1:6">
      <c r="A66" s="2" t="str">
        <f>IF('02_KICH_BAN_NODES'!D52="choice",'02_KICH_BAN_NODES'!B52,"")</f>
        <v/>
      </c>
      <c r="B66" s="2" t="str">
        <f>IF(A66="","",'02_KICH_BAN_NODES'!E52)</f>
        <v/>
      </c>
      <c r="C66" s="2" t="str">
        <f>IF(A66="","",COUNTIF('03_LUA_CHON'!$A$5:$A$404,A66))</f>
        <v/>
      </c>
      <c r="D66" s="2" t="str">
        <f>IF(A66="","",COUNTIFS('03_LUA_CHON'!$A$5:$A$404,A66,'03_LUA_CHON'!$D$5:$D$404,"Có"))</f>
        <v/>
      </c>
      <c r="E66" s="2" t="str">
        <f t="shared" si="2"/>
        <v/>
      </c>
      <c r="F66" s="2" t="str">
        <f t="shared" si="3"/>
        <v/>
      </c>
    </row>
    <row r="67" spans="1:6">
      <c r="A67" s="2" t="str">
        <f>IF('02_KICH_BAN_NODES'!D53="choice",'02_KICH_BAN_NODES'!B53,"")</f>
        <v/>
      </c>
      <c r="B67" s="2" t="str">
        <f>IF(A67="","",'02_KICH_BAN_NODES'!E53)</f>
        <v/>
      </c>
      <c r="C67" s="2" t="str">
        <f>IF(A67="","",COUNTIF('03_LUA_CHON'!$A$5:$A$404,A67))</f>
        <v/>
      </c>
      <c r="D67" s="2" t="str">
        <f>IF(A67="","",COUNTIFS('03_LUA_CHON'!$A$5:$A$404,A67,'03_LUA_CHON'!$D$5:$D$404,"Có"))</f>
        <v/>
      </c>
      <c r="E67" s="2" t="str">
        <f t="shared" si="2"/>
        <v/>
      </c>
      <c r="F67" s="2" t="str">
        <f t="shared" si="3"/>
        <v/>
      </c>
    </row>
    <row r="68" spans="1:6">
      <c r="A68" s="2" t="str">
        <f>IF('02_KICH_BAN_NODES'!D54="choice",'02_KICH_BAN_NODES'!B54,"")</f>
        <v/>
      </c>
      <c r="B68" s="2" t="str">
        <f>IF(A68="","",'02_KICH_BAN_NODES'!E54)</f>
        <v/>
      </c>
      <c r="C68" s="2" t="str">
        <f>IF(A68="","",COUNTIF('03_LUA_CHON'!$A$5:$A$404,A68))</f>
        <v/>
      </c>
      <c r="D68" s="2" t="str">
        <f>IF(A68="","",COUNTIFS('03_LUA_CHON'!$A$5:$A$404,A68,'03_LUA_CHON'!$D$5:$D$404,"Có"))</f>
        <v/>
      </c>
      <c r="E68" s="2" t="str">
        <f t="shared" si="2"/>
        <v/>
      </c>
      <c r="F68" s="2" t="str">
        <f t="shared" si="3"/>
        <v/>
      </c>
    </row>
    <row r="69" spans="1:6">
      <c r="A69" s="2" t="str">
        <f>IF('02_KICH_BAN_NODES'!D55="choice",'02_KICH_BAN_NODES'!B55,"")</f>
        <v/>
      </c>
      <c r="B69" s="2" t="str">
        <f>IF(A69="","",'02_KICH_BAN_NODES'!E55)</f>
        <v/>
      </c>
      <c r="C69" s="2" t="str">
        <f>IF(A69="","",COUNTIF('03_LUA_CHON'!$A$5:$A$404,A69))</f>
        <v/>
      </c>
      <c r="D69" s="2" t="str">
        <f>IF(A69="","",COUNTIFS('03_LUA_CHON'!$A$5:$A$404,A69,'03_LUA_CHON'!$D$5:$D$404,"Có"))</f>
        <v/>
      </c>
      <c r="E69" s="2" t="str">
        <f t="shared" si="2"/>
        <v/>
      </c>
      <c r="F69" s="2" t="str">
        <f t="shared" si="3"/>
        <v/>
      </c>
    </row>
    <row r="70" spans="1:6">
      <c r="A70" s="2" t="str">
        <f>IF('02_KICH_BAN_NODES'!D56="choice",'02_KICH_BAN_NODES'!B56,"")</f>
        <v/>
      </c>
      <c r="B70" s="2" t="str">
        <f>IF(A70="","",'02_KICH_BAN_NODES'!E56)</f>
        <v/>
      </c>
      <c r="C70" s="2" t="str">
        <f>IF(A70="","",COUNTIF('03_LUA_CHON'!$A$5:$A$404,A70))</f>
        <v/>
      </c>
      <c r="D70" s="2" t="str">
        <f>IF(A70="","",COUNTIFS('03_LUA_CHON'!$A$5:$A$404,A70,'03_LUA_CHON'!$D$5:$D$404,"Có"))</f>
        <v/>
      </c>
      <c r="E70" s="2" t="str">
        <f t="shared" si="2"/>
        <v/>
      </c>
      <c r="F70" s="2" t="str">
        <f t="shared" si="3"/>
        <v/>
      </c>
    </row>
    <row r="71" spans="1:6">
      <c r="A71" s="2" t="str">
        <f>IF('02_KICH_BAN_NODES'!D57="choice",'02_KICH_BAN_NODES'!B57,"")</f>
        <v/>
      </c>
      <c r="B71" s="2" t="str">
        <f>IF(A71="","",'02_KICH_BAN_NODES'!E57)</f>
        <v/>
      </c>
      <c r="C71" s="2" t="str">
        <f>IF(A71="","",COUNTIF('03_LUA_CHON'!$A$5:$A$404,A71))</f>
        <v/>
      </c>
      <c r="D71" s="2" t="str">
        <f>IF(A71="","",COUNTIFS('03_LUA_CHON'!$A$5:$A$404,A71,'03_LUA_CHON'!$D$5:$D$404,"Có"))</f>
        <v/>
      </c>
      <c r="E71" s="2" t="str">
        <f t="shared" si="2"/>
        <v/>
      </c>
      <c r="F71" s="2" t="str">
        <f t="shared" si="3"/>
        <v/>
      </c>
    </row>
    <row r="72" spans="1:6">
      <c r="A72" s="2" t="str">
        <f>IF('02_KICH_BAN_NODES'!D58="choice",'02_KICH_BAN_NODES'!B58,"")</f>
        <v/>
      </c>
      <c r="B72" s="2" t="str">
        <f>IF(A72="","",'02_KICH_BAN_NODES'!E58)</f>
        <v/>
      </c>
      <c r="C72" s="2" t="str">
        <f>IF(A72="","",COUNTIF('03_LUA_CHON'!$A$5:$A$404,A72))</f>
        <v/>
      </c>
      <c r="D72" s="2" t="str">
        <f>IF(A72="","",COUNTIFS('03_LUA_CHON'!$A$5:$A$404,A72,'03_LUA_CHON'!$D$5:$D$404,"Có"))</f>
        <v/>
      </c>
      <c r="E72" s="2" t="str">
        <f t="shared" si="2"/>
        <v/>
      </c>
      <c r="F72" s="2" t="str">
        <f t="shared" si="3"/>
        <v/>
      </c>
    </row>
    <row r="73" spans="1:6">
      <c r="A73" s="2" t="str">
        <f>IF('02_KICH_BAN_NODES'!D59="choice",'02_KICH_BAN_NODES'!B59,"")</f>
        <v/>
      </c>
      <c r="B73" s="2" t="str">
        <f>IF(A73="","",'02_KICH_BAN_NODES'!E59)</f>
        <v/>
      </c>
      <c r="C73" s="2" t="str">
        <f>IF(A73="","",COUNTIF('03_LUA_CHON'!$A$5:$A$404,A73))</f>
        <v/>
      </c>
      <c r="D73" s="2" t="str">
        <f>IF(A73="","",COUNTIFS('03_LUA_CHON'!$A$5:$A$404,A73,'03_LUA_CHON'!$D$5:$D$404,"Có"))</f>
        <v/>
      </c>
      <c r="E73" s="2" t="str">
        <f t="shared" si="2"/>
        <v/>
      </c>
      <c r="F73" s="2" t="str">
        <f t="shared" si="3"/>
        <v/>
      </c>
    </row>
    <row r="74" spans="1:6">
      <c r="A74" s="2" t="str">
        <f>IF('02_KICH_BAN_NODES'!D60="choice",'02_KICH_BAN_NODES'!B60,"")</f>
        <v/>
      </c>
      <c r="B74" s="2" t="str">
        <f>IF(A74="","",'02_KICH_BAN_NODES'!E60)</f>
        <v/>
      </c>
      <c r="C74" s="2" t="str">
        <f>IF(A74="","",COUNTIF('03_LUA_CHON'!$A$5:$A$404,A74))</f>
        <v/>
      </c>
      <c r="D74" s="2" t="str">
        <f>IF(A74="","",COUNTIFS('03_LUA_CHON'!$A$5:$A$404,A74,'03_LUA_CHON'!$D$5:$D$404,"Có"))</f>
        <v/>
      </c>
      <c r="E74" s="2" t="str">
        <f t="shared" si="2"/>
        <v/>
      </c>
      <c r="F74" s="2" t="str">
        <f t="shared" si="3"/>
        <v/>
      </c>
    </row>
    <row r="75" spans="1:6">
      <c r="A75" s="2" t="str">
        <f>IF('02_KICH_BAN_NODES'!D61="choice",'02_KICH_BAN_NODES'!B61,"")</f>
        <v/>
      </c>
      <c r="B75" s="2" t="str">
        <f>IF(A75="","",'02_KICH_BAN_NODES'!E61)</f>
        <v/>
      </c>
      <c r="C75" s="2" t="str">
        <f>IF(A75="","",COUNTIF('03_LUA_CHON'!$A$5:$A$404,A75))</f>
        <v/>
      </c>
      <c r="D75" s="2" t="str">
        <f>IF(A75="","",COUNTIFS('03_LUA_CHON'!$A$5:$A$404,A75,'03_LUA_CHON'!$D$5:$D$404,"Có"))</f>
        <v/>
      </c>
      <c r="E75" s="2" t="str">
        <f t="shared" si="2"/>
        <v/>
      </c>
      <c r="F75" s="2" t="str">
        <f t="shared" si="3"/>
        <v/>
      </c>
    </row>
    <row r="76" spans="1:6">
      <c r="A76" s="2" t="str">
        <f>IF('02_KICH_BAN_NODES'!D62="choice",'02_KICH_BAN_NODES'!B62,"")</f>
        <v/>
      </c>
      <c r="B76" s="2" t="str">
        <f>IF(A76="","",'02_KICH_BAN_NODES'!E62)</f>
        <v/>
      </c>
      <c r="C76" s="2" t="str">
        <f>IF(A76="","",COUNTIF('03_LUA_CHON'!$A$5:$A$404,A76))</f>
        <v/>
      </c>
      <c r="D76" s="2" t="str">
        <f>IF(A76="","",COUNTIFS('03_LUA_CHON'!$A$5:$A$404,A76,'03_LUA_CHON'!$D$5:$D$404,"Có"))</f>
        <v/>
      </c>
      <c r="E76" s="2" t="str">
        <f t="shared" si="2"/>
        <v/>
      </c>
      <c r="F76" s="2" t="str">
        <f t="shared" si="3"/>
        <v/>
      </c>
    </row>
    <row r="77" spans="1:6">
      <c r="A77" s="2" t="str">
        <f>IF('02_KICH_BAN_NODES'!D63="choice",'02_KICH_BAN_NODES'!B63,"")</f>
        <v/>
      </c>
      <c r="B77" s="2" t="str">
        <f>IF(A77="","",'02_KICH_BAN_NODES'!E63)</f>
        <v/>
      </c>
      <c r="C77" s="2" t="str">
        <f>IF(A77="","",COUNTIF('03_LUA_CHON'!$A$5:$A$404,A77))</f>
        <v/>
      </c>
      <c r="D77" s="2" t="str">
        <f>IF(A77="","",COUNTIFS('03_LUA_CHON'!$A$5:$A$404,A77,'03_LUA_CHON'!$D$5:$D$404,"Có"))</f>
        <v/>
      </c>
      <c r="E77" s="2" t="str">
        <f t="shared" si="2"/>
        <v/>
      </c>
      <c r="F77" s="2" t="str">
        <f t="shared" si="3"/>
        <v/>
      </c>
    </row>
    <row r="78" spans="1:6">
      <c r="A78" s="2" t="str">
        <f>IF('02_KICH_BAN_NODES'!D64="choice",'02_KICH_BAN_NODES'!B64,"")</f>
        <v/>
      </c>
      <c r="B78" s="2" t="str">
        <f>IF(A78="","",'02_KICH_BAN_NODES'!E64)</f>
        <v/>
      </c>
      <c r="C78" s="2" t="str">
        <f>IF(A78="","",COUNTIF('03_LUA_CHON'!$A$5:$A$404,A78))</f>
        <v/>
      </c>
      <c r="D78" s="2" t="str">
        <f>IF(A78="","",COUNTIFS('03_LUA_CHON'!$A$5:$A$404,A78,'03_LUA_CHON'!$D$5:$D$404,"Có"))</f>
        <v/>
      </c>
      <c r="E78" s="2" t="str">
        <f t="shared" si="2"/>
        <v/>
      </c>
      <c r="F78" s="2" t="str">
        <f t="shared" si="3"/>
        <v/>
      </c>
    </row>
    <row r="79" spans="1:6">
      <c r="A79" s="2" t="str">
        <f>IF('02_KICH_BAN_NODES'!D65="choice",'02_KICH_BAN_NODES'!B65,"")</f>
        <v/>
      </c>
      <c r="B79" s="2" t="str">
        <f>IF(A79="","",'02_KICH_BAN_NODES'!E65)</f>
        <v/>
      </c>
      <c r="C79" s="2" t="str">
        <f>IF(A79="","",COUNTIF('03_LUA_CHON'!$A$5:$A$404,A79))</f>
        <v/>
      </c>
      <c r="D79" s="2" t="str">
        <f>IF(A79="","",COUNTIFS('03_LUA_CHON'!$A$5:$A$404,A79,'03_LUA_CHON'!$D$5:$D$404,"Có"))</f>
        <v/>
      </c>
      <c r="E79" s="2" t="str">
        <f t="shared" si="2"/>
        <v/>
      </c>
      <c r="F79" s="2" t="str">
        <f t="shared" si="3"/>
        <v/>
      </c>
    </row>
    <row r="80" spans="1:6">
      <c r="A80" s="2" t="str">
        <f>IF('02_KICH_BAN_NODES'!D66="choice",'02_KICH_BAN_NODES'!B66,"")</f>
        <v/>
      </c>
      <c r="B80" s="2" t="str">
        <f>IF(A80="","",'02_KICH_BAN_NODES'!E66)</f>
        <v/>
      </c>
      <c r="C80" s="2" t="str">
        <f>IF(A80="","",COUNTIF('03_LUA_CHON'!$A$5:$A$404,A80))</f>
        <v/>
      </c>
      <c r="D80" s="2" t="str">
        <f>IF(A80="","",COUNTIFS('03_LUA_CHON'!$A$5:$A$404,A80,'03_LUA_CHON'!$D$5:$D$404,"Có"))</f>
        <v/>
      </c>
      <c r="E80" s="2" t="str">
        <f t="shared" si="2"/>
        <v/>
      </c>
      <c r="F80" s="2" t="str">
        <f t="shared" si="3"/>
        <v/>
      </c>
    </row>
    <row r="81" spans="1:6">
      <c r="A81" s="2" t="str">
        <f>IF('02_KICH_BAN_NODES'!D67="choice",'02_KICH_BAN_NODES'!B67,"")</f>
        <v/>
      </c>
      <c r="B81" s="2" t="str">
        <f>IF(A81="","",'02_KICH_BAN_NODES'!E67)</f>
        <v/>
      </c>
      <c r="C81" s="2" t="str">
        <f>IF(A81="","",COUNTIF('03_LUA_CHON'!$A$5:$A$404,A81))</f>
        <v/>
      </c>
      <c r="D81" s="2" t="str">
        <f>IF(A81="","",COUNTIFS('03_LUA_CHON'!$A$5:$A$404,A81,'03_LUA_CHON'!$D$5:$D$404,"Có"))</f>
        <v/>
      </c>
      <c r="E81" s="2" t="str">
        <f t="shared" si="2"/>
        <v/>
      </c>
      <c r="F81" s="2" t="str">
        <f t="shared" si="3"/>
        <v/>
      </c>
    </row>
    <row r="82" spans="1:6">
      <c r="A82" s="2" t="str">
        <f>IF('02_KICH_BAN_NODES'!D68="choice",'02_KICH_BAN_NODES'!B68,"")</f>
        <v/>
      </c>
      <c r="B82" s="2" t="str">
        <f>IF(A82="","",'02_KICH_BAN_NODES'!E68)</f>
        <v/>
      </c>
      <c r="C82" s="2" t="str">
        <f>IF(A82="","",COUNTIF('03_LUA_CHON'!$A$5:$A$404,A82))</f>
        <v/>
      </c>
      <c r="D82" s="2" t="str">
        <f>IF(A82="","",COUNTIFS('03_LUA_CHON'!$A$5:$A$404,A82,'03_LUA_CHON'!$D$5:$D$404,"Có"))</f>
        <v/>
      </c>
      <c r="E82" s="2" t="str">
        <f t="shared" si="2"/>
        <v/>
      </c>
      <c r="F82" s="2" t="str">
        <f t="shared" si="3"/>
        <v/>
      </c>
    </row>
    <row r="83" spans="1:6">
      <c r="A83" s="2" t="str">
        <f>IF('02_KICH_BAN_NODES'!D69="choice",'02_KICH_BAN_NODES'!B69,"")</f>
        <v/>
      </c>
      <c r="B83" s="2" t="str">
        <f>IF(A83="","",'02_KICH_BAN_NODES'!E69)</f>
        <v/>
      </c>
      <c r="C83" s="2" t="str">
        <f>IF(A83="","",COUNTIF('03_LUA_CHON'!$A$5:$A$404,A83))</f>
        <v/>
      </c>
      <c r="D83" s="2" t="str">
        <f>IF(A83="","",COUNTIFS('03_LUA_CHON'!$A$5:$A$404,A83,'03_LUA_CHON'!$D$5:$D$404,"Có"))</f>
        <v/>
      </c>
      <c r="E83" s="2" t="str">
        <f t="shared" ref="E83:E114" si="4">IF(A83="","",IF(OR(C83&lt;2,C83&gt;4),"CẦN SỬA",IF(AND(B83="Kiến thức",D83=1),"HỢP LỆ",IF(AND(B83="Tương tác",D83=0),"HỢP LỆ","CẦN SỬA"))))</f>
        <v/>
      </c>
      <c r="F83" s="2" t="str">
        <f t="shared" ref="F83:F114" si="5">IF(A83="","",IF(OR(C83&lt;2,C83&gt;4),"Cần 2–4 option",IF(AND(B83="Kiến thức",D83&lt;&gt;1),"Câu kiến thức cần đúng 1 đáp án đúng",IF(AND(B83="Tương tác",D83&lt;&gt;0),"Câu tương tác không có đáp án đúng",IF(B83="","Thiếu ChoiceMode","")))))</f>
        <v/>
      </c>
    </row>
    <row r="84" spans="1:6">
      <c r="A84" s="2" t="str">
        <f>IF('02_KICH_BAN_NODES'!D70="choice",'02_KICH_BAN_NODES'!B70,"")</f>
        <v/>
      </c>
      <c r="B84" s="2" t="str">
        <f>IF(A84="","",'02_KICH_BAN_NODES'!E70)</f>
        <v/>
      </c>
      <c r="C84" s="2" t="str">
        <f>IF(A84="","",COUNTIF('03_LUA_CHON'!$A$5:$A$404,A84))</f>
        <v/>
      </c>
      <c r="D84" s="2" t="str">
        <f>IF(A84="","",COUNTIFS('03_LUA_CHON'!$A$5:$A$404,A84,'03_LUA_CHON'!$D$5:$D$404,"Có"))</f>
        <v/>
      </c>
      <c r="E84" s="2" t="str">
        <f t="shared" si="4"/>
        <v/>
      </c>
      <c r="F84" s="2" t="str">
        <f t="shared" si="5"/>
        <v/>
      </c>
    </row>
    <row r="85" spans="1:6">
      <c r="A85" s="2" t="str">
        <f>IF('02_KICH_BAN_NODES'!D71="choice",'02_KICH_BAN_NODES'!B71,"")</f>
        <v/>
      </c>
      <c r="B85" s="2" t="str">
        <f>IF(A85="","",'02_KICH_BAN_NODES'!E71)</f>
        <v/>
      </c>
      <c r="C85" s="2" t="str">
        <f>IF(A85="","",COUNTIF('03_LUA_CHON'!$A$5:$A$404,A85))</f>
        <v/>
      </c>
      <c r="D85" s="2" t="str">
        <f>IF(A85="","",COUNTIFS('03_LUA_CHON'!$A$5:$A$404,A85,'03_LUA_CHON'!$D$5:$D$404,"Có"))</f>
        <v/>
      </c>
      <c r="E85" s="2" t="str">
        <f t="shared" si="4"/>
        <v/>
      </c>
      <c r="F85" s="2" t="str">
        <f t="shared" si="5"/>
        <v/>
      </c>
    </row>
    <row r="86" spans="1:6">
      <c r="A86" s="2" t="str">
        <f>IF('02_KICH_BAN_NODES'!D72="choice",'02_KICH_BAN_NODES'!B72,"")</f>
        <v/>
      </c>
      <c r="B86" s="2" t="str">
        <f>IF(A86="","",'02_KICH_BAN_NODES'!E72)</f>
        <v/>
      </c>
      <c r="C86" s="2" t="str">
        <f>IF(A86="","",COUNTIF('03_LUA_CHON'!$A$5:$A$404,A86))</f>
        <v/>
      </c>
      <c r="D86" s="2" t="str">
        <f>IF(A86="","",COUNTIFS('03_LUA_CHON'!$A$5:$A$404,A86,'03_LUA_CHON'!$D$5:$D$404,"Có"))</f>
        <v/>
      </c>
      <c r="E86" s="2" t="str">
        <f t="shared" si="4"/>
        <v/>
      </c>
      <c r="F86" s="2" t="str">
        <f t="shared" si="5"/>
        <v/>
      </c>
    </row>
    <row r="87" spans="1:6">
      <c r="A87" s="2" t="str">
        <f>IF('02_KICH_BAN_NODES'!D73="choice",'02_KICH_BAN_NODES'!B73,"")</f>
        <v/>
      </c>
      <c r="B87" s="2" t="str">
        <f>IF(A87="","",'02_KICH_BAN_NODES'!E73)</f>
        <v/>
      </c>
      <c r="C87" s="2" t="str">
        <f>IF(A87="","",COUNTIF('03_LUA_CHON'!$A$5:$A$404,A87))</f>
        <v/>
      </c>
      <c r="D87" s="2" t="str">
        <f>IF(A87="","",COUNTIFS('03_LUA_CHON'!$A$5:$A$404,A87,'03_LUA_CHON'!$D$5:$D$404,"Có"))</f>
        <v/>
      </c>
      <c r="E87" s="2" t="str">
        <f t="shared" si="4"/>
        <v/>
      </c>
      <c r="F87" s="2" t="str">
        <f t="shared" si="5"/>
        <v/>
      </c>
    </row>
    <row r="88" spans="1:6">
      <c r="A88" s="2" t="str">
        <f>IF('02_KICH_BAN_NODES'!D74="choice",'02_KICH_BAN_NODES'!B74,"")</f>
        <v/>
      </c>
      <c r="B88" s="2" t="str">
        <f>IF(A88="","",'02_KICH_BAN_NODES'!E74)</f>
        <v/>
      </c>
      <c r="C88" s="2" t="str">
        <f>IF(A88="","",COUNTIF('03_LUA_CHON'!$A$5:$A$404,A88))</f>
        <v/>
      </c>
      <c r="D88" s="2" t="str">
        <f>IF(A88="","",COUNTIFS('03_LUA_CHON'!$A$5:$A$404,A88,'03_LUA_CHON'!$D$5:$D$404,"Có"))</f>
        <v/>
      </c>
      <c r="E88" s="2" t="str">
        <f t="shared" si="4"/>
        <v/>
      </c>
      <c r="F88" s="2" t="str">
        <f t="shared" si="5"/>
        <v/>
      </c>
    </row>
    <row r="89" spans="1:6">
      <c r="A89" s="2" t="str">
        <f>IF('02_KICH_BAN_NODES'!D75="choice",'02_KICH_BAN_NODES'!B75,"")</f>
        <v/>
      </c>
      <c r="B89" s="2" t="str">
        <f>IF(A89="","",'02_KICH_BAN_NODES'!E75)</f>
        <v/>
      </c>
      <c r="C89" s="2" t="str">
        <f>IF(A89="","",COUNTIF('03_LUA_CHON'!$A$5:$A$404,A89))</f>
        <v/>
      </c>
      <c r="D89" s="2" t="str">
        <f>IF(A89="","",COUNTIFS('03_LUA_CHON'!$A$5:$A$404,A89,'03_LUA_CHON'!$D$5:$D$404,"Có"))</f>
        <v/>
      </c>
      <c r="E89" s="2" t="str">
        <f t="shared" si="4"/>
        <v/>
      </c>
      <c r="F89" s="2" t="str">
        <f t="shared" si="5"/>
        <v/>
      </c>
    </row>
    <row r="90" spans="1:6">
      <c r="A90" s="2" t="str">
        <f>IF('02_KICH_BAN_NODES'!D76="choice",'02_KICH_BAN_NODES'!B76,"")</f>
        <v/>
      </c>
      <c r="B90" s="2" t="str">
        <f>IF(A90="","",'02_KICH_BAN_NODES'!E76)</f>
        <v/>
      </c>
      <c r="C90" s="2" t="str">
        <f>IF(A90="","",COUNTIF('03_LUA_CHON'!$A$5:$A$404,A90))</f>
        <v/>
      </c>
      <c r="D90" s="2" t="str">
        <f>IF(A90="","",COUNTIFS('03_LUA_CHON'!$A$5:$A$404,A90,'03_LUA_CHON'!$D$5:$D$404,"Có"))</f>
        <v/>
      </c>
      <c r="E90" s="2" t="str">
        <f t="shared" si="4"/>
        <v/>
      </c>
      <c r="F90" s="2" t="str">
        <f t="shared" si="5"/>
        <v/>
      </c>
    </row>
    <row r="91" spans="1:6">
      <c r="A91" s="2" t="str">
        <f>IF('02_KICH_BAN_NODES'!D77="choice",'02_KICH_BAN_NODES'!B77,"")</f>
        <v/>
      </c>
      <c r="B91" s="2" t="str">
        <f>IF(A91="","",'02_KICH_BAN_NODES'!E77)</f>
        <v/>
      </c>
      <c r="C91" s="2" t="str">
        <f>IF(A91="","",COUNTIF('03_LUA_CHON'!$A$5:$A$404,A91))</f>
        <v/>
      </c>
      <c r="D91" s="2" t="str">
        <f>IF(A91="","",COUNTIFS('03_LUA_CHON'!$A$5:$A$404,A91,'03_LUA_CHON'!$D$5:$D$404,"Có"))</f>
        <v/>
      </c>
      <c r="E91" s="2" t="str">
        <f t="shared" si="4"/>
        <v/>
      </c>
      <c r="F91" s="2" t="str">
        <f t="shared" si="5"/>
        <v/>
      </c>
    </row>
    <row r="92" spans="1:6">
      <c r="A92" s="2" t="str">
        <f>IF('02_KICH_BAN_NODES'!D78="choice",'02_KICH_BAN_NODES'!B78,"")</f>
        <v/>
      </c>
      <c r="B92" s="2" t="str">
        <f>IF(A92="","",'02_KICH_BAN_NODES'!E78)</f>
        <v/>
      </c>
      <c r="C92" s="2" t="str">
        <f>IF(A92="","",COUNTIF('03_LUA_CHON'!$A$5:$A$404,A92))</f>
        <v/>
      </c>
      <c r="D92" s="2" t="str">
        <f>IF(A92="","",COUNTIFS('03_LUA_CHON'!$A$5:$A$404,A92,'03_LUA_CHON'!$D$5:$D$404,"Có"))</f>
        <v/>
      </c>
      <c r="E92" s="2" t="str">
        <f t="shared" si="4"/>
        <v/>
      </c>
      <c r="F92" s="2" t="str">
        <f t="shared" si="5"/>
        <v/>
      </c>
    </row>
    <row r="93" spans="1:6">
      <c r="A93" s="2" t="str">
        <f>IF('02_KICH_BAN_NODES'!D79="choice",'02_KICH_BAN_NODES'!B79,"")</f>
        <v/>
      </c>
      <c r="B93" s="2" t="str">
        <f>IF(A93="","",'02_KICH_BAN_NODES'!E79)</f>
        <v/>
      </c>
      <c r="C93" s="2" t="str">
        <f>IF(A93="","",COUNTIF('03_LUA_CHON'!$A$5:$A$404,A93))</f>
        <v/>
      </c>
      <c r="D93" s="2" t="str">
        <f>IF(A93="","",COUNTIFS('03_LUA_CHON'!$A$5:$A$404,A93,'03_LUA_CHON'!$D$5:$D$404,"Có"))</f>
        <v/>
      </c>
      <c r="E93" s="2" t="str">
        <f t="shared" si="4"/>
        <v/>
      </c>
      <c r="F93" s="2" t="str">
        <f t="shared" si="5"/>
        <v/>
      </c>
    </row>
    <row r="94" spans="1:6">
      <c r="A94" s="2" t="str">
        <f>IF('02_KICH_BAN_NODES'!D80="choice",'02_KICH_BAN_NODES'!B80,"")</f>
        <v/>
      </c>
      <c r="B94" s="2" t="str">
        <f>IF(A94="","",'02_KICH_BAN_NODES'!E80)</f>
        <v/>
      </c>
      <c r="C94" s="2" t="str">
        <f>IF(A94="","",COUNTIF('03_LUA_CHON'!$A$5:$A$404,A94))</f>
        <v/>
      </c>
      <c r="D94" s="2" t="str">
        <f>IF(A94="","",COUNTIFS('03_LUA_CHON'!$A$5:$A$404,A94,'03_LUA_CHON'!$D$5:$D$404,"Có"))</f>
        <v/>
      </c>
      <c r="E94" s="2" t="str">
        <f t="shared" si="4"/>
        <v/>
      </c>
      <c r="F94" s="2" t="str">
        <f t="shared" si="5"/>
        <v/>
      </c>
    </row>
    <row r="95" spans="1:6">
      <c r="A95" s="2" t="str">
        <f>IF('02_KICH_BAN_NODES'!D81="choice",'02_KICH_BAN_NODES'!B81,"")</f>
        <v/>
      </c>
      <c r="B95" s="2" t="str">
        <f>IF(A95="","",'02_KICH_BAN_NODES'!E81)</f>
        <v/>
      </c>
      <c r="C95" s="2" t="str">
        <f>IF(A95="","",COUNTIF('03_LUA_CHON'!$A$5:$A$404,A95))</f>
        <v/>
      </c>
      <c r="D95" s="2" t="str">
        <f>IF(A95="","",COUNTIFS('03_LUA_CHON'!$A$5:$A$404,A95,'03_LUA_CHON'!$D$5:$D$404,"Có"))</f>
        <v/>
      </c>
      <c r="E95" s="2" t="str">
        <f t="shared" si="4"/>
        <v/>
      </c>
      <c r="F95" s="2" t="str">
        <f t="shared" si="5"/>
        <v/>
      </c>
    </row>
    <row r="96" spans="1:6">
      <c r="A96" s="2" t="str">
        <f>IF('02_KICH_BAN_NODES'!D82="choice",'02_KICH_BAN_NODES'!B82,"")</f>
        <v/>
      </c>
      <c r="B96" s="2" t="str">
        <f>IF(A96="","",'02_KICH_BAN_NODES'!E82)</f>
        <v/>
      </c>
      <c r="C96" s="2" t="str">
        <f>IF(A96="","",COUNTIF('03_LUA_CHON'!$A$5:$A$404,A96))</f>
        <v/>
      </c>
      <c r="D96" s="2" t="str">
        <f>IF(A96="","",COUNTIFS('03_LUA_CHON'!$A$5:$A$404,A96,'03_LUA_CHON'!$D$5:$D$404,"Có"))</f>
        <v/>
      </c>
      <c r="E96" s="2" t="str">
        <f t="shared" si="4"/>
        <v/>
      </c>
      <c r="F96" s="2" t="str">
        <f t="shared" si="5"/>
        <v/>
      </c>
    </row>
    <row r="97" spans="1:6">
      <c r="A97" s="2" t="str">
        <f>IF('02_KICH_BAN_NODES'!D83="choice",'02_KICH_BAN_NODES'!B83,"")</f>
        <v/>
      </c>
      <c r="B97" s="2" t="str">
        <f>IF(A97="","",'02_KICH_BAN_NODES'!E83)</f>
        <v/>
      </c>
      <c r="C97" s="2" t="str">
        <f>IF(A97="","",COUNTIF('03_LUA_CHON'!$A$5:$A$404,A97))</f>
        <v/>
      </c>
      <c r="D97" s="2" t="str">
        <f>IF(A97="","",COUNTIFS('03_LUA_CHON'!$A$5:$A$404,A97,'03_LUA_CHON'!$D$5:$D$404,"Có"))</f>
        <v/>
      </c>
      <c r="E97" s="2" t="str">
        <f t="shared" si="4"/>
        <v/>
      </c>
      <c r="F97" s="2" t="str">
        <f t="shared" si="5"/>
        <v/>
      </c>
    </row>
    <row r="98" spans="1:6">
      <c r="A98" s="2" t="str">
        <f>IF('02_KICH_BAN_NODES'!D84="choice",'02_KICH_BAN_NODES'!B84,"")</f>
        <v/>
      </c>
      <c r="B98" s="2" t="str">
        <f>IF(A98="","",'02_KICH_BAN_NODES'!E84)</f>
        <v/>
      </c>
      <c r="C98" s="2" t="str">
        <f>IF(A98="","",COUNTIF('03_LUA_CHON'!$A$5:$A$404,A98))</f>
        <v/>
      </c>
      <c r="D98" s="2" t="str">
        <f>IF(A98="","",COUNTIFS('03_LUA_CHON'!$A$5:$A$404,A98,'03_LUA_CHON'!$D$5:$D$404,"Có"))</f>
        <v/>
      </c>
      <c r="E98" s="2" t="str">
        <f t="shared" si="4"/>
        <v/>
      </c>
      <c r="F98" s="2" t="str">
        <f t="shared" si="5"/>
        <v/>
      </c>
    </row>
    <row r="99" spans="1:6">
      <c r="A99" s="2" t="str">
        <f>IF('02_KICH_BAN_NODES'!D85="choice",'02_KICH_BAN_NODES'!B85,"")</f>
        <v/>
      </c>
      <c r="B99" s="2" t="str">
        <f>IF(A99="","",'02_KICH_BAN_NODES'!E85)</f>
        <v/>
      </c>
      <c r="C99" s="2" t="str">
        <f>IF(A99="","",COUNTIF('03_LUA_CHON'!$A$5:$A$404,A99))</f>
        <v/>
      </c>
      <c r="D99" s="2" t="str">
        <f>IF(A99="","",COUNTIFS('03_LUA_CHON'!$A$5:$A$404,A99,'03_LUA_CHON'!$D$5:$D$404,"Có"))</f>
        <v/>
      </c>
      <c r="E99" s="2" t="str">
        <f t="shared" si="4"/>
        <v/>
      </c>
      <c r="F99" s="2" t="str">
        <f t="shared" si="5"/>
        <v/>
      </c>
    </row>
    <row r="100" spans="1:6">
      <c r="A100" s="2" t="str">
        <f>IF('02_KICH_BAN_NODES'!D86="choice",'02_KICH_BAN_NODES'!B86,"")</f>
        <v/>
      </c>
      <c r="B100" s="2" t="str">
        <f>IF(A100="","",'02_KICH_BAN_NODES'!E86)</f>
        <v/>
      </c>
      <c r="C100" s="2" t="str">
        <f>IF(A100="","",COUNTIF('03_LUA_CHON'!$A$5:$A$404,A100))</f>
        <v/>
      </c>
      <c r="D100" s="2" t="str">
        <f>IF(A100="","",COUNTIFS('03_LUA_CHON'!$A$5:$A$404,A100,'03_LUA_CHON'!$D$5:$D$404,"Có"))</f>
        <v/>
      </c>
      <c r="E100" s="2" t="str">
        <f t="shared" si="4"/>
        <v/>
      </c>
      <c r="F100" s="2" t="str">
        <f t="shared" si="5"/>
        <v/>
      </c>
    </row>
    <row r="101" spans="1:6">
      <c r="A101" s="2" t="str">
        <f>IF('02_KICH_BAN_NODES'!D87="choice",'02_KICH_BAN_NODES'!B87,"")</f>
        <v/>
      </c>
      <c r="B101" s="2" t="str">
        <f>IF(A101="","",'02_KICH_BAN_NODES'!E87)</f>
        <v/>
      </c>
      <c r="C101" s="2" t="str">
        <f>IF(A101="","",COUNTIF('03_LUA_CHON'!$A$5:$A$404,A101))</f>
        <v/>
      </c>
      <c r="D101" s="2" t="str">
        <f>IF(A101="","",COUNTIFS('03_LUA_CHON'!$A$5:$A$404,A101,'03_LUA_CHON'!$D$5:$D$404,"Có"))</f>
        <v/>
      </c>
      <c r="E101" s="2" t="str">
        <f t="shared" si="4"/>
        <v/>
      </c>
      <c r="F101" s="2" t="str">
        <f t="shared" si="5"/>
        <v/>
      </c>
    </row>
    <row r="102" spans="1:6">
      <c r="A102" s="2" t="str">
        <f>IF('02_KICH_BAN_NODES'!D88="choice",'02_KICH_BAN_NODES'!B88,"")</f>
        <v/>
      </c>
      <c r="B102" s="2" t="str">
        <f>IF(A102="","",'02_KICH_BAN_NODES'!E88)</f>
        <v/>
      </c>
      <c r="C102" s="2" t="str">
        <f>IF(A102="","",COUNTIF('03_LUA_CHON'!$A$5:$A$404,A102))</f>
        <v/>
      </c>
      <c r="D102" s="2" t="str">
        <f>IF(A102="","",COUNTIFS('03_LUA_CHON'!$A$5:$A$404,A102,'03_LUA_CHON'!$D$5:$D$404,"Có"))</f>
        <v/>
      </c>
      <c r="E102" s="2" t="str">
        <f t="shared" si="4"/>
        <v/>
      </c>
      <c r="F102" s="2" t="str">
        <f t="shared" si="5"/>
        <v/>
      </c>
    </row>
    <row r="103" spans="1:6">
      <c r="A103" s="2" t="str">
        <f>IF('02_KICH_BAN_NODES'!D89="choice",'02_KICH_BAN_NODES'!B89,"")</f>
        <v/>
      </c>
      <c r="B103" s="2" t="str">
        <f>IF(A103="","",'02_KICH_BAN_NODES'!E89)</f>
        <v/>
      </c>
      <c r="C103" s="2" t="str">
        <f>IF(A103="","",COUNTIF('03_LUA_CHON'!$A$5:$A$404,A103))</f>
        <v/>
      </c>
      <c r="D103" s="2" t="str">
        <f>IF(A103="","",COUNTIFS('03_LUA_CHON'!$A$5:$A$404,A103,'03_LUA_CHON'!$D$5:$D$404,"Có"))</f>
        <v/>
      </c>
      <c r="E103" s="2" t="str">
        <f t="shared" si="4"/>
        <v/>
      </c>
      <c r="F103" s="2" t="str">
        <f t="shared" si="5"/>
        <v/>
      </c>
    </row>
    <row r="104" spans="1:6">
      <c r="A104" s="2" t="str">
        <f>IF('02_KICH_BAN_NODES'!D90="choice",'02_KICH_BAN_NODES'!B90,"")</f>
        <v/>
      </c>
      <c r="B104" s="2" t="str">
        <f>IF(A104="","",'02_KICH_BAN_NODES'!E90)</f>
        <v/>
      </c>
      <c r="C104" s="2" t="str">
        <f>IF(A104="","",COUNTIF('03_LUA_CHON'!$A$5:$A$404,A104))</f>
        <v/>
      </c>
      <c r="D104" s="2" t="str">
        <f>IF(A104="","",COUNTIFS('03_LUA_CHON'!$A$5:$A$404,A104,'03_LUA_CHON'!$D$5:$D$404,"Có"))</f>
        <v/>
      </c>
      <c r="E104" s="2" t="str">
        <f t="shared" si="4"/>
        <v/>
      </c>
      <c r="F104" s="2" t="str">
        <f t="shared" si="5"/>
        <v/>
      </c>
    </row>
    <row r="105" spans="1:6">
      <c r="A105" s="2" t="str">
        <f>IF('02_KICH_BAN_NODES'!D91="choice",'02_KICH_BAN_NODES'!B91,"")</f>
        <v/>
      </c>
      <c r="B105" s="2" t="str">
        <f>IF(A105="","",'02_KICH_BAN_NODES'!E91)</f>
        <v/>
      </c>
      <c r="C105" s="2" t="str">
        <f>IF(A105="","",COUNTIF('03_LUA_CHON'!$A$5:$A$404,A105))</f>
        <v/>
      </c>
      <c r="D105" s="2" t="str">
        <f>IF(A105="","",COUNTIFS('03_LUA_CHON'!$A$5:$A$404,A105,'03_LUA_CHON'!$D$5:$D$404,"Có"))</f>
        <v/>
      </c>
      <c r="E105" s="2" t="str">
        <f t="shared" si="4"/>
        <v/>
      </c>
      <c r="F105" s="2" t="str">
        <f t="shared" si="5"/>
        <v/>
      </c>
    </row>
    <row r="106" spans="1:6">
      <c r="A106" s="2" t="str">
        <f>IF('02_KICH_BAN_NODES'!D92="choice",'02_KICH_BAN_NODES'!B92,"")</f>
        <v/>
      </c>
      <c r="B106" s="2" t="str">
        <f>IF(A106="","",'02_KICH_BAN_NODES'!E92)</f>
        <v/>
      </c>
      <c r="C106" s="2" t="str">
        <f>IF(A106="","",COUNTIF('03_LUA_CHON'!$A$5:$A$404,A106))</f>
        <v/>
      </c>
      <c r="D106" s="2" t="str">
        <f>IF(A106="","",COUNTIFS('03_LUA_CHON'!$A$5:$A$404,A106,'03_LUA_CHON'!$D$5:$D$404,"Có"))</f>
        <v/>
      </c>
      <c r="E106" s="2" t="str">
        <f t="shared" si="4"/>
        <v/>
      </c>
      <c r="F106" s="2" t="str">
        <f t="shared" si="5"/>
        <v/>
      </c>
    </row>
    <row r="107" spans="1:6">
      <c r="A107" s="2" t="str">
        <f>IF('02_KICH_BAN_NODES'!D93="choice",'02_KICH_BAN_NODES'!B93,"")</f>
        <v/>
      </c>
      <c r="B107" s="2" t="str">
        <f>IF(A107="","",'02_KICH_BAN_NODES'!E93)</f>
        <v/>
      </c>
      <c r="C107" s="2" t="str">
        <f>IF(A107="","",COUNTIF('03_LUA_CHON'!$A$5:$A$404,A107))</f>
        <v/>
      </c>
      <c r="D107" s="2" t="str">
        <f>IF(A107="","",COUNTIFS('03_LUA_CHON'!$A$5:$A$404,A107,'03_LUA_CHON'!$D$5:$D$404,"Có"))</f>
        <v/>
      </c>
      <c r="E107" s="2" t="str">
        <f t="shared" si="4"/>
        <v/>
      </c>
      <c r="F107" s="2" t="str">
        <f t="shared" si="5"/>
        <v/>
      </c>
    </row>
    <row r="108" spans="1:6">
      <c r="A108" s="2" t="str">
        <f>IF('02_KICH_BAN_NODES'!D94="choice",'02_KICH_BAN_NODES'!B94,"")</f>
        <v/>
      </c>
      <c r="B108" s="2" t="str">
        <f>IF(A108="","",'02_KICH_BAN_NODES'!E94)</f>
        <v/>
      </c>
      <c r="C108" s="2" t="str">
        <f>IF(A108="","",COUNTIF('03_LUA_CHON'!$A$5:$A$404,A108))</f>
        <v/>
      </c>
      <c r="D108" s="2" t="str">
        <f>IF(A108="","",COUNTIFS('03_LUA_CHON'!$A$5:$A$404,A108,'03_LUA_CHON'!$D$5:$D$404,"Có"))</f>
        <v/>
      </c>
      <c r="E108" s="2" t="str">
        <f t="shared" si="4"/>
        <v/>
      </c>
      <c r="F108" s="2" t="str">
        <f t="shared" si="5"/>
        <v/>
      </c>
    </row>
    <row r="109" spans="1:6">
      <c r="A109" s="2" t="str">
        <f>IF('02_KICH_BAN_NODES'!D95="choice",'02_KICH_BAN_NODES'!B95,"")</f>
        <v/>
      </c>
      <c r="B109" s="2" t="str">
        <f>IF(A109="","",'02_KICH_BAN_NODES'!E95)</f>
        <v/>
      </c>
      <c r="C109" s="2" t="str">
        <f>IF(A109="","",COUNTIF('03_LUA_CHON'!$A$5:$A$404,A109))</f>
        <v/>
      </c>
      <c r="D109" s="2" t="str">
        <f>IF(A109="","",COUNTIFS('03_LUA_CHON'!$A$5:$A$404,A109,'03_LUA_CHON'!$D$5:$D$404,"Có"))</f>
        <v/>
      </c>
      <c r="E109" s="2" t="str">
        <f t="shared" si="4"/>
        <v/>
      </c>
      <c r="F109" s="2" t="str">
        <f t="shared" si="5"/>
        <v/>
      </c>
    </row>
    <row r="110" spans="1:6">
      <c r="A110" s="2" t="str">
        <f>IF('02_KICH_BAN_NODES'!D96="choice",'02_KICH_BAN_NODES'!B96,"")</f>
        <v/>
      </c>
      <c r="B110" s="2" t="str">
        <f>IF(A110="","",'02_KICH_BAN_NODES'!E96)</f>
        <v/>
      </c>
      <c r="C110" s="2" t="str">
        <f>IF(A110="","",COUNTIF('03_LUA_CHON'!$A$5:$A$404,A110))</f>
        <v/>
      </c>
      <c r="D110" s="2" t="str">
        <f>IF(A110="","",COUNTIFS('03_LUA_CHON'!$A$5:$A$404,A110,'03_LUA_CHON'!$D$5:$D$404,"Có"))</f>
        <v/>
      </c>
      <c r="E110" s="2" t="str">
        <f t="shared" si="4"/>
        <v/>
      </c>
      <c r="F110" s="2" t="str">
        <f t="shared" si="5"/>
        <v/>
      </c>
    </row>
    <row r="111" spans="1:6">
      <c r="A111" s="2" t="str">
        <f>IF('02_KICH_BAN_NODES'!D97="choice",'02_KICH_BAN_NODES'!B97,"")</f>
        <v/>
      </c>
      <c r="B111" s="2" t="str">
        <f>IF(A111="","",'02_KICH_BAN_NODES'!E97)</f>
        <v/>
      </c>
      <c r="C111" s="2" t="str">
        <f>IF(A111="","",COUNTIF('03_LUA_CHON'!$A$5:$A$404,A111))</f>
        <v/>
      </c>
      <c r="D111" s="2" t="str">
        <f>IF(A111="","",COUNTIFS('03_LUA_CHON'!$A$5:$A$404,A111,'03_LUA_CHON'!$D$5:$D$404,"Có"))</f>
        <v/>
      </c>
      <c r="E111" s="2" t="str">
        <f t="shared" si="4"/>
        <v/>
      </c>
      <c r="F111" s="2" t="str">
        <f t="shared" si="5"/>
        <v/>
      </c>
    </row>
    <row r="112" spans="1:6">
      <c r="A112" s="2" t="str">
        <f>IF('02_KICH_BAN_NODES'!D98="choice",'02_KICH_BAN_NODES'!B98,"")</f>
        <v/>
      </c>
      <c r="B112" s="2" t="str">
        <f>IF(A112="","",'02_KICH_BAN_NODES'!E98)</f>
        <v/>
      </c>
      <c r="C112" s="2" t="str">
        <f>IF(A112="","",COUNTIF('03_LUA_CHON'!$A$5:$A$404,A112))</f>
        <v/>
      </c>
      <c r="D112" s="2" t="str">
        <f>IF(A112="","",COUNTIFS('03_LUA_CHON'!$A$5:$A$404,A112,'03_LUA_CHON'!$D$5:$D$404,"Có"))</f>
        <v/>
      </c>
      <c r="E112" s="2" t="str">
        <f t="shared" si="4"/>
        <v/>
      </c>
      <c r="F112" s="2" t="str">
        <f t="shared" si="5"/>
        <v/>
      </c>
    </row>
    <row r="113" spans="1:6">
      <c r="A113" s="2" t="str">
        <f>IF('02_KICH_BAN_NODES'!D99="choice",'02_KICH_BAN_NODES'!B99,"")</f>
        <v/>
      </c>
      <c r="B113" s="2" t="str">
        <f>IF(A113="","",'02_KICH_BAN_NODES'!E99)</f>
        <v/>
      </c>
      <c r="C113" s="2" t="str">
        <f>IF(A113="","",COUNTIF('03_LUA_CHON'!$A$5:$A$404,A113))</f>
        <v/>
      </c>
      <c r="D113" s="2" t="str">
        <f>IF(A113="","",COUNTIFS('03_LUA_CHON'!$A$5:$A$404,A113,'03_LUA_CHON'!$D$5:$D$404,"Có"))</f>
        <v/>
      </c>
      <c r="E113" s="2" t="str">
        <f t="shared" si="4"/>
        <v/>
      </c>
      <c r="F113" s="2" t="str">
        <f t="shared" si="5"/>
        <v/>
      </c>
    </row>
    <row r="114" spans="1:6">
      <c r="A114" s="2" t="str">
        <f>IF('02_KICH_BAN_NODES'!D100="choice",'02_KICH_BAN_NODES'!B100,"")</f>
        <v/>
      </c>
      <c r="B114" s="2" t="str">
        <f>IF(A114="","",'02_KICH_BAN_NODES'!E100)</f>
        <v/>
      </c>
      <c r="C114" s="2" t="str">
        <f>IF(A114="","",COUNTIF('03_LUA_CHON'!$A$5:$A$404,A114))</f>
        <v/>
      </c>
      <c r="D114" s="2" t="str">
        <f>IF(A114="","",COUNTIFS('03_LUA_CHON'!$A$5:$A$404,A114,'03_LUA_CHON'!$D$5:$D$404,"Có"))</f>
        <v/>
      </c>
      <c r="E114" s="2" t="str">
        <f t="shared" si="4"/>
        <v/>
      </c>
      <c r="F114" s="2" t="str">
        <f t="shared" si="5"/>
        <v/>
      </c>
    </row>
    <row r="115" spans="1:6">
      <c r="A115" s="2" t="str">
        <f>IF('02_KICH_BAN_NODES'!D101="choice",'02_KICH_BAN_NODES'!B101,"")</f>
        <v/>
      </c>
      <c r="B115" s="2" t="str">
        <f>IF(A115="","",'02_KICH_BAN_NODES'!E101)</f>
        <v/>
      </c>
      <c r="C115" s="2" t="str">
        <f>IF(A115="","",COUNTIF('03_LUA_CHON'!$A$5:$A$404,A115))</f>
        <v/>
      </c>
      <c r="D115" s="2" t="str">
        <f>IF(A115="","",COUNTIFS('03_LUA_CHON'!$A$5:$A$404,A115,'03_LUA_CHON'!$D$5:$D$404,"Có"))</f>
        <v/>
      </c>
      <c r="E115" s="2" t="str">
        <f t="shared" ref="E115:E146" si="6">IF(A115="","",IF(OR(C115&lt;2,C115&gt;4),"CẦN SỬA",IF(AND(B115="Kiến thức",D115=1),"HỢP LỆ",IF(AND(B115="Tương tác",D115=0),"HỢP LỆ","CẦN SỬA"))))</f>
        <v/>
      </c>
      <c r="F115" s="2" t="str">
        <f t="shared" ref="F115:F146" si="7">IF(A115="","",IF(OR(C115&lt;2,C115&gt;4),"Cần 2–4 option",IF(AND(B115="Kiến thức",D115&lt;&gt;1),"Câu kiến thức cần đúng 1 đáp án đúng",IF(AND(B115="Tương tác",D115&lt;&gt;0),"Câu tương tác không có đáp án đúng",IF(B115="","Thiếu ChoiceMode","")))))</f>
        <v/>
      </c>
    </row>
    <row r="116" spans="1:6">
      <c r="A116" s="2" t="str">
        <f>IF('02_KICH_BAN_NODES'!D102="choice",'02_KICH_BAN_NODES'!B102,"")</f>
        <v/>
      </c>
      <c r="B116" s="2" t="str">
        <f>IF(A116="","",'02_KICH_BAN_NODES'!E102)</f>
        <v/>
      </c>
      <c r="C116" s="2" t="str">
        <f>IF(A116="","",COUNTIF('03_LUA_CHON'!$A$5:$A$404,A116))</f>
        <v/>
      </c>
      <c r="D116" s="2" t="str">
        <f>IF(A116="","",COUNTIFS('03_LUA_CHON'!$A$5:$A$404,A116,'03_LUA_CHON'!$D$5:$D$404,"Có"))</f>
        <v/>
      </c>
      <c r="E116" s="2" t="str">
        <f t="shared" si="6"/>
        <v/>
      </c>
      <c r="F116" s="2" t="str">
        <f t="shared" si="7"/>
        <v/>
      </c>
    </row>
    <row r="117" spans="1:6">
      <c r="A117" s="2" t="str">
        <f>IF('02_KICH_BAN_NODES'!D103="choice",'02_KICH_BAN_NODES'!B103,"")</f>
        <v/>
      </c>
      <c r="B117" s="2" t="str">
        <f>IF(A117="","",'02_KICH_BAN_NODES'!E103)</f>
        <v/>
      </c>
      <c r="C117" s="2" t="str">
        <f>IF(A117="","",COUNTIF('03_LUA_CHON'!$A$5:$A$404,A117))</f>
        <v/>
      </c>
      <c r="D117" s="2" t="str">
        <f>IF(A117="","",COUNTIFS('03_LUA_CHON'!$A$5:$A$404,A117,'03_LUA_CHON'!$D$5:$D$404,"Có"))</f>
        <v/>
      </c>
      <c r="E117" s="2" t="str">
        <f t="shared" si="6"/>
        <v/>
      </c>
      <c r="F117" s="2" t="str">
        <f t="shared" si="7"/>
        <v/>
      </c>
    </row>
    <row r="118" spans="1:6">
      <c r="A118" s="2" t="str">
        <f>IF('02_KICH_BAN_NODES'!D104="choice",'02_KICH_BAN_NODES'!B104,"")</f>
        <v/>
      </c>
      <c r="B118" s="2" t="str">
        <f>IF(A118="","",'02_KICH_BAN_NODES'!E104)</f>
        <v/>
      </c>
      <c r="C118" s="2" t="str">
        <f>IF(A118="","",COUNTIF('03_LUA_CHON'!$A$5:$A$404,A118))</f>
        <v/>
      </c>
      <c r="D118" s="2" t="str">
        <f>IF(A118="","",COUNTIFS('03_LUA_CHON'!$A$5:$A$404,A118,'03_LUA_CHON'!$D$5:$D$404,"Có"))</f>
        <v/>
      </c>
      <c r="E118" s="2" t="str">
        <f t="shared" si="6"/>
        <v/>
      </c>
      <c r="F118" s="2" t="str">
        <f t="shared" si="7"/>
        <v/>
      </c>
    </row>
    <row r="119" spans="1:6">
      <c r="A119" s="2" t="str">
        <f>IF('02_KICH_BAN_NODES'!D105="choice",'02_KICH_BAN_NODES'!B105,"")</f>
        <v/>
      </c>
      <c r="B119" s="2" t="str">
        <f>IF(A119="","",'02_KICH_BAN_NODES'!E105)</f>
        <v/>
      </c>
      <c r="C119" s="2" t="str">
        <f>IF(A119="","",COUNTIF('03_LUA_CHON'!$A$5:$A$404,A119))</f>
        <v/>
      </c>
      <c r="D119" s="2" t="str">
        <f>IF(A119="","",COUNTIFS('03_LUA_CHON'!$A$5:$A$404,A119,'03_LUA_CHON'!$D$5:$D$404,"Có"))</f>
        <v/>
      </c>
      <c r="E119" s="2" t="str">
        <f t="shared" si="6"/>
        <v/>
      </c>
      <c r="F119" s="2" t="str">
        <f t="shared" si="7"/>
        <v/>
      </c>
    </row>
    <row r="120" spans="1:6">
      <c r="A120" s="2" t="str">
        <f>IF('02_KICH_BAN_NODES'!D106="choice",'02_KICH_BAN_NODES'!B106,"")</f>
        <v/>
      </c>
      <c r="B120" s="2" t="str">
        <f>IF(A120="","",'02_KICH_BAN_NODES'!E106)</f>
        <v/>
      </c>
      <c r="C120" s="2" t="str">
        <f>IF(A120="","",COUNTIF('03_LUA_CHON'!$A$5:$A$404,A120))</f>
        <v/>
      </c>
      <c r="D120" s="2" t="str">
        <f>IF(A120="","",COUNTIFS('03_LUA_CHON'!$A$5:$A$404,A120,'03_LUA_CHON'!$D$5:$D$404,"Có"))</f>
        <v/>
      </c>
      <c r="E120" s="2" t="str">
        <f t="shared" si="6"/>
        <v/>
      </c>
      <c r="F120" s="2" t="str">
        <f t="shared" si="7"/>
        <v/>
      </c>
    </row>
    <row r="121" spans="1:6">
      <c r="A121" s="2" t="str">
        <f>IF('02_KICH_BAN_NODES'!D107="choice",'02_KICH_BAN_NODES'!B107,"")</f>
        <v/>
      </c>
      <c r="B121" s="2" t="str">
        <f>IF(A121="","",'02_KICH_BAN_NODES'!E107)</f>
        <v/>
      </c>
      <c r="C121" s="2" t="str">
        <f>IF(A121="","",COUNTIF('03_LUA_CHON'!$A$5:$A$404,A121))</f>
        <v/>
      </c>
      <c r="D121" s="2" t="str">
        <f>IF(A121="","",COUNTIFS('03_LUA_CHON'!$A$5:$A$404,A121,'03_LUA_CHON'!$D$5:$D$404,"Có"))</f>
        <v/>
      </c>
      <c r="E121" s="2" t="str">
        <f t="shared" si="6"/>
        <v/>
      </c>
      <c r="F121" s="2" t="str">
        <f t="shared" si="7"/>
        <v/>
      </c>
    </row>
    <row r="122" spans="1:6">
      <c r="A122" s="2" t="str">
        <f>IF('02_KICH_BAN_NODES'!D108="choice",'02_KICH_BAN_NODES'!B108,"")</f>
        <v/>
      </c>
      <c r="B122" s="2" t="str">
        <f>IF(A122="","",'02_KICH_BAN_NODES'!E108)</f>
        <v/>
      </c>
      <c r="C122" s="2" t="str">
        <f>IF(A122="","",COUNTIF('03_LUA_CHON'!$A$5:$A$404,A122))</f>
        <v/>
      </c>
      <c r="D122" s="2" t="str">
        <f>IF(A122="","",COUNTIFS('03_LUA_CHON'!$A$5:$A$404,A122,'03_LUA_CHON'!$D$5:$D$404,"Có"))</f>
        <v/>
      </c>
      <c r="E122" s="2" t="str">
        <f t="shared" si="6"/>
        <v/>
      </c>
      <c r="F122" s="2" t="str">
        <f t="shared" si="7"/>
        <v/>
      </c>
    </row>
    <row r="123" spans="1:6">
      <c r="A123" s="2" t="str">
        <f>IF('02_KICH_BAN_NODES'!D109="choice",'02_KICH_BAN_NODES'!B109,"")</f>
        <v/>
      </c>
      <c r="B123" s="2" t="str">
        <f>IF(A123="","",'02_KICH_BAN_NODES'!E109)</f>
        <v/>
      </c>
      <c r="C123" s="2" t="str">
        <f>IF(A123="","",COUNTIF('03_LUA_CHON'!$A$5:$A$404,A123))</f>
        <v/>
      </c>
      <c r="D123" s="2" t="str">
        <f>IF(A123="","",COUNTIFS('03_LUA_CHON'!$A$5:$A$404,A123,'03_LUA_CHON'!$D$5:$D$404,"Có"))</f>
        <v/>
      </c>
      <c r="E123" s="2" t="str">
        <f t="shared" si="6"/>
        <v/>
      </c>
      <c r="F123" s="2" t="str">
        <f t="shared" si="7"/>
        <v/>
      </c>
    </row>
    <row r="124" spans="1:6">
      <c r="A124" s="2" t="str">
        <f>IF('02_KICH_BAN_NODES'!D110="choice",'02_KICH_BAN_NODES'!B110,"")</f>
        <v/>
      </c>
      <c r="B124" s="2" t="str">
        <f>IF(A124="","",'02_KICH_BAN_NODES'!E110)</f>
        <v/>
      </c>
      <c r="C124" s="2" t="str">
        <f>IF(A124="","",COUNTIF('03_LUA_CHON'!$A$5:$A$404,A124))</f>
        <v/>
      </c>
      <c r="D124" s="2" t="str">
        <f>IF(A124="","",COUNTIFS('03_LUA_CHON'!$A$5:$A$404,A124,'03_LUA_CHON'!$D$5:$D$404,"Có"))</f>
        <v/>
      </c>
      <c r="E124" s="2" t="str">
        <f t="shared" si="6"/>
        <v/>
      </c>
      <c r="F124" s="2" t="str">
        <f t="shared" si="7"/>
        <v/>
      </c>
    </row>
    <row r="125" spans="1:6">
      <c r="A125" s="2" t="str">
        <f>IF('02_KICH_BAN_NODES'!D111="choice",'02_KICH_BAN_NODES'!B111,"")</f>
        <v/>
      </c>
      <c r="B125" s="2" t="str">
        <f>IF(A125="","",'02_KICH_BAN_NODES'!E111)</f>
        <v/>
      </c>
      <c r="C125" s="2" t="str">
        <f>IF(A125="","",COUNTIF('03_LUA_CHON'!$A$5:$A$404,A125))</f>
        <v/>
      </c>
      <c r="D125" s="2" t="str">
        <f>IF(A125="","",COUNTIFS('03_LUA_CHON'!$A$5:$A$404,A125,'03_LUA_CHON'!$D$5:$D$404,"Có"))</f>
        <v/>
      </c>
      <c r="E125" s="2" t="str">
        <f t="shared" si="6"/>
        <v/>
      </c>
      <c r="F125" s="2" t="str">
        <f t="shared" si="7"/>
        <v/>
      </c>
    </row>
    <row r="126" spans="1:6">
      <c r="A126" s="2" t="str">
        <f>IF('02_KICH_BAN_NODES'!D112="choice",'02_KICH_BAN_NODES'!B112,"")</f>
        <v/>
      </c>
      <c r="B126" s="2" t="str">
        <f>IF(A126="","",'02_KICH_BAN_NODES'!E112)</f>
        <v/>
      </c>
      <c r="C126" s="2" t="str">
        <f>IF(A126="","",COUNTIF('03_LUA_CHON'!$A$5:$A$404,A126))</f>
        <v/>
      </c>
      <c r="D126" s="2" t="str">
        <f>IF(A126="","",COUNTIFS('03_LUA_CHON'!$A$5:$A$404,A126,'03_LUA_CHON'!$D$5:$D$404,"Có"))</f>
        <v/>
      </c>
      <c r="E126" s="2" t="str">
        <f t="shared" si="6"/>
        <v/>
      </c>
      <c r="F126" s="2" t="str">
        <f t="shared" si="7"/>
        <v/>
      </c>
    </row>
    <row r="127" spans="1:6">
      <c r="A127" s="2" t="str">
        <f>IF('02_KICH_BAN_NODES'!D113="choice",'02_KICH_BAN_NODES'!B113,"")</f>
        <v/>
      </c>
      <c r="B127" s="2" t="str">
        <f>IF(A127="","",'02_KICH_BAN_NODES'!E113)</f>
        <v/>
      </c>
      <c r="C127" s="2" t="str">
        <f>IF(A127="","",COUNTIF('03_LUA_CHON'!$A$5:$A$404,A127))</f>
        <v/>
      </c>
      <c r="D127" s="2" t="str">
        <f>IF(A127="","",COUNTIFS('03_LUA_CHON'!$A$5:$A$404,A127,'03_LUA_CHON'!$D$5:$D$404,"Có"))</f>
        <v/>
      </c>
      <c r="E127" s="2" t="str">
        <f t="shared" si="6"/>
        <v/>
      </c>
      <c r="F127" s="2" t="str">
        <f t="shared" si="7"/>
        <v/>
      </c>
    </row>
    <row r="128" spans="1:6">
      <c r="A128" s="2" t="str">
        <f>IF('02_KICH_BAN_NODES'!D114="choice",'02_KICH_BAN_NODES'!B114,"")</f>
        <v/>
      </c>
      <c r="B128" s="2" t="str">
        <f>IF(A128="","",'02_KICH_BAN_NODES'!E114)</f>
        <v/>
      </c>
      <c r="C128" s="2" t="str">
        <f>IF(A128="","",COUNTIF('03_LUA_CHON'!$A$5:$A$404,A128))</f>
        <v/>
      </c>
      <c r="D128" s="2" t="str">
        <f>IF(A128="","",COUNTIFS('03_LUA_CHON'!$A$5:$A$404,A128,'03_LUA_CHON'!$D$5:$D$404,"Có"))</f>
        <v/>
      </c>
      <c r="E128" s="2" t="str">
        <f t="shared" si="6"/>
        <v/>
      </c>
      <c r="F128" s="2" t="str">
        <f t="shared" si="7"/>
        <v/>
      </c>
    </row>
    <row r="129" spans="1:6">
      <c r="A129" s="2" t="str">
        <f>IF('02_KICH_BAN_NODES'!D115="choice",'02_KICH_BAN_NODES'!B115,"")</f>
        <v/>
      </c>
      <c r="B129" s="2" t="str">
        <f>IF(A129="","",'02_KICH_BAN_NODES'!E115)</f>
        <v/>
      </c>
      <c r="C129" s="2" t="str">
        <f>IF(A129="","",COUNTIF('03_LUA_CHON'!$A$5:$A$404,A129))</f>
        <v/>
      </c>
      <c r="D129" s="2" t="str">
        <f>IF(A129="","",COUNTIFS('03_LUA_CHON'!$A$5:$A$404,A129,'03_LUA_CHON'!$D$5:$D$404,"Có"))</f>
        <v/>
      </c>
      <c r="E129" s="2" t="str">
        <f t="shared" si="6"/>
        <v/>
      </c>
      <c r="F129" s="2" t="str">
        <f t="shared" si="7"/>
        <v/>
      </c>
    </row>
    <row r="130" spans="1:6">
      <c r="A130" s="2" t="str">
        <f>IF('02_KICH_BAN_NODES'!D116="choice",'02_KICH_BAN_NODES'!B116,"")</f>
        <v/>
      </c>
      <c r="B130" s="2" t="str">
        <f>IF(A130="","",'02_KICH_BAN_NODES'!E116)</f>
        <v/>
      </c>
      <c r="C130" s="2" t="str">
        <f>IF(A130="","",COUNTIF('03_LUA_CHON'!$A$5:$A$404,A130))</f>
        <v/>
      </c>
      <c r="D130" s="2" t="str">
        <f>IF(A130="","",COUNTIFS('03_LUA_CHON'!$A$5:$A$404,A130,'03_LUA_CHON'!$D$5:$D$404,"Có"))</f>
        <v/>
      </c>
      <c r="E130" s="2" t="str">
        <f t="shared" si="6"/>
        <v/>
      </c>
      <c r="F130" s="2" t="str">
        <f t="shared" si="7"/>
        <v/>
      </c>
    </row>
    <row r="131" spans="1:6">
      <c r="A131" s="2" t="str">
        <f>IF('02_KICH_BAN_NODES'!D117="choice",'02_KICH_BAN_NODES'!B117,"")</f>
        <v/>
      </c>
      <c r="B131" s="2" t="str">
        <f>IF(A131="","",'02_KICH_BAN_NODES'!E117)</f>
        <v/>
      </c>
      <c r="C131" s="2" t="str">
        <f>IF(A131="","",COUNTIF('03_LUA_CHON'!$A$5:$A$404,A131))</f>
        <v/>
      </c>
      <c r="D131" s="2" t="str">
        <f>IF(A131="","",COUNTIFS('03_LUA_CHON'!$A$5:$A$404,A131,'03_LUA_CHON'!$D$5:$D$404,"Có"))</f>
        <v/>
      </c>
      <c r="E131" s="2" t="str">
        <f t="shared" si="6"/>
        <v/>
      </c>
      <c r="F131" s="2" t="str">
        <f t="shared" si="7"/>
        <v/>
      </c>
    </row>
    <row r="132" spans="1:6">
      <c r="A132" s="2" t="str">
        <f>IF('02_KICH_BAN_NODES'!D118="choice",'02_KICH_BAN_NODES'!B118,"")</f>
        <v/>
      </c>
      <c r="B132" s="2" t="str">
        <f>IF(A132="","",'02_KICH_BAN_NODES'!E118)</f>
        <v/>
      </c>
      <c r="C132" s="2" t="str">
        <f>IF(A132="","",COUNTIF('03_LUA_CHON'!$A$5:$A$404,A132))</f>
        <v/>
      </c>
      <c r="D132" s="2" t="str">
        <f>IF(A132="","",COUNTIFS('03_LUA_CHON'!$A$5:$A$404,A132,'03_LUA_CHON'!$D$5:$D$404,"Có"))</f>
        <v/>
      </c>
      <c r="E132" s="2" t="str">
        <f t="shared" si="6"/>
        <v/>
      </c>
      <c r="F132" s="2" t="str">
        <f t="shared" si="7"/>
        <v/>
      </c>
    </row>
    <row r="133" spans="1:6">
      <c r="A133" s="2" t="str">
        <f>IF('02_KICH_BAN_NODES'!D119="choice",'02_KICH_BAN_NODES'!B119,"")</f>
        <v/>
      </c>
      <c r="B133" s="2" t="str">
        <f>IF(A133="","",'02_KICH_BAN_NODES'!E119)</f>
        <v/>
      </c>
      <c r="C133" s="2" t="str">
        <f>IF(A133="","",COUNTIF('03_LUA_CHON'!$A$5:$A$404,A133))</f>
        <v/>
      </c>
      <c r="D133" s="2" t="str">
        <f>IF(A133="","",COUNTIFS('03_LUA_CHON'!$A$5:$A$404,A133,'03_LUA_CHON'!$D$5:$D$404,"Có"))</f>
        <v/>
      </c>
      <c r="E133" s="2" t="str">
        <f t="shared" si="6"/>
        <v/>
      </c>
      <c r="F133" s="2" t="str">
        <f t="shared" si="7"/>
        <v/>
      </c>
    </row>
    <row r="134" spans="1:6">
      <c r="A134" s="2" t="str">
        <f>IF('02_KICH_BAN_NODES'!D120="choice",'02_KICH_BAN_NODES'!B120,"")</f>
        <v/>
      </c>
      <c r="B134" s="2" t="str">
        <f>IF(A134="","",'02_KICH_BAN_NODES'!E120)</f>
        <v/>
      </c>
      <c r="C134" s="2" t="str">
        <f>IF(A134="","",COUNTIF('03_LUA_CHON'!$A$5:$A$404,A134))</f>
        <v/>
      </c>
      <c r="D134" s="2" t="str">
        <f>IF(A134="","",COUNTIFS('03_LUA_CHON'!$A$5:$A$404,A134,'03_LUA_CHON'!$D$5:$D$404,"Có"))</f>
        <v/>
      </c>
      <c r="E134" s="2" t="str">
        <f t="shared" si="6"/>
        <v/>
      </c>
      <c r="F134" s="2" t="str">
        <f t="shared" si="7"/>
        <v/>
      </c>
    </row>
    <row r="135" spans="1:6">
      <c r="A135" s="2" t="str">
        <f>IF('02_KICH_BAN_NODES'!D121="choice",'02_KICH_BAN_NODES'!B121,"")</f>
        <v/>
      </c>
      <c r="B135" s="2" t="str">
        <f>IF(A135="","",'02_KICH_BAN_NODES'!E121)</f>
        <v/>
      </c>
      <c r="C135" s="2" t="str">
        <f>IF(A135="","",COUNTIF('03_LUA_CHON'!$A$5:$A$404,A135))</f>
        <v/>
      </c>
      <c r="D135" s="2" t="str">
        <f>IF(A135="","",COUNTIFS('03_LUA_CHON'!$A$5:$A$404,A135,'03_LUA_CHON'!$D$5:$D$404,"Có"))</f>
        <v/>
      </c>
      <c r="E135" s="2" t="str">
        <f t="shared" si="6"/>
        <v/>
      </c>
      <c r="F135" s="2" t="str">
        <f t="shared" si="7"/>
        <v/>
      </c>
    </row>
    <row r="136" spans="1:6">
      <c r="A136" s="2" t="str">
        <f>IF('02_KICH_BAN_NODES'!D122="choice",'02_KICH_BAN_NODES'!B122,"")</f>
        <v/>
      </c>
      <c r="B136" s="2" t="str">
        <f>IF(A136="","",'02_KICH_BAN_NODES'!E122)</f>
        <v/>
      </c>
      <c r="C136" s="2" t="str">
        <f>IF(A136="","",COUNTIF('03_LUA_CHON'!$A$5:$A$404,A136))</f>
        <v/>
      </c>
      <c r="D136" s="2" t="str">
        <f>IF(A136="","",COUNTIFS('03_LUA_CHON'!$A$5:$A$404,A136,'03_LUA_CHON'!$D$5:$D$404,"Có"))</f>
        <v/>
      </c>
      <c r="E136" s="2" t="str">
        <f t="shared" si="6"/>
        <v/>
      </c>
      <c r="F136" s="2" t="str">
        <f t="shared" si="7"/>
        <v/>
      </c>
    </row>
    <row r="137" spans="1:6">
      <c r="A137" s="2" t="str">
        <f>IF('02_KICH_BAN_NODES'!D123="choice",'02_KICH_BAN_NODES'!B123,"")</f>
        <v/>
      </c>
      <c r="B137" s="2" t="str">
        <f>IF(A137="","",'02_KICH_BAN_NODES'!E123)</f>
        <v/>
      </c>
      <c r="C137" s="2" t="str">
        <f>IF(A137="","",COUNTIF('03_LUA_CHON'!$A$5:$A$404,A137))</f>
        <v/>
      </c>
      <c r="D137" s="2" t="str">
        <f>IF(A137="","",COUNTIFS('03_LUA_CHON'!$A$5:$A$404,A137,'03_LUA_CHON'!$D$5:$D$404,"Có"))</f>
        <v/>
      </c>
      <c r="E137" s="2" t="str">
        <f t="shared" si="6"/>
        <v/>
      </c>
      <c r="F137" s="2" t="str">
        <f t="shared" si="7"/>
        <v/>
      </c>
    </row>
    <row r="138" spans="1:6">
      <c r="A138" s="2" t="str">
        <f>IF('02_KICH_BAN_NODES'!D124="choice",'02_KICH_BAN_NODES'!B124,"")</f>
        <v/>
      </c>
      <c r="B138" s="2" t="str">
        <f>IF(A138="","",'02_KICH_BAN_NODES'!E124)</f>
        <v/>
      </c>
      <c r="C138" s="2" t="str">
        <f>IF(A138="","",COUNTIF('03_LUA_CHON'!$A$5:$A$404,A138))</f>
        <v/>
      </c>
      <c r="D138" s="2" t="str">
        <f>IF(A138="","",COUNTIFS('03_LUA_CHON'!$A$5:$A$404,A138,'03_LUA_CHON'!$D$5:$D$404,"Có"))</f>
        <v/>
      </c>
      <c r="E138" s="2" t="str">
        <f t="shared" si="6"/>
        <v/>
      </c>
      <c r="F138" s="2" t="str">
        <f t="shared" si="7"/>
        <v/>
      </c>
    </row>
    <row r="139" spans="1:6">
      <c r="A139" s="2" t="str">
        <f>IF('02_KICH_BAN_NODES'!D125="choice",'02_KICH_BAN_NODES'!B125,"")</f>
        <v/>
      </c>
      <c r="B139" s="2" t="str">
        <f>IF(A139="","",'02_KICH_BAN_NODES'!E125)</f>
        <v/>
      </c>
      <c r="C139" s="2" t="str">
        <f>IF(A139="","",COUNTIF('03_LUA_CHON'!$A$5:$A$404,A139))</f>
        <v/>
      </c>
      <c r="D139" s="2" t="str">
        <f>IF(A139="","",COUNTIFS('03_LUA_CHON'!$A$5:$A$404,A139,'03_LUA_CHON'!$D$5:$D$404,"Có"))</f>
        <v/>
      </c>
      <c r="E139" s="2" t="str">
        <f t="shared" si="6"/>
        <v/>
      </c>
      <c r="F139" s="2" t="str">
        <f t="shared" si="7"/>
        <v/>
      </c>
    </row>
    <row r="140" spans="1:6">
      <c r="A140" s="2" t="str">
        <f>IF('02_KICH_BAN_NODES'!D126="choice",'02_KICH_BAN_NODES'!B126,"")</f>
        <v/>
      </c>
      <c r="B140" s="2" t="str">
        <f>IF(A140="","",'02_KICH_BAN_NODES'!E126)</f>
        <v/>
      </c>
      <c r="C140" s="2" t="str">
        <f>IF(A140="","",COUNTIF('03_LUA_CHON'!$A$5:$A$404,A140))</f>
        <v/>
      </c>
      <c r="D140" s="2" t="str">
        <f>IF(A140="","",COUNTIFS('03_LUA_CHON'!$A$5:$A$404,A140,'03_LUA_CHON'!$D$5:$D$404,"Có"))</f>
        <v/>
      </c>
      <c r="E140" s="2" t="str">
        <f t="shared" si="6"/>
        <v/>
      </c>
      <c r="F140" s="2" t="str">
        <f t="shared" si="7"/>
        <v/>
      </c>
    </row>
    <row r="141" spans="1:6">
      <c r="A141" s="2" t="str">
        <f>IF('02_KICH_BAN_NODES'!D127="choice",'02_KICH_BAN_NODES'!B127,"")</f>
        <v/>
      </c>
      <c r="B141" s="2" t="str">
        <f>IF(A141="","",'02_KICH_BAN_NODES'!E127)</f>
        <v/>
      </c>
      <c r="C141" s="2" t="str">
        <f>IF(A141="","",COUNTIF('03_LUA_CHON'!$A$5:$A$404,A141))</f>
        <v/>
      </c>
      <c r="D141" s="2" t="str">
        <f>IF(A141="","",COUNTIFS('03_LUA_CHON'!$A$5:$A$404,A141,'03_LUA_CHON'!$D$5:$D$404,"Có"))</f>
        <v/>
      </c>
      <c r="E141" s="2" t="str">
        <f t="shared" si="6"/>
        <v/>
      </c>
      <c r="F141" s="2" t="str">
        <f t="shared" si="7"/>
        <v/>
      </c>
    </row>
    <row r="142" spans="1:6">
      <c r="A142" s="2" t="str">
        <f>IF('02_KICH_BAN_NODES'!D128="choice",'02_KICH_BAN_NODES'!B128,"")</f>
        <v/>
      </c>
      <c r="B142" s="2" t="str">
        <f>IF(A142="","",'02_KICH_BAN_NODES'!E128)</f>
        <v/>
      </c>
      <c r="C142" s="2" t="str">
        <f>IF(A142="","",COUNTIF('03_LUA_CHON'!$A$5:$A$404,A142))</f>
        <v/>
      </c>
      <c r="D142" s="2" t="str">
        <f>IF(A142="","",COUNTIFS('03_LUA_CHON'!$A$5:$A$404,A142,'03_LUA_CHON'!$D$5:$D$404,"Có"))</f>
        <v/>
      </c>
      <c r="E142" s="2" t="str">
        <f t="shared" si="6"/>
        <v/>
      </c>
      <c r="F142" s="2" t="str">
        <f t="shared" si="7"/>
        <v/>
      </c>
    </row>
    <row r="143" spans="1:6">
      <c r="A143" s="2" t="str">
        <f>IF('02_KICH_BAN_NODES'!D129="choice",'02_KICH_BAN_NODES'!B129,"")</f>
        <v/>
      </c>
      <c r="B143" s="2" t="str">
        <f>IF(A143="","",'02_KICH_BAN_NODES'!E129)</f>
        <v/>
      </c>
      <c r="C143" s="2" t="str">
        <f>IF(A143="","",COUNTIF('03_LUA_CHON'!$A$5:$A$404,A143))</f>
        <v/>
      </c>
      <c r="D143" s="2" t="str">
        <f>IF(A143="","",COUNTIFS('03_LUA_CHON'!$A$5:$A$404,A143,'03_LUA_CHON'!$D$5:$D$404,"Có"))</f>
        <v/>
      </c>
      <c r="E143" s="2" t="str">
        <f t="shared" si="6"/>
        <v/>
      </c>
      <c r="F143" s="2" t="str">
        <f t="shared" si="7"/>
        <v/>
      </c>
    </row>
    <row r="144" spans="1:6">
      <c r="A144" s="2" t="str">
        <f>IF('02_KICH_BAN_NODES'!D130="choice",'02_KICH_BAN_NODES'!B130,"")</f>
        <v/>
      </c>
      <c r="B144" s="2" t="str">
        <f>IF(A144="","",'02_KICH_BAN_NODES'!E130)</f>
        <v/>
      </c>
      <c r="C144" s="2" t="str">
        <f>IF(A144="","",COUNTIF('03_LUA_CHON'!$A$5:$A$404,A144))</f>
        <v/>
      </c>
      <c r="D144" s="2" t="str">
        <f>IF(A144="","",COUNTIFS('03_LUA_CHON'!$A$5:$A$404,A144,'03_LUA_CHON'!$D$5:$D$404,"Có"))</f>
        <v/>
      </c>
      <c r="E144" s="2" t="str">
        <f t="shared" si="6"/>
        <v/>
      </c>
      <c r="F144" s="2" t="str">
        <f t="shared" si="7"/>
        <v/>
      </c>
    </row>
    <row r="145" spans="1:6">
      <c r="A145" s="2" t="str">
        <f>IF('02_KICH_BAN_NODES'!D131="choice",'02_KICH_BAN_NODES'!B131,"")</f>
        <v/>
      </c>
      <c r="B145" s="2" t="str">
        <f>IF(A145="","",'02_KICH_BAN_NODES'!E131)</f>
        <v/>
      </c>
      <c r="C145" s="2" t="str">
        <f>IF(A145="","",COUNTIF('03_LUA_CHON'!$A$5:$A$404,A145))</f>
        <v/>
      </c>
      <c r="D145" s="2" t="str">
        <f>IF(A145="","",COUNTIFS('03_LUA_CHON'!$A$5:$A$404,A145,'03_LUA_CHON'!$D$5:$D$404,"Có"))</f>
        <v/>
      </c>
      <c r="E145" s="2" t="str">
        <f t="shared" si="6"/>
        <v/>
      </c>
      <c r="F145" s="2" t="str">
        <f t="shared" si="7"/>
        <v/>
      </c>
    </row>
    <row r="146" spans="1:6">
      <c r="A146" s="2" t="str">
        <f>IF('02_KICH_BAN_NODES'!D132="choice",'02_KICH_BAN_NODES'!B132,"")</f>
        <v/>
      </c>
      <c r="B146" s="2" t="str">
        <f>IF(A146="","",'02_KICH_BAN_NODES'!E132)</f>
        <v/>
      </c>
      <c r="C146" s="2" t="str">
        <f>IF(A146="","",COUNTIF('03_LUA_CHON'!$A$5:$A$404,A146))</f>
        <v/>
      </c>
      <c r="D146" s="2" t="str">
        <f>IF(A146="","",COUNTIFS('03_LUA_CHON'!$A$5:$A$404,A146,'03_LUA_CHON'!$D$5:$D$404,"Có"))</f>
        <v/>
      </c>
      <c r="E146" s="2" t="str">
        <f t="shared" si="6"/>
        <v/>
      </c>
      <c r="F146" s="2" t="str">
        <f t="shared" si="7"/>
        <v/>
      </c>
    </row>
    <row r="147" spans="1:6">
      <c r="A147" s="2" t="str">
        <f>IF('02_KICH_BAN_NODES'!D133="choice",'02_KICH_BAN_NODES'!B133,"")</f>
        <v/>
      </c>
      <c r="B147" s="2" t="str">
        <f>IF(A147="","",'02_KICH_BAN_NODES'!E133)</f>
        <v/>
      </c>
      <c r="C147" s="2" t="str">
        <f>IF(A147="","",COUNTIF('03_LUA_CHON'!$A$5:$A$404,A147))</f>
        <v/>
      </c>
      <c r="D147" s="2" t="str">
        <f>IF(A147="","",COUNTIFS('03_LUA_CHON'!$A$5:$A$404,A147,'03_LUA_CHON'!$D$5:$D$404,"Có"))</f>
        <v/>
      </c>
      <c r="E147" s="2" t="str">
        <f t="shared" ref="E147:E178" si="8">IF(A147="","",IF(OR(C147&lt;2,C147&gt;4),"CẦN SỬA",IF(AND(B147="Kiến thức",D147=1),"HỢP LỆ",IF(AND(B147="Tương tác",D147=0),"HỢP LỆ","CẦN SỬA"))))</f>
        <v/>
      </c>
      <c r="F147" s="2" t="str">
        <f t="shared" ref="F147:F178" si="9">IF(A147="","",IF(OR(C147&lt;2,C147&gt;4),"Cần 2–4 option",IF(AND(B147="Kiến thức",D147&lt;&gt;1),"Câu kiến thức cần đúng 1 đáp án đúng",IF(AND(B147="Tương tác",D147&lt;&gt;0),"Câu tương tác không có đáp án đúng",IF(B147="","Thiếu ChoiceMode","")))))</f>
        <v/>
      </c>
    </row>
    <row r="148" spans="1:6">
      <c r="A148" s="2" t="str">
        <f>IF('02_KICH_BAN_NODES'!D134="choice",'02_KICH_BAN_NODES'!B134,"")</f>
        <v/>
      </c>
      <c r="B148" s="2" t="str">
        <f>IF(A148="","",'02_KICH_BAN_NODES'!E134)</f>
        <v/>
      </c>
      <c r="C148" s="2" t="str">
        <f>IF(A148="","",COUNTIF('03_LUA_CHON'!$A$5:$A$404,A148))</f>
        <v/>
      </c>
      <c r="D148" s="2" t="str">
        <f>IF(A148="","",COUNTIFS('03_LUA_CHON'!$A$5:$A$404,A148,'03_LUA_CHON'!$D$5:$D$404,"Có"))</f>
        <v/>
      </c>
      <c r="E148" s="2" t="str">
        <f t="shared" si="8"/>
        <v/>
      </c>
      <c r="F148" s="2" t="str">
        <f t="shared" si="9"/>
        <v/>
      </c>
    </row>
    <row r="149" spans="1:6">
      <c r="A149" s="2" t="str">
        <f>IF('02_KICH_BAN_NODES'!D135="choice",'02_KICH_BAN_NODES'!B135,"")</f>
        <v/>
      </c>
      <c r="B149" s="2" t="str">
        <f>IF(A149="","",'02_KICH_BAN_NODES'!E135)</f>
        <v/>
      </c>
      <c r="C149" s="2" t="str">
        <f>IF(A149="","",COUNTIF('03_LUA_CHON'!$A$5:$A$404,A149))</f>
        <v/>
      </c>
      <c r="D149" s="2" t="str">
        <f>IF(A149="","",COUNTIFS('03_LUA_CHON'!$A$5:$A$404,A149,'03_LUA_CHON'!$D$5:$D$404,"Có"))</f>
        <v/>
      </c>
      <c r="E149" s="2" t="str">
        <f t="shared" si="8"/>
        <v/>
      </c>
      <c r="F149" s="2" t="str">
        <f t="shared" si="9"/>
        <v/>
      </c>
    </row>
    <row r="150" spans="1:6">
      <c r="A150" s="2" t="str">
        <f>IF('02_KICH_BAN_NODES'!D136="choice",'02_KICH_BAN_NODES'!B136,"")</f>
        <v/>
      </c>
      <c r="B150" s="2" t="str">
        <f>IF(A150="","",'02_KICH_BAN_NODES'!E136)</f>
        <v/>
      </c>
      <c r="C150" s="2" t="str">
        <f>IF(A150="","",COUNTIF('03_LUA_CHON'!$A$5:$A$404,A150))</f>
        <v/>
      </c>
      <c r="D150" s="2" t="str">
        <f>IF(A150="","",COUNTIFS('03_LUA_CHON'!$A$5:$A$404,A150,'03_LUA_CHON'!$D$5:$D$404,"Có"))</f>
        <v/>
      </c>
      <c r="E150" s="2" t="str">
        <f t="shared" si="8"/>
        <v/>
      </c>
      <c r="F150" s="2" t="str">
        <f t="shared" si="9"/>
        <v/>
      </c>
    </row>
    <row r="151" spans="1:6">
      <c r="A151" s="2" t="str">
        <f>IF('02_KICH_BAN_NODES'!D137="choice",'02_KICH_BAN_NODES'!B137,"")</f>
        <v/>
      </c>
      <c r="B151" s="2" t="str">
        <f>IF(A151="","",'02_KICH_BAN_NODES'!E137)</f>
        <v/>
      </c>
      <c r="C151" s="2" t="str">
        <f>IF(A151="","",COUNTIF('03_LUA_CHON'!$A$5:$A$404,A151))</f>
        <v/>
      </c>
      <c r="D151" s="2" t="str">
        <f>IF(A151="","",COUNTIFS('03_LUA_CHON'!$A$5:$A$404,A151,'03_LUA_CHON'!$D$5:$D$404,"Có"))</f>
        <v/>
      </c>
      <c r="E151" s="2" t="str">
        <f t="shared" si="8"/>
        <v/>
      </c>
      <c r="F151" s="2" t="str">
        <f t="shared" si="9"/>
        <v/>
      </c>
    </row>
    <row r="152" spans="1:6">
      <c r="A152" s="2" t="str">
        <f>IF('02_KICH_BAN_NODES'!D138="choice",'02_KICH_BAN_NODES'!B138,"")</f>
        <v/>
      </c>
      <c r="B152" s="2" t="str">
        <f>IF(A152="","",'02_KICH_BAN_NODES'!E138)</f>
        <v/>
      </c>
      <c r="C152" s="2" t="str">
        <f>IF(A152="","",COUNTIF('03_LUA_CHON'!$A$5:$A$404,A152))</f>
        <v/>
      </c>
      <c r="D152" s="2" t="str">
        <f>IF(A152="","",COUNTIFS('03_LUA_CHON'!$A$5:$A$404,A152,'03_LUA_CHON'!$D$5:$D$404,"Có"))</f>
        <v/>
      </c>
      <c r="E152" s="2" t="str">
        <f t="shared" si="8"/>
        <v/>
      </c>
      <c r="F152" s="2" t="str">
        <f t="shared" si="9"/>
        <v/>
      </c>
    </row>
    <row r="153" spans="1:6">
      <c r="A153" s="2" t="str">
        <f>IF('02_KICH_BAN_NODES'!D139="choice",'02_KICH_BAN_NODES'!B139,"")</f>
        <v/>
      </c>
      <c r="B153" s="2" t="str">
        <f>IF(A153="","",'02_KICH_BAN_NODES'!E139)</f>
        <v/>
      </c>
      <c r="C153" s="2" t="str">
        <f>IF(A153="","",COUNTIF('03_LUA_CHON'!$A$5:$A$404,A153))</f>
        <v/>
      </c>
      <c r="D153" s="2" t="str">
        <f>IF(A153="","",COUNTIFS('03_LUA_CHON'!$A$5:$A$404,A153,'03_LUA_CHON'!$D$5:$D$404,"Có"))</f>
        <v/>
      </c>
      <c r="E153" s="2" t="str">
        <f t="shared" si="8"/>
        <v/>
      </c>
      <c r="F153" s="2" t="str">
        <f t="shared" si="9"/>
        <v/>
      </c>
    </row>
    <row r="154" spans="1:6">
      <c r="A154" s="2" t="str">
        <f>IF('02_KICH_BAN_NODES'!D140="choice",'02_KICH_BAN_NODES'!B140,"")</f>
        <v/>
      </c>
      <c r="B154" s="2" t="str">
        <f>IF(A154="","",'02_KICH_BAN_NODES'!E140)</f>
        <v/>
      </c>
      <c r="C154" s="2" t="str">
        <f>IF(A154="","",COUNTIF('03_LUA_CHON'!$A$5:$A$404,A154))</f>
        <v/>
      </c>
      <c r="D154" s="2" t="str">
        <f>IF(A154="","",COUNTIFS('03_LUA_CHON'!$A$5:$A$404,A154,'03_LUA_CHON'!$D$5:$D$404,"Có"))</f>
        <v/>
      </c>
      <c r="E154" s="2" t="str">
        <f t="shared" si="8"/>
        <v/>
      </c>
      <c r="F154" s="2" t="str">
        <f t="shared" si="9"/>
        <v/>
      </c>
    </row>
    <row r="155" spans="1:6">
      <c r="A155" s="2" t="str">
        <f>IF('02_KICH_BAN_NODES'!D141="choice",'02_KICH_BAN_NODES'!B141,"")</f>
        <v/>
      </c>
      <c r="B155" s="2" t="str">
        <f>IF(A155="","",'02_KICH_BAN_NODES'!E141)</f>
        <v/>
      </c>
      <c r="C155" s="2" t="str">
        <f>IF(A155="","",COUNTIF('03_LUA_CHON'!$A$5:$A$404,A155))</f>
        <v/>
      </c>
      <c r="D155" s="2" t="str">
        <f>IF(A155="","",COUNTIFS('03_LUA_CHON'!$A$5:$A$404,A155,'03_LUA_CHON'!$D$5:$D$404,"Có"))</f>
        <v/>
      </c>
      <c r="E155" s="2" t="str">
        <f t="shared" si="8"/>
        <v/>
      </c>
      <c r="F155" s="2" t="str">
        <f t="shared" si="9"/>
        <v/>
      </c>
    </row>
    <row r="156" spans="1:6">
      <c r="A156" s="2" t="str">
        <f>IF('02_KICH_BAN_NODES'!D142="choice",'02_KICH_BAN_NODES'!B142,"")</f>
        <v/>
      </c>
      <c r="B156" s="2" t="str">
        <f>IF(A156="","",'02_KICH_BAN_NODES'!E142)</f>
        <v/>
      </c>
      <c r="C156" s="2" t="str">
        <f>IF(A156="","",COUNTIF('03_LUA_CHON'!$A$5:$A$404,A156))</f>
        <v/>
      </c>
      <c r="D156" s="2" t="str">
        <f>IF(A156="","",COUNTIFS('03_LUA_CHON'!$A$5:$A$404,A156,'03_LUA_CHON'!$D$5:$D$404,"Có"))</f>
        <v/>
      </c>
      <c r="E156" s="2" t="str">
        <f t="shared" si="8"/>
        <v/>
      </c>
      <c r="F156" s="2" t="str">
        <f t="shared" si="9"/>
        <v/>
      </c>
    </row>
    <row r="157" spans="1:6">
      <c r="A157" s="2" t="str">
        <f>IF('02_KICH_BAN_NODES'!D143="choice",'02_KICH_BAN_NODES'!B143,"")</f>
        <v/>
      </c>
      <c r="B157" s="2" t="str">
        <f>IF(A157="","",'02_KICH_BAN_NODES'!E143)</f>
        <v/>
      </c>
      <c r="C157" s="2" t="str">
        <f>IF(A157="","",COUNTIF('03_LUA_CHON'!$A$5:$A$404,A157))</f>
        <v/>
      </c>
      <c r="D157" s="2" t="str">
        <f>IF(A157="","",COUNTIFS('03_LUA_CHON'!$A$5:$A$404,A157,'03_LUA_CHON'!$D$5:$D$404,"Có"))</f>
        <v/>
      </c>
      <c r="E157" s="2" t="str">
        <f t="shared" si="8"/>
        <v/>
      </c>
      <c r="F157" s="2" t="str">
        <f t="shared" si="9"/>
        <v/>
      </c>
    </row>
    <row r="158" spans="1:6">
      <c r="A158" s="2" t="str">
        <f>IF('02_KICH_BAN_NODES'!D144="choice",'02_KICH_BAN_NODES'!B144,"")</f>
        <v/>
      </c>
      <c r="B158" s="2" t="str">
        <f>IF(A158="","",'02_KICH_BAN_NODES'!E144)</f>
        <v/>
      </c>
      <c r="C158" s="2" t="str">
        <f>IF(A158="","",COUNTIF('03_LUA_CHON'!$A$5:$A$404,A158))</f>
        <v/>
      </c>
      <c r="D158" s="2" t="str">
        <f>IF(A158="","",COUNTIFS('03_LUA_CHON'!$A$5:$A$404,A158,'03_LUA_CHON'!$D$5:$D$404,"Có"))</f>
        <v/>
      </c>
      <c r="E158" s="2" t="str">
        <f t="shared" si="8"/>
        <v/>
      </c>
      <c r="F158" s="2" t="str">
        <f t="shared" si="9"/>
        <v/>
      </c>
    </row>
    <row r="159" spans="1:6">
      <c r="A159" s="2" t="str">
        <f>IF('02_KICH_BAN_NODES'!D145="choice",'02_KICH_BAN_NODES'!B145,"")</f>
        <v/>
      </c>
      <c r="B159" s="2" t="str">
        <f>IF(A159="","",'02_KICH_BAN_NODES'!E145)</f>
        <v/>
      </c>
      <c r="C159" s="2" t="str">
        <f>IF(A159="","",COUNTIF('03_LUA_CHON'!$A$5:$A$404,A159))</f>
        <v/>
      </c>
      <c r="D159" s="2" t="str">
        <f>IF(A159="","",COUNTIFS('03_LUA_CHON'!$A$5:$A$404,A159,'03_LUA_CHON'!$D$5:$D$404,"Có"))</f>
        <v/>
      </c>
      <c r="E159" s="2" t="str">
        <f t="shared" si="8"/>
        <v/>
      </c>
      <c r="F159" s="2" t="str">
        <f t="shared" si="9"/>
        <v/>
      </c>
    </row>
    <row r="160" spans="1:6">
      <c r="A160" s="2" t="str">
        <f>IF('02_KICH_BAN_NODES'!D146="choice",'02_KICH_BAN_NODES'!B146,"")</f>
        <v/>
      </c>
      <c r="B160" s="2" t="str">
        <f>IF(A160="","",'02_KICH_BAN_NODES'!E146)</f>
        <v/>
      </c>
      <c r="C160" s="2" t="str">
        <f>IF(A160="","",COUNTIF('03_LUA_CHON'!$A$5:$A$404,A160))</f>
        <v/>
      </c>
      <c r="D160" s="2" t="str">
        <f>IF(A160="","",COUNTIFS('03_LUA_CHON'!$A$5:$A$404,A160,'03_LUA_CHON'!$D$5:$D$404,"Có"))</f>
        <v/>
      </c>
      <c r="E160" s="2" t="str">
        <f t="shared" si="8"/>
        <v/>
      </c>
      <c r="F160" s="2" t="str">
        <f t="shared" si="9"/>
        <v/>
      </c>
    </row>
    <row r="161" spans="1:6">
      <c r="A161" s="2" t="str">
        <f>IF('02_KICH_BAN_NODES'!D147="choice",'02_KICH_BAN_NODES'!B147,"")</f>
        <v/>
      </c>
      <c r="B161" s="2" t="str">
        <f>IF(A161="","",'02_KICH_BAN_NODES'!E147)</f>
        <v/>
      </c>
      <c r="C161" s="2" t="str">
        <f>IF(A161="","",COUNTIF('03_LUA_CHON'!$A$5:$A$404,A161))</f>
        <v/>
      </c>
      <c r="D161" s="2" t="str">
        <f>IF(A161="","",COUNTIFS('03_LUA_CHON'!$A$5:$A$404,A161,'03_LUA_CHON'!$D$5:$D$404,"Có"))</f>
        <v/>
      </c>
      <c r="E161" s="2" t="str">
        <f t="shared" si="8"/>
        <v/>
      </c>
      <c r="F161" s="2" t="str">
        <f t="shared" si="9"/>
        <v/>
      </c>
    </row>
    <row r="162" spans="1:6">
      <c r="A162" s="2" t="str">
        <f>IF('02_KICH_BAN_NODES'!D148="choice",'02_KICH_BAN_NODES'!B148,"")</f>
        <v/>
      </c>
      <c r="B162" s="2" t="str">
        <f>IF(A162="","",'02_KICH_BAN_NODES'!E148)</f>
        <v/>
      </c>
      <c r="C162" s="2" t="str">
        <f>IF(A162="","",COUNTIF('03_LUA_CHON'!$A$5:$A$404,A162))</f>
        <v/>
      </c>
      <c r="D162" s="2" t="str">
        <f>IF(A162="","",COUNTIFS('03_LUA_CHON'!$A$5:$A$404,A162,'03_LUA_CHON'!$D$5:$D$404,"Có"))</f>
        <v/>
      </c>
      <c r="E162" s="2" t="str">
        <f t="shared" si="8"/>
        <v/>
      </c>
      <c r="F162" s="2" t="str">
        <f t="shared" si="9"/>
        <v/>
      </c>
    </row>
    <row r="163" spans="1:6">
      <c r="A163" s="2" t="str">
        <f>IF('02_KICH_BAN_NODES'!D149="choice",'02_KICH_BAN_NODES'!B149,"")</f>
        <v/>
      </c>
      <c r="B163" s="2" t="str">
        <f>IF(A163="","",'02_KICH_BAN_NODES'!E149)</f>
        <v/>
      </c>
      <c r="C163" s="2" t="str">
        <f>IF(A163="","",COUNTIF('03_LUA_CHON'!$A$5:$A$404,A163))</f>
        <v/>
      </c>
      <c r="D163" s="2" t="str">
        <f>IF(A163="","",COUNTIFS('03_LUA_CHON'!$A$5:$A$404,A163,'03_LUA_CHON'!$D$5:$D$404,"Có"))</f>
        <v/>
      </c>
      <c r="E163" s="2" t="str">
        <f t="shared" si="8"/>
        <v/>
      </c>
      <c r="F163" s="2" t="str">
        <f t="shared" si="9"/>
        <v/>
      </c>
    </row>
    <row r="164" spans="1:6">
      <c r="A164" s="2" t="str">
        <f>IF('02_KICH_BAN_NODES'!D150="choice",'02_KICH_BAN_NODES'!B150,"")</f>
        <v/>
      </c>
      <c r="B164" s="2" t="str">
        <f>IF(A164="","",'02_KICH_BAN_NODES'!E150)</f>
        <v/>
      </c>
      <c r="C164" s="2" t="str">
        <f>IF(A164="","",COUNTIF('03_LUA_CHON'!$A$5:$A$404,A164))</f>
        <v/>
      </c>
      <c r="D164" s="2" t="str">
        <f>IF(A164="","",COUNTIFS('03_LUA_CHON'!$A$5:$A$404,A164,'03_LUA_CHON'!$D$5:$D$404,"Có"))</f>
        <v/>
      </c>
      <c r="E164" s="2" t="str">
        <f t="shared" si="8"/>
        <v/>
      </c>
      <c r="F164" s="2" t="str">
        <f t="shared" si="9"/>
        <v/>
      </c>
    </row>
    <row r="165" spans="1:6">
      <c r="A165" s="2" t="str">
        <f>IF('02_KICH_BAN_NODES'!D151="choice",'02_KICH_BAN_NODES'!B151,"")</f>
        <v/>
      </c>
      <c r="B165" s="2" t="str">
        <f>IF(A165="","",'02_KICH_BAN_NODES'!E151)</f>
        <v/>
      </c>
      <c r="C165" s="2" t="str">
        <f>IF(A165="","",COUNTIF('03_LUA_CHON'!$A$5:$A$404,A165))</f>
        <v/>
      </c>
      <c r="D165" s="2" t="str">
        <f>IF(A165="","",COUNTIFS('03_LUA_CHON'!$A$5:$A$404,A165,'03_LUA_CHON'!$D$5:$D$404,"Có"))</f>
        <v/>
      </c>
      <c r="E165" s="2" t="str">
        <f t="shared" si="8"/>
        <v/>
      </c>
      <c r="F165" s="2" t="str">
        <f t="shared" si="9"/>
        <v/>
      </c>
    </row>
    <row r="166" spans="1:6">
      <c r="A166" s="2" t="str">
        <f>IF('02_KICH_BAN_NODES'!D152="choice",'02_KICH_BAN_NODES'!B152,"")</f>
        <v/>
      </c>
      <c r="B166" s="2" t="str">
        <f>IF(A166="","",'02_KICH_BAN_NODES'!E152)</f>
        <v/>
      </c>
      <c r="C166" s="2" t="str">
        <f>IF(A166="","",COUNTIF('03_LUA_CHON'!$A$5:$A$404,A166))</f>
        <v/>
      </c>
      <c r="D166" s="2" t="str">
        <f>IF(A166="","",COUNTIFS('03_LUA_CHON'!$A$5:$A$404,A166,'03_LUA_CHON'!$D$5:$D$404,"Có"))</f>
        <v/>
      </c>
      <c r="E166" s="2" t="str">
        <f t="shared" si="8"/>
        <v/>
      </c>
      <c r="F166" s="2" t="str">
        <f t="shared" si="9"/>
        <v/>
      </c>
    </row>
    <row r="167" spans="1:6">
      <c r="A167" s="2" t="str">
        <f>IF('02_KICH_BAN_NODES'!D153="choice",'02_KICH_BAN_NODES'!B153,"")</f>
        <v/>
      </c>
      <c r="B167" s="2" t="str">
        <f>IF(A167="","",'02_KICH_BAN_NODES'!E153)</f>
        <v/>
      </c>
      <c r="C167" s="2" t="str">
        <f>IF(A167="","",COUNTIF('03_LUA_CHON'!$A$5:$A$404,A167))</f>
        <v/>
      </c>
      <c r="D167" s="2" t="str">
        <f>IF(A167="","",COUNTIFS('03_LUA_CHON'!$A$5:$A$404,A167,'03_LUA_CHON'!$D$5:$D$404,"Có"))</f>
        <v/>
      </c>
      <c r="E167" s="2" t="str">
        <f t="shared" si="8"/>
        <v/>
      </c>
      <c r="F167" s="2" t="str">
        <f t="shared" si="9"/>
        <v/>
      </c>
    </row>
    <row r="168" spans="1:6">
      <c r="A168" s="2" t="str">
        <f>IF('02_KICH_BAN_NODES'!D154="choice",'02_KICH_BAN_NODES'!B154,"")</f>
        <v/>
      </c>
      <c r="B168" s="2" t="str">
        <f>IF(A168="","",'02_KICH_BAN_NODES'!E154)</f>
        <v/>
      </c>
      <c r="C168" s="2" t="str">
        <f>IF(A168="","",COUNTIF('03_LUA_CHON'!$A$5:$A$404,A168))</f>
        <v/>
      </c>
      <c r="D168" s="2" t="str">
        <f>IF(A168="","",COUNTIFS('03_LUA_CHON'!$A$5:$A$404,A168,'03_LUA_CHON'!$D$5:$D$404,"Có"))</f>
        <v/>
      </c>
      <c r="E168" s="2" t="str">
        <f t="shared" si="8"/>
        <v/>
      </c>
      <c r="F168" s="2" t="str">
        <f t="shared" si="9"/>
        <v/>
      </c>
    </row>
    <row r="169" spans="1:6">
      <c r="A169" s="2" t="str">
        <f>IF('02_KICH_BAN_NODES'!D155="choice",'02_KICH_BAN_NODES'!B155,"")</f>
        <v/>
      </c>
      <c r="B169" s="2" t="str">
        <f>IF(A169="","",'02_KICH_BAN_NODES'!E155)</f>
        <v/>
      </c>
      <c r="C169" s="2" t="str">
        <f>IF(A169="","",COUNTIF('03_LUA_CHON'!$A$5:$A$404,A169))</f>
        <v/>
      </c>
      <c r="D169" s="2" t="str">
        <f>IF(A169="","",COUNTIFS('03_LUA_CHON'!$A$5:$A$404,A169,'03_LUA_CHON'!$D$5:$D$404,"Có"))</f>
        <v/>
      </c>
      <c r="E169" s="2" t="str">
        <f t="shared" si="8"/>
        <v/>
      </c>
      <c r="F169" s="2" t="str">
        <f t="shared" si="9"/>
        <v/>
      </c>
    </row>
    <row r="170" spans="1:6">
      <c r="A170" s="2" t="str">
        <f>IF('02_KICH_BAN_NODES'!D156="choice",'02_KICH_BAN_NODES'!B156,"")</f>
        <v/>
      </c>
      <c r="B170" s="2" t="str">
        <f>IF(A170="","",'02_KICH_BAN_NODES'!E156)</f>
        <v/>
      </c>
      <c r="C170" s="2" t="str">
        <f>IF(A170="","",COUNTIF('03_LUA_CHON'!$A$5:$A$404,A170))</f>
        <v/>
      </c>
      <c r="D170" s="2" t="str">
        <f>IF(A170="","",COUNTIFS('03_LUA_CHON'!$A$5:$A$404,A170,'03_LUA_CHON'!$D$5:$D$404,"Có"))</f>
        <v/>
      </c>
      <c r="E170" s="2" t="str">
        <f t="shared" si="8"/>
        <v/>
      </c>
      <c r="F170" s="2" t="str">
        <f t="shared" si="9"/>
        <v/>
      </c>
    </row>
    <row r="171" spans="1:6">
      <c r="A171" s="2" t="str">
        <f>IF('02_KICH_BAN_NODES'!D157="choice",'02_KICH_BAN_NODES'!B157,"")</f>
        <v/>
      </c>
      <c r="B171" s="2" t="str">
        <f>IF(A171="","",'02_KICH_BAN_NODES'!E157)</f>
        <v/>
      </c>
      <c r="C171" s="2" t="str">
        <f>IF(A171="","",COUNTIF('03_LUA_CHON'!$A$5:$A$404,A171))</f>
        <v/>
      </c>
      <c r="D171" s="2" t="str">
        <f>IF(A171="","",COUNTIFS('03_LUA_CHON'!$A$5:$A$404,A171,'03_LUA_CHON'!$D$5:$D$404,"Có"))</f>
        <v/>
      </c>
      <c r="E171" s="2" t="str">
        <f t="shared" si="8"/>
        <v/>
      </c>
      <c r="F171" s="2" t="str">
        <f t="shared" si="9"/>
        <v/>
      </c>
    </row>
    <row r="172" spans="1:6">
      <c r="A172" s="2" t="str">
        <f>IF('02_KICH_BAN_NODES'!D158="choice",'02_KICH_BAN_NODES'!B158,"")</f>
        <v/>
      </c>
      <c r="B172" s="2" t="str">
        <f>IF(A172="","",'02_KICH_BAN_NODES'!E158)</f>
        <v/>
      </c>
      <c r="C172" s="2" t="str">
        <f>IF(A172="","",COUNTIF('03_LUA_CHON'!$A$5:$A$404,A172))</f>
        <v/>
      </c>
      <c r="D172" s="2" t="str">
        <f>IF(A172="","",COUNTIFS('03_LUA_CHON'!$A$5:$A$404,A172,'03_LUA_CHON'!$D$5:$D$404,"Có"))</f>
        <v/>
      </c>
      <c r="E172" s="2" t="str">
        <f t="shared" si="8"/>
        <v/>
      </c>
      <c r="F172" s="2" t="str">
        <f t="shared" si="9"/>
        <v/>
      </c>
    </row>
    <row r="173" spans="1:6">
      <c r="A173" s="2" t="str">
        <f>IF('02_KICH_BAN_NODES'!D159="choice",'02_KICH_BAN_NODES'!B159,"")</f>
        <v/>
      </c>
      <c r="B173" s="2" t="str">
        <f>IF(A173="","",'02_KICH_BAN_NODES'!E159)</f>
        <v/>
      </c>
      <c r="C173" s="2" t="str">
        <f>IF(A173="","",COUNTIF('03_LUA_CHON'!$A$5:$A$404,A173))</f>
        <v/>
      </c>
      <c r="D173" s="2" t="str">
        <f>IF(A173="","",COUNTIFS('03_LUA_CHON'!$A$5:$A$404,A173,'03_LUA_CHON'!$D$5:$D$404,"Có"))</f>
        <v/>
      </c>
      <c r="E173" s="2" t="str">
        <f t="shared" si="8"/>
        <v/>
      </c>
      <c r="F173" s="2" t="str">
        <f t="shared" si="9"/>
        <v/>
      </c>
    </row>
    <row r="174" spans="1:6">
      <c r="A174" s="2" t="str">
        <f>IF('02_KICH_BAN_NODES'!D160="choice",'02_KICH_BAN_NODES'!B160,"")</f>
        <v/>
      </c>
      <c r="B174" s="2" t="str">
        <f>IF(A174="","",'02_KICH_BAN_NODES'!E160)</f>
        <v/>
      </c>
      <c r="C174" s="2" t="str">
        <f>IF(A174="","",COUNTIF('03_LUA_CHON'!$A$5:$A$404,A174))</f>
        <v/>
      </c>
      <c r="D174" s="2" t="str">
        <f>IF(A174="","",COUNTIFS('03_LUA_CHON'!$A$5:$A$404,A174,'03_LUA_CHON'!$D$5:$D$404,"Có"))</f>
        <v/>
      </c>
      <c r="E174" s="2" t="str">
        <f t="shared" si="8"/>
        <v/>
      </c>
      <c r="F174" s="2" t="str">
        <f t="shared" si="9"/>
        <v/>
      </c>
    </row>
    <row r="175" spans="1:6">
      <c r="A175" s="2" t="str">
        <f>IF('02_KICH_BAN_NODES'!D161="choice",'02_KICH_BAN_NODES'!B161,"")</f>
        <v/>
      </c>
      <c r="B175" s="2" t="str">
        <f>IF(A175="","",'02_KICH_BAN_NODES'!E161)</f>
        <v/>
      </c>
      <c r="C175" s="2" t="str">
        <f>IF(A175="","",COUNTIF('03_LUA_CHON'!$A$5:$A$404,A175))</f>
        <v/>
      </c>
      <c r="D175" s="2" t="str">
        <f>IF(A175="","",COUNTIFS('03_LUA_CHON'!$A$5:$A$404,A175,'03_LUA_CHON'!$D$5:$D$404,"Có"))</f>
        <v/>
      </c>
      <c r="E175" s="2" t="str">
        <f t="shared" si="8"/>
        <v/>
      </c>
      <c r="F175" s="2" t="str">
        <f t="shared" si="9"/>
        <v/>
      </c>
    </row>
    <row r="176" spans="1:6">
      <c r="A176" s="2" t="str">
        <f>IF('02_KICH_BAN_NODES'!D162="choice",'02_KICH_BAN_NODES'!B162,"")</f>
        <v/>
      </c>
      <c r="B176" s="2" t="str">
        <f>IF(A176="","",'02_KICH_BAN_NODES'!E162)</f>
        <v/>
      </c>
      <c r="C176" s="2" t="str">
        <f>IF(A176="","",COUNTIF('03_LUA_CHON'!$A$5:$A$404,A176))</f>
        <v/>
      </c>
      <c r="D176" s="2" t="str">
        <f>IF(A176="","",COUNTIFS('03_LUA_CHON'!$A$5:$A$404,A176,'03_LUA_CHON'!$D$5:$D$404,"Có"))</f>
        <v/>
      </c>
      <c r="E176" s="2" t="str">
        <f t="shared" si="8"/>
        <v/>
      </c>
      <c r="F176" s="2" t="str">
        <f t="shared" si="9"/>
        <v/>
      </c>
    </row>
    <row r="177" spans="1:6">
      <c r="A177" s="2" t="str">
        <f>IF('02_KICH_BAN_NODES'!D163="choice",'02_KICH_BAN_NODES'!B163,"")</f>
        <v/>
      </c>
      <c r="B177" s="2" t="str">
        <f>IF(A177="","",'02_KICH_BAN_NODES'!E163)</f>
        <v/>
      </c>
      <c r="C177" s="2" t="str">
        <f>IF(A177="","",COUNTIF('03_LUA_CHON'!$A$5:$A$404,A177))</f>
        <v/>
      </c>
      <c r="D177" s="2" t="str">
        <f>IF(A177="","",COUNTIFS('03_LUA_CHON'!$A$5:$A$404,A177,'03_LUA_CHON'!$D$5:$D$404,"Có"))</f>
        <v/>
      </c>
      <c r="E177" s="2" t="str">
        <f t="shared" si="8"/>
        <v/>
      </c>
      <c r="F177" s="2" t="str">
        <f t="shared" si="9"/>
        <v/>
      </c>
    </row>
    <row r="178" spans="1:6">
      <c r="A178" s="2" t="str">
        <f>IF('02_KICH_BAN_NODES'!D164="choice",'02_KICH_BAN_NODES'!B164,"")</f>
        <v/>
      </c>
      <c r="B178" s="2" t="str">
        <f>IF(A178="","",'02_KICH_BAN_NODES'!E164)</f>
        <v/>
      </c>
      <c r="C178" s="2" t="str">
        <f>IF(A178="","",COUNTIF('03_LUA_CHON'!$A$5:$A$404,A178))</f>
        <v/>
      </c>
      <c r="D178" s="2" t="str">
        <f>IF(A178="","",COUNTIFS('03_LUA_CHON'!$A$5:$A$404,A178,'03_LUA_CHON'!$D$5:$D$404,"Có"))</f>
        <v/>
      </c>
      <c r="E178" s="2" t="str">
        <f t="shared" si="8"/>
        <v/>
      </c>
      <c r="F178" s="2" t="str">
        <f t="shared" si="9"/>
        <v/>
      </c>
    </row>
    <row r="179" spans="1:6">
      <c r="A179" s="2" t="str">
        <f>IF('02_KICH_BAN_NODES'!D165="choice",'02_KICH_BAN_NODES'!B165,"")</f>
        <v/>
      </c>
      <c r="B179" s="2" t="str">
        <f>IF(A179="","",'02_KICH_BAN_NODES'!E165)</f>
        <v/>
      </c>
      <c r="C179" s="2" t="str">
        <f>IF(A179="","",COUNTIF('03_LUA_CHON'!$A$5:$A$404,A179))</f>
        <v/>
      </c>
      <c r="D179" s="2" t="str">
        <f>IF(A179="","",COUNTIFS('03_LUA_CHON'!$A$5:$A$404,A179,'03_LUA_CHON'!$D$5:$D$404,"Có"))</f>
        <v/>
      </c>
      <c r="E179" s="2" t="str">
        <f t="shared" ref="E179:E210" si="10">IF(A179="","",IF(OR(C179&lt;2,C179&gt;4),"CẦN SỬA",IF(AND(B179="Kiến thức",D179=1),"HỢP LỆ",IF(AND(B179="Tương tác",D179=0),"HỢP LỆ","CẦN SỬA"))))</f>
        <v/>
      </c>
      <c r="F179" s="2" t="str">
        <f t="shared" ref="F179:F210" si="11">IF(A179="","",IF(OR(C179&lt;2,C179&gt;4),"Cần 2–4 option",IF(AND(B179="Kiến thức",D179&lt;&gt;1),"Câu kiến thức cần đúng 1 đáp án đúng",IF(AND(B179="Tương tác",D179&lt;&gt;0),"Câu tương tác không có đáp án đúng",IF(B179="","Thiếu ChoiceMode","")))))</f>
        <v/>
      </c>
    </row>
    <row r="180" spans="1:6">
      <c r="A180" s="2" t="str">
        <f>IF('02_KICH_BAN_NODES'!D166="choice",'02_KICH_BAN_NODES'!B166,"")</f>
        <v/>
      </c>
      <c r="B180" s="2" t="str">
        <f>IF(A180="","",'02_KICH_BAN_NODES'!E166)</f>
        <v/>
      </c>
      <c r="C180" s="2" t="str">
        <f>IF(A180="","",COUNTIF('03_LUA_CHON'!$A$5:$A$404,A180))</f>
        <v/>
      </c>
      <c r="D180" s="2" t="str">
        <f>IF(A180="","",COUNTIFS('03_LUA_CHON'!$A$5:$A$404,A180,'03_LUA_CHON'!$D$5:$D$404,"Có"))</f>
        <v/>
      </c>
      <c r="E180" s="2" t="str">
        <f t="shared" si="10"/>
        <v/>
      </c>
      <c r="F180" s="2" t="str">
        <f t="shared" si="11"/>
        <v/>
      </c>
    </row>
    <row r="181" spans="1:6">
      <c r="A181" s="2" t="str">
        <f>IF('02_KICH_BAN_NODES'!D167="choice",'02_KICH_BAN_NODES'!B167,"")</f>
        <v/>
      </c>
      <c r="B181" s="2" t="str">
        <f>IF(A181="","",'02_KICH_BAN_NODES'!E167)</f>
        <v/>
      </c>
      <c r="C181" s="2" t="str">
        <f>IF(A181="","",COUNTIF('03_LUA_CHON'!$A$5:$A$404,A181))</f>
        <v/>
      </c>
      <c r="D181" s="2" t="str">
        <f>IF(A181="","",COUNTIFS('03_LUA_CHON'!$A$5:$A$404,A181,'03_LUA_CHON'!$D$5:$D$404,"Có"))</f>
        <v/>
      </c>
      <c r="E181" s="2" t="str">
        <f t="shared" si="10"/>
        <v/>
      </c>
      <c r="F181" s="2" t="str">
        <f t="shared" si="11"/>
        <v/>
      </c>
    </row>
    <row r="182" spans="1:6">
      <c r="A182" s="2" t="str">
        <f>IF('02_KICH_BAN_NODES'!D168="choice",'02_KICH_BAN_NODES'!B168,"")</f>
        <v/>
      </c>
      <c r="B182" s="2" t="str">
        <f>IF(A182="","",'02_KICH_BAN_NODES'!E168)</f>
        <v/>
      </c>
      <c r="C182" s="2" t="str">
        <f>IF(A182="","",COUNTIF('03_LUA_CHON'!$A$5:$A$404,A182))</f>
        <v/>
      </c>
      <c r="D182" s="2" t="str">
        <f>IF(A182="","",COUNTIFS('03_LUA_CHON'!$A$5:$A$404,A182,'03_LUA_CHON'!$D$5:$D$404,"Có"))</f>
        <v/>
      </c>
      <c r="E182" s="2" t="str">
        <f t="shared" si="10"/>
        <v/>
      </c>
      <c r="F182" s="2" t="str">
        <f t="shared" si="11"/>
        <v/>
      </c>
    </row>
    <row r="183" spans="1:6">
      <c r="A183" s="2" t="str">
        <f>IF('02_KICH_BAN_NODES'!D169="choice",'02_KICH_BAN_NODES'!B169,"")</f>
        <v/>
      </c>
      <c r="B183" s="2" t="str">
        <f>IF(A183="","",'02_KICH_BAN_NODES'!E169)</f>
        <v/>
      </c>
      <c r="C183" s="2" t="str">
        <f>IF(A183="","",COUNTIF('03_LUA_CHON'!$A$5:$A$404,A183))</f>
        <v/>
      </c>
      <c r="D183" s="2" t="str">
        <f>IF(A183="","",COUNTIFS('03_LUA_CHON'!$A$5:$A$404,A183,'03_LUA_CHON'!$D$5:$D$404,"Có"))</f>
        <v/>
      </c>
      <c r="E183" s="2" t="str">
        <f t="shared" si="10"/>
        <v/>
      </c>
      <c r="F183" s="2" t="str">
        <f t="shared" si="11"/>
        <v/>
      </c>
    </row>
    <row r="184" spans="1:6">
      <c r="A184" s="2" t="str">
        <f>IF('02_KICH_BAN_NODES'!D170="choice",'02_KICH_BAN_NODES'!B170,"")</f>
        <v/>
      </c>
      <c r="B184" s="2" t="str">
        <f>IF(A184="","",'02_KICH_BAN_NODES'!E170)</f>
        <v/>
      </c>
      <c r="C184" s="2" t="str">
        <f>IF(A184="","",COUNTIF('03_LUA_CHON'!$A$5:$A$404,A184))</f>
        <v/>
      </c>
      <c r="D184" s="2" t="str">
        <f>IF(A184="","",COUNTIFS('03_LUA_CHON'!$A$5:$A$404,A184,'03_LUA_CHON'!$D$5:$D$404,"Có"))</f>
        <v/>
      </c>
      <c r="E184" s="2" t="str">
        <f t="shared" si="10"/>
        <v/>
      </c>
      <c r="F184" s="2" t="str">
        <f t="shared" si="11"/>
        <v/>
      </c>
    </row>
    <row r="185" spans="1:6">
      <c r="A185" s="2" t="str">
        <f>IF('02_KICH_BAN_NODES'!D171="choice",'02_KICH_BAN_NODES'!B171,"")</f>
        <v/>
      </c>
      <c r="B185" s="2" t="str">
        <f>IF(A185="","",'02_KICH_BAN_NODES'!E171)</f>
        <v/>
      </c>
      <c r="C185" s="2" t="str">
        <f>IF(A185="","",COUNTIF('03_LUA_CHON'!$A$5:$A$404,A185))</f>
        <v/>
      </c>
      <c r="D185" s="2" t="str">
        <f>IF(A185="","",COUNTIFS('03_LUA_CHON'!$A$5:$A$404,A185,'03_LUA_CHON'!$D$5:$D$404,"Có"))</f>
        <v/>
      </c>
      <c r="E185" s="2" t="str">
        <f t="shared" si="10"/>
        <v/>
      </c>
      <c r="F185" s="2" t="str">
        <f t="shared" si="11"/>
        <v/>
      </c>
    </row>
    <row r="186" spans="1:6">
      <c r="A186" s="2" t="str">
        <f>IF('02_KICH_BAN_NODES'!D172="choice",'02_KICH_BAN_NODES'!B172,"")</f>
        <v/>
      </c>
      <c r="B186" s="2" t="str">
        <f>IF(A186="","",'02_KICH_BAN_NODES'!E172)</f>
        <v/>
      </c>
      <c r="C186" s="2" t="str">
        <f>IF(A186="","",COUNTIF('03_LUA_CHON'!$A$5:$A$404,A186))</f>
        <v/>
      </c>
      <c r="D186" s="2" t="str">
        <f>IF(A186="","",COUNTIFS('03_LUA_CHON'!$A$5:$A$404,A186,'03_LUA_CHON'!$D$5:$D$404,"Có"))</f>
        <v/>
      </c>
      <c r="E186" s="2" t="str">
        <f t="shared" si="10"/>
        <v/>
      </c>
      <c r="F186" s="2" t="str">
        <f t="shared" si="11"/>
        <v/>
      </c>
    </row>
    <row r="187" spans="1:6">
      <c r="A187" s="2" t="str">
        <f>IF('02_KICH_BAN_NODES'!D173="choice",'02_KICH_BAN_NODES'!B173,"")</f>
        <v/>
      </c>
      <c r="B187" s="2" t="str">
        <f>IF(A187="","",'02_KICH_BAN_NODES'!E173)</f>
        <v/>
      </c>
      <c r="C187" s="2" t="str">
        <f>IF(A187="","",COUNTIF('03_LUA_CHON'!$A$5:$A$404,A187))</f>
        <v/>
      </c>
      <c r="D187" s="2" t="str">
        <f>IF(A187="","",COUNTIFS('03_LUA_CHON'!$A$5:$A$404,A187,'03_LUA_CHON'!$D$5:$D$404,"Có"))</f>
        <v/>
      </c>
      <c r="E187" s="2" t="str">
        <f t="shared" si="10"/>
        <v/>
      </c>
      <c r="F187" s="2" t="str">
        <f t="shared" si="11"/>
        <v/>
      </c>
    </row>
    <row r="188" spans="1:6">
      <c r="A188" s="2" t="str">
        <f>IF('02_KICH_BAN_NODES'!D174="choice",'02_KICH_BAN_NODES'!B174,"")</f>
        <v/>
      </c>
      <c r="B188" s="2" t="str">
        <f>IF(A188="","",'02_KICH_BAN_NODES'!E174)</f>
        <v/>
      </c>
      <c r="C188" s="2" t="str">
        <f>IF(A188="","",COUNTIF('03_LUA_CHON'!$A$5:$A$404,A188))</f>
        <v/>
      </c>
      <c r="D188" s="2" t="str">
        <f>IF(A188="","",COUNTIFS('03_LUA_CHON'!$A$5:$A$404,A188,'03_LUA_CHON'!$D$5:$D$404,"Có"))</f>
        <v/>
      </c>
      <c r="E188" s="2" t="str">
        <f t="shared" si="10"/>
        <v/>
      </c>
      <c r="F188" s="2" t="str">
        <f t="shared" si="11"/>
        <v/>
      </c>
    </row>
    <row r="189" spans="1:6">
      <c r="A189" s="2" t="str">
        <f>IF('02_KICH_BAN_NODES'!D175="choice",'02_KICH_BAN_NODES'!B175,"")</f>
        <v/>
      </c>
      <c r="B189" s="2" t="str">
        <f>IF(A189="","",'02_KICH_BAN_NODES'!E175)</f>
        <v/>
      </c>
      <c r="C189" s="2" t="str">
        <f>IF(A189="","",COUNTIF('03_LUA_CHON'!$A$5:$A$404,A189))</f>
        <v/>
      </c>
      <c r="D189" s="2" t="str">
        <f>IF(A189="","",COUNTIFS('03_LUA_CHON'!$A$5:$A$404,A189,'03_LUA_CHON'!$D$5:$D$404,"Có"))</f>
        <v/>
      </c>
      <c r="E189" s="2" t="str">
        <f t="shared" si="10"/>
        <v/>
      </c>
      <c r="F189" s="2" t="str">
        <f t="shared" si="11"/>
        <v/>
      </c>
    </row>
    <row r="190" spans="1:6">
      <c r="A190" s="2" t="str">
        <f>IF('02_KICH_BAN_NODES'!D176="choice",'02_KICH_BAN_NODES'!B176,"")</f>
        <v/>
      </c>
      <c r="B190" s="2" t="str">
        <f>IF(A190="","",'02_KICH_BAN_NODES'!E176)</f>
        <v/>
      </c>
      <c r="C190" s="2" t="str">
        <f>IF(A190="","",COUNTIF('03_LUA_CHON'!$A$5:$A$404,A190))</f>
        <v/>
      </c>
      <c r="D190" s="2" t="str">
        <f>IF(A190="","",COUNTIFS('03_LUA_CHON'!$A$5:$A$404,A190,'03_LUA_CHON'!$D$5:$D$404,"Có"))</f>
        <v/>
      </c>
      <c r="E190" s="2" t="str">
        <f t="shared" si="10"/>
        <v/>
      </c>
      <c r="F190" s="2" t="str">
        <f t="shared" si="11"/>
        <v/>
      </c>
    </row>
    <row r="191" spans="1:6">
      <c r="A191" s="2" t="str">
        <f>IF('02_KICH_BAN_NODES'!D177="choice",'02_KICH_BAN_NODES'!B177,"")</f>
        <v/>
      </c>
      <c r="B191" s="2" t="str">
        <f>IF(A191="","",'02_KICH_BAN_NODES'!E177)</f>
        <v/>
      </c>
      <c r="C191" s="2" t="str">
        <f>IF(A191="","",COUNTIF('03_LUA_CHON'!$A$5:$A$404,A191))</f>
        <v/>
      </c>
      <c r="D191" s="2" t="str">
        <f>IF(A191="","",COUNTIFS('03_LUA_CHON'!$A$5:$A$404,A191,'03_LUA_CHON'!$D$5:$D$404,"Có"))</f>
        <v/>
      </c>
      <c r="E191" s="2" t="str">
        <f t="shared" si="10"/>
        <v/>
      </c>
      <c r="F191" s="2" t="str">
        <f t="shared" si="11"/>
        <v/>
      </c>
    </row>
    <row r="192" spans="1:6">
      <c r="A192" s="2" t="str">
        <f>IF('02_KICH_BAN_NODES'!D178="choice",'02_KICH_BAN_NODES'!B178,"")</f>
        <v/>
      </c>
      <c r="B192" s="2" t="str">
        <f>IF(A192="","",'02_KICH_BAN_NODES'!E178)</f>
        <v/>
      </c>
      <c r="C192" s="2" t="str">
        <f>IF(A192="","",COUNTIF('03_LUA_CHON'!$A$5:$A$404,A192))</f>
        <v/>
      </c>
      <c r="D192" s="2" t="str">
        <f>IF(A192="","",COUNTIFS('03_LUA_CHON'!$A$5:$A$404,A192,'03_LUA_CHON'!$D$5:$D$404,"Có"))</f>
        <v/>
      </c>
      <c r="E192" s="2" t="str">
        <f t="shared" si="10"/>
        <v/>
      </c>
      <c r="F192" s="2" t="str">
        <f t="shared" si="11"/>
        <v/>
      </c>
    </row>
    <row r="193" spans="1:6">
      <c r="A193" s="2" t="str">
        <f>IF('02_KICH_BAN_NODES'!D179="choice",'02_KICH_BAN_NODES'!B179,"")</f>
        <v/>
      </c>
      <c r="B193" s="2" t="str">
        <f>IF(A193="","",'02_KICH_BAN_NODES'!E179)</f>
        <v/>
      </c>
      <c r="C193" s="2" t="str">
        <f>IF(A193="","",COUNTIF('03_LUA_CHON'!$A$5:$A$404,A193))</f>
        <v/>
      </c>
      <c r="D193" s="2" t="str">
        <f>IF(A193="","",COUNTIFS('03_LUA_CHON'!$A$5:$A$404,A193,'03_LUA_CHON'!$D$5:$D$404,"Có"))</f>
        <v/>
      </c>
      <c r="E193" s="2" t="str">
        <f t="shared" si="10"/>
        <v/>
      </c>
      <c r="F193" s="2" t="str">
        <f t="shared" si="11"/>
        <v/>
      </c>
    </row>
    <row r="194" spans="1:6">
      <c r="A194" s="2" t="str">
        <f>IF('02_KICH_BAN_NODES'!D180="choice",'02_KICH_BAN_NODES'!B180,"")</f>
        <v/>
      </c>
      <c r="B194" s="2" t="str">
        <f>IF(A194="","",'02_KICH_BAN_NODES'!E180)</f>
        <v/>
      </c>
      <c r="C194" s="2" t="str">
        <f>IF(A194="","",COUNTIF('03_LUA_CHON'!$A$5:$A$404,A194))</f>
        <v/>
      </c>
      <c r="D194" s="2" t="str">
        <f>IF(A194="","",COUNTIFS('03_LUA_CHON'!$A$5:$A$404,A194,'03_LUA_CHON'!$D$5:$D$404,"Có"))</f>
        <v/>
      </c>
      <c r="E194" s="2" t="str">
        <f t="shared" si="10"/>
        <v/>
      </c>
      <c r="F194" s="2" t="str">
        <f t="shared" si="11"/>
        <v/>
      </c>
    </row>
    <row r="195" spans="1:6">
      <c r="A195" s="2" t="str">
        <f>IF('02_KICH_BAN_NODES'!D181="choice",'02_KICH_BAN_NODES'!B181,"")</f>
        <v/>
      </c>
      <c r="B195" s="2" t="str">
        <f>IF(A195="","",'02_KICH_BAN_NODES'!E181)</f>
        <v/>
      </c>
      <c r="C195" s="2" t="str">
        <f>IF(A195="","",COUNTIF('03_LUA_CHON'!$A$5:$A$404,A195))</f>
        <v/>
      </c>
      <c r="D195" s="2" t="str">
        <f>IF(A195="","",COUNTIFS('03_LUA_CHON'!$A$5:$A$404,A195,'03_LUA_CHON'!$D$5:$D$404,"Có"))</f>
        <v/>
      </c>
      <c r="E195" s="2" t="str">
        <f t="shared" si="10"/>
        <v/>
      </c>
      <c r="F195" s="2" t="str">
        <f t="shared" si="11"/>
        <v/>
      </c>
    </row>
    <row r="196" spans="1:6">
      <c r="A196" s="2" t="str">
        <f>IF('02_KICH_BAN_NODES'!D182="choice",'02_KICH_BAN_NODES'!B182,"")</f>
        <v/>
      </c>
      <c r="B196" s="2" t="str">
        <f>IF(A196="","",'02_KICH_BAN_NODES'!E182)</f>
        <v/>
      </c>
      <c r="C196" s="2" t="str">
        <f>IF(A196="","",COUNTIF('03_LUA_CHON'!$A$5:$A$404,A196))</f>
        <v/>
      </c>
      <c r="D196" s="2" t="str">
        <f>IF(A196="","",COUNTIFS('03_LUA_CHON'!$A$5:$A$404,A196,'03_LUA_CHON'!$D$5:$D$404,"Có"))</f>
        <v/>
      </c>
      <c r="E196" s="2" t="str">
        <f t="shared" si="10"/>
        <v/>
      </c>
      <c r="F196" s="2" t="str">
        <f t="shared" si="11"/>
        <v/>
      </c>
    </row>
    <row r="197" spans="1:6">
      <c r="A197" s="2" t="str">
        <f>IF('02_KICH_BAN_NODES'!D183="choice",'02_KICH_BAN_NODES'!B183,"")</f>
        <v/>
      </c>
      <c r="B197" s="2" t="str">
        <f>IF(A197="","",'02_KICH_BAN_NODES'!E183)</f>
        <v/>
      </c>
      <c r="C197" s="2" t="str">
        <f>IF(A197="","",COUNTIF('03_LUA_CHON'!$A$5:$A$404,A197))</f>
        <v/>
      </c>
      <c r="D197" s="2" t="str">
        <f>IF(A197="","",COUNTIFS('03_LUA_CHON'!$A$5:$A$404,A197,'03_LUA_CHON'!$D$5:$D$404,"Có"))</f>
        <v/>
      </c>
      <c r="E197" s="2" t="str">
        <f t="shared" si="10"/>
        <v/>
      </c>
      <c r="F197" s="2" t="str">
        <f t="shared" si="11"/>
        <v/>
      </c>
    </row>
    <row r="198" spans="1:6">
      <c r="A198" s="2" t="str">
        <f>IF('02_KICH_BAN_NODES'!D184="choice",'02_KICH_BAN_NODES'!B184,"")</f>
        <v/>
      </c>
      <c r="B198" s="2" t="str">
        <f>IF(A198="","",'02_KICH_BAN_NODES'!E184)</f>
        <v/>
      </c>
      <c r="C198" s="2" t="str">
        <f>IF(A198="","",COUNTIF('03_LUA_CHON'!$A$5:$A$404,A198))</f>
        <v/>
      </c>
      <c r="D198" s="2" t="str">
        <f>IF(A198="","",COUNTIFS('03_LUA_CHON'!$A$5:$A$404,A198,'03_LUA_CHON'!$D$5:$D$404,"Có"))</f>
        <v/>
      </c>
      <c r="E198" s="2" t="str">
        <f t="shared" si="10"/>
        <v/>
      </c>
      <c r="F198" s="2" t="str">
        <f t="shared" si="11"/>
        <v/>
      </c>
    </row>
    <row r="199" spans="1:6">
      <c r="A199" s="2" t="str">
        <f>IF('02_KICH_BAN_NODES'!D185="choice",'02_KICH_BAN_NODES'!B185,"")</f>
        <v/>
      </c>
      <c r="B199" s="2" t="str">
        <f>IF(A199="","",'02_KICH_BAN_NODES'!E185)</f>
        <v/>
      </c>
      <c r="C199" s="2" t="str">
        <f>IF(A199="","",COUNTIF('03_LUA_CHON'!$A$5:$A$404,A199))</f>
        <v/>
      </c>
      <c r="D199" s="2" t="str">
        <f>IF(A199="","",COUNTIFS('03_LUA_CHON'!$A$5:$A$404,A199,'03_LUA_CHON'!$D$5:$D$404,"Có"))</f>
        <v/>
      </c>
      <c r="E199" s="2" t="str">
        <f t="shared" si="10"/>
        <v/>
      </c>
      <c r="F199" s="2" t="str">
        <f t="shared" si="11"/>
        <v/>
      </c>
    </row>
    <row r="200" spans="1:6">
      <c r="A200" s="2" t="str">
        <f>IF('02_KICH_BAN_NODES'!D186="choice",'02_KICH_BAN_NODES'!B186,"")</f>
        <v/>
      </c>
      <c r="B200" s="2" t="str">
        <f>IF(A200="","",'02_KICH_BAN_NODES'!E186)</f>
        <v/>
      </c>
      <c r="C200" s="2" t="str">
        <f>IF(A200="","",COUNTIF('03_LUA_CHON'!$A$5:$A$404,A200))</f>
        <v/>
      </c>
      <c r="D200" s="2" t="str">
        <f>IF(A200="","",COUNTIFS('03_LUA_CHON'!$A$5:$A$404,A200,'03_LUA_CHON'!$D$5:$D$404,"Có"))</f>
        <v/>
      </c>
      <c r="E200" s="2" t="str">
        <f t="shared" si="10"/>
        <v/>
      </c>
      <c r="F200" s="2" t="str">
        <f t="shared" si="11"/>
        <v/>
      </c>
    </row>
    <row r="201" spans="1:6">
      <c r="A201" s="2" t="str">
        <f>IF('02_KICH_BAN_NODES'!D187="choice",'02_KICH_BAN_NODES'!B187,"")</f>
        <v/>
      </c>
      <c r="B201" s="2" t="str">
        <f>IF(A201="","",'02_KICH_BAN_NODES'!E187)</f>
        <v/>
      </c>
      <c r="C201" s="2" t="str">
        <f>IF(A201="","",COUNTIF('03_LUA_CHON'!$A$5:$A$404,A201))</f>
        <v/>
      </c>
      <c r="D201" s="2" t="str">
        <f>IF(A201="","",COUNTIFS('03_LUA_CHON'!$A$5:$A$404,A201,'03_LUA_CHON'!$D$5:$D$404,"Có"))</f>
        <v/>
      </c>
      <c r="E201" s="2" t="str">
        <f t="shared" si="10"/>
        <v/>
      </c>
      <c r="F201" s="2" t="str">
        <f t="shared" si="11"/>
        <v/>
      </c>
    </row>
    <row r="202" spans="1:6">
      <c r="A202" s="2" t="str">
        <f>IF('02_KICH_BAN_NODES'!D188="choice",'02_KICH_BAN_NODES'!B188,"")</f>
        <v/>
      </c>
      <c r="B202" s="2" t="str">
        <f>IF(A202="","",'02_KICH_BAN_NODES'!E188)</f>
        <v/>
      </c>
      <c r="C202" s="2" t="str">
        <f>IF(A202="","",COUNTIF('03_LUA_CHON'!$A$5:$A$404,A202))</f>
        <v/>
      </c>
      <c r="D202" s="2" t="str">
        <f>IF(A202="","",COUNTIFS('03_LUA_CHON'!$A$5:$A$404,A202,'03_LUA_CHON'!$D$5:$D$404,"Có"))</f>
        <v/>
      </c>
      <c r="E202" s="2" t="str">
        <f t="shared" si="10"/>
        <v/>
      </c>
      <c r="F202" s="2" t="str">
        <f t="shared" si="11"/>
        <v/>
      </c>
    </row>
    <row r="203" spans="1:6">
      <c r="A203" s="2" t="str">
        <f>IF('02_KICH_BAN_NODES'!D189="choice",'02_KICH_BAN_NODES'!B189,"")</f>
        <v/>
      </c>
      <c r="B203" s="2" t="str">
        <f>IF(A203="","",'02_KICH_BAN_NODES'!E189)</f>
        <v/>
      </c>
      <c r="C203" s="2" t="str">
        <f>IF(A203="","",COUNTIF('03_LUA_CHON'!$A$5:$A$404,A203))</f>
        <v/>
      </c>
      <c r="D203" s="2" t="str">
        <f>IF(A203="","",COUNTIFS('03_LUA_CHON'!$A$5:$A$404,A203,'03_LUA_CHON'!$D$5:$D$404,"Có"))</f>
        <v/>
      </c>
      <c r="E203" s="2" t="str">
        <f t="shared" si="10"/>
        <v/>
      </c>
      <c r="F203" s="2" t="str">
        <f t="shared" si="11"/>
        <v/>
      </c>
    </row>
    <row r="204" spans="1:6">
      <c r="A204" s="2" t="str">
        <f>IF('02_KICH_BAN_NODES'!D190="choice",'02_KICH_BAN_NODES'!B190,"")</f>
        <v/>
      </c>
      <c r="B204" s="2" t="str">
        <f>IF(A204="","",'02_KICH_BAN_NODES'!E190)</f>
        <v/>
      </c>
      <c r="C204" s="2" t="str">
        <f>IF(A204="","",COUNTIF('03_LUA_CHON'!$A$5:$A$404,A204))</f>
        <v/>
      </c>
      <c r="D204" s="2" t="str">
        <f>IF(A204="","",COUNTIFS('03_LUA_CHON'!$A$5:$A$404,A204,'03_LUA_CHON'!$D$5:$D$404,"Có"))</f>
        <v/>
      </c>
      <c r="E204" s="2" t="str">
        <f t="shared" si="10"/>
        <v/>
      </c>
      <c r="F204" s="2" t="str">
        <f t="shared" si="11"/>
        <v/>
      </c>
    </row>
    <row r="205" spans="1:6">
      <c r="A205" s="2" t="str">
        <f>IF('02_KICH_BAN_NODES'!D191="choice",'02_KICH_BAN_NODES'!B191,"")</f>
        <v/>
      </c>
      <c r="B205" s="2" t="str">
        <f>IF(A205="","",'02_KICH_BAN_NODES'!E191)</f>
        <v/>
      </c>
      <c r="C205" s="2" t="str">
        <f>IF(A205="","",COUNTIF('03_LUA_CHON'!$A$5:$A$404,A205))</f>
        <v/>
      </c>
      <c r="D205" s="2" t="str">
        <f>IF(A205="","",COUNTIFS('03_LUA_CHON'!$A$5:$A$404,A205,'03_LUA_CHON'!$D$5:$D$404,"Có"))</f>
        <v/>
      </c>
      <c r="E205" s="2" t="str">
        <f t="shared" si="10"/>
        <v/>
      </c>
      <c r="F205" s="2" t="str">
        <f t="shared" si="11"/>
        <v/>
      </c>
    </row>
    <row r="206" spans="1:6">
      <c r="A206" s="2" t="str">
        <f>IF('02_KICH_BAN_NODES'!D192="choice",'02_KICH_BAN_NODES'!B192,"")</f>
        <v/>
      </c>
      <c r="B206" s="2" t="str">
        <f>IF(A206="","",'02_KICH_BAN_NODES'!E192)</f>
        <v/>
      </c>
      <c r="C206" s="2" t="str">
        <f>IF(A206="","",COUNTIF('03_LUA_CHON'!$A$5:$A$404,A206))</f>
        <v/>
      </c>
      <c r="D206" s="2" t="str">
        <f>IF(A206="","",COUNTIFS('03_LUA_CHON'!$A$5:$A$404,A206,'03_LUA_CHON'!$D$5:$D$404,"Có"))</f>
        <v/>
      </c>
      <c r="E206" s="2" t="str">
        <f t="shared" si="10"/>
        <v/>
      </c>
      <c r="F206" s="2" t="str">
        <f t="shared" si="11"/>
        <v/>
      </c>
    </row>
    <row r="207" spans="1:6">
      <c r="A207" s="2" t="str">
        <f>IF('02_KICH_BAN_NODES'!D193="choice",'02_KICH_BAN_NODES'!B193,"")</f>
        <v/>
      </c>
      <c r="B207" s="2" t="str">
        <f>IF(A207="","",'02_KICH_BAN_NODES'!E193)</f>
        <v/>
      </c>
      <c r="C207" s="2" t="str">
        <f>IF(A207="","",COUNTIF('03_LUA_CHON'!$A$5:$A$404,A207))</f>
        <v/>
      </c>
      <c r="D207" s="2" t="str">
        <f>IF(A207="","",COUNTIFS('03_LUA_CHON'!$A$5:$A$404,A207,'03_LUA_CHON'!$D$5:$D$404,"Có"))</f>
        <v/>
      </c>
      <c r="E207" s="2" t="str">
        <f t="shared" si="10"/>
        <v/>
      </c>
      <c r="F207" s="2" t="str">
        <f t="shared" si="11"/>
        <v/>
      </c>
    </row>
    <row r="208" spans="1:6">
      <c r="A208" s="2" t="str">
        <f>IF('02_KICH_BAN_NODES'!D194="choice",'02_KICH_BAN_NODES'!B194,"")</f>
        <v/>
      </c>
      <c r="B208" s="2" t="str">
        <f>IF(A208="","",'02_KICH_BAN_NODES'!E194)</f>
        <v/>
      </c>
      <c r="C208" s="2" t="str">
        <f>IF(A208="","",COUNTIF('03_LUA_CHON'!$A$5:$A$404,A208))</f>
        <v/>
      </c>
      <c r="D208" s="2" t="str">
        <f>IF(A208="","",COUNTIFS('03_LUA_CHON'!$A$5:$A$404,A208,'03_LUA_CHON'!$D$5:$D$404,"Có"))</f>
        <v/>
      </c>
      <c r="E208" s="2" t="str">
        <f t="shared" si="10"/>
        <v/>
      </c>
      <c r="F208" s="2" t="str">
        <f t="shared" si="11"/>
        <v/>
      </c>
    </row>
    <row r="209" spans="1:6">
      <c r="A209" s="2" t="str">
        <f>IF('02_KICH_BAN_NODES'!D195="choice",'02_KICH_BAN_NODES'!B195,"")</f>
        <v/>
      </c>
      <c r="B209" s="2" t="str">
        <f>IF(A209="","",'02_KICH_BAN_NODES'!E195)</f>
        <v/>
      </c>
      <c r="C209" s="2" t="str">
        <f>IF(A209="","",COUNTIF('03_LUA_CHON'!$A$5:$A$404,A209))</f>
        <v/>
      </c>
      <c r="D209" s="2" t="str">
        <f>IF(A209="","",COUNTIFS('03_LUA_CHON'!$A$5:$A$404,A209,'03_LUA_CHON'!$D$5:$D$404,"Có"))</f>
        <v/>
      </c>
      <c r="E209" s="2" t="str">
        <f t="shared" si="10"/>
        <v/>
      </c>
      <c r="F209" s="2" t="str">
        <f t="shared" si="11"/>
        <v/>
      </c>
    </row>
    <row r="210" spans="1:6">
      <c r="A210" s="2" t="str">
        <f>IF('02_KICH_BAN_NODES'!D196="choice",'02_KICH_BAN_NODES'!B196,"")</f>
        <v/>
      </c>
      <c r="B210" s="2" t="str">
        <f>IF(A210="","",'02_KICH_BAN_NODES'!E196)</f>
        <v/>
      </c>
      <c r="C210" s="2" t="str">
        <f>IF(A210="","",COUNTIF('03_LUA_CHON'!$A$5:$A$404,A210))</f>
        <v/>
      </c>
      <c r="D210" s="2" t="str">
        <f>IF(A210="","",COUNTIFS('03_LUA_CHON'!$A$5:$A$404,A210,'03_LUA_CHON'!$D$5:$D$404,"Có"))</f>
        <v/>
      </c>
      <c r="E210" s="2" t="str">
        <f t="shared" si="10"/>
        <v/>
      </c>
      <c r="F210" s="2" t="str">
        <f t="shared" si="11"/>
        <v/>
      </c>
    </row>
    <row r="211" spans="1:6">
      <c r="A211" s="2" t="str">
        <f>IF('02_KICH_BAN_NODES'!D197="choice",'02_KICH_BAN_NODES'!B197,"")</f>
        <v/>
      </c>
      <c r="B211" s="2" t="str">
        <f>IF(A211="","",'02_KICH_BAN_NODES'!E197)</f>
        <v/>
      </c>
      <c r="C211" s="2" t="str">
        <f>IF(A211="","",COUNTIF('03_LUA_CHON'!$A$5:$A$404,A211))</f>
        <v/>
      </c>
      <c r="D211" s="2" t="str">
        <f>IF(A211="","",COUNTIFS('03_LUA_CHON'!$A$5:$A$404,A211,'03_LUA_CHON'!$D$5:$D$404,"Có"))</f>
        <v/>
      </c>
      <c r="E211" s="2" t="str">
        <f t="shared" ref="E211:E242" si="12">IF(A211="","",IF(OR(C211&lt;2,C211&gt;4),"CẦN SỬA",IF(AND(B211="Kiến thức",D211=1),"HỢP LỆ",IF(AND(B211="Tương tác",D211=0),"HỢP LỆ","CẦN SỬA"))))</f>
        <v/>
      </c>
      <c r="F211" s="2" t="str">
        <f t="shared" ref="F211:F218" si="13">IF(A211="","",IF(OR(C211&lt;2,C211&gt;4),"Cần 2–4 option",IF(AND(B211="Kiến thức",D211&lt;&gt;1),"Câu kiến thức cần đúng 1 đáp án đúng",IF(AND(B211="Tương tác",D211&lt;&gt;0),"Câu tương tác không có đáp án đúng",IF(B211="","Thiếu ChoiceMode","")))))</f>
        <v/>
      </c>
    </row>
    <row r="212" spans="1:6">
      <c r="A212" s="2" t="str">
        <f>IF('02_KICH_BAN_NODES'!D198="choice",'02_KICH_BAN_NODES'!B198,"")</f>
        <v/>
      </c>
      <c r="B212" s="2" t="str">
        <f>IF(A212="","",'02_KICH_BAN_NODES'!E198)</f>
        <v/>
      </c>
      <c r="C212" s="2" t="str">
        <f>IF(A212="","",COUNTIF('03_LUA_CHON'!$A$5:$A$404,A212))</f>
        <v/>
      </c>
      <c r="D212" s="2" t="str">
        <f>IF(A212="","",COUNTIFS('03_LUA_CHON'!$A$5:$A$404,A212,'03_LUA_CHON'!$D$5:$D$404,"Có"))</f>
        <v/>
      </c>
      <c r="E212" s="2" t="str">
        <f t="shared" si="12"/>
        <v/>
      </c>
      <c r="F212" s="2" t="str">
        <f t="shared" si="13"/>
        <v/>
      </c>
    </row>
    <row r="213" spans="1:6">
      <c r="A213" s="2" t="str">
        <f>IF('02_KICH_BAN_NODES'!D199="choice",'02_KICH_BAN_NODES'!B199,"")</f>
        <v/>
      </c>
      <c r="B213" s="2" t="str">
        <f>IF(A213="","",'02_KICH_BAN_NODES'!E199)</f>
        <v/>
      </c>
      <c r="C213" s="2" t="str">
        <f>IF(A213="","",COUNTIF('03_LUA_CHON'!$A$5:$A$404,A213))</f>
        <v/>
      </c>
      <c r="D213" s="2" t="str">
        <f>IF(A213="","",COUNTIFS('03_LUA_CHON'!$A$5:$A$404,A213,'03_LUA_CHON'!$D$5:$D$404,"Có"))</f>
        <v/>
      </c>
      <c r="E213" s="2" t="str">
        <f t="shared" si="12"/>
        <v/>
      </c>
      <c r="F213" s="2" t="str">
        <f t="shared" si="13"/>
        <v/>
      </c>
    </row>
    <row r="214" spans="1:6">
      <c r="A214" s="2" t="str">
        <f>IF('02_KICH_BAN_NODES'!D200="choice",'02_KICH_BAN_NODES'!B200,"")</f>
        <v/>
      </c>
      <c r="B214" s="2" t="str">
        <f>IF(A214="","",'02_KICH_BAN_NODES'!E200)</f>
        <v/>
      </c>
      <c r="C214" s="2" t="str">
        <f>IF(A214="","",COUNTIF('03_LUA_CHON'!$A$5:$A$404,A214))</f>
        <v/>
      </c>
      <c r="D214" s="2" t="str">
        <f>IF(A214="","",COUNTIFS('03_LUA_CHON'!$A$5:$A$404,A214,'03_LUA_CHON'!$D$5:$D$404,"Có"))</f>
        <v/>
      </c>
      <c r="E214" s="2" t="str">
        <f t="shared" si="12"/>
        <v/>
      </c>
      <c r="F214" s="2" t="str">
        <f t="shared" si="13"/>
        <v/>
      </c>
    </row>
    <row r="215" spans="1:6">
      <c r="A215" s="2" t="str">
        <f>IF('02_KICH_BAN_NODES'!D201="choice",'02_KICH_BAN_NODES'!B201,"")</f>
        <v/>
      </c>
      <c r="B215" s="2" t="str">
        <f>IF(A215="","",'02_KICH_BAN_NODES'!E201)</f>
        <v/>
      </c>
      <c r="C215" s="2" t="str">
        <f>IF(A215="","",COUNTIF('03_LUA_CHON'!$A$5:$A$404,A215))</f>
        <v/>
      </c>
      <c r="D215" s="2" t="str">
        <f>IF(A215="","",COUNTIFS('03_LUA_CHON'!$A$5:$A$404,A215,'03_LUA_CHON'!$D$5:$D$404,"Có"))</f>
        <v/>
      </c>
      <c r="E215" s="2" t="str">
        <f t="shared" si="12"/>
        <v/>
      </c>
      <c r="F215" s="2" t="str">
        <f t="shared" si="13"/>
        <v/>
      </c>
    </row>
    <row r="216" spans="1:6">
      <c r="A216" s="2" t="str">
        <f>IF('02_KICH_BAN_NODES'!D202="choice",'02_KICH_BAN_NODES'!B202,"")</f>
        <v/>
      </c>
      <c r="B216" s="2" t="str">
        <f>IF(A216="","",'02_KICH_BAN_NODES'!E202)</f>
        <v/>
      </c>
      <c r="C216" s="2" t="str">
        <f>IF(A216="","",COUNTIF('03_LUA_CHON'!$A$5:$A$404,A216))</f>
        <v/>
      </c>
      <c r="D216" s="2" t="str">
        <f>IF(A216="","",COUNTIFS('03_LUA_CHON'!$A$5:$A$404,A216,'03_LUA_CHON'!$D$5:$D$404,"Có"))</f>
        <v/>
      </c>
      <c r="E216" s="2" t="str">
        <f t="shared" si="12"/>
        <v/>
      </c>
      <c r="F216" s="2" t="str">
        <f t="shared" si="13"/>
        <v/>
      </c>
    </row>
    <row r="217" spans="1:6">
      <c r="A217" s="2" t="str">
        <f>IF('02_KICH_BAN_NODES'!D203="choice",'02_KICH_BAN_NODES'!B203,"")</f>
        <v/>
      </c>
      <c r="B217" s="2" t="str">
        <f>IF(A217="","",'02_KICH_BAN_NODES'!E203)</f>
        <v/>
      </c>
      <c r="C217" s="2" t="str">
        <f>IF(A217="","",COUNTIF('03_LUA_CHON'!$A$5:$A$404,A217))</f>
        <v/>
      </c>
      <c r="D217" s="2" t="str">
        <f>IF(A217="","",COUNTIFS('03_LUA_CHON'!$A$5:$A$404,A217,'03_LUA_CHON'!$D$5:$D$404,"Có"))</f>
        <v/>
      </c>
      <c r="E217" s="2" t="str">
        <f t="shared" si="12"/>
        <v/>
      </c>
      <c r="F217" s="2" t="str">
        <f t="shared" si="13"/>
        <v/>
      </c>
    </row>
    <row r="218" spans="1:6">
      <c r="A218" s="2" t="str">
        <f>IF('02_KICH_BAN_NODES'!D204="choice",'02_KICH_BAN_NODES'!B204,"")</f>
        <v/>
      </c>
      <c r="B218" s="2" t="str">
        <f>IF(A218="","",'02_KICH_BAN_NODES'!E204)</f>
        <v/>
      </c>
      <c r="C218" s="2" t="str">
        <f>IF(A218="","",COUNTIF('03_LUA_CHON'!$A$5:$A$404,A218))</f>
        <v/>
      </c>
      <c r="D218" s="2" t="str">
        <f>IF(A218="","",COUNTIFS('03_LUA_CHON'!$A$5:$A$404,A218,'03_LUA_CHON'!$D$5:$D$404,"Có"))</f>
        <v/>
      </c>
      <c r="E218" s="2" t="str">
        <f t="shared" si="12"/>
        <v/>
      </c>
      <c r="F218" s="2" t="str">
        <f t="shared" si="13"/>
        <v/>
      </c>
    </row>
  </sheetData>
  <mergeCells count="6">
    <mergeCell ref="A1:I1"/>
    <mergeCell ref="A2:I2"/>
    <mergeCell ref="A4:I4"/>
    <mergeCell ref="A8:I8"/>
    <mergeCell ref="A17:F17"/>
    <mergeCell ref="H17:I17"/>
  </mergeCells>
  <conditionalFormatting sqref="B15:C15">
    <cfRule type="expression" dxfId="7" priority="4">
      <formula>B15="SẴN SÀNG"</formula>
    </cfRule>
  </conditionalFormatting>
  <conditionalFormatting sqref="C10:C15">
    <cfRule type="expression" dxfId="6" priority="1">
      <formula>C10="HỢP LỆ"</formula>
    </cfRule>
    <cfRule type="expression" dxfId="5" priority="2">
      <formula>OR(C10="CẦN SỬA",C10="CHƯA SẴN SÀNG")</formula>
    </cfRule>
    <cfRule type="expression" dxfId="4" priority="3">
      <formula>C10="CẢNH BÁO"</formula>
    </cfRule>
  </conditionalFormatting>
  <conditionalFormatting sqref="E19:E218">
    <cfRule type="expression" dxfId="3" priority="5">
      <formula>E19="HỢP LỆ"</formula>
    </cfRule>
    <cfRule type="expression" dxfId="2" priority="6">
      <formula>E19="CẦN SỬA"</formula>
    </cfRule>
  </conditionalFormatting>
  <conditionalFormatting sqref="I19:I25">
    <cfRule type="expression" dxfId="1" priority="7">
      <formula>I19="Đạt"</formula>
    </cfRule>
    <cfRule type="expression" dxfId="0" priority="8">
      <formula>I19="Cần sửa"</formula>
    </cfRule>
  </conditionalFormatting>
  <dataValidations count="1">
    <dataValidation type="list" sqref="I19:I25" xr:uid="{00000000-0002-0000-0500-000000000000}">
      <formula1>"Chưa kiểm tra,Đạt,Cần sửa,Không áp dụng"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5"/>
  <sheetViews>
    <sheetView workbookViewId="0"/>
  </sheetViews>
  <sheetFormatPr defaultRowHeight="14.25"/>
  <cols>
    <col min="1" max="1" width="18" customWidth="1"/>
    <col min="2" max="2" width="48" customWidth="1"/>
    <col min="3" max="3" width="46" customWidth="1"/>
    <col min="4" max="4" width="24" customWidth="1"/>
    <col min="5" max="5" width="28" customWidth="1"/>
    <col min="6" max="6" width="18" customWidth="1"/>
    <col min="7" max="8" width="30" customWidth="1"/>
  </cols>
  <sheetData>
    <row r="1" spans="1:8" ht="30" customHeight="1">
      <c r="A1" s="19" t="s">
        <v>269</v>
      </c>
      <c r="B1" s="19"/>
      <c r="C1" s="19"/>
      <c r="D1" s="19"/>
      <c r="E1" s="19"/>
      <c r="F1" s="19"/>
      <c r="G1" s="19"/>
      <c r="H1" s="19"/>
    </row>
    <row r="2" spans="1:8" ht="36" customHeight="1">
      <c r="A2" s="20" t="s">
        <v>270</v>
      </c>
      <c r="B2" s="20"/>
      <c r="C2" s="20"/>
      <c r="D2" s="20"/>
      <c r="E2" s="20"/>
      <c r="F2" s="20"/>
      <c r="G2" s="20"/>
      <c r="H2" s="20"/>
    </row>
    <row r="4" spans="1:8" ht="24" customHeight="1">
      <c r="A4" s="18" t="s">
        <v>271</v>
      </c>
      <c r="B4" s="18"/>
      <c r="C4" s="18"/>
      <c r="D4" s="18"/>
      <c r="E4" s="18"/>
      <c r="F4" s="18"/>
      <c r="G4" s="18"/>
      <c r="H4" s="18"/>
    </row>
    <row r="5" spans="1:8" ht="39.950000000000003" customHeight="1">
      <c r="A5" s="1" t="s">
        <v>272</v>
      </c>
      <c r="B5" s="1" t="s">
        <v>273</v>
      </c>
      <c r="C5" s="1" t="s">
        <v>274</v>
      </c>
      <c r="D5" s="1" t="s">
        <v>49</v>
      </c>
      <c r="E5" s="1" t="s">
        <v>139</v>
      </c>
    </row>
    <row r="6" spans="1:8" ht="28.5">
      <c r="A6" s="2" t="s">
        <v>275</v>
      </c>
      <c r="B6" s="2" t="s">
        <v>95</v>
      </c>
      <c r="C6" s="2" t="s">
        <v>276</v>
      </c>
      <c r="D6" s="2" t="s">
        <v>96</v>
      </c>
      <c r="E6" s="2" t="s">
        <v>277</v>
      </c>
    </row>
    <row r="7" spans="1:8">
      <c r="A7" s="2" t="s">
        <v>278</v>
      </c>
      <c r="B7" s="2" t="s">
        <v>99</v>
      </c>
      <c r="C7" s="2" t="s">
        <v>279</v>
      </c>
      <c r="D7" s="2" t="s">
        <v>96</v>
      </c>
      <c r="E7" s="2" t="s">
        <v>280</v>
      </c>
    </row>
    <row r="8" spans="1:8">
      <c r="A8" s="2" t="s">
        <v>281</v>
      </c>
      <c r="B8" s="2" t="s">
        <v>102</v>
      </c>
      <c r="C8" s="2" t="s">
        <v>282</v>
      </c>
      <c r="D8" s="2" t="s">
        <v>96</v>
      </c>
      <c r="E8" s="2" t="s">
        <v>283</v>
      </c>
    </row>
    <row r="9" spans="1:8" ht="28.5">
      <c r="A9" s="2" t="s">
        <v>284</v>
      </c>
      <c r="B9" s="2" t="s">
        <v>285</v>
      </c>
      <c r="C9" s="2" t="s">
        <v>286</v>
      </c>
      <c r="D9" s="2" t="s">
        <v>96</v>
      </c>
      <c r="E9" s="2" t="s">
        <v>287</v>
      </c>
    </row>
    <row r="10" spans="1:8">
      <c r="A10" s="2" t="s">
        <v>288</v>
      </c>
      <c r="B10" s="2" t="s">
        <v>289</v>
      </c>
      <c r="C10" s="2" t="s">
        <v>290</v>
      </c>
      <c r="D10" s="2" t="s">
        <v>96</v>
      </c>
      <c r="E10" s="2" t="s">
        <v>291</v>
      </c>
    </row>
    <row r="12" spans="1:8" ht="24" customHeight="1">
      <c r="A12" s="18" t="s">
        <v>292</v>
      </c>
      <c r="B12" s="18"/>
      <c r="C12" s="18"/>
      <c r="D12" s="18"/>
      <c r="E12" s="18"/>
      <c r="F12" s="18"/>
      <c r="G12" s="18"/>
      <c r="H12" s="18"/>
    </row>
    <row r="13" spans="1:8" ht="39.950000000000003" customHeight="1">
      <c r="A13" s="1" t="s">
        <v>179</v>
      </c>
      <c r="B13" s="1" t="s">
        <v>293</v>
      </c>
      <c r="C13" s="1" t="s">
        <v>181</v>
      </c>
      <c r="D13" s="1" t="s">
        <v>294</v>
      </c>
      <c r="E13" s="1" t="s">
        <v>295</v>
      </c>
      <c r="F13" s="1" t="s">
        <v>70</v>
      </c>
      <c r="G13" s="1" t="s">
        <v>239</v>
      </c>
      <c r="H13" s="1" t="s">
        <v>139</v>
      </c>
    </row>
    <row r="14" spans="1:8">
      <c r="A14" s="2" t="s">
        <v>188</v>
      </c>
      <c r="B14" s="2" t="s">
        <v>296</v>
      </c>
      <c r="C14" s="2" t="s">
        <v>297</v>
      </c>
      <c r="D14" s="2" t="s">
        <v>127</v>
      </c>
      <c r="E14" s="2" t="s">
        <v>127</v>
      </c>
      <c r="F14" s="2" t="s">
        <v>298</v>
      </c>
      <c r="G14" s="2" t="s">
        <v>299</v>
      </c>
      <c r="H14" s="2" t="s">
        <v>300</v>
      </c>
    </row>
    <row r="15" spans="1:8">
      <c r="A15" s="2" t="s">
        <v>198</v>
      </c>
      <c r="B15" s="2" t="s">
        <v>301</v>
      </c>
      <c r="C15" s="2" t="s">
        <v>302</v>
      </c>
      <c r="D15" s="2" t="s">
        <v>303</v>
      </c>
      <c r="E15" s="2" t="s">
        <v>127</v>
      </c>
      <c r="F15" s="2" t="s">
        <v>298</v>
      </c>
      <c r="G15" s="2" t="s">
        <v>304</v>
      </c>
      <c r="H15" s="2" t="s">
        <v>305</v>
      </c>
    </row>
    <row r="16" spans="1:8" ht="28.5">
      <c r="A16" s="2" t="s">
        <v>208</v>
      </c>
      <c r="B16" s="2" t="s">
        <v>306</v>
      </c>
      <c r="C16" s="2" t="s">
        <v>307</v>
      </c>
      <c r="D16" s="2" t="s">
        <v>127</v>
      </c>
      <c r="E16" s="2" t="s">
        <v>308</v>
      </c>
      <c r="F16" s="2" t="s">
        <v>309</v>
      </c>
      <c r="G16" s="2" t="s">
        <v>310</v>
      </c>
      <c r="H16" s="2" t="s">
        <v>311</v>
      </c>
    </row>
    <row r="17" spans="1:8">
      <c r="A17" s="2" t="s">
        <v>216</v>
      </c>
      <c r="B17" s="2" t="s">
        <v>153</v>
      </c>
      <c r="C17" s="2" t="s">
        <v>312</v>
      </c>
      <c r="D17" s="2" t="s">
        <v>127</v>
      </c>
      <c r="E17" s="2" t="s">
        <v>127</v>
      </c>
      <c r="F17" s="2" t="s">
        <v>298</v>
      </c>
      <c r="G17" s="2" t="s">
        <v>313</v>
      </c>
      <c r="H17" s="2" t="s">
        <v>314</v>
      </c>
    </row>
    <row r="18" spans="1:8">
      <c r="A18" s="2" t="s">
        <v>221</v>
      </c>
      <c r="B18" s="2" t="s">
        <v>127</v>
      </c>
      <c r="C18" s="2" t="s">
        <v>315</v>
      </c>
      <c r="D18" s="2" t="s">
        <v>316</v>
      </c>
      <c r="E18" s="2" t="s">
        <v>127</v>
      </c>
      <c r="F18" s="2" t="s">
        <v>298</v>
      </c>
      <c r="G18" s="2" t="s">
        <v>317</v>
      </c>
      <c r="H18" s="2" t="s">
        <v>318</v>
      </c>
    </row>
    <row r="20" spans="1:8" ht="24" customHeight="1">
      <c r="A20" s="18" t="s">
        <v>319</v>
      </c>
      <c r="B20" s="18"/>
      <c r="C20" s="18"/>
      <c r="D20" s="18"/>
      <c r="E20" s="18"/>
      <c r="F20" s="18"/>
      <c r="G20" s="18"/>
      <c r="H20" s="18"/>
    </row>
    <row r="21" spans="1:8" ht="39.950000000000003" customHeight="1">
      <c r="A21" s="1" t="s">
        <v>320</v>
      </c>
      <c r="B21" s="1" t="s">
        <v>321</v>
      </c>
      <c r="C21" s="1" t="s">
        <v>44</v>
      </c>
      <c r="D21" s="1" t="s">
        <v>93</v>
      </c>
      <c r="E21" s="1" t="s">
        <v>49</v>
      </c>
      <c r="F21" s="1" t="s">
        <v>322</v>
      </c>
    </row>
    <row r="22" spans="1:8" ht="42.75">
      <c r="A22" s="2" t="s">
        <v>323</v>
      </c>
      <c r="B22" s="2" t="s">
        <v>324</v>
      </c>
      <c r="C22" s="2" t="s">
        <v>325</v>
      </c>
      <c r="D22" s="2" t="s">
        <v>326</v>
      </c>
      <c r="E22" s="2" t="s">
        <v>96</v>
      </c>
      <c r="F22" s="2" t="s">
        <v>327</v>
      </c>
    </row>
    <row r="23" spans="1:8" ht="42.75">
      <c r="A23" s="2" t="s">
        <v>328</v>
      </c>
      <c r="B23" s="2" t="s">
        <v>329</v>
      </c>
      <c r="C23" s="2" t="s">
        <v>330</v>
      </c>
      <c r="D23" s="2" t="s">
        <v>331</v>
      </c>
      <c r="E23" s="2" t="s">
        <v>96</v>
      </c>
      <c r="F23" s="2" t="s">
        <v>332</v>
      </c>
    </row>
    <row r="24" spans="1:8">
      <c r="A24" s="2" t="s">
        <v>162</v>
      </c>
      <c r="B24" s="2" t="s">
        <v>162</v>
      </c>
      <c r="C24" s="2" t="s">
        <v>333</v>
      </c>
      <c r="D24" s="2" t="s">
        <v>334</v>
      </c>
      <c r="E24" s="2" t="s">
        <v>127</v>
      </c>
      <c r="F24" s="2" t="s">
        <v>335</v>
      </c>
    </row>
    <row r="25" spans="1:8">
      <c r="A25" s="2" t="s">
        <v>336</v>
      </c>
      <c r="B25" s="2" t="s">
        <v>337</v>
      </c>
      <c r="C25" s="2" t="s">
        <v>338</v>
      </c>
      <c r="D25" s="2" t="s">
        <v>201</v>
      </c>
      <c r="E25" s="2" t="s">
        <v>96</v>
      </c>
      <c r="F25" s="2" t="s">
        <v>339</v>
      </c>
    </row>
    <row r="26" spans="1:8">
      <c r="A26" s="2" t="s">
        <v>164</v>
      </c>
      <c r="B26" s="2" t="s">
        <v>340</v>
      </c>
      <c r="C26" s="2" t="s">
        <v>341</v>
      </c>
      <c r="D26" s="2" t="s">
        <v>196</v>
      </c>
      <c r="E26" s="2" t="s">
        <v>127</v>
      </c>
      <c r="F26" s="2" t="s">
        <v>342</v>
      </c>
    </row>
    <row r="27" spans="1:8" ht="28.5">
      <c r="A27" s="2" t="s">
        <v>343</v>
      </c>
      <c r="B27" s="2" t="s">
        <v>344</v>
      </c>
      <c r="C27" s="2" t="s">
        <v>345</v>
      </c>
      <c r="D27" s="2" t="s">
        <v>346</v>
      </c>
      <c r="E27" s="2" t="s">
        <v>96</v>
      </c>
      <c r="F27" s="2" t="s">
        <v>347</v>
      </c>
    </row>
    <row r="29" spans="1:8" ht="24" customHeight="1">
      <c r="A29" s="18" t="s">
        <v>348</v>
      </c>
      <c r="B29" s="18"/>
      <c r="C29" s="18"/>
      <c r="D29" s="18"/>
      <c r="E29" s="18"/>
      <c r="F29" s="18"/>
      <c r="G29" s="18"/>
      <c r="H29" s="18"/>
    </row>
    <row r="30" spans="1:8" ht="39.950000000000003" customHeight="1">
      <c r="A30" s="1" t="s">
        <v>3</v>
      </c>
      <c r="B30" s="1" t="s">
        <v>349</v>
      </c>
      <c r="C30" s="1" t="s">
        <v>350</v>
      </c>
      <c r="D30" s="1"/>
      <c r="E30" s="1"/>
      <c r="F30" s="1"/>
      <c r="G30" s="1"/>
      <c r="H30" s="1"/>
    </row>
    <row r="31" spans="1:8">
      <c r="A31" s="9">
        <v>1</v>
      </c>
      <c r="B31" s="2" t="s">
        <v>351</v>
      </c>
      <c r="C31" s="2" t="s">
        <v>352</v>
      </c>
      <c r="D31" s="2"/>
      <c r="E31" s="2"/>
      <c r="F31" s="2"/>
      <c r="G31" s="2"/>
      <c r="H31" s="2"/>
    </row>
    <row r="32" spans="1:8" ht="28.5">
      <c r="A32" s="9">
        <v>2</v>
      </c>
      <c r="B32" s="2" t="s">
        <v>353</v>
      </c>
      <c r="C32" s="2" t="s">
        <v>354</v>
      </c>
      <c r="D32" s="2"/>
      <c r="E32" s="2"/>
      <c r="F32" s="2"/>
      <c r="G32" s="2"/>
      <c r="H32" s="2"/>
    </row>
    <row r="33" spans="1:8" ht="28.5">
      <c r="A33" s="9">
        <v>3</v>
      </c>
      <c r="B33" s="2" t="s">
        <v>355</v>
      </c>
      <c r="C33" s="2" t="s">
        <v>356</v>
      </c>
      <c r="D33" s="2"/>
      <c r="E33" s="2"/>
      <c r="F33" s="2"/>
      <c r="G33" s="2"/>
      <c r="H33" s="2"/>
    </row>
    <row r="34" spans="1:8" ht="28.5">
      <c r="A34" s="9">
        <v>4</v>
      </c>
      <c r="B34" s="2" t="s">
        <v>357</v>
      </c>
      <c r="C34" s="2" t="s">
        <v>358</v>
      </c>
      <c r="D34" s="2"/>
      <c r="E34" s="2"/>
      <c r="F34" s="2"/>
      <c r="G34" s="2"/>
      <c r="H34" s="2"/>
    </row>
    <row r="35" spans="1:8" ht="28.5">
      <c r="A35" s="9">
        <v>5</v>
      </c>
      <c r="B35" s="2" t="s">
        <v>359</v>
      </c>
      <c r="C35" s="2" t="s">
        <v>360</v>
      </c>
      <c r="D35" s="2"/>
      <c r="E35" s="2"/>
      <c r="F35" s="2"/>
      <c r="G35" s="2"/>
      <c r="H35" s="2"/>
    </row>
    <row r="36" spans="1:8">
      <c r="A36" s="9">
        <v>6</v>
      </c>
      <c r="B36" s="2" t="s">
        <v>361</v>
      </c>
      <c r="C36" s="2" t="s">
        <v>362</v>
      </c>
      <c r="D36" s="2"/>
      <c r="E36" s="2"/>
      <c r="F36" s="2"/>
      <c r="G36" s="2"/>
      <c r="H36" s="2"/>
    </row>
    <row r="37" spans="1:8">
      <c r="A37" s="9">
        <v>7</v>
      </c>
      <c r="B37" s="2" t="s">
        <v>363</v>
      </c>
      <c r="C37" s="2" t="s">
        <v>364</v>
      </c>
      <c r="D37" s="2"/>
      <c r="E37" s="2"/>
      <c r="F37" s="2"/>
      <c r="G37" s="2"/>
      <c r="H37" s="2"/>
    </row>
    <row r="39" spans="1:8" ht="24" customHeight="1">
      <c r="A39" s="18" t="s">
        <v>365</v>
      </c>
      <c r="B39" s="18"/>
      <c r="C39" s="18"/>
      <c r="D39" s="18"/>
      <c r="E39" s="18"/>
      <c r="F39" s="18"/>
      <c r="G39" s="18"/>
      <c r="H39" s="18"/>
    </row>
    <row r="40" spans="1:8" ht="39.950000000000003" customHeight="1">
      <c r="A40" s="1" t="s">
        <v>366</v>
      </c>
      <c r="B40" s="1" t="s">
        <v>367</v>
      </c>
      <c r="C40" s="1"/>
      <c r="D40" s="1"/>
      <c r="E40" s="1"/>
      <c r="F40" s="1"/>
      <c r="G40" s="1"/>
      <c r="H40" s="1"/>
    </row>
    <row r="41" spans="1:8" ht="28.5">
      <c r="A41" s="2" t="s">
        <v>188</v>
      </c>
      <c r="B41" s="6" t="s">
        <v>368</v>
      </c>
      <c r="C41" s="2"/>
      <c r="D41" s="2"/>
      <c r="E41" s="2"/>
      <c r="F41" s="2"/>
      <c r="G41" s="2"/>
      <c r="H41" s="2"/>
    </row>
    <row r="42" spans="1:8" ht="28.5">
      <c r="A42" s="2" t="s">
        <v>198</v>
      </c>
      <c r="B42" s="6" t="s">
        <v>369</v>
      </c>
      <c r="C42" s="2"/>
      <c r="D42" s="2"/>
      <c r="E42" s="2"/>
      <c r="F42" s="2"/>
      <c r="G42" s="2"/>
      <c r="H42" s="2"/>
    </row>
    <row r="43" spans="1:8" ht="28.5">
      <c r="A43" s="2" t="s">
        <v>208</v>
      </c>
      <c r="B43" s="6" t="s">
        <v>370</v>
      </c>
      <c r="C43" s="2"/>
      <c r="D43" s="2"/>
      <c r="E43" s="2"/>
      <c r="F43" s="2"/>
      <c r="G43" s="2"/>
      <c r="H43" s="2"/>
    </row>
    <row r="44" spans="1:8">
      <c r="A44" s="2" t="s">
        <v>216</v>
      </c>
      <c r="B44" s="6" t="s">
        <v>371</v>
      </c>
      <c r="C44" s="2"/>
      <c r="D44" s="2"/>
      <c r="E44" s="2"/>
      <c r="F44" s="2"/>
      <c r="G44" s="2"/>
      <c r="H44" s="2"/>
    </row>
    <row r="45" spans="1:8">
      <c r="A45" s="2" t="s">
        <v>221</v>
      </c>
      <c r="B45" s="6" t="s">
        <v>223</v>
      </c>
      <c r="C45" s="2"/>
      <c r="D45" s="2"/>
      <c r="E45" s="2"/>
      <c r="F45" s="2"/>
      <c r="G45" s="2"/>
      <c r="H45" s="2"/>
    </row>
  </sheetData>
  <mergeCells count="7">
    <mergeCell ref="A29:H29"/>
    <mergeCell ref="A39:H39"/>
    <mergeCell ref="A1:H1"/>
    <mergeCell ref="A2:H2"/>
    <mergeCell ref="A4:H4"/>
    <mergeCell ref="A12:H12"/>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00_HUONG_DAN</vt:lpstr>
      <vt:lpstr>01_THONG_TIN_PHIM</vt:lpstr>
      <vt:lpstr>02_KICH_BAN_NODES</vt:lpstr>
      <vt:lpstr>03_LUA_CHON</vt:lpstr>
      <vt:lpstr>04_DANH_MUC</vt:lpstr>
      <vt:lpstr>05_KIEM_TRA_QA</vt:lpstr>
      <vt:lpstr>06_DEV_MAPPING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Hoàng Lê Vũ</cp:lastModifiedBy>
  <dcterms:modified xsi:type="dcterms:W3CDTF">2026-07-14T14:50:51Z</dcterms:modified>
</cp:coreProperties>
</file>