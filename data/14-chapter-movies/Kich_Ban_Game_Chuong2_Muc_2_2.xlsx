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THONG_TIN_Game" sheetId="2" state="visible" r:id="rId4"/>
    <sheet name="02_KICH_BAN_NODES" sheetId="3" state="visible" r:id="rId5"/>
    <sheet name="03_LUA_CHON" sheetId="4" state="visible" r:id="rId6"/>
    <sheet name="04_DANH_MUC" sheetId="5" state="visible" r:id="rId7"/>
    <sheet name="05_KIEM_TRA_QA" sheetId="6" state="visible" r:id="rId8"/>
    <sheet name="06_DEV_MAPP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<sst xmlns="http://schemas.openxmlformats.org/spreadsheetml/2006/main" count="802" uniqueCount="503">
  <si>
    <t xml:space="preserve">MẪU NHẬP KỊCH BẢN GAME TƯƠNG TÁC</t>
  </si>
  <si>
    <t xml:space="preserve">Workbook chuẩn hóa cấu trúc từ 15-movie-template.ts. Team tài liệu nhập ô màu vàng; team dev dùng các bảng dữ liệu đã chuẩn hóa để dựng mảng script JSON/TypeScript và upsert movie.</t>
  </si>
  <si>
    <t xml:space="preserve">1. QUY TRÌNH SỬ DỤNG</t>
  </si>
  <si>
    <t xml:space="preserve">Bước</t>
  </si>
  <si>
    <t xml:space="preserve">Người thực hiện</t>
  </si>
  <si>
    <t xml:space="preserve">Thao tác</t>
  </si>
  <si>
    <t xml:space="preserve">Kết quả cần đạt</t>
  </si>
  <si>
    <t xml:space="preserve">Không được làm</t>
  </si>
  <si>
    <t xml:space="preserve">Team tài liệu</t>
  </si>
  <si>
    <t xml:space="preserve">Điền 01_THONG_TIN_Game</t>
  </si>
  <si>
    <t xml:space="preserve">Đủ mã chương, mục, tiêu đề và thông tin seed</t>
  </si>
  <si>
    <t xml:space="preserve">Không đổi tên trường kỹ thuật</t>
  </si>
  <si>
    <t xml:space="preserve">Điền 02_KICH_BAN_NODES theo NodeOrder</t>
  </si>
  <si>
    <t xml:space="preserve">Mỗi dòng là 1 scene/say/choice/act/end</t>
  </si>
  <si>
    <t xml:space="preserve">Không gộp nhiều node trong một dòng</t>
  </si>
  <si>
    <t xml:space="preserve">Điền 03_LUA_CHON theo ChoiceNodeId</t>
  </si>
  <si>
    <t xml:space="preserve">Mỗi choice có 2-4 phương án và đúng quy tắc ChoiceMode</t>
  </si>
  <si>
    <t xml:space="preserve">Không bỏ phản hồi phương án</t>
  </si>
  <si>
    <t xml:space="preserve">Reviewer</t>
  </si>
  <si>
    <t xml:space="preserve">Kiểm tra 05_KIEM_TRA_QA</t>
  </si>
  <si>
    <t xml:space="preserve">Không còn lỗi cấu trúc; checklist chuyên môn đạt</t>
  </si>
  <si>
    <t xml:space="preserve">Không bàn giao khi còn CẦN SỬA</t>
  </si>
  <si>
    <t xml:space="preserve">Team dev</t>
  </si>
  <si>
    <t xml:space="preserve">Chuyển đổi theo 06_DEV_MAPPING</t>
  </si>
  <si>
    <t xml:space="preserve">Seed chạy được và upsert theo muc</t>
  </si>
  <si>
    <t xml:space="preserve">Không tự thay đổi nội dung chuyên môn</t>
  </si>
  <si>
    <t xml:space="preserve">2. QUY ƯỚC MÀU VÀ TRẠNG THÁI</t>
  </si>
  <si>
    <t xml:space="preserve">Màu/Trạng thái</t>
  </si>
  <si>
    <t xml:space="preserve">Ý nghĩa</t>
  </si>
  <si>
    <t xml:space="preserve">Hành động</t>
  </si>
  <si>
    <t xml:space="preserve">Ô màu vàng</t>
  </si>
  <si>
    <t xml:space="preserve">Dữ liệu team tài liệu được phép nhập/sửa</t>
  </si>
  <si>
    <t xml:space="preserve">Điền nội dung, không xóa tiêu đề cột</t>
  </si>
  <si>
    <t xml:space="preserve">Ô màu xám</t>
  </si>
  <si>
    <t xml:space="preserve">Công thức hoặc thông tin kỹ thuật</t>
  </si>
  <si>
    <t xml:space="preserve">Không sửa</t>
  </si>
  <si>
    <t xml:space="preserve">HỢP LỆ</t>
  </si>
  <si>
    <t xml:space="preserve">Dòng đạt kiểm tra cấu trúc cơ bản</t>
  </si>
  <si>
    <t xml:space="preserve">Chuyển sang review chuyên môn</t>
  </si>
  <si>
    <t xml:space="preserve">CẦN SỬA</t>
  </si>
  <si>
    <t xml:space="preserve">Thiếu dữ liệu, sai liên kết hoặc sai quy tắc</t>
  </si>
  <si>
    <t xml:space="preserve">Đọc cột Lỗi cấu trúc và chỉnh lại</t>
  </si>
  <si>
    <t xml:space="preserve">3. QUY TẮC NỘI DUNG BẮT BUỘC</t>
  </si>
  <si>
    <t xml:space="preserve">Nhóm</t>
  </si>
  <si>
    <t xml:space="preserve">Quy tắc</t>
  </si>
  <si>
    <t xml:space="preserve">Mức độ</t>
  </si>
  <si>
    <t xml:space="preserve">Lý do</t>
  </si>
  <si>
    <t xml:space="preserve">Cấu trúc game</t>
  </si>
  <si>
    <t xml:space="preserve">Thông thường 2-4 màn; mỗi màn bắt đầu bằng scene, kết thúc bằng act; toàn game có đúng 1 end.</t>
  </si>
  <si>
    <t xml:space="preserve">Bắt buộc</t>
  </si>
  <si>
    <t xml:space="preserve">Khớp ScriptNode trong template.</t>
  </si>
  <si>
    <t xml:space="preserve">Choice kiến thức</t>
  </si>
  <si>
    <t xml:space="preserve">ChoiceMode = Kiến thức: 2-4 phương án và đúng 1 IsCorrect = Có.</t>
  </si>
  <si>
    <t xml:space="preserve">Dùng để kiểm tra và chấm đúng/sai.</t>
  </si>
  <si>
    <t xml:space="preserve">Choice tương tác</t>
  </si>
  <si>
    <t xml:space="preserve">ChoiceMode = Tương tác: 2-4 phương án và không đánh dấu đáp án đúng; có thể dùng dc.</t>
  </si>
  <si>
    <t xml:space="preserve">Khớp các lựa chọn thái độ/thiện cảm trong kịch bản mẫu.</t>
  </si>
  <si>
    <t xml:space="preserve">Phản hồi</t>
  </si>
  <si>
    <t xml:space="preserve">Mọi phương án phải có ReplyText; phương án sai của câu kiến thức phải giải thích vì sao sai.</t>
  </si>
  <si>
    <t xml:space="preserve">Bảo đảm giá trị học tập.</t>
  </si>
  <si>
    <t xml:space="preserve">Nhân vật</t>
  </si>
  <si>
    <t xml:space="preserve">Chỉ dùng SpeakerKey trong danh mục; nhân vật mới phải được dev bổ sung vào CHARACTERS.</t>
  </si>
  <si>
    <t xml:space="preserve">Tránh key không tồn tại.</t>
  </si>
  <si>
    <t xml:space="preserve">Cảnh nền</t>
  </si>
  <si>
    <t xml:space="preserve">Chỉ dùng Background trong danh mục; cảnh mới cần asset/SVG được dev xác nhận.</t>
  </si>
  <si>
    <t xml:space="preserve">Tránh thiếu tài nguyên giao diện.</t>
  </si>
  <si>
    <t xml:space="preserve">Văn bản</t>
  </si>
  <si>
    <t xml:space="preserve">Không dùng HTML; câu hỏi không đánh đố; lời thoại tự nhiên, phù hợp vai trò.</t>
  </si>
  <si>
    <t xml:space="preserve">Khuyến nghị cao</t>
  </si>
  <si>
    <t xml:space="preserve">Theo nguyên tắc biên soạn của template.</t>
  </si>
  <si>
    <t xml:space="preserve">Thứ tự</t>
  </si>
  <si>
    <t xml:space="preserve">NodeOrder và NodeId phải duy nhất; option sắp xếp bằng OptionOrder.</t>
  </si>
  <si>
    <t xml:space="preserve">Bảo toàn thứ tự mảng script/opts.</t>
  </si>
  <si>
    <t xml:space="preserve">4. TRƯỜNG HỢP ĐẶC BIỆT</t>
  </si>
  <si>
    <t xml:space="preserve">Tình huống</t>
  </si>
  <si>
    <t xml:space="preserve">Cách xử lý</t>
  </si>
  <si>
    <t xml:space="preserve">Lời dẫn chuyện</t>
  </si>
  <si>
    <t xml:space="preserve">NodeType = say, SpeakerKey = narr, Mood để trống.</t>
  </si>
  <si>
    <t xml:space="preserve">Choice mở đầu kiểu “Bạn sẵn sàng chứ?”</t>
  </si>
  <si>
    <t xml:space="preserve">Chọn ChoiceMode = Tương tác; IsCorrect của mọi option = Không; dùng dc nếu cần.</t>
  </si>
  <si>
    <t xml:space="preserve">Thêm nhân vật/cảnh nền</t>
  </si>
  <si>
    <t xml:space="preserve">Bổ sung tại 04_DANH_MUC, ghi rõ cần dev bổ sung và chỉ dùng sau khi được duyệt.</t>
  </si>
  <si>
    <t xml:space="preserve">Điểm thiện cảm dc</t>
  </si>
  <si>
    <t xml:space="preserve">Nhập số nguyên dương/âm khi cần; để trống để dùng cơ chế mặc định.</t>
  </si>
  <si>
    <t xml:space="preserve">Thông tin mẫu</t>
  </si>
  <si>
    <t xml:space="preserve">Giá trị</t>
  </si>
  <si>
    <t xml:space="preserve">Nguồn cấu trúc</t>
  </si>
  <si>
    <t xml:space="preserve">15-movie-template.ts</t>
  </si>
  <si>
    <t xml:space="preserve">Phiên bản workbook</t>
  </si>
  <si>
    <t xml:space="preserve">1.1.0 -- 2026-07-12</t>
  </si>
  <si>
    <t xml:space="preserve">01 -- THÔNG TIN game / THÔNG SỐ SEED</t>
  </si>
  <si>
    <t xml:space="preserve">Điền cột Giá trị. Trường có Bắt buộc = Có phải hoàn thành trước khi bàn giao.</t>
  </si>
  <si>
    <t xml:space="preserve">Trường kỹ thuật</t>
  </si>
  <si>
    <t xml:space="preserve">Ví dụ</t>
  </si>
  <si>
    <t xml:space="preserve">Quy tắc / Ghi chú</t>
  </si>
  <si>
    <t xml:space="preserve">chapterCode</t>
  </si>
  <si>
    <t xml:space="preserve">Có</t>
  </si>
  <si>
    <t xml:space="preserve">2</t>
  </si>
  <si>
    <t xml:space="preserve">1  /  2</t>
  </si>
  <si>
    <t xml:space="preserve">Phải tồn tại trong bảng chapter trước khi seed.</t>
  </si>
  <si>
    <t xml:space="preserve">muc</t>
  </si>
  <si>
    <t xml:space="preserve">2.2</t>
  </si>
  <si>
    <t xml:space="preserve">1.1  /  2.1</t>
  </si>
  <si>
    <t xml:space="preserve">Khóa nghiệp vụ dùng tìm movie hiện có để update/create.</t>
  </si>
  <si>
    <t xml:space="preserve">movieTitle</t>
  </si>
  <si>
    <t xml:space="preserve">game tương tác: Thị trường và nền kinh tế thị trường</t>
  </si>
  <si>
    <t xml:space="preserve">game tương tác: Hàng hóa và tiền tệ</t>
  </si>
  <si>
    <t xml:space="preserve">Tên hiển thị của game.</t>
  </si>
  <si>
    <t xml:space="preserve">seedFunctionName</t>
  </si>
  <si>
    <t xml:space="preserve">seedMovieChuong2Muc22</t>
  </si>
  <si>
    <t xml:space="preserve">seedMovieChuong2</t>
  </si>
  <si>
    <t xml:space="preserve">camelCase, không dấu, duy nhất.</t>
  </si>
  <si>
    <t xml:space="preserve">outputFileName</t>
  </si>
  <si>
    <t xml:space="preserve">movie-chuong2-muc2-2.ts</t>
  </si>
  <si>
    <t xml:space="preserve">16-movie-chuong-2.ts</t>
  </si>
  <si>
    <t xml:space="preserve">Tên file TypeScript sau chuyển đổi.</t>
  </si>
  <si>
    <t xml:space="preserve">seedLogLabel</t>
  </si>
  <si>
    <t xml:space="preserve">Interactive Movies (Chương 2 - Mục 2.2)</t>
  </si>
  <si>
    <t xml:space="preserve">Interactive Movies (Chương 2)</t>
  </si>
  <si>
    <t xml:space="preserve">Nhãn dùng trong seedLog().</t>
  </si>
  <si>
    <t xml:space="preserve">author</t>
  </si>
  <si>
    <t xml:space="preserve">Nguyễn Quyền Linh</t>
  </si>
  <si>
    <t xml:space="preserve">Nguyễn Văn A</t>
  </si>
  <si>
    <t xml:space="preserve">Người biên soạn.</t>
  </si>
  <si>
    <t xml:space="preserve">reviewer</t>
  </si>
  <si>
    <t xml:space="preserve">[Điền tên reviewer]</t>
  </si>
  <si>
    <t xml:space="preserve">Trần Thị B</t>
  </si>
  <si>
    <t xml:space="preserve">Người duyệt nội dung.</t>
  </si>
  <si>
    <t xml:space="preserve">version</t>
  </si>
  <si>
    <t xml:space="preserve">1.0</t>
  </si>
  <si>
    <t xml:space="preserve">1.1</t>
  </si>
  <si>
    <t xml:space="preserve">Tăng version khi chỉnh sau bàn giao.</t>
  </si>
  <si>
    <t xml:space="preserve">documentStatus</t>
  </si>
  <si>
    <t xml:space="preserve">Đang soạn</t>
  </si>
  <si>
    <t xml:space="preserve">Đã duyệt</t>
  </si>
  <si>
    <t xml:space="preserve">Chỉ bàn giao khi Đã duyệt.</t>
  </si>
  <si>
    <t xml:space="preserve">sourceReference</t>
  </si>
  <si>
    <t xml:space="preserve">Không</t>
  </si>
  <si>
    <t xml:space="preserve">Giáo trình KTCT Mác - Lênin, NXB CTQG Sự thật 2021, Chương 2 mục 2.2, tr.33-46</t>
  </si>
  <si>
    <t xml:space="preserve">Giáo trình Chương 2, trang 30-45</t>
  </si>
  <si>
    <t xml:space="preserve">Nguồn chuyên môn.</t>
  </si>
  <si>
    <t xml:space="preserve">changeSummary</t>
  </si>
  <si>
    <t xml:space="preserve">Tạo mới kịch bản mục 2.2 - Thị trường và nền kinh tế thị trường</t>
  </si>
  <si>
    <t xml:space="preserve">Tạo mới kịch bản Chương 2</t>
  </si>
  <si>
    <t xml:space="preserve">Tóm tắt thay đổi.</t>
  </si>
  <si>
    <t xml:space="preserve">KIỂM TRA NHANH</t>
  </si>
  <si>
    <t xml:space="preserve">Chỉ số</t>
  </si>
  <si>
    <t xml:space="preserve">Trạng thái</t>
  </si>
  <si>
    <t xml:space="preserve">Ghi chú</t>
  </si>
  <si>
    <t xml:space="preserve">Trường bắt buộc còn trống</t>
  </si>
  <si>
    <t xml:space="preserve">Trạng thái tài liệu</t>
  </si>
  <si>
    <t xml:space="preserve">Sẵn sàng bàn giao dev</t>
  </si>
  <si>
    <t xml:space="preserve">Công thức chỉ kiểm tra cấu trúc; reviewer vẫn phải kiểm tra kiến thức.</t>
  </si>
  <si>
    <t xml:space="preserve">02 -- KỊCH BẢN: DANH SÁCH SCRIPT NODE</t>
  </si>
  <si>
    <t xml:space="preserve">Mỗi dòng là một ScriptNode. ChoiceMode chỉ dùng để QA/biên soạn và không cần ghi vào object TypeScript.</t>
  </si>
  <si>
    <t xml:space="preserve">NodeOrder*</t>
  </si>
  <si>
    <t xml:space="preserve">NodeId*</t>
  </si>
  <si>
    <t xml:space="preserve">ActNo</t>
  </si>
  <si>
    <t xml:space="preserve">NodeType*</t>
  </si>
  <si>
    <t xml:space="preserve">ChoiceMode</t>
  </si>
  <si>
    <t xml:space="preserve">Background</t>
  </si>
  <si>
    <t xml:space="preserve">SceneName</t>
  </si>
  <si>
    <t xml:space="preserve">SpeakerKey</t>
  </si>
  <si>
    <t xml:space="preserve">Mood</t>
  </si>
  <si>
    <t xml:space="preserve">Text / Question</t>
  </si>
  <si>
    <t xml:space="preserve">ActRoman</t>
  </si>
  <si>
    <t xml:space="preserve">Ghi chú biên soạn</t>
  </si>
  <si>
    <t xml:space="preserve">Trạng thái Lỗi cấu trúc</t>
  </si>
  <si>
    <t xml:space="preserve">N001</t>
  </si>
  <si>
    <t xml:space="preserve">scene</t>
  </si>
  <si>
    <t xml:space="preserve">thukho</t>
  </si>
  <si>
    <t xml:space="preserve">Màn I · Thị trường: khái niệm, phân loại, vai trò</t>
  </si>
  <si>
    <t xml:space="preserve">Đầu màn</t>
  </si>
  <si>
    <t xml:space="preserve">N002</t>
  </si>
  <si>
    <t xml:space="preserve">say</t>
  </si>
  <si>
    <t xml:space="preserve">narr</t>
  </si>
  <si>
    <t xml:space="preserve">Rời khỏi chủ đề hàng hóa và tiền tệ, bạn cùng GS. Lâm bước sang một khái niệm quen thuộc nhưng cần được hiểu đúng bản chất: thị trường.</t>
  </si>
  <si>
    <t xml:space="preserve">N003</t>
  </si>
  <si>
    <t xml:space="preserve">lam</t>
  </si>
  <si>
    <t xml:space="preserve">neutral</t>
  </si>
  <si>
    <t xml:space="preserve">Thị trường không chỉ là cái chợ hay siêu thị bạn nhìn thấy. Ở cấp độ trừu tượng hơn, thị trường là tổng hòa các quan hệ kinh tế trong đó nhu cầu của các chủ thể được đáp ứng thông qua trao đổi, mua bán, với sự xác định giá cả và số lượng hàng hóa, dịch vụ.</t>
  </si>
  <si>
    <t xml:space="preserve">N004</t>
  </si>
  <si>
    <t xml:space="preserve">choice</t>
  </si>
  <si>
    <t xml:space="preserve">Kiến thức</t>
  </si>
  <si>
    <t xml:space="preserve">Ở cấp độ trừu tượng, thị trường được hiểu là gì?</t>
  </si>
  <si>
    <t xml:space="preserve">Nhập option ở sheet 03</t>
  </si>
  <si>
    <t xml:space="preserve">N005</t>
  </si>
  <si>
    <t xml:space="preserve">Thị trường có vai trò không thể thay thế trong nền kinh tế — nó không chỉ là nơi thực hiện giá trị hàng hóa, mà còn kích thích sáng tạo và gắn kết cả nền kinh tế thành một chỉnh thể.</t>
  </si>
  <si>
    <t xml:space="preserve">N006</t>
  </si>
  <si>
    <t xml:space="preserve">Thị trường 'gắn kết nền kinh tế thành một chỉnh thể' là nói đến vai trò nào của thị trường?</t>
  </si>
  <si>
    <t xml:space="preserve">N007</t>
  </si>
  <si>
    <t xml:space="preserve">act</t>
  </si>
  <si>
    <t xml:space="preserve">I</t>
  </si>
  <si>
    <t xml:space="preserve">Kết thúc màn I</t>
  </si>
  <si>
    <t xml:space="preserve">N008</t>
  </si>
  <si>
    <t xml:space="preserve">hoithao</t>
  </si>
  <si>
    <t xml:space="preserve">Màn II · Nền kinh tế thị trường: đặc trưng, ưu thế và khuyết tật</t>
  </si>
  <si>
    <t xml:space="preserve">Bắt đầu màn II</t>
  </si>
  <si>
    <t xml:space="preserve">N009</t>
  </si>
  <si>
    <t xml:space="preserve">Ở hội trường, TS. Khoa đưa ra chủ đề gây tranh luận nhiều nhất: nền kinh tế thị trường tốt hay xấu?</t>
  </si>
  <si>
    <t xml:space="preserve">N010</t>
  </si>
  <si>
    <t xml:space="preserve">khoa</t>
  </si>
  <si>
    <t xml:space="preserve">stern</t>
  </si>
  <si>
    <t xml:space="preserve">Nền kinh tế thị trường là nền kinh tế vận hành theo cơ chế thị trường, nơi mọi quan hệ sản xuất và trao đổi đều thông qua thị trường. Nó có nhiều ưu thế — nhưng cũng có những khuyết tật vốn có mà bản thân nó không tự khắc phục được.</t>
  </si>
  <si>
    <t xml:space="preserve">N011</t>
  </si>
  <si>
    <t xml:space="preserve">Đâu là một trong những khuyết tật mà bản thân nền kinh tế thị trường KHÔNG THỂ tự khắc phục được?</t>
  </si>
  <si>
    <t xml:space="preserve">N012</t>
  </si>
  <si>
    <t xml:space="preserve">Chính vì những khuyết tật này mà trong thực tế, không tồn tại một nền kinh tế thị trường 'thuần túy' — luôn cần có bàn tay điều tiết.</t>
  </si>
  <si>
    <t xml:space="preserve">N013</t>
  </si>
  <si>
    <t xml:space="preserve">Khi nhà nước can thiệp để sửa chữa những thất bại của cơ chế thị trường, nền kinh tế đó được gọi là gì?</t>
  </si>
  <si>
    <t xml:space="preserve">N014</t>
  </si>
  <si>
    <t xml:space="preserve">II</t>
  </si>
  <si>
    <t xml:space="preserve">Kết thúc màn II</t>
  </si>
  <si>
    <t xml:space="preserve">N015</t>
  </si>
  <si>
    <t xml:space="preserve">buctham</t>
  </si>
  <si>
    <t xml:space="preserve">Màn III · Quy luật giá trị và quy luật cung - cầu</t>
  </si>
  <si>
    <t xml:space="preserve">Bắt đầu màn III</t>
  </si>
  <si>
    <t xml:space="preserve">N016</t>
  </si>
  <si>
    <t xml:space="preserve">Tại bục thẩm, SV. Minh mang đến một câu hỏi thực tế: vì sao giá cả trên thị trường cứ lên xuống liên tục?</t>
  </si>
  <si>
    <t xml:space="preserve">N017</t>
  </si>
  <si>
    <t xml:space="preserve">minh</t>
  </si>
  <si>
    <t xml:space="preserve">Mình thấy giá rau ngoài chợ hôm nay khác hôm qua, không ai ấn định cả — vậy nó vận động theo quy luật nào?</t>
  </si>
  <si>
    <t xml:space="preserve">N018</t>
  </si>
  <si>
    <t xml:space="preserve">Quy luật giá trị hoạt động và phát huy tác dụng thông qua điều gì?</t>
  </si>
  <si>
    <t xml:space="preserve">N019</t>
  </si>
  <si>
    <t xml:space="preserve">Còn quy luật cung - cầu thì cho chúng ta biết: khi cung lớn hơn cầu, giá cả sẽ ra sao? Và ngược lại?</t>
  </si>
  <si>
    <t xml:space="preserve">N020</t>
  </si>
  <si>
    <t xml:space="preserve">Theo quy luật cung - cầu, khi cung nhỏ hơn cầu thì giá cả trên thị trường sẽ như thế nào so với giá trị?</t>
  </si>
  <si>
    <t xml:space="preserve">N021</t>
  </si>
  <si>
    <t xml:space="preserve">III</t>
  </si>
  <si>
    <t xml:space="preserve">Kết thúc màn III</t>
  </si>
  <si>
    <t xml:space="preserve">N022</t>
  </si>
  <si>
    <t xml:space="preserve">Màn IV · Quy luật lưu thông tiền tệ và quy luật cạnh tranh</t>
  </si>
  <si>
    <t xml:space="preserve">Bắt đầu màn IV</t>
  </si>
  <si>
    <t xml:space="preserve">N023</t>
  </si>
  <si>
    <t xml:space="preserve">Quay lại thư khố, GS. Lâm giới thiệu hai quy luật cuối cùng chi phối nền kinh tế thị trường.</t>
  </si>
  <si>
    <t xml:space="preserve">N024</t>
  </si>
  <si>
    <t xml:space="preserve">Quy luật lưu thông tiền tệ yêu cầu lượng tiền đưa vào lưu thông phải phù hợp với nhu cầu lưu thông hàng hóa. Nếu phát hành tiền giấy quá mức cần thiết, điều gì sẽ xảy ra?</t>
  </si>
  <si>
    <t xml:space="preserve">N025</t>
  </si>
  <si>
    <t xml:space="preserve">Nếu nhà nước phát hành tiền giấy vượt quá mức cần thiết cho lưu thông, hậu quả trực tiếp là gì?</t>
  </si>
  <si>
    <t xml:space="preserve">N026</t>
  </si>
  <si>
    <t xml:space="preserve">Cuối cùng là quy luật cạnh tranh — vừa có mặt tích cực thúc đẩy lực lượng sản xuất phát triển, vừa có thể gây ra những tác động tiêu cực nếu thiếu lành mạnh.</t>
  </si>
  <si>
    <t xml:space="preserve">N027</t>
  </si>
  <si>
    <t xml:space="preserve">Cạnh tranh trong nội bộ ngành (giữa các doanh nghiệp cùng sản xuất một loại hàng hóa) dẫn đến kết quả trực tiếp nào?</t>
  </si>
  <si>
    <t xml:space="preserve">N028</t>
  </si>
  <si>
    <t xml:space="preserve">IV</t>
  </si>
  <si>
    <t xml:space="preserve">Kết thúc màn IV</t>
  </si>
  <si>
    <t xml:space="preserve">N029</t>
  </si>
  <si>
    <t xml:space="preserve">end</t>
  </si>
  <si>
    <t xml:space="preserve">Kết thúc toàn bộ game</t>
  </si>
  <si>
    <t xml:space="preserve">03 -- PHƯƠNG ÁN CHO CÁC NODE CHOICE</t>
  </si>
  <si>
    <t xml:space="preserve">Choice kiến thức: đúng 1 đáp án. Choice tương tác: không có đáp án đúng, có thể nhập dc để thay đổi thiện cảm.</t>
  </si>
  <si>
    <t xml:space="preserve">ChoiceNodeId*</t>
  </si>
  <si>
    <t xml:space="preserve">OptionOrder*</t>
  </si>
  <si>
    <t xml:space="preserve">OptionText*</t>
  </si>
  <si>
    <t xml:space="preserve">IsCorrect*</t>
  </si>
  <si>
    <t xml:space="preserve">dc</t>
  </si>
  <si>
    <t xml:space="preserve">ReplySpeaker*</t>
  </si>
  <si>
    <t xml:space="preserve">ReplyMood</t>
  </si>
  <si>
    <t xml:space="preserve">ReplyText*</t>
  </si>
  <si>
    <t xml:space="preserve">Tổng hòa những quan hệ kinh tế trong đó nhu cầu của các chủ thể được đáp ứng thông qua trao đổi, mua bán, với sự xác định giá cả và số lượng hàng hóa, dịch vụ.</t>
  </si>
  <si>
    <t xml:space="preserve">happy</t>
  </si>
  <si>
    <t xml:space="preserve">Chính xác! Thị trường không chỉ là một địa điểm cụ thể mà còn là một tổng thể quan hệ kinh tế.</t>
  </si>
  <si>
    <t xml:space="preserve">Đáp án đúng</t>
  </si>
  <si>
    <t xml:space="preserve">Là nơi duy nhất nhà nước ấn định giá cả hàng hóa.</t>
  </si>
  <si>
    <t xml:space="preserve">concern</t>
  </si>
  <si>
    <t xml:space="preserve">Chưa đúng — giá cả trên thị trường hình thành theo nguyên tắc thị trường (cung - cầu), không phải do nhà nước áp đặt trong nền kinh tế thị trường.</t>
  </si>
  <si>
    <t xml:space="preserve">Đáp án nhiễu hợp lý</t>
  </si>
  <si>
    <t xml:space="preserve">Là toàn bộ hàng hóa mà một quốc gia sản xuất ra trong một năm.</t>
  </si>
  <si>
    <t xml:space="preserve">Không đúng — đó gần với khái niệm tổng sản phẩm quốc gia, không phải khái niệm thị trường.</t>
  </si>
  <si>
    <t xml:space="preserve">Thị trường làm cho các quan hệ sản xuất, lưu thông, phân phối, tiêu dùng trở thành một thể thống nhất, không phụ thuộc vào địa giới hành chính, đồng thời gắn kết kinh tế quốc gia với kinh tế thế giới.</t>
  </si>
  <si>
    <t xml:space="preserve">Đúng! Đây là một trong ba vai trò chủ yếu của thị trường.</t>
  </si>
  <si>
    <t xml:space="preserve">Vai trò kích thích sự sáng tạo của các thành viên trong xã hội.</t>
  </si>
  <si>
    <t xml:space="preserve">Đây cũng là một vai trò quan trọng của thị trường, nhưng câu hỏi đang hỏi cụ thể về vai trò 'gắn kết nền kinh tế thành một chỉnh thể'.</t>
  </si>
  <si>
    <t xml:space="preserve">Vai trò thực hiện giá trị hàng hóa, tạo môi trường cho sản xuất phát triển.</t>
  </si>
  <si>
    <t xml:space="preserve">Đây cũng là một vai trò của thị trường, nhưng không phải là vai trò 'gắn kết nền kinh tế thành một chỉnh thể' mà câu hỏi đề cập.</t>
  </si>
  <si>
    <t xml:space="preserve">Nguy cơ khủng hoảng, cạn kiệt tài nguyên, suy thoái môi trường, và phân hóa giàu nghèo sâu sắc trong xã hội.</t>
  </si>
  <si>
    <t xml:space="preserve">Đúng. Đây chính là lý do vì sao cần có vai trò điều tiết của nhà nước.</t>
  </si>
  <si>
    <t xml:space="preserve">Không tạo được động lực sáng tạo cho các chủ thể kinh tế.</t>
  </si>
  <si>
    <t xml:space="preserve">Chưa đúng — ngược lại, tạo động lực sáng tạo chính là một trong những ưu thế nổi bật của kinh tế thị trường.</t>
  </si>
  <si>
    <t xml:space="preserve">Không thể đáp ứng đa dạng nhu cầu của người tiêu dùng.</t>
  </si>
  <si>
    <t xml:space="preserve">Không đúng — thỏa mãn tối đa nhu cầu của con người cũng là một ưu thế của kinh tế thị trường, không phải khuyết tật.</t>
  </si>
  <si>
    <t xml:space="preserve">Kinh tế thị trường có sự điều tiết của nhà nước (hay nền kinh tế hỗn hợp).</t>
  </si>
  <si>
    <t xml:space="preserve">Chính xác! Đây là mô hình phổ biến trong thực tế hiện nay, khác với kinh tế thị trường thuần túy chỉ tồn tại về mặt lý thuyết.</t>
  </si>
  <si>
    <t xml:space="preserve">Kinh tế kế hoạch hóa tập trung.</t>
  </si>
  <si>
    <t xml:space="preserve">Chưa đúng — kinh tế kế hoạch hóa tập trung là mô hình nhà nước quyết định gần như toàn bộ, khác hẳn với việc nhà nước chỉ điều tiết các khuyết tật của thị trường.</t>
  </si>
  <si>
    <t xml:space="preserve">Kinh tế tự cấp, tự túc.</t>
  </si>
  <si>
    <t xml:space="preserve">Không đúng — kinh tế tự cấp tự túc là giai đoạn trước khi có sản xuất hàng hóa, không liên quan đến việc nhà nước điều tiết thị trường.</t>
  </si>
  <si>
    <t xml:space="preserve">Thông qua sự vận động của giá cả xoay quanh giá trị, dưới tác động của quan hệ cung - cầu.</t>
  </si>
  <si>
    <t xml:space="preserve">À, nên giá rau mới lên xuống — nó luôn dao động quanh giá trị chứ không cố định!</t>
  </si>
  <si>
    <t xml:space="preserve">Thông qua quyết định hành chính của cơ quan quản lý giá.</t>
  </si>
  <si>
    <t xml:space="preserve">Chưa đúng — trong nền kinh tế thị trường, quy luật giá trị vận động một cách khách quan qua giá cả, không phải do quyết định hành chính.</t>
  </si>
  <si>
    <t xml:space="preserve">Thông qua việc cố định giá cả bằng đúng giá trị mọi lúc.</t>
  </si>
  <si>
    <t xml:space="preserve">Không đúng — giá cả luôn lên xuống xoay quanh giá trị chứ hiếm khi bằng đúng giá trị tại mọi thời điểm.</t>
  </si>
  <si>
    <t xml:space="preserve">Giá cả sẽ cao hơn giá trị.</t>
  </si>
  <si>
    <t xml:space="preserve">Đúng rồi! Ngược lại, khi cung lớn hơn cầu thì giá cả sẽ thấp hơn giá trị; chỉ khi cung bằng cầu thì giá cả mới bằng giá trị.</t>
  </si>
  <si>
    <t xml:space="preserve">Giá cả sẽ thấp hơn giá trị.</t>
  </si>
  <si>
    <t xml:space="preserve">Chưa đúng — đó là trường hợp cung lớn hơn cầu, ngược lại với tình huống câu hỏi đưa ra.</t>
  </si>
  <si>
    <t xml:space="preserve">Giá cả luôn giữ nguyên, không đổi.</t>
  </si>
  <si>
    <t xml:space="preserve">Không đúng — giá cả luôn biến động theo quan hệ cung - cầu, không giữ nguyên.</t>
  </si>
  <si>
    <t xml:space="preserve">Đồng tiền bị mất giá, giá cả hàng hóa tăng lên, dẫn đến lạm phát.</t>
  </si>
  <si>
    <t xml:space="preserve">Chính xác! Đây là lý do quy luật lưu thông tiền tệ luôn được nhấn mạnh trong điều hành chính sách tiền tệ.</t>
  </si>
  <si>
    <t xml:space="preserve">Hàng hóa trở nên khan hiếm hơn.</t>
  </si>
  <si>
    <t xml:space="preserve">Chưa đúng — phát hành tiền quá mức không trực tiếp làm khan hiếm hàng hóa, mà làm mất giá đồng tiền, gây lạm phát.</t>
  </si>
  <si>
    <t xml:space="preserve">Giá trị của hàng hóa tăng lên tương ứng.</t>
  </si>
  <si>
    <t xml:space="preserve">Không đúng — giá trị hàng hóa do lao động xã hội cần thiết quyết định, không đổi vì lượng tiền phát hành; chỉ có giá cả (biểu hiện bằng tiền của giá trị) tăng lên.</t>
  </si>
  <si>
    <t xml:space="preserve">Hình thành giá trị thị trường (giá trị xã hội) chung cho từng loại hàng hóa, dựa trên điều kiện sản xuất trung bình của ngành.</t>
  </si>
  <si>
    <t xml:space="preserve">Đúng! Doanh nghiệp nào có giá trị cá biệt thấp hơn giá trị thị trường sẽ có lợi thế cạnh tranh.</t>
  </si>
  <si>
    <t xml:space="preserve">Xóa bỏ hoàn toàn sự khác biệt về công nghệ giữa các doanh nghiệp.</t>
  </si>
  <si>
    <t xml:space="preserve">Chưa đúng — cạnh tranh nội bộ ngành không xóa bỏ khác biệt công nghệ, mà thúc đẩy các doanh nghiệp cải tiến để giảm giá trị cá biệt.</t>
  </si>
  <si>
    <t xml:space="preserve">Chuyển toàn bộ nguồn lực từ ngành này sang ngành khác.</t>
  </si>
  <si>
    <t xml:space="preserve">Không đúng — đó là đặc điểm của cạnh tranh GIỮA CÁC NGÀNH, không phải cạnh tranh trong nội bộ một ngành.</t>
  </si>
  <si>
    <t xml:space="preserve">04 -- DANH MỤC KỸ THUẬT DÙNG CHUNG</t>
  </si>
  <si>
    <t xml:space="preserve">Các vùng danh mục là nguồn dropdown. Dòng trống phía dưới dành cho tài nguyên mới đã được dev xác nhận.</t>
  </si>
  <si>
    <t xml:space="preserve">NHÂN VẬT</t>
  </si>
  <si>
    <t xml:space="preserve">Tên hiển thị</t>
  </si>
  <si>
    <t xml:space="preserve">Vai trò</t>
  </si>
  <si>
    <t xml:space="preserve">you</t>
  </si>
  <si>
    <t xml:space="preserve">Bạn</t>
  </si>
  <si>
    <t xml:space="preserve">Trợ lý nghiên cứu</t>
  </si>
  <si>
    <t xml:space="preserve">GS. Lâm</t>
  </si>
  <si>
    <t xml:space="preserve">Người hướng dẫn</t>
  </si>
  <si>
    <t xml:space="preserve">an</t>
  </si>
  <si>
    <t xml:space="preserve">Thủ thư An</t>
  </si>
  <si>
    <t xml:space="preserve">Thủ thư lưu trữ</t>
  </si>
  <si>
    <t xml:space="preserve">TS. Khoa</t>
  </si>
  <si>
    <t xml:space="preserve">Phản biện viên</t>
  </si>
  <si>
    <t xml:space="preserve">SV. Minh</t>
  </si>
  <si>
    <t xml:space="preserve">Sinh viên</t>
  </si>
  <si>
    <t xml:space="preserve">CẢNH NỀN</t>
  </si>
  <si>
    <t xml:space="preserve">BackgroundKey</t>
  </si>
  <si>
    <t xml:space="preserve">Mô tả</t>
  </si>
  <si>
    <t xml:space="preserve">Tình trạng asset</t>
  </si>
  <si>
    <t xml:space="preserve">Thư khố / tầng hầm lưu trữ, tông nâu ấm</t>
  </si>
  <si>
    <t xml:space="preserve">Có sẵn</t>
  </si>
  <si>
    <t xml:space="preserve">Hội trường / hội thảo, tông tím xanh</t>
  </si>
  <si>
    <t xml:space="preserve">Bục thẩm / khán phòng, tông đỏ trầm</t>
  </si>
  <si>
    <t xml:space="preserve">MOOD</t>
  </si>
  <si>
    <t xml:space="preserve">MoodKey</t>
  </si>
  <si>
    <t xml:space="preserve">Ý nghĩa gợi ý</t>
  </si>
  <si>
    <t xml:space="preserve">Bình thường / trung lập</t>
  </si>
  <si>
    <t xml:space="preserve">Vui / khích lệ</t>
  </si>
  <si>
    <t xml:space="preserve">Quan ngại / sửa sai nhẹ nhàng</t>
  </si>
  <si>
    <t xml:space="preserve">Nghiêm khắc / phản biện</t>
  </si>
  <si>
    <t xml:space="preserve">NODE TYPE</t>
  </si>
  <si>
    <t xml:space="preserve">NodeType</t>
  </si>
  <si>
    <t xml:space="preserve">Trường bắt buộc</t>
  </si>
  <si>
    <t xml:space="preserve">Object đầu ra</t>
  </si>
  <si>
    <t xml:space="preserve">ActNo, Background, SceneName</t>
  </si>
  <si>
    <t xml:space="preserve">{ t: "scene", bg, act, name }</t>
  </si>
  <si>
    <t xml:space="preserve">SpeakerKey, Text; Mood trừ narr</t>
  </si>
  <si>
    <t xml:space="preserve">{ t: "say", who, mood?, text }</t>
  </si>
  <si>
    <t xml:space="preserve">ChoiceMode, SpeakerKey, Mood, Question + options</t>
  </si>
  <si>
    <t xml:space="preserve">{ t: "choice", who, mood, q, opts }</t>
  </si>
  <si>
    <t xml:space="preserve">{ t: "act", n }</t>
  </si>
  <si>
    <t xml:space="preserve">Không có trường phụ</t>
  </si>
  <si>
    <t xml:space="preserve">{ t: "end" }</t>
  </si>
  <si>
    <t xml:space="preserve">05 -- KIỂM TRA CHẤT LƯỢNG TRƯỚC KHI BÀN GIAO</t>
  </si>
  <si>
    <t xml:space="preserve">QA tự động kiểm tra cấu trúc; reviewer vẫn cần duyệt kiến thức, chính tả và tính tự nhiên.</t>
  </si>
  <si>
    <t xml:space="preserve">TỔNG QUAN</t>
  </si>
  <si>
    <t xml:space="preserve">Tổng node</t>
  </si>
  <si>
    <t xml:space="preserve">Scene</t>
  </si>
  <si>
    <t xml:space="preserve">Say</t>
  </si>
  <si>
    <t xml:space="preserve">Choice</t>
  </si>
  <si>
    <t xml:space="preserve">Act</t>
  </si>
  <si>
    <t xml:space="preserve">End</t>
  </si>
  <si>
    <t xml:space="preserve">Lỗi node</t>
  </si>
  <si>
    <t xml:space="preserve">Lỗi option</t>
  </si>
  <si>
    <t xml:space="preserve">CÁC ĐIỀU KIỆN BẮT BUỘC</t>
  </si>
  <si>
    <t xml:space="preserve">Kiểm tra</t>
  </si>
  <si>
    <t xml:space="preserve">Kết quả</t>
  </si>
  <si>
    <t xml:space="preserve">Có đúng 1 node end</t>
  </si>
  <si>
    <t xml:space="preserve">Giữ đúng một end ở cuối phim.</t>
  </si>
  <si>
    <t xml:space="preserve">Không có lỗi node</t>
  </si>
  <si>
    <t xml:space="preserve">Xem cột Lỗi cấu trúc sheet 02.</t>
  </si>
  <si>
    <t xml:space="preserve">Không có lỗi option</t>
  </si>
  <si>
    <t xml:space="preserve">Xem cột Lỗi cấu trúc sheet 03.</t>
  </si>
  <si>
    <t xml:space="preserve">Số scene thông thường 2-4</t>
  </si>
  <si>
    <t xml:space="preserve">Ngoài khoảng cần reviewer xác nhận.</t>
  </si>
  <si>
    <t xml:space="preserve">Metadata sẵn sàng</t>
  </si>
  <si>
    <t xml:space="preserve">Hoàn tất sheet 01 và Đã duyệt.</t>
  </si>
  <si>
    <t xml:space="preserve">KẾT LUẬN BÀN GIAO</t>
  </si>
  <si>
    <t xml:space="preserve">Chỉ bàn giao khi SẴN SÀNG.</t>
  </si>
  <si>
    <t xml:space="preserve">KIỂM TRA TỪNG CHOICE NODE</t>
  </si>
  <si>
    <t xml:space="preserve">ChoiceNodeId</t>
  </si>
  <si>
    <t xml:space="preserve">Số option</t>
  </si>
  <si>
    <t xml:space="preserve">Số đáp án đúng</t>
  </si>
  <si>
    <t xml:space="preserve">Lỗi</t>
  </si>
  <si>
    <t xml:space="preserve">CHECKLIST REVIEWER</t>
  </si>
  <si>
    <t xml:space="preserve">Mục review</t>
  </si>
  <si>
    <t xml:space="preserve">Xác nhận</t>
  </si>
  <si>
    <t xml:space="preserve">Kiến thức đúng nguồn</t>
  </si>
  <si>
    <t xml:space="preserve">Chưa kiểm tra</t>
  </si>
  <si>
    <t xml:space="preserve">Câu hỏi không đánh đố</t>
  </si>
  <si>
    <t xml:space="preserve">Phản hồi sai có giải thích</t>
  </si>
  <si>
    <t xml:space="preserve">Tên màn và chuyển cảnh hợp lý</t>
  </si>
  <si>
    <t xml:space="preserve">Lời thoại tự nhiên, đúng vai</t>
  </si>
  <si>
    <t xml:space="preserve">Không có HTML / lỗi chính tả</t>
  </si>
  <si>
    <t xml:space="preserve">Đã chạy thử seed ở môi trường dev</t>
  </si>
  <si>
    <t xml:space="preserve">06 -- MAPPING EXCEL -&gt; TYPESCRIPT / PRISMA SEED</t>
  </si>
  <si>
    <t xml:space="preserve">Dành cho dev. ChoiceMode là metadata biên soạn, chỉ dùng để validate và không xuất vào ScriptNode.</t>
  </si>
  <si>
    <t xml:space="preserve">1. MAPPING THÔNG TIN MOVIE</t>
  </si>
  <si>
    <t xml:space="preserve">Excel</t>
  </si>
  <si>
    <t xml:space="preserve">Biến seed / Prisma</t>
  </si>
  <si>
    <t xml:space="preserve">Mục đích</t>
  </si>
  <si>
    <t xml:space="preserve">01!chapterCode</t>
  </si>
  <si>
    <t xml:space="preserve">chapter.findUnique({ where: { code } })</t>
  </si>
  <si>
    <t xml:space="preserve">Không tìm thấy chapter thì cảnh báo và return.</t>
  </si>
  <si>
    <t xml:space="preserve">01!muc</t>
  </si>
  <si>
    <t xml:space="preserve">movie.findFirst({ where: { muc } })</t>
  </si>
  <si>
    <t xml:space="preserve">Khóa xác định update/create.</t>
  </si>
  <si>
    <t xml:space="preserve">01!movieTitle</t>
  </si>
  <si>
    <t xml:space="preserve">movie.title</t>
  </si>
  <si>
    <t xml:space="preserve">Tên hiển thị.</t>
  </si>
  <si>
    <t xml:space="preserve">01!seedFunctionName</t>
  </si>
  <si>
    <t xml:space="preserve">Tên export function</t>
  </si>
  <si>
    <t xml:space="preserve">Đăng ký vào seed/index.ts</t>
  </si>
  <si>
    <t xml:space="preserve">Phải duy nhất.</t>
  </si>
  <si>
    <t xml:space="preserve">01!seedLogLabel</t>
  </si>
  <si>
    <t xml:space="preserve">seedLog(label, 1)</t>
  </si>
  <si>
    <t xml:space="preserve">Log seed</t>
  </si>
  <si>
    <t xml:space="preserve">Đổi theo chương.</t>
  </si>
  <si>
    <t xml:space="preserve">2. MAPPING SCRIPT NODE</t>
  </si>
  <si>
    <t xml:space="preserve">Excel fields</t>
  </si>
  <si>
    <t xml:space="preserve">Bỏ qua khi rỗng</t>
  </si>
  <si>
    <t xml:space="preserve">Liên kết option</t>
  </si>
  <si>
    <t xml:space="preserve">Background, ActNo, SceneName</t>
  </si>
  <si>
    <t xml:space="preserve">{ t:"scene", bg, act, name }</t>
  </si>
  <si>
    <t xml:space="preserve">NodeOrder</t>
  </si>
  <si>
    <t xml:space="preserve">Đủ 3 trường</t>
  </si>
  <si>
    <t xml:space="preserve">Đầu màn.</t>
  </si>
  <si>
    <t xml:space="preserve">SpeakerKey, Mood, Text</t>
  </si>
  <si>
    <t xml:space="preserve">{ t:"say", who, mood?, text }</t>
  </si>
  <si>
    <t xml:space="preserve">mood</t>
  </si>
  <si>
    <t xml:space="preserve">who/text bắt buộc</t>
  </si>
  <si>
    <t xml:space="preserve">narr thường không có mood.</t>
  </si>
  <si>
    <t xml:space="preserve">SpeakerKey, Mood, Question</t>
  </si>
  <si>
    <t xml:space="preserve">{ t:"choice", who, mood, q, opts }</t>
  </si>
  <si>
    <t xml:space="preserve">Join 03 theo ChoiceNodeId</t>
  </si>
  <si>
    <t xml:space="preserve">NodeOrder + OptionOrder</t>
  </si>
  <si>
    <t xml:space="preserve">2-4 opts, theo ChoiceMode</t>
  </si>
  <si>
    <t xml:space="preserve">Không xuất ChoiceMode.</t>
  </si>
  <si>
    <t xml:space="preserve">{ t:"act", n }</t>
  </si>
  <si>
    <t xml:space="preserve">n bắt buộc</t>
  </si>
  <si>
    <t xml:space="preserve">Cuối màn.</t>
  </si>
  <si>
    <t xml:space="preserve">--</t>
  </si>
  <si>
    <t xml:space="preserve">{ t:"end" }</t>
  </si>
  <si>
    <t xml:space="preserve">Tất cả</t>
  </si>
  <si>
    <t xml:space="preserve">Đúng 1 node</t>
  </si>
  <si>
    <t xml:space="preserve">Cuối phim.</t>
  </si>
  <si>
    <t xml:space="preserve">3. MAPPING CHOICE OPTION</t>
  </si>
  <si>
    <t xml:space="preserve">Excel field</t>
  </si>
  <si>
    <t xml:space="preserve">Output field</t>
  </si>
  <si>
    <t xml:space="preserve">Lưu ý</t>
  </si>
  <si>
    <t xml:space="preserve">OptionText</t>
  </si>
  <si>
    <t xml:space="preserve">text</t>
  </si>
  <si>
    <t xml:space="preserve">Giữ nguyên chuỗi</t>
  </si>
  <si>
    <t xml:space="preserve">Em sẵn sàng.</t>
  </si>
  <si>
    <t xml:space="preserve">Không tự thêm A/B/C nếu UI không yêu cầu.</t>
  </si>
  <si>
    <t xml:space="preserve">IsCorrect</t>
  </si>
  <si>
    <t xml:space="preserve">correct</t>
  </si>
  <si>
    <t xml:space="preserve">Chỉ xuất correct:true khi "Có"</t>
  </si>
  <si>
    <t xml:space="preserve">true</t>
  </si>
  <si>
    <t xml:space="preserve">Tương tác: tất cả = Không; không xuất false.</t>
  </si>
  <si>
    <t xml:space="preserve">Chỉ xuất khi có số</t>
  </si>
  <si>
    <t xml:space="preserve">8 hoặc -2</t>
  </si>
  <si>
    <t xml:space="preserve">Dùng cho thiện cảm.</t>
  </si>
  <si>
    <t xml:space="preserve">ReplySpeaker</t>
  </si>
  <si>
    <t xml:space="preserve">reply.who</t>
  </si>
  <si>
    <t xml:space="preserve">Key hợp lệ</t>
  </si>
  <si>
    <t xml:space="preserve">reply.t luôn là say.</t>
  </si>
  <si>
    <t xml:space="preserve">reply.mood</t>
  </si>
  <si>
    <t xml:space="preserve">Bỏ qua nếu trống</t>
  </si>
  <si>
    <t xml:space="preserve">narr thường trống.</t>
  </si>
  <si>
    <t xml:space="preserve">ReplyText</t>
  </si>
  <si>
    <t xml:space="preserve">reply.text</t>
  </si>
  <si>
    <t xml:space="preserve">Giữ nguyên</t>
  </si>
  <si>
    <t xml:space="preserve">Tinh thần tốt.</t>
  </si>
  <si>
    <t xml:space="preserve">Sai kiến thức cần giải thích.</t>
  </si>
  <si>
    <t xml:space="preserve">4. THUẬT TOÁN CHUYỂN ĐỔI ĐỀ XUẤT</t>
  </si>
  <si>
    <t xml:space="preserve">Xử lý</t>
  </si>
  <si>
    <t xml:space="preserve">Chi tiết</t>
  </si>
  <si>
    <t xml:space="preserve">Đọc metadata</t>
  </si>
  <si>
    <t xml:space="preserve">Lấy chapterCode, muc, movieTitle, tên hàm/file.</t>
  </si>
  <si>
    <t xml:space="preserve">Đọc node</t>
  </si>
  <si>
    <t xml:space="preserve">Bỏ NodeOrder trống; sort tăng dần; kiểm tra NodeId duy nhất.</t>
  </si>
  <si>
    <t xml:space="preserve">Đọc option</t>
  </si>
  <si>
    <t xml:space="preserve">Bỏ ChoiceNodeId trống; group theo ID; sort OptionOrder.</t>
  </si>
  <si>
    <t xml:space="preserve">Dựng script</t>
  </si>
  <si>
    <t xml:space="preserve">Switch NodeType; choice gắn opts đã group; bỏ ChoiceMode.</t>
  </si>
  <si>
    <t xml:space="preserve">Tạo option</t>
  </si>
  <si>
    <t xml:space="preserve">correct chỉ khi Có; dc/mood chỉ khi có giá trị; reply luôn t=say.</t>
  </si>
  <si>
    <t xml:space="preserve">Upsert movie</t>
  </si>
  <si>
    <t xml:space="preserve">Tìm chapter; tìm movie theo muc; update hoặc create.</t>
  </si>
  <si>
    <t xml:space="preserve">Đăng ký seed</t>
  </si>
  <si>
    <t xml:space="preserve">Import và gọi hàm trong services/src/seed/index.ts.</t>
  </si>
  <si>
    <t xml:space="preserve">5. MẪU OBJECT ĐẦU RA</t>
  </si>
  <si>
    <t xml:space="preserve">Loại</t>
  </si>
  <si>
    <t xml:space="preserve">Ví dụ TypeScript / JSON tương ứng</t>
  </si>
  <si>
    <t xml:space="preserve">{ t: "scene", bg: "thukho", act: 1, name: "Màn I . Nguồn gốc" }</t>
  </si>
  <si>
    <t xml:space="preserve">{ t: "say", who: "lam", mood: "neutral", text: "Chào trợ lý mới." }</t>
  </si>
  <si>
    <t xml:space="preserve">{ t: "choice", who: "lam", mood: "neutral", q: "...", opts: [ /* từ sheet 03 */ ] }</t>
  </si>
  <si>
    <t xml:space="preserve">{ t: "act", n: "I"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</si>
</sst>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Times New Roman"/>
      <family val="0"/>
      <charset val="1"/>
    </font>
    <font>
      <i val="true"/>
      <sz val="9"/>
      <color rgb="FF555555"/>
      <name val="Times New Roman"/>
      <family val="0"/>
      <charset val="1"/>
    </font>
    <font>
      <b val="true"/>
      <sz val="12"/>
      <name val="Times New Roman"/>
      <family val="0"/>
      <charset val="1"/>
    </font>
    <font>
      <b val="true"/>
      <sz val="10"/>
      <name val="Times New Roman"/>
      <family val="0"/>
      <charset val="1"/>
    </font>
    <font>
      <sz val="10"/>
      <name val="Times New Roman"/>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4" min="3" style="0" width="34"/>
    <col collapsed="false" customWidth="true" hidden="false" outlineLevel="0" max="5" min="5" style="0" width="30"/>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n">
        <v>1</v>
      </c>
      <c r="B6" s="5" t="s">
        <v>8</v>
      </c>
      <c r="C6" s="5" t="s">
        <v>9</v>
      </c>
      <c r="D6" s="5" t="s">
        <v>10</v>
      </c>
      <c r="E6" s="5" t="s">
        <v>11</v>
      </c>
    </row>
    <row r="7" customFormat="false" ht="23.85" hidden="false" customHeight="false" outlineLevel="0" collapsed="false">
      <c r="A7" s="5" t="n">
        <v>2</v>
      </c>
      <c r="B7" s="5" t="s">
        <v>8</v>
      </c>
      <c r="C7" s="5" t="s">
        <v>12</v>
      </c>
      <c r="D7" s="5" t="s">
        <v>13</v>
      </c>
      <c r="E7" s="5" t="s">
        <v>14</v>
      </c>
    </row>
    <row r="8" customFormat="false" ht="23.85" hidden="false" customHeight="false" outlineLevel="0" collapsed="false">
      <c r="A8" s="5" t="n">
        <v>3</v>
      </c>
      <c r="B8" s="5" t="s">
        <v>8</v>
      </c>
      <c r="C8" s="5" t="s">
        <v>15</v>
      </c>
      <c r="D8" s="5" t="s">
        <v>16</v>
      </c>
      <c r="E8" s="5" t="s">
        <v>17</v>
      </c>
    </row>
    <row r="9" customFormat="false" ht="23.85" hidden="false" customHeight="false" outlineLevel="0" collapsed="false">
      <c r="A9" s="5" t="n">
        <v>4</v>
      </c>
      <c r="B9" s="5" t="s">
        <v>18</v>
      </c>
      <c r="C9" s="5" t="s">
        <v>19</v>
      </c>
      <c r="D9" s="5" t="s">
        <v>20</v>
      </c>
      <c r="E9" s="5" t="s">
        <v>21</v>
      </c>
    </row>
    <row r="10" customFormat="false" ht="15" hidden="false" customHeight="false" outlineLevel="0" collapsed="false">
      <c r="A10" s="5" t="n">
        <v>5</v>
      </c>
      <c r="B10" s="5" t="s">
        <v>22</v>
      </c>
      <c r="C10" s="5" t="s">
        <v>23</v>
      </c>
      <c r="D10" s="5" t="s">
        <v>24</v>
      </c>
      <c r="E10" s="5" t="s">
        <v>25</v>
      </c>
    </row>
    <row r="12" customFormat="false" ht="15" hidden="false" customHeight="false" outlineLevel="0" collapsed="false">
      <c r="A12" s="3" t="s">
        <v>26</v>
      </c>
    </row>
    <row r="13" customFormat="false" ht="15" hidden="false" customHeight="false" outlineLevel="0" collapsed="false">
      <c r="A13" s="4" t="s">
        <v>27</v>
      </c>
      <c r="B13" s="4" t="s">
        <v>28</v>
      </c>
      <c r="C13" s="4" t="s">
        <v>29</v>
      </c>
    </row>
    <row r="14" customFormat="false" ht="23.85" hidden="false" customHeight="false" outlineLevel="0" collapsed="false">
      <c r="A14" s="6" t="s">
        <v>30</v>
      </c>
      <c r="B14" s="5" t="s">
        <v>31</v>
      </c>
      <c r="C14" s="5" t="s">
        <v>32</v>
      </c>
    </row>
    <row r="15" customFormat="false" ht="23.85" hidden="false" customHeight="false" outlineLevel="0" collapsed="false">
      <c r="A15" s="7" t="s">
        <v>33</v>
      </c>
      <c r="B15" s="5" t="s">
        <v>34</v>
      </c>
      <c r="C15" s="5" t="s">
        <v>35</v>
      </c>
    </row>
    <row r="16" customFormat="false" ht="23.85" hidden="false" customHeight="false" outlineLevel="0" collapsed="false">
      <c r="A16" s="5" t="s">
        <v>36</v>
      </c>
      <c r="B16" s="5" t="s">
        <v>37</v>
      </c>
      <c r="C16" s="5" t="s">
        <v>38</v>
      </c>
    </row>
    <row r="17" customFormat="false" ht="23.85" hidden="false" customHeight="false" outlineLevel="0" collapsed="false">
      <c r="A17" s="5" t="s">
        <v>39</v>
      </c>
      <c r="B17" s="5" t="s">
        <v>40</v>
      </c>
      <c r="C17" s="5" t="s">
        <v>41</v>
      </c>
    </row>
    <row r="19" customFormat="false" ht="15" hidden="false" customHeight="false" outlineLevel="0" collapsed="false">
      <c r="A19" s="3" t="s">
        <v>42</v>
      </c>
    </row>
    <row r="20" customFormat="false" ht="15" hidden="false" customHeight="false" outlineLevel="0" collapsed="false">
      <c r="A20" s="4" t="s">
        <v>43</v>
      </c>
      <c r="B20" s="4" t="s">
        <v>44</v>
      </c>
      <c r="C20" s="4" t="s">
        <v>45</v>
      </c>
      <c r="D20" s="4" t="s">
        <v>46</v>
      </c>
    </row>
    <row r="21" customFormat="false" ht="46.25" hidden="false" customHeight="false" outlineLevel="0" collapsed="false">
      <c r="A21" s="5" t="s">
        <v>47</v>
      </c>
      <c r="B21" s="5" t="s">
        <v>48</v>
      </c>
      <c r="C21" s="5" t="s">
        <v>49</v>
      </c>
      <c r="D21" s="5" t="s">
        <v>50</v>
      </c>
    </row>
    <row r="22" customFormat="false" ht="35.05" hidden="false" customHeight="false" outlineLevel="0" collapsed="false">
      <c r="A22" s="5" t="s">
        <v>51</v>
      </c>
      <c r="B22" s="5" t="s">
        <v>52</v>
      </c>
      <c r="C22" s="5" t="s">
        <v>49</v>
      </c>
      <c r="D22" s="5" t="s">
        <v>53</v>
      </c>
    </row>
    <row r="23" customFormat="false" ht="35.05" hidden="false" customHeight="false" outlineLevel="0" collapsed="false">
      <c r="A23" s="5" t="s">
        <v>54</v>
      </c>
      <c r="B23" s="5" t="s">
        <v>55</v>
      </c>
      <c r="C23" s="5" t="s">
        <v>49</v>
      </c>
      <c r="D23" s="5" t="s">
        <v>56</v>
      </c>
    </row>
    <row r="24" customFormat="false" ht="46.25" hidden="false" customHeight="false" outlineLevel="0" collapsed="false">
      <c r="A24" s="5" t="s">
        <v>57</v>
      </c>
      <c r="B24" s="5" t="s">
        <v>58</v>
      </c>
      <c r="C24" s="5" t="s">
        <v>49</v>
      </c>
      <c r="D24" s="5" t="s">
        <v>59</v>
      </c>
    </row>
    <row r="25" customFormat="false" ht="46.25" hidden="false" customHeight="false" outlineLevel="0" collapsed="false">
      <c r="A25" s="5" t="s">
        <v>60</v>
      </c>
      <c r="B25" s="5" t="s">
        <v>61</v>
      </c>
      <c r="C25" s="5" t="s">
        <v>49</v>
      </c>
      <c r="D25" s="5" t="s">
        <v>62</v>
      </c>
    </row>
    <row r="26" customFormat="false" ht="35.05" hidden="false" customHeight="false" outlineLevel="0" collapsed="false">
      <c r="A26" s="5" t="s">
        <v>63</v>
      </c>
      <c r="B26" s="5" t="s">
        <v>64</v>
      </c>
      <c r="C26" s="5" t="s">
        <v>49</v>
      </c>
      <c r="D26" s="5" t="s">
        <v>65</v>
      </c>
    </row>
    <row r="27" customFormat="false" ht="35.05" hidden="false" customHeight="false" outlineLevel="0" collapsed="false">
      <c r="A27" s="5" t="s">
        <v>66</v>
      </c>
      <c r="B27" s="5" t="s">
        <v>67</v>
      </c>
      <c r="C27" s="5" t="s">
        <v>68</v>
      </c>
      <c r="D27" s="5" t="s">
        <v>69</v>
      </c>
    </row>
    <row r="28" customFormat="false" ht="35.05" hidden="false" customHeight="false" outlineLevel="0" collapsed="false">
      <c r="A28" s="5" t="s">
        <v>70</v>
      </c>
      <c r="B28" s="5" t="s">
        <v>71</v>
      </c>
      <c r="C28" s="5" t="s">
        <v>49</v>
      </c>
      <c r="D28" s="5" t="s">
        <v>72</v>
      </c>
    </row>
    <row r="30" customFormat="false" ht="15" hidden="false" customHeight="false" outlineLevel="0" collapsed="false">
      <c r="A30" s="3" t="s">
        <v>73</v>
      </c>
    </row>
    <row r="31" customFormat="false" ht="15" hidden="false" customHeight="false" outlineLevel="0" collapsed="false">
      <c r="A31" s="4" t="s">
        <v>74</v>
      </c>
      <c r="B31" s="4" t="s">
        <v>75</v>
      </c>
    </row>
    <row r="32" customFormat="false" ht="23.85" hidden="false" customHeight="false" outlineLevel="0" collapsed="false">
      <c r="A32" s="5" t="s">
        <v>76</v>
      </c>
      <c r="B32" s="5" t="s">
        <v>77</v>
      </c>
    </row>
    <row r="33" customFormat="false" ht="35.05" hidden="false" customHeight="false" outlineLevel="0" collapsed="false">
      <c r="A33" s="5" t="s">
        <v>78</v>
      </c>
      <c r="B33" s="5" t="s">
        <v>79</v>
      </c>
    </row>
    <row r="34" customFormat="false" ht="35.05" hidden="false" customHeight="false" outlineLevel="0" collapsed="false">
      <c r="A34" s="5" t="s">
        <v>80</v>
      </c>
      <c r="B34" s="5" t="s">
        <v>81</v>
      </c>
    </row>
    <row r="35" customFormat="false" ht="35.05" hidden="false" customHeight="false" outlineLevel="0" collapsed="false">
      <c r="A35" s="5" t="s">
        <v>82</v>
      </c>
      <c r="B35" s="5" t="s">
        <v>83</v>
      </c>
    </row>
    <row r="37" customFormat="false" ht="15" hidden="false" customHeight="false" outlineLevel="0" collapsed="false">
      <c r="A37" s="4" t="s">
        <v>84</v>
      </c>
      <c r="B37" s="4" t="s">
        <v>85</v>
      </c>
    </row>
    <row r="38" customFormat="false" ht="15" hidden="false" customHeight="false" outlineLevel="0" collapsed="false">
      <c r="A38" s="5" t="s">
        <v>86</v>
      </c>
      <c r="B38" s="5" t="s">
        <v>87</v>
      </c>
    </row>
    <row r="39" customFormat="false" ht="15" hidden="false" customHeight="false" outlineLevel="0" collapsed="false">
      <c r="A39" s="5" t="s">
        <v>88</v>
      </c>
      <c r="B39" s="5" t="s">
        <v>89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6"/>
    <col collapsed="false" customWidth="true" hidden="false" outlineLevel="0" max="4" min="4" style="0" width="30"/>
    <col collapsed="false" customWidth="true" hidden="false" outlineLevel="0" max="5" min="5" style="0" width="40"/>
  </cols>
  <sheetData>
    <row r="1" customFormat="false" ht="19.7" hidden="false" customHeight="false" outlineLevel="0" collapsed="false">
      <c r="A1" s="1" t="s">
        <v>90</v>
      </c>
    </row>
    <row r="2" customFormat="false" ht="15" hidden="false" customHeight="false" outlineLevel="0" collapsed="false">
      <c r="A2" s="8" t="s">
        <v>91</v>
      </c>
      <c r="B2" s="8"/>
      <c r="C2" s="8"/>
      <c r="D2" s="8"/>
      <c r="E2" s="8"/>
    </row>
    <row r="4" customFormat="false" ht="15" hidden="false" customHeight="false" outlineLevel="0" collapsed="false">
      <c r="A4" s="4" t="s">
        <v>92</v>
      </c>
      <c r="B4" s="4" t="s">
        <v>49</v>
      </c>
      <c r="C4" s="4" t="s">
        <v>85</v>
      </c>
      <c r="D4" s="4" t="s">
        <v>93</v>
      </c>
      <c r="E4" s="4" t="s">
        <v>94</v>
      </c>
    </row>
    <row r="5" customFormat="false" ht="15" hidden="false" customHeight="false" outlineLevel="0" collapsed="false">
      <c r="A5" s="5" t="s">
        <v>95</v>
      </c>
      <c r="B5" s="5" t="s">
        <v>96</v>
      </c>
      <c r="C5" s="6" t="s">
        <v>97</v>
      </c>
      <c r="D5" s="5" t="s">
        <v>98</v>
      </c>
      <c r="E5" s="5" t="s">
        <v>99</v>
      </c>
    </row>
    <row r="6" customFormat="false" ht="23.85" hidden="false" customHeight="false" outlineLevel="0" collapsed="false">
      <c r="A6" s="5" t="s">
        <v>100</v>
      </c>
      <c r="B6" s="5" t="s">
        <v>96</v>
      </c>
      <c r="C6" s="6" t="s">
        <v>101</v>
      </c>
      <c r="D6" s="5" t="s">
        <v>102</v>
      </c>
      <c r="E6" s="5" t="s">
        <v>103</v>
      </c>
    </row>
    <row r="7" customFormat="false" ht="15" hidden="false" customHeight="false" outlineLevel="0" collapsed="false">
      <c r="A7" s="5" t="s">
        <v>104</v>
      </c>
      <c r="B7" s="5" t="s">
        <v>96</v>
      </c>
      <c r="C7" s="6" t="s">
        <v>105</v>
      </c>
      <c r="D7" s="5" t="s">
        <v>106</v>
      </c>
      <c r="E7" s="5" t="s">
        <v>107</v>
      </c>
    </row>
    <row r="8" customFormat="false" ht="15" hidden="false" customHeight="false" outlineLevel="0" collapsed="false">
      <c r="A8" s="5" t="s">
        <v>108</v>
      </c>
      <c r="B8" s="5" t="s">
        <v>96</v>
      </c>
      <c r="C8" s="6" t="s">
        <v>109</v>
      </c>
      <c r="D8" s="5" t="s">
        <v>110</v>
      </c>
      <c r="E8" s="5" t="s">
        <v>111</v>
      </c>
    </row>
    <row r="9" customFormat="false" ht="15" hidden="false" customHeight="false" outlineLevel="0" collapsed="false">
      <c r="A9" s="5" t="s">
        <v>112</v>
      </c>
      <c r="B9" s="5" t="s">
        <v>96</v>
      </c>
      <c r="C9" s="6" t="s">
        <v>113</v>
      </c>
      <c r="D9" s="5" t="s">
        <v>114</v>
      </c>
      <c r="E9" s="5" t="s">
        <v>115</v>
      </c>
    </row>
    <row r="10" customFormat="false" ht="15" hidden="false" customHeight="false" outlineLevel="0" collapsed="false">
      <c r="A10" s="5" t="s">
        <v>116</v>
      </c>
      <c r="B10" s="5" t="s">
        <v>96</v>
      </c>
      <c r="C10" s="6" t="s">
        <v>117</v>
      </c>
      <c r="D10" s="5" t="s">
        <v>118</v>
      </c>
      <c r="E10" s="5" t="s">
        <v>119</v>
      </c>
    </row>
    <row r="11" customFormat="false" ht="15" hidden="false" customHeight="false" outlineLevel="0" collapsed="false">
      <c r="A11" s="5" t="s">
        <v>120</v>
      </c>
      <c r="B11" s="5" t="s">
        <v>96</v>
      </c>
      <c r="C11" s="6" t="s">
        <v>121</v>
      </c>
      <c r="D11" s="5" t="s">
        <v>122</v>
      </c>
      <c r="E11" s="5" t="s">
        <v>123</v>
      </c>
    </row>
    <row r="12" customFormat="false" ht="15" hidden="false" customHeight="false" outlineLevel="0" collapsed="false">
      <c r="A12" s="5" t="s">
        <v>124</v>
      </c>
      <c r="B12" s="5" t="s">
        <v>96</v>
      </c>
      <c r="C12" s="6" t="s">
        <v>125</v>
      </c>
      <c r="D12" s="5" t="s">
        <v>126</v>
      </c>
      <c r="E12" s="5" t="s">
        <v>127</v>
      </c>
    </row>
    <row r="13" customFormat="false" ht="15" hidden="false" customHeight="false" outlineLevel="0" collapsed="false">
      <c r="A13" s="5" t="s">
        <v>128</v>
      </c>
      <c r="B13" s="5" t="s">
        <v>96</v>
      </c>
      <c r="C13" s="6" t="s">
        <v>129</v>
      </c>
      <c r="D13" s="5" t="s">
        <v>130</v>
      </c>
      <c r="E13" s="5" t="s">
        <v>131</v>
      </c>
    </row>
    <row r="14" customFormat="false" ht="15" hidden="false" customHeight="false" outlineLevel="0" collapsed="false">
      <c r="A14" s="5" t="s">
        <v>132</v>
      </c>
      <c r="B14" s="5" t="s">
        <v>96</v>
      </c>
      <c r="C14" s="6" t="s">
        <v>133</v>
      </c>
      <c r="D14" s="5" t="s">
        <v>134</v>
      </c>
      <c r="E14" s="5" t="s">
        <v>135</v>
      </c>
    </row>
    <row r="15" customFormat="false" ht="23.85" hidden="false" customHeight="false" outlineLevel="0" collapsed="false">
      <c r="A15" s="5" t="s">
        <v>136</v>
      </c>
      <c r="B15" s="5" t="s">
        <v>137</v>
      </c>
      <c r="C15" s="6" t="s">
        <v>138</v>
      </c>
      <c r="D15" s="5" t="s">
        <v>139</v>
      </c>
      <c r="E15" s="5" t="s">
        <v>140</v>
      </c>
    </row>
    <row r="16" customFormat="false" ht="23.85" hidden="false" customHeight="false" outlineLevel="0" collapsed="false">
      <c r="A16" s="5" t="s">
        <v>141</v>
      </c>
      <c r="B16" s="5" t="s">
        <v>137</v>
      </c>
      <c r="C16" s="6" t="s">
        <v>142</v>
      </c>
      <c r="D16" s="5" t="s">
        <v>143</v>
      </c>
      <c r="E16" s="5" t="s">
        <v>144</v>
      </c>
    </row>
    <row r="18" customFormat="false" ht="15" hidden="false" customHeight="false" outlineLevel="0" collapsed="false">
      <c r="A18" s="3" t="s">
        <v>145</v>
      </c>
    </row>
    <row r="19" customFormat="false" ht="15" hidden="false" customHeight="false" outlineLevel="0" collapsed="false">
      <c r="A19" s="4" t="s">
        <v>146</v>
      </c>
      <c r="B19" s="4" t="s">
        <v>85</v>
      </c>
      <c r="C19" s="4" t="s">
        <v>147</v>
      </c>
      <c r="D19" s="4" t="s">
        <v>148</v>
      </c>
    </row>
    <row r="20" customFormat="false" ht="15" hidden="false" customHeight="false" outlineLevel="0" collapsed="false">
      <c r="A20" s="5" t="s">
        <v>149</v>
      </c>
      <c r="B20" s="7" t="n">
        <f aca="false">COUNTIFS(B5:B16,"Có",C5:C16,"")</f>
        <v>0</v>
      </c>
      <c r="C20" s="7" t="str">
        <f aca="false">IF(B20=0,"ĐỦ","CẦN SỬA")</f>
        <v>ĐỦ</v>
      </c>
      <c r="D20" s="5"/>
    </row>
    <row r="21" customFormat="false" ht="15" hidden="false" customHeight="false" outlineLevel="0" collapsed="false">
      <c r="A21" s="5" t="s">
        <v>150</v>
      </c>
      <c r="B21" s="7" t="str">
        <f aca="false">C14</f>
        <v>Đang soạn</v>
      </c>
      <c r="C21" s="7" t="str">
        <f aca="false">IF(B21="Đã duyệt","ĐÃ DUYỆT","CHƯA DUYỆT")</f>
        <v>CHƯA DUYỆT</v>
      </c>
      <c r="D21" s="5"/>
    </row>
    <row r="22" customFormat="false" ht="23.85" hidden="false" customHeight="false" outlineLevel="0" collapsed="false">
      <c r="A22" s="5" t="s">
        <v>151</v>
      </c>
      <c r="B22" s="7"/>
      <c r="C22" s="7" t="str">
        <f aca="false">IF(AND(C20="ĐỦ",C21="ĐÃ DUYỆT"),"SẴN SÀNG","CHƯA SẴN SÀNG")</f>
        <v>CHƯA SẴN SÀNG</v>
      </c>
      <c r="D22" s="5" t="s">
        <v>152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7"/>
    <col collapsed="false" customWidth="true" hidden="false" outlineLevel="0" max="4" min="4" style="0" width="10"/>
    <col collapsed="false" customWidth="true" hidden="false" outlineLevel="0" max="6" min="5" style="0" width="12"/>
    <col collapsed="false" customWidth="true" hidden="false" outlineLevel="0" max="7" min="7" style="0" width="30"/>
    <col collapsed="false" customWidth="true" hidden="false" outlineLevel="0" max="8" min="8" style="0" width="11"/>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2" min="12" style="0" width="24"/>
    <col collapsed="false" customWidth="true" hidden="false" outlineLevel="0" max="13" min="13" style="0" width="14"/>
  </cols>
  <sheetData>
    <row r="1" customFormat="false" ht="19.7" hidden="false" customHeight="false" outlineLevel="0" collapsed="false">
      <c r="A1" s="1" t="s">
        <v>153</v>
      </c>
    </row>
    <row r="2" customFormat="false" ht="15" hidden="false" customHeight="false" outlineLevel="0" collapsed="false">
      <c r="A2" s="8" t="s">
        <v>154</v>
      </c>
      <c r="B2" s="8"/>
      <c r="C2" s="8"/>
      <c r="D2" s="8"/>
      <c r="E2" s="8"/>
      <c r="F2" s="8"/>
      <c r="G2" s="8"/>
      <c r="H2" s="8"/>
      <c r="I2" s="8"/>
      <c r="J2" s="8"/>
      <c r="K2" s="8"/>
      <c r="L2" s="8"/>
      <c r="M2" s="8"/>
    </row>
    <row r="4" customFormat="false" ht="23.85" hidden="false" customHeight="false" outlineLevel="0" collapsed="false">
      <c r="A4" s="4" t="s">
        <v>155</v>
      </c>
      <c r="B4" s="4" t="s">
        <v>156</v>
      </c>
      <c r="C4" s="4" t="s">
        <v>157</v>
      </c>
      <c r="D4" s="4" t="s">
        <v>158</v>
      </c>
      <c r="E4" s="4" t="s">
        <v>159</v>
      </c>
      <c r="F4" s="4" t="s">
        <v>160</v>
      </c>
      <c r="G4" s="4" t="s">
        <v>161</v>
      </c>
      <c r="H4" s="4" t="s">
        <v>162</v>
      </c>
      <c r="I4" s="4" t="s">
        <v>163</v>
      </c>
      <c r="J4" s="4" t="s">
        <v>164</v>
      </c>
      <c r="K4" s="4" t="s">
        <v>165</v>
      </c>
      <c r="L4" s="4" t="s">
        <v>166</v>
      </c>
      <c r="M4" s="4" t="s">
        <v>167</v>
      </c>
    </row>
    <row r="5" customFormat="false" ht="42" hidden="false" customHeight="true" outlineLevel="0" collapsed="false">
      <c r="A5" s="6" t="n">
        <v>1</v>
      </c>
      <c r="B5" s="6" t="s">
        <v>168</v>
      </c>
      <c r="C5" s="6" t="n">
        <v>1</v>
      </c>
      <c r="D5" s="6" t="s">
        <v>169</v>
      </c>
      <c r="E5" s="6"/>
      <c r="F5" s="6" t="s">
        <v>170</v>
      </c>
      <c r="G5" s="6" t="s">
        <v>171</v>
      </c>
      <c r="H5" s="6"/>
      <c r="I5" s="6"/>
      <c r="J5" s="6"/>
      <c r="K5" s="6"/>
      <c r="L5" s="6" t="s">
        <v>172</v>
      </c>
      <c r="M5" s="7" t="str">
        <f aca="false">IF(D5="scene",IF(AND(F5&lt;&gt;"",C5&lt;&gt;"",G5&lt;&gt;""),"HỢP LỆ","CẦN SỬA"),IF(D5="say",IF(AND(H5&lt;&gt;"",J5&lt;&gt;""),"HỢP LỆ","CẦN SỬA"),IF(D5="choice",IF(AND(E5&lt;&gt;"",H5&lt;&gt;"",I5&lt;&gt;"",J5&lt;&gt;""),"HỢP LỆ","CẦN SỬA"),IF(D5="act",IF(K5&lt;&gt;"","HỢP LỆ","CẦN SỬA"),IF(D5="end","HỢP LỆ","CẦN SỬA")))))</f>
        <v>HỢP LỆ</v>
      </c>
    </row>
    <row r="6" customFormat="false" ht="42" hidden="false" customHeight="true" outlineLevel="0" collapsed="false">
      <c r="A6" s="6" t="n">
        <v>2</v>
      </c>
      <c r="B6" s="6" t="s">
        <v>173</v>
      </c>
      <c r="C6" s="6" t="n">
        <v>1</v>
      </c>
      <c r="D6" s="6" t="s">
        <v>174</v>
      </c>
      <c r="E6" s="6"/>
      <c r="F6" s="6"/>
      <c r="G6" s="6"/>
      <c r="H6" s="6" t="s">
        <v>175</v>
      </c>
      <c r="I6" s="6"/>
      <c r="J6" s="6" t="s">
        <v>176</v>
      </c>
      <c r="K6" s="6"/>
      <c r="L6" s="6"/>
      <c r="M6" s="7" t="str">
        <f aca="false">IF(D6="scene",IF(AND(F6&lt;&gt;"",C6&lt;&gt;"",G6&lt;&gt;""),"HỢP LỆ","CẦN SỬA"),IF(D6="say",IF(AND(H6&lt;&gt;"",J6&lt;&gt;""),"HỢP LỆ","CẦN SỬA"),IF(D6="choice",IF(AND(E6&lt;&gt;"",H6&lt;&gt;"",I6&lt;&gt;"",J6&lt;&gt;""),"HỢP LỆ","CẦN SỬA"),IF(D6="act",IF(K6&lt;&gt;"","HỢP LỆ","CẦN SỬA"),IF(D6="end","HỢP LỆ","CẦN SỬA")))))</f>
        <v>HỢP LỆ</v>
      </c>
    </row>
    <row r="7" customFormat="false" ht="42" hidden="false" customHeight="true" outlineLevel="0" collapsed="false">
      <c r="A7" s="6" t="n">
        <v>3</v>
      </c>
      <c r="B7" s="6" t="s">
        <v>177</v>
      </c>
      <c r="C7" s="6" t="n">
        <v>1</v>
      </c>
      <c r="D7" s="6" t="s">
        <v>174</v>
      </c>
      <c r="E7" s="6"/>
      <c r="F7" s="6"/>
      <c r="G7" s="6"/>
      <c r="H7" s="6" t="s">
        <v>178</v>
      </c>
      <c r="I7" s="6" t="s">
        <v>179</v>
      </c>
      <c r="J7" s="6" t="s">
        <v>180</v>
      </c>
      <c r="K7" s="6"/>
      <c r="L7" s="6"/>
      <c r="M7" s="7" t="str">
        <f aca="false">IF(D7="scene",IF(AND(F7&lt;&gt;"",C7&lt;&gt;"",G7&lt;&gt;""),"HỢP LỆ","CẦN SỬA"),IF(D7="say",IF(AND(H7&lt;&gt;"",J7&lt;&gt;""),"HỢP LỆ","CẦN SỬA"),IF(D7="choice",IF(AND(E7&lt;&gt;"",H7&lt;&gt;"",I7&lt;&gt;"",J7&lt;&gt;""),"HỢP LỆ","CẦN SỬA"),IF(D7="act",IF(K7&lt;&gt;"","HỢP LỆ","CẦN SỬA"),IF(D7="end","HỢP LỆ","CẦN SỬA")))))</f>
        <v>HỢP LỆ</v>
      </c>
    </row>
    <row r="8" customFormat="false" ht="42" hidden="false" customHeight="true" outlineLevel="0" collapsed="false">
      <c r="A8" s="6" t="n">
        <v>4</v>
      </c>
      <c r="B8" s="6" t="s">
        <v>181</v>
      </c>
      <c r="C8" s="6" t="n">
        <v>1</v>
      </c>
      <c r="D8" s="6" t="s">
        <v>182</v>
      </c>
      <c r="E8" s="6" t="s">
        <v>183</v>
      </c>
      <c r="F8" s="6"/>
      <c r="G8" s="6"/>
      <c r="H8" s="6" t="s">
        <v>178</v>
      </c>
      <c r="I8" s="6" t="s">
        <v>179</v>
      </c>
      <c r="J8" s="6" t="s">
        <v>184</v>
      </c>
      <c r="K8" s="6"/>
      <c r="L8" s="6" t="s">
        <v>185</v>
      </c>
      <c r="M8" s="7" t="str">
        <f aca="false">IF(D8="scene",IF(AND(F8&lt;&gt;"",C8&lt;&gt;"",G8&lt;&gt;""),"HỢP LỆ","CẦN SỬA"),IF(D8="say",IF(AND(H8&lt;&gt;"",J8&lt;&gt;""),"HỢP LỆ","CẦN SỬA"),IF(D8="choice",IF(AND(E8&lt;&gt;"",H8&lt;&gt;"",I8&lt;&gt;"",J8&lt;&gt;""),"HỢP LỆ","CẦN SỬA"),IF(D8="act",IF(K8&lt;&gt;"","HỢP LỆ","CẦN SỬA"),IF(D8="end","HỢP LỆ","CẦN SỬA")))))</f>
        <v>HỢP LỆ</v>
      </c>
    </row>
    <row r="9" customFormat="false" ht="42" hidden="false" customHeight="true" outlineLevel="0" collapsed="false">
      <c r="A9" s="6" t="n">
        <v>5</v>
      </c>
      <c r="B9" s="6" t="s">
        <v>186</v>
      </c>
      <c r="C9" s="6" t="n">
        <v>1</v>
      </c>
      <c r="D9" s="6" t="s">
        <v>174</v>
      </c>
      <c r="E9" s="6"/>
      <c r="F9" s="6"/>
      <c r="G9" s="6"/>
      <c r="H9" s="6" t="s">
        <v>178</v>
      </c>
      <c r="I9" s="6" t="s">
        <v>179</v>
      </c>
      <c r="J9" s="6" t="s">
        <v>187</v>
      </c>
      <c r="K9" s="6"/>
      <c r="L9" s="6"/>
      <c r="M9" s="7" t="str">
        <f aca="false">IF(D9="scene",IF(AND(F9&lt;&gt;"",C9&lt;&gt;"",G9&lt;&gt;""),"HỢP LỆ","CẦN SỬA"),IF(D9="say",IF(AND(H9&lt;&gt;"",J9&lt;&gt;""),"HỢP LỆ","CẦN SỬA"),IF(D9="choice",IF(AND(E9&lt;&gt;"",H9&lt;&gt;"",I9&lt;&gt;"",J9&lt;&gt;""),"HỢP LỆ","CẦN SỬA"),IF(D9="act",IF(K9&lt;&gt;"","HỢP LỆ","CẦN SỬA"),IF(D9="end","HỢP LỆ","CẦN SỬA")))))</f>
        <v>HỢP LỆ</v>
      </c>
    </row>
    <row r="10" customFormat="false" ht="42" hidden="false" customHeight="true" outlineLevel="0" collapsed="false">
      <c r="A10" s="6" t="n">
        <v>6</v>
      </c>
      <c r="B10" s="6" t="s">
        <v>188</v>
      </c>
      <c r="C10" s="6" t="n">
        <v>1</v>
      </c>
      <c r="D10" s="6" t="s">
        <v>182</v>
      </c>
      <c r="E10" s="6" t="s">
        <v>183</v>
      </c>
      <c r="F10" s="6"/>
      <c r="G10" s="6"/>
      <c r="H10" s="6" t="s">
        <v>178</v>
      </c>
      <c r="I10" s="6" t="s">
        <v>179</v>
      </c>
      <c r="J10" s="6" t="s">
        <v>189</v>
      </c>
      <c r="K10" s="6"/>
      <c r="L10" s="6" t="s">
        <v>185</v>
      </c>
      <c r="M10" s="7" t="str">
        <f aca="false">IF(D10="scene",IF(AND(F10&lt;&gt;"",C10&lt;&gt;"",G10&lt;&gt;""),"HỢP LỆ","CẦN SỬA"),IF(D10="say",IF(AND(H10&lt;&gt;"",J10&lt;&gt;""),"HỢP LỆ","CẦN SỬA"),IF(D10="choice",IF(AND(E10&lt;&gt;"",H10&lt;&gt;"",I10&lt;&gt;"",J10&lt;&gt;""),"HỢP LỆ","CẦN SỬA"),IF(D10="act",IF(K10&lt;&gt;"","HỢP LỆ","CẦN SỬA"),IF(D10="end","HỢP LỆ","CẦN SỬA")))))</f>
        <v>HỢP LỆ</v>
      </c>
    </row>
    <row r="11" customFormat="false" ht="42" hidden="false" customHeight="true" outlineLevel="0" collapsed="false">
      <c r="A11" s="6" t="n">
        <v>7</v>
      </c>
      <c r="B11" s="6" t="s">
        <v>190</v>
      </c>
      <c r="C11" s="6" t="n">
        <v>1</v>
      </c>
      <c r="D11" s="6" t="s">
        <v>191</v>
      </c>
      <c r="E11" s="6"/>
      <c r="F11" s="6"/>
      <c r="G11" s="6"/>
      <c r="H11" s="6"/>
      <c r="I11" s="6"/>
      <c r="J11" s="6"/>
      <c r="K11" s="6" t="s">
        <v>192</v>
      </c>
      <c r="L11" s="6" t="s">
        <v>193</v>
      </c>
      <c r="M11" s="7" t="str">
        <f aca="false">IF(D11="scene",IF(AND(F11&lt;&gt;"",C11&lt;&gt;"",G11&lt;&gt;""),"HỢP LỆ","CẦN SỬA"),IF(D11="say",IF(AND(H11&lt;&gt;"",J11&lt;&gt;""),"HỢP LỆ","CẦN SỬA"),IF(D11="choice",IF(AND(E11&lt;&gt;"",H11&lt;&gt;"",I11&lt;&gt;"",J11&lt;&gt;""),"HỢP LỆ","CẦN SỬA"),IF(D11="act",IF(K11&lt;&gt;"","HỢP LỆ","CẦN SỬA"),IF(D11="end","HỢP LỆ","CẦN SỬA")))))</f>
        <v>HỢP LỆ</v>
      </c>
    </row>
    <row r="12" customFormat="false" ht="42" hidden="false" customHeight="true" outlineLevel="0" collapsed="false">
      <c r="A12" s="6" t="n">
        <v>8</v>
      </c>
      <c r="B12" s="6" t="s">
        <v>194</v>
      </c>
      <c r="C12" s="6" t="n">
        <v>2</v>
      </c>
      <c r="D12" s="6" t="s">
        <v>169</v>
      </c>
      <c r="E12" s="6"/>
      <c r="F12" s="6" t="s">
        <v>195</v>
      </c>
      <c r="G12" s="6" t="s">
        <v>196</v>
      </c>
      <c r="H12" s="6"/>
      <c r="I12" s="6"/>
      <c r="J12" s="6"/>
      <c r="K12" s="6"/>
      <c r="L12" s="6" t="s">
        <v>197</v>
      </c>
      <c r="M12" s="7" t="str">
        <f aca="false">IF(D12="scene",IF(AND(F12&lt;&gt;"",C12&lt;&gt;"",G12&lt;&gt;""),"HỢP LỆ","CẦN SỬA"),IF(D12="say",IF(AND(H12&lt;&gt;"",J12&lt;&gt;""),"HỢP LỆ","CẦN SỬA"),IF(D12="choice",IF(AND(E12&lt;&gt;"",H12&lt;&gt;"",I12&lt;&gt;"",J12&lt;&gt;""),"HỢP LỆ","CẦN SỬA"),IF(D12="act",IF(K12&lt;&gt;"","HỢP LỆ","CẦN SỬA"),IF(D12="end","HỢP LỆ","CẦN SỬA")))))</f>
        <v>HỢP LỆ</v>
      </c>
    </row>
    <row r="13" customFormat="false" ht="42" hidden="false" customHeight="true" outlineLevel="0" collapsed="false">
      <c r="A13" s="6" t="n">
        <v>9</v>
      </c>
      <c r="B13" s="6" t="s">
        <v>198</v>
      </c>
      <c r="C13" s="6" t="n">
        <v>2</v>
      </c>
      <c r="D13" s="6" t="s">
        <v>174</v>
      </c>
      <c r="E13" s="6"/>
      <c r="F13" s="6"/>
      <c r="G13" s="6"/>
      <c r="H13" s="6" t="s">
        <v>175</v>
      </c>
      <c r="I13" s="6"/>
      <c r="J13" s="6" t="s">
        <v>199</v>
      </c>
      <c r="K13" s="6"/>
      <c r="L13" s="6"/>
      <c r="M13" s="7" t="str">
        <f aca="false">IF(D13="scene",IF(AND(F13&lt;&gt;"",C13&lt;&gt;"",G13&lt;&gt;""),"HỢP LỆ","CẦN SỬA"),IF(D13="say",IF(AND(H13&lt;&gt;"",J13&lt;&gt;""),"HỢP LỆ","CẦN SỬA"),IF(D13="choice",IF(AND(E13&lt;&gt;"",H13&lt;&gt;"",I13&lt;&gt;"",J13&lt;&gt;""),"HỢP LỆ","CẦN SỬA"),IF(D13="act",IF(K13&lt;&gt;"","HỢP LỆ","CẦN SỬA"),IF(D13="end","HỢP LỆ","CẦN SỬA")))))</f>
        <v>HỢP LỆ</v>
      </c>
    </row>
    <row r="14" customFormat="false" ht="42" hidden="false" customHeight="true" outlineLevel="0" collapsed="false">
      <c r="A14" s="6" t="n">
        <v>10</v>
      </c>
      <c r="B14" s="6" t="s">
        <v>200</v>
      </c>
      <c r="C14" s="6" t="n">
        <v>2</v>
      </c>
      <c r="D14" s="6" t="s">
        <v>174</v>
      </c>
      <c r="E14" s="6"/>
      <c r="F14" s="6"/>
      <c r="G14" s="6"/>
      <c r="H14" s="6" t="s">
        <v>201</v>
      </c>
      <c r="I14" s="6" t="s">
        <v>202</v>
      </c>
      <c r="J14" s="6" t="s">
        <v>203</v>
      </c>
      <c r="K14" s="6"/>
      <c r="L14" s="6"/>
      <c r="M14" s="7" t="str">
        <f aca="false">IF(D14="scene",IF(AND(F14&lt;&gt;"",C14&lt;&gt;"",G14&lt;&gt;""),"HỢP LỆ","CẦN SỬA"),IF(D14="say",IF(AND(H14&lt;&gt;"",J14&lt;&gt;""),"HỢP LỆ","CẦN SỬA"),IF(D14="choice",IF(AND(E14&lt;&gt;"",H14&lt;&gt;"",I14&lt;&gt;"",J14&lt;&gt;""),"HỢP LỆ","CẦN SỬA"),IF(D14="act",IF(K14&lt;&gt;"","HỢP LỆ","CẦN SỬA"),IF(D14="end","HỢP LỆ","CẦN SỬA")))))</f>
        <v>HỢP LỆ</v>
      </c>
    </row>
    <row r="15" customFormat="false" ht="42" hidden="false" customHeight="true" outlineLevel="0" collapsed="false">
      <c r="A15" s="6" t="n">
        <v>11</v>
      </c>
      <c r="B15" s="6" t="s">
        <v>204</v>
      </c>
      <c r="C15" s="6" t="n">
        <v>2</v>
      </c>
      <c r="D15" s="6" t="s">
        <v>182</v>
      </c>
      <c r="E15" s="6" t="s">
        <v>183</v>
      </c>
      <c r="F15" s="6"/>
      <c r="G15" s="6"/>
      <c r="H15" s="6" t="s">
        <v>201</v>
      </c>
      <c r="I15" s="6" t="s">
        <v>202</v>
      </c>
      <c r="J15" s="6" t="s">
        <v>205</v>
      </c>
      <c r="K15" s="6"/>
      <c r="L15" s="6" t="s">
        <v>185</v>
      </c>
      <c r="M15" s="7" t="str">
        <f aca="false">IF(D15="scene",IF(AND(F15&lt;&gt;"",C15&lt;&gt;"",G15&lt;&gt;""),"HỢP LỆ","CẦN SỬA"),IF(D15="say",IF(AND(H15&lt;&gt;"",J15&lt;&gt;""),"HỢP LỆ","CẦN SỬA"),IF(D15="choice",IF(AND(E15&lt;&gt;"",H15&lt;&gt;"",I15&lt;&gt;"",J15&lt;&gt;""),"HỢP LỆ","CẦN SỬA"),IF(D15="act",IF(K15&lt;&gt;"","HỢP LỆ","CẦN SỬA"),IF(D15="end","HỢP LỆ","CẦN SỬA")))))</f>
        <v>HỢP LỆ</v>
      </c>
    </row>
    <row r="16" customFormat="false" ht="42" hidden="false" customHeight="true" outlineLevel="0" collapsed="false">
      <c r="A16" s="6" t="n">
        <v>12</v>
      </c>
      <c r="B16" s="6" t="s">
        <v>206</v>
      </c>
      <c r="C16" s="6" t="n">
        <v>2</v>
      </c>
      <c r="D16" s="6" t="s">
        <v>174</v>
      </c>
      <c r="E16" s="6"/>
      <c r="F16" s="6"/>
      <c r="G16" s="6"/>
      <c r="H16" s="6" t="s">
        <v>201</v>
      </c>
      <c r="I16" s="6" t="s">
        <v>202</v>
      </c>
      <c r="J16" s="6" t="s">
        <v>207</v>
      </c>
      <c r="K16" s="6"/>
      <c r="L16" s="6"/>
      <c r="M16" s="7" t="str">
        <f aca="false">IF(D16="scene",IF(AND(F16&lt;&gt;"",C16&lt;&gt;"",G16&lt;&gt;""),"HỢP LỆ","CẦN SỬA"),IF(D16="say",IF(AND(H16&lt;&gt;"",J16&lt;&gt;""),"HỢP LỆ","CẦN SỬA"),IF(D16="choice",IF(AND(E16&lt;&gt;"",H16&lt;&gt;"",I16&lt;&gt;"",J16&lt;&gt;""),"HỢP LỆ","CẦN SỬA"),IF(D16="act",IF(K16&lt;&gt;"","HỢP LỆ","CẦN SỬA"),IF(D16="end","HỢP LỆ","CẦN SỬA")))))</f>
        <v>HỢP LỆ</v>
      </c>
    </row>
    <row r="17" customFormat="false" ht="42" hidden="false" customHeight="true" outlineLevel="0" collapsed="false">
      <c r="A17" s="6" t="n">
        <v>13</v>
      </c>
      <c r="B17" s="6" t="s">
        <v>208</v>
      </c>
      <c r="C17" s="6" t="n">
        <v>2</v>
      </c>
      <c r="D17" s="6" t="s">
        <v>182</v>
      </c>
      <c r="E17" s="6" t="s">
        <v>183</v>
      </c>
      <c r="F17" s="6"/>
      <c r="G17" s="6"/>
      <c r="H17" s="6" t="s">
        <v>201</v>
      </c>
      <c r="I17" s="6" t="s">
        <v>202</v>
      </c>
      <c r="J17" s="6" t="s">
        <v>209</v>
      </c>
      <c r="K17" s="6"/>
      <c r="L17" s="6" t="s">
        <v>185</v>
      </c>
      <c r="M17" s="7" t="str">
        <f aca="false">IF(D17="scene",IF(AND(F17&lt;&gt;"",C17&lt;&gt;"",G17&lt;&gt;""),"HỢP LỆ","CẦN SỬA"),IF(D17="say",IF(AND(H17&lt;&gt;"",J17&lt;&gt;""),"HỢP LỆ","CẦN SỬA"),IF(D17="choice",IF(AND(E17&lt;&gt;"",H17&lt;&gt;"",I17&lt;&gt;"",J17&lt;&gt;""),"HỢP LỆ","CẦN SỬA"),IF(D17="act",IF(K17&lt;&gt;"","HỢP LỆ","CẦN SỬA"),IF(D17="end","HỢP LỆ","CẦN SỬA")))))</f>
        <v>HỢP LỆ</v>
      </c>
    </row>
    <row r="18" customFormat="false" ht="42" hidden="false" customHeight="true" outlineLevel="0" collapsed="false">
      <c r="A18" s="6" t="n">
        <v>14</v>
      </c>
      <c r="B18" s="6" t="s">
        <v>210</v>
      </c>
      <c r="C18" s="6" t="n">
        <v>2</v>
      </c>
      <c r="D18" s="6" t="s">
        <v>191</v>
      </c>
      <c r="E18" s="6"/>
      <c r="F18" s="6"/>
      <c r="G18" s="6"/>
      <c r="H18" s="6"/>
      <c r="I18" s="6"/>
      <c r="J18" s="6"/>
      <c r="K18" s="6" t="s">
        <v>211</v>
      </c>
      <c r="L18" s="6" t="s">
        <v>212</v>
      </c>
      <c r="M18" s="7" t="str">
        <f aca="false">IF(D18="scene",IF(AND(F18&lt;&gt;"",C18&lt;&gt;"",G18&lt;&gt;""),"HỢP LỆ","CẦN SỬA"),IF(D18="say",IF(AND(H18&lt;&gt;"",J18&lt;&gt;""),"HỢP LỆ","CẦN SỬA"),IF(D18="choice",IF(AND(E18&lt;&gt;"",H18&lt;&gt;"",I18&lt;&gt;"",J18&lt;&gt;""),"HỢP LỆ","CẦN SỬA"),IF(D18="act",IF(K18&lt;&gt;"","HỢP LỆ","CẦN SỬA"),IF(D18="end","HỢP LỆ","CẦN SỬA")))))</f>
        <v>HỢP LỆ</v>
      </c>
    </row>
    <row r="19" customFormat="false" ht="42" hidden="false" customHeight="true" outlineLevel="0" collapsed="false">
      <c r="A19" s="6" t="n">
        <v>15</v>
      </c>
      <c r="B19" s="6" t="s">
        <v>213</v>
      </c>
      <c r="C19" s="6" t="n">
        <v>3</v>
      </c>
      <c r="D19" s="6" t="s">
        <v>169</v>
      </c>
      <c r="E19" s="6"/>
      <c r="F19" s="6" t="s">
        <v>214</v>
      </c>
      <c r="G19" s="6" t="s">
        <v>215</v>
      </c>
      <c r="H19" s="6"/>
      <c r="I19" s="6"/>
      <c r="J19" s="6"/>
      <c r="K19" s="6"/>
      <c r="L19" s="6" t="s">
        <v>216</v>
      </c>
      <c r="M19" s="7" t="str">
        <f aca="false">IF(D19="scene",IF(AND(F19&lt;&gt;"",C19&lt;&gt;"",G19&lt;&gt;""),"HỢP LỆ","CẦN SỬA"),IF(D19="say",IF(AND(H19&lt;&gt;"",J19&lt;&gt;""),"HỢP LỆ","CẦN SỬA"),IF(D19="choice",IF(AND(E19&lt;&gt;"",H19&lt;&gt;"",I19&lt;&gt;"",J19&lt;&gt;""),"HỢP LỆ","CẦN SỬA"),IF(D19="act",IF(K19&lt;&gt;"","HỢP LỆ","CẦN SỬA"),IF(D19="end","HỢP LỆ","CẦN SỬA")))))</f>
        <v>HỢP LỆ</v>
      </c>
    </row>
    <row r="20" customFormat="false" ht="42" hidden="false" customHeight="true" outlineLevel="0" collapsed="false">
      <c r="A20" s="6" t="n">
        <v>16</v>
      </c>
      <c r="B20" s="6" t="s">
        <v>217</v>
      </c>
      <c r="C20" s="6" t="n">
        <v>3</v>
      </c>
      <c r="D20" s="6" t="s">
        <v>174</v>
      </c>
      <c r="E20" s="6"/>
      <c r="F20" s="6"/>
      <c r="G20" s="6"/>
      <c r="H20" s="6" t="s">
        <v>175</v>
      </c>
      <c r="I20" s="6"/>
      <c r="J20" s="6" t="s">
        <v>218</v>
      </c>
      <c r="K20" s="6"/>
      <c r="L20" s="6"/>
      <c r="M20" s="7" t="str">
        <f aca="false">IF(D20="scene",IF(AND(F20&lt;&gt;"",C20&lt;&gt;"",G20&lt;&gt;""),"HỢP LỆ","CẦN SỬA"),IF(D20="say",IF(AND(H20&lt;&gt;"",J20&lt;&gt;""),"HỢP LỆ","CẦN SỬA"),IF(D20="choice",IF(AND(E20&lt;&gt;"",H20&lt;&gt;"",I20&lt;&gt;"",J20&lt;&gt;""),"HỢP LỆ","CẦN SỬA"),IF(D20="act",IF(K20&lt;&gt;"","HỢP LỆ","CẦN SỬA"),IF(D20="end","HỢP LỆ","CẦN SỬA")))))</f>
        <v>HỢP LỆ</v>
      </c>
    </row>
    <row r="21" customFormat="false" ht="42" hidden="false" customHeight="true" outlineLevel="0" collapsed="false">
      <c r="A21" s="6" t="n">
        <v>17</v>
      </c>
      <c r="B21" s="6" t="s">
        <v>219</v>
      </c>
      <c r="C21" s="6" t="n">
        <v>3</v>
      </c>
      <c r="D21" s="6" t="s">
        <v>174</v>
      </c>
      <c r="E21" s="6"/>
      <c r="F21" s="6"/>
      <c r="G21" s="6"/>
      <c r="H21" s="6" t="s">
        <v>220</v>
      </c>
      <c r="I21" s="6" t="s">
        <v>179</v>
      </c>
      <c r="J21" s="6" t="s">
        <v>221</v>
      </c>
      <c r="K21" s="6"/>
      <c r="L21" s="6"/>
      <c r="M21" s="7" t="str">
        <f aca="false">IF(D21="scene",IF(AND(F21&lt;&gt;"",C21&lt;&gt;"",G21&lt;&gt;""),"HỢP LỆ","CẦN SỬA"),IF(D21="say",IF(AND(H21&lt;&gt;"",J21&lt;&gt;""),"HỢP LỆ","CẦN SỬA"),IF(D21="choice",IF(AND(E21&lt;&gt;"",H21&lt;&gt;"",I21&lt;&gt;"",J21&lt;&gt;""),"HỢP LỆ","CẦN SỬA"),IF(D21="act",IF(K21&lt;&gt;"","HỢP LỆ","CẦN SỬA"),IF(D21="end","HỢP LỆ","CẦN SỬA")))))</f>
        <v>HỢP LỆ</v>
      </c>
    </row>
    <row r="22" customFormat="false" ht="42" hidden="false" customHeight="true" outlineLevel="0" collapsed="false">
      <c r="A22" s="6" t="n">
        <v>18</v>
      </c>
      <c r="B22" s="6" t="s">
        <v>222</v>
      </c>
      <c r="C22" s="6" t="n">
        <v>3</v>
      </c>
      <c r="D22" s="6" t="s">
        <v>182</v>
      </c>
      <c r="E22" s="6" t="s">
        <v>183</v>
      </c>
      <c r="F22" s="6"/>
      <c r="G22" s="6"/>
      <c r="H22" s="6" t="s">
        <v>220</v>
      </c>
      <c r="I22" s="6" t="s">
        <v>179</v>
      </c>
      <c r="J22" s="6" t="s">
        <v>223</v>
      </c>
      <c r="K22" s="6"/>
      <c r="L22" s="6" t="s">
        <v>185</v>
      </c>
      <c r="M22" s="7" t="str">
        <f aca="false">IF(D22="scene",IF(AND(F22&lt;&gt;"",C22&lt;&gt;"",G22&lt;&gt;""),"HỢP LỆ","CẦN SỬA"),IF(D22="say",IF(AND(H22&lt;&gt;"",J22&lt;&gt;""),"HỢP LỆ","CẦN SỬA"),IF(D22="choice",IF(AND(E22&lt;&gt;"",H22&lt;&gt;"",I22&lt;&gt;"",J22&lt;&gt;""),"HỢP LỆ","CẦN SỬA"),IF(D22="act",IF(K22&lt;&gt;"","HỢP LỆ","CẦN SỬA"),IF(D22="end","HỢP LỆ","CẦN SỬA")))))</f>
        <v>HỢP LỆ</v>
      </c>
    </row>
    <row r="23" customFormat="false" ht="42" hidden="false" customHeight="true" outlineLevel="0" collapsed="false">
      <c r="A23" s="6" t="n">
        <v>19</v>
      </c>
      <c r="B23" s="6" t="s">
        <v>224</v>
      </c>
      <c r="C23" s="6" t="n">
        <v>3</v>
      </c>
      <c r="D23" s="6" t="s">
        <v>174</v>
      </c>
      <c r="E23" s="6"/>
      <c r="F23" s="6"/>
      <c r="G23" s="6"/>
      <c r="H23" s="6" t="s">
        <v>178</v>
      </c>
      <c r="I23" s="6" t="s">
        <v>179</v>
      </c>
      <c r="J23" s="6" t="s">
        <v>225</v>
      </c>
      <c r="K23" s="6"/>
      <c r="L23" s="6"/>
      <c r="M23" s="7" t="str">
        <f aca="false">IF(D23="scene",IF(AND(F23&lt;&gt;"",C23&lt;&gt;"",G23&lt;&gt;""),"HỢP LỆ","CẦN SỬA"),IF(D23="say",IF(AND(H23&lt;&gt;"",J23&lt;&gt;""),"HỢP LỆ","CẦN SỬA"),IF(D23="choice",IF(AND(E23&lt;&gt;"",H23&lt;&gt;"",I23&lt;&gt;"",J23&lt;&gt;""),"HỢP LỆ","CẦN SỬA"),IF(D23="act",IF(K23&lt;&gt;"","HỢP LỆ","CẦN SỬA"),IF(D23="end","HỢP LỆ","CẦN SỬA")))))</f>
        <v>HỢP LỆ</v>
      </c>
    </row>
    <row r="24" customFormat="false" ht="42" hidden="false" customHeight="true" outlineLevel="0" collapsed="false">
      <c r="A24" s="6" t="n">
        <v>20</v>
      </c>
      <c r="B24" s="6" t="s">
        <v>226</v>
      </c>
      <c r="C24" s="6" t="n">
        <v>3</v>
      </c>
      <c r="D24" s="6" t="s">
        <v>182</v>
      </c>
      <c r="E24" s="6" t="s">
        <v>183</v>
      </c>
      <c r="F24" s="6"/>
      <c r="G24" s="6"/>
      <c r="H24" s="6" t="s">
        <v>178</v>
      </c>
      <c r="I24" s="6" t="s">
        <v>179</v>
      </c>
      <c r="J24" s="6" t="s">
        <v>227</v>
      </c>
      <c r="K24" s="6"/>
      <c r="L24" s="6" t="s">
        <v>185</v>
      </c>
      <c r="M24" s="7" t="str">
        <f aca="false">IF(D24="scene",IF(AND(F24&lt;&gt;"",C24&lt;&gt;"",G24&lt;&gt;""),"HỢP LỆ","CẦN SỬA"),IF(D24="say",IF(AND(H24&lt;&gt;"",J24&lt;&gt;""),"HỢP LỆ","CẦN SỬA"),IF(D24="choice",IF(AND(E24&lt;&gt;"",H24&lt;&gt;"",I24&lt;&gt;"",J24&lt;&gt;""),"HỢP LỆ","CẦN SỬA"),IF(D24="act",IF(K24&lt;&gt;"","HỢP LỆ","CẦN SỬA"),IF(D24="end","HỢP LỆ","CẦN SỬA")))))</f>
        <v>HỢP LỆ</v>
      </c>
    </row>
    <row r="25" customFormat="false" ht="42" hidden="false" customHeight="true" outlineLevel="0" collapsed="false">
      <c r="A25" s="6" t="n">
        <v>21</v>
      </c>
      <c r="B25" s="6" t="s">
        <v>228</v>
      </c>
      <c r="C25" s="6" t="n">
        <v>3</v>
      </c>
      <c r="D25" s="6" t="s">
        <v>191</v>
      </c>
      <c r="E25" s="6"/>
      <c r="F25" s="6"/>
      <c r="G25" s="6"/>
      <c r="H25" s="6"/>
      <c r="I25" s="6"/>
      <c r="J25" s="6"/>
      <c r="K25" s="6" t="s">
        <v>229</v>
      </c>
      <c r="L25" s="6" t="s">
        <v>230</v>
      </c>
      <c r="M25" s="7" t="str">
        <f aca="false">IF(D25="scene",IF(AND(F25&lt;&gt;"",C25&lt;&gt;"",G25&lt;&gt;""),"HỢP LỆ","CẦN SỬA"),IF(D25="say",IF(AND(H25&lt;&gt;"",J25&lt;&gt;""),"HỢP LỆ","CẦN SỬA"),IF(D25="choice",IF(AND(E25&lt;&gt;"",H25&lt;&gt;"",I25&lt;&gt;"",J25&lt;&gt;""),"HỢP LỆ","CẦN SỬA"),IF(D25="act",IF(K25&lt;&gt;"","HỢP LỆ","CẦN SỬA"),IF(D25="end","HỢP LỆ","CẦN SỬA")))))</f>
        <v>HỢP LỆ</v>
      </c>
    </row>
    <row r="26" customFormat="false" ht="42" hidden="false" customHeight="true" outlineLevel="0" collapsed="false">
      <c r="A26" s="6" t="n">
        <v>22</v>
      </c>
      <c r="B26" s="6" t="s">
        <v>231</v>
      </c>
      <c r="C26" s="6" t="n">
        <v>4</v>
      </c>
      <c r="D26" s="6" t="s">
        <v>169</v>
      </c>
      <c r="E26" s="6"/>
      <c r="F26" s="6" t="s">
        <v>170</v>
      </c>
      <c r="G26" s="6" t="s">
        <v>232</v>
      </c>
      <c r="H26" s="6"/>
      <c r="I26" s="6"/>
      <c r="J26" s="6"/>
      <c r="K26" s="6"/>
      <c r="L26" s="6" t="s">
        <v>233</v>
      </c>
      <c r="M26" s="7" t="str">
        <f aca="false">IF(D26="scene",IF(AND(F26&lt;&gt;"",C26&lt;&gt;"",G26&lt;&gt;""),"HỢP LỆ","CẦN SỬA"),IF(D26="say",IF(AND(H26&lt;&gt;"",J26&lt;&gt;""),"HỢP LỆ","CẦN SỬA"),IF(D26="choice",IF(AND(E26&lt;&gt;"",H26&lt;&gt;"",I26&lt;&gt;"",J26&lt;&gt;""),"HỢP LỆ","CẦN SỬA"),IF(D26="act",IF(K26&lt;&gt;"","HỢP LỆ","CẦN SỬA"),IF(D26="end","HỢP LỆ","CẦN SỬA")))))</f>
        <v>HỢP LỆ</v>
      </c>
    </row>
    <row r="27" customFormat="false" ht="42" hidden="false" customHeight="true" outlineLevel="0" collapsed="false">
      <c r="A27" s="6" t="n">
        <v>23</v>
      </c>
      <c r="B27" s="6" t="s">
        <v>234</v>
      </c>
      <c r="C27" s="6" t="n">
        <v>4</v>
      </c>
      <c r="D27" s="6" t="s">
        <v>174</v>
      </c>
      <c r="E27" s="6"/>
      <c r="F27" s="6"/>
      <c r="G27" s="6"/>
      <c r="H27" s="6" t="s">
        <v>175</v>
      </c>
      <c r="I27" s="6"/>
      <c r="J27" s="6" t="s">
        <v>235</v>
      </c>
      <c r="K27" s="6"/>
      <c r="L27" s="6"/>
      <c r="M27" s="7" t="str">
        <f aca="false">IF(D27="scene",IF(AND(F27&lt;&gt;"",C27&lt;&gt;"",G27&lt;&gt;""),"HỢP LỆ","CẦN SỬA"),IF(D27="say",IF(AND(H27&lt;&gt;"",J27&lt;&gt;""),"HỢP LỆ","CẦN SỬA"),IF(D27="choice",IF(AND(E27&lt;&gt;"",H27&lt;&gt;"",I27&lt;&gt;"",J27&lt;&gt;""),"HỢP LỆ","CẦN SỬA"),IF(D27="act",IF(K27&lt;&gt;"","HỢP LỆ","CẦN SỬA"),IF(D27="end","HỢP LỆ","CẦN SỬA")))))</f>
        <v>HỢP LỆ</v>
      </c>
    </row>
    <row r="28" customFormat="false" ht="42" hidden="false" customHeight="true" outlineLevel="0" collapsed="false">
      <c r="A28" s="6" t="n">
        <v>24</v>
      </c>
      <c r="B28" s="6" t="s">
        <v>236</v>
      </c>
      <c r="C28" s="6" t="n">
        <v>4</v>
      </c>
      <c r="D28" s="6" t="s">
        <v>174</v>
      </c>
      <c r="E28" s="6"/>
      <c r="F28" s="6"/>
      <c r="G28" s="6"/>
      <c r="H28" s="6" t="s">
        <v>178</v>
      </c>
      <c r="I28" s="6" t="s">
        <v>179</v>
      </c>
      <c r="J28" s="6" t="s">
        <v>237</v>
      </c>
      <c r="K28" s="6"/>
      <c r="L28" s="6"/>
      <c r="M28" s="7" t="str">
        <f aca="false">IF(D28="scene",IF(AND(F28&lt;&gt;"",C28&lt;&gt;"",G28&lt;&gt;""),"HỢP LỆ","CẦN SỬA"),IF(D28="say",IF(AND(H28&lt;&gt;"",J28&lt;&gt;""),"HỢP LỆ","CẦN SỬA"),IF(D28="choice",IF(AND(E28&lt;&gt;"",H28&lt;&gt;"",I28&lt;&gt;"",J28&lt;&gt;""),"HỢP LỆ","CẦN SỬA"),IF(D28="act",IF(K28&lt;&gt;"","HỢP LỆ","CẦN SỬA"),IF(D28="end","HỢP LỆ","CẦN SỬA")))))</f>
        <v>HỢP LỆ</v>
      </c>
    </row>
    <row r="29" customFormat="false" ht="42" hidden="false" customHeight="true" outlineLevel="0" collapsed="false">
      <c r="A29" s="6" t="n">
        <v>25</v>
      </c>
      <c r="B29" s="6" t="s">
        <v>238</v>
      </c>
      <c r="C29" s="6" t="n">
        <v>4</v>
      </c>
      <c r="D29" s="6" t="s">
        <v>182</v>
      </c>
      <c r="E29" s="6" t="s">
        <v>183</v>
      </c>
      <c r="F29" s="6"/>
      <c r="G29" s="6"/>
      <c r="H29" s="6" t="s">
        <v>178</v>
      </c>
      <c r="I29" s="6" t="s">
        <v>179</v>
      </c>
      <c r="J29" s="6" t="s">
        <v>239</v>
      </c>
      <c r="K29" s="6"/>
      <c r="L29" s="6" t="s">
        <v>185</v>
      </c>
      <c r="M29" s="7" t="str">
        <f aca="false">IF(D29="scene",IF(AND(F29&lt;&gt;"",C29&lt;&gt;"",G29&lt;&gt;""),"HỢP LỆ","CẦN SỬA"),IF(D29="say",IF(AND(H29&lt;&gt;"",J29&lt;&gt;""),"HỢP LỆ","CẦN SỬA"),IF(D29="choice",IF(AND(E29&lt;&gt;"",H29&lt;&gt;"",I29&lt;&gt;"",J29&lt;&gt;""),"HỢP LỆ","CẦN SỬA"),IF(D29="act",IF(K29&lt;&gt;"","HỢP LỆ","CẦN SỬA"),IF(D29="end","HỢP LỆ","CẦN SỬA")))))</f>
        <v>HỢP LỆ</v>
      </c>
    </row>
    <row r="30" customFormat="false" ht="42" hidden="false" customHeight="true" outlineLevel="0" collapsed="false">
      <c r="A30" s="6" t="n">
        <v>26</v>
      </c>
      <c r="B30" s="6" t="s">
        <v>240</v>
      </c>
      <c r="C30" s="6" t="n">
        <v>4</v>
      </c>
      <c r="D30" s="6" t="s">
        <v>174</v>
      </c>
      <c r="E30" s="6"/>
      <c r="F30" s="6"/>
      <c r="G30" s="6"/>
      <c r="H30" s="6" t="s">
        <v>178</v>
      </c>
      <c r="I30" s="6" t="s">
        <v>179</v>
      </c>
      <c r="J30" s="6" t="s">
        <v>241</v>
      </c>
      <c r="K30" s="6"/>
      <c r="L30" s="6"/>
      <c r="M30" s="7" t="str">
        <f aca="false">IF(D30="scene",IF(AND(F30&lt;&gt;"",C30&lt;&gt;"",G30&lt;&gt;""),"HỢP LỆ","CẦN SỬA"),IF(D30="say",IF(AND(H30&lt;&gt;"",J30&lt;&gt;""),"HỢP LỆ","CẦN SỬA"),IF(D30="choice",IF(AND(E30&lt;&gt;"",H30&lt;&gt;"",I30&lt;&gt;"",J30&lt;&gt;""),"HỢP LỆ","CẦN SỬA"),IF(D30="act",IF(K30&lt;&gt;"","HỢP LỆ","CẦN SỬA"),IF(D30="end","HỢP LỆ","CẦN SỬA")))))</f>
        <v>HỢP LỆ</v>
      </c>
    </row>
    <row r="31" customFormat="false" ht="42" hidden="false" customHeight="true" outlineLevel="0" collapsed="false">
      <c r="A31" s="6" t="n">
        <v>27</v>
      </c>
      <c r="B31" s="6" t="s">
        <v>242</v>
      </c>
      <c r="C31" s="6" t="n">
        <v>4</v>
      </c>
      <c r="D31" s="6" t="s">
        <v>182</v>
      </c>
      <c r="E31" s="6" t="s">
        <v>183</v>
      </c>
      <c r="F31" s="6"/>
      <c r="G31" s="6"/>
      <c r="H31" s="6" t="s">
        <v>178</v>
      </c>
      <c r="I31" s="6" t="s">
        <v>179</v>
      </c>
      <c r="J31" s="6" t="s">
        <v>243</v>
      </c>
      <c r="K31" s="6"/>
      <c r="L31" s="6" t="s">
        <v>185</v>
      </c>
      <c r="M31" s="7" t="str">
        <f aca="false">IF(D31="scene",IF(AND(F31&lt;&gt;"",C31&lt;&gt;"",G31&lt;&gt;""),"HỢP LỆ","CẦN SỬA"),IF(D31="say",IF(AND(H31&lt;&gt;"",J31&lt;&gt;""),"HỢP LỆ","CẦN SỬA"),IF(D31="choice",IF(AND(E31&lt;&gt;"",H31&lt;&gt;"",I31&lt;&gt;"",J31&lt;&gt;""),"HỢP LỆ","CẦN SỬA"),IF(D31="act",IF(K31&lt;&gt;"","HỢP LỆ","CẦN SỬA"),IF(D31="end","HỢP LỆ","CẦN SỬA")))))</f>
        <v>HỢP LỆ</v>
      </c>
    </row>
    <row r="32" customFormat="false" ht="42" hidden="false" customHeight="true" outlineLevel="0" collapsed="false">
      <c r="A32" s="6" t="n">
        <v>28</v>
      </c>
      <c r="B32" s="6" t="s">
        <v>244</v>
      </c>
      <c r="C32" s="6" t="n">
        <v>4</v>
      </c>
      <c r="D32" s="6" t="s">
        <v>191</v>
      </c>
      <c r="E32" s="6"/>
      <c r="F32" s="6"/>
      <c r="G32" s="6"/>
      <c r="H32" s="6"/>
      <c r="I32" s="6"/>
      <c r="J32" s="6"/>
      <c r="K32" s="6" t="s">
        <v>245</v>
      </c>
      <c r="L32" s="6" t="s">
        <v>246</v>
      </c>
      <c r="M32" s="7" t="str">
        <f aca="false">IF(D32="scene",IF(AND(F32&lt;&gt;"",C32&lt;&gt;"",G32&lt;&gt;""),"HỢP LỆ","CẦN SỬA"),IF(D32="say",IF(AND(H32&lt;&gt;"",J32&lt;&gt;""),"HỢP LỆ","CẦN SỬA"),IF(D32="choice",IF(AND(E32&lt;&gt;"",H32&lt;&gt;"",I32&lt;&gt;"",J32&lt;&gt;""),"HỢP LỆ","CẦN SỬA"),IF(D32="act",IF(K32&lt;&gt;"","HỢP LỆ","CẦN SỬA"),IF(D32="end","HỢP LỆ","CẦN SỬA")))))</f>
        <v>HỢP LỆ</v>
      </c>
    </row>
    <row r="33" customFormat="false" ht="42" hidden="false" customHeight="true" outlineLevel="0" collapsed="false">
      <c r="A33" s="6" t="n">
        <v>29</v>
      </c>
      <c r="B33" s="6" t="s">
        <v>247</v>
      </c>
      <c r="C33" s="6"/>
      <c r="D33" s="6" t="s">
        <v>248</v>
      </c>
      <c r="E33" s="6"/>
      <c r="F33" s="6"/>
      <c r="G33" s="6"/>
      <c r="H33" s="6"/>
      <c r="I33" s="6"/>
      <c r="J33" s="6"/>
      <c r="K33" s="6"/>
      <c r="L33" s="6" t="s">
        <v>249</v>
      </c>
      <c r="M33" s="7" t="str">
        <f aca="false">IF(D33="scene",IF(AND(F33&lt;&gt;"",C33&lt;&gt;"",G33&lt;&gt;""),"HỢP LỆ","CẦN SỬA"),IF(D33="say",IF(AND(H33&lt;&gt;"",J33&lt;&gt;""),"HỢP LỆ","CẦN SỬA"),IF(D33="choice",IF(AND(E33&lt;&gt;"",H33&lt;&gt;"",I33&lt;&gt;"",J33&lt;&gt;""),"HỢP LỆ","CẦN SỬA"),IF(D33="act",IF(K33&lt;&gt;"","HỢP LỆ","CẦN SỬA"),IF(D33="end","HỢP LỆ","CẦN SỬA")))))</f>
        <v>HỢP LỆ</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14"/>
  </cols>
  <sheetData>
    <row r="1" customFormat="false" ht="19.7" hidden="false" customHeight="false" outlineLevel="0" collapsed="false">
      <c r="A1" s="1" t="s">
        <v>250</v>
      </c>
    </row>
    <row r="2" customFormat="false" ht="15" hidden="false" customHeight="false" outlineLevel="0" collapsed="false">
      <c r="A2" s="8" t="s">
        <v>251</v>
      </c>
      <c r="B2" s="8"/>
      <c r="C2" s="8"/>
      <c r="D2" s="8"/>
      <c r="E2" s="8"/>
      <c r="F2" s="8"/>
      <c r="G2" s="8"/>
      <c r="H2" s="8"/>
      <c r="I2" s="8"/>
      <c r="J2" s="8"/>
    </row>
    <row r="4" customFormat="false" ht="23.85" hidden="false" customHeight="false" outlineLevel="0" collapsed="false">
      <c r="A4" s="4" t="s">
        <v>252</v>
      </c>
      <c r="B4" s="4" t="s">
        <v>253</v>
      </c>
      <c r="C4" s="4" t="s">
        <v>254</v>
      </c>
      <c r="D4" s="4" t="s">
        <v>255</v>
      </c>
      <c r="E4" s="4" t="s">
        <v>256</v>
      </c>
      <c r="F4" s="4" t="s">
        <v>257</v>
      </c>
      <c r="G4" s="4" t="s">
        <v>258</v>
      </c>
      <c r="H4" s="4" t="s">
        <v>259</v>
      </c>
      <c r="I4" s="4" t="s">
        <v>148</v>
      </c>
      <c r="J4" s="4" t="s">
        <v>167</v>
      </c>
    </row>
    <row r="5" customFormat="false" ht="39.75" hidden="false" customHeight="true" outlineLevel="0" collapsed="false">
      <c r="A5" s="6" t="s">
        <v>181</v>
      </c>
      <c r="B5" s="6" t="n">
        <v>1</v>
      </c>
      <c r="C5" s="6" t="s">
        <v>260</v>
      </c>
      <c r="D5" s="6" t="s">
        <v>96</v>
      </c>
      <c r="E5" s="6"/>
      <c r="F5" s="6" t="s">
        <v>178</v>
      </c>
      <c r="G5" s="6" t="s">
        <v>261</v>
      </c>
      <c r="H5" s="6" t="s">
        <v>262</v>
      </c>
      <c r="I5" s="6" t="s">
        <v>263</v>
      </c>
      <c r="J5" s="7" t="str">
        <f aca="false">IF(AND(C5&lt;&gt;"",D5&lt;&gt;"",F5&lt;&gt;"",H5&lt;&gt;""),"HỢP LỆ","CẦN SỬA")</f>
        <v>HỢP LỆ</v>
      </c>
    </row>
    <row r="6" customFormat="false" ht="39.75" hidden="false" customHeight="true" outlineLevel="0" collapsed="false">
      <c r="A6" s="6" t="s">
        <v>181</v>
      </c>
      <c r="B6" s="6" t="n">
        <v>2</v>
      </c>
      <c r="C6" s="6" t="s">
        <v>264</v>
      </c>
      <c r="D6" s="6" t="s">
        <v>137</v>
      </c>
      <c r="E6" s="6"/>
      <c r="F6" s="6" t="s">
        <v>178</v>
      </c>
      <c r="G6" s="6" t="s">
        <v>265</v>
      </c>
      <c r="H6" s="6" t="s">
        <v>266</v>
      </c>
      <c r="I6" s="6" t="s">
        <v>267</v>
      </c>
      <c r="J6" s="7" t="str">
        <f aca="false">IF(AND(C6&lt;&gt;"",D6&lt;&gt;"",F6&lt;&gt;"",H6&lt;&gt;""),"HỢP LỆ","CẦN SỬA")</f>
        <v>HỢP LỆ</v>
      </c>
    </row>
    <row r="7" customFormat="false" ht="39.75" hidden="false" customHeight="true" outlineLevel="0" collapsed="false">
      <c r="A7" s="6" t="s">
        <v>181</v>
      </c>
      <c r="B7" s="6" t="n">
        <v>3</v>
      </c>
      <c r="C7" s="6" t="s">
        <v>268</v>
      </c>
      <c r="D7" s="6" t="s">
        <v>137</v>
      </c>
      <c r="E7" s="6"/>
      <c r="F7" s="6" t="s">
        <v>178</v>
      </c>
      <c r="G7" s="6" t="s">
        <v>265</v>
      </c>
      <c r="H7" s="6" t="s">
        <v>269</v>
      </c>
      <c r="I7" s="6" t="s">
        <v>267</v>
      </c>
      <c r="J7" s="7" t="str">
        <f aca="false">IF(AND(C7&lt;&gt;"",D7&lt;&gt;"",F7&lt;&gt;"",H7&lt;&gt;""),"HỢP LỆ","CẦN SỬA")</f>
        <v>HỢP LỆ</v>
      </c>
    </row>
    <row r="8" customFormat="false" ht="39.75" hidden="false" customHeight="true" outlineLevel="0" collapsed="false">
      <c r="A8" s="6" t="s">
        <v>188</v>
      </c>
      <c r="B8" s="6" t="n">
        <v>1</v>
      </c>
      <c r="C8" s="6" t="s">
        <v>270</v>
      </c>
      <c r="D8" s="6" t="s">
        <v>96</v>
      </c>
      <c r="E8" s="6"/>
      <c r="F8" s="6" t="s">
        <v>178</v>
      </c>
      <c r="G8" s="6" t="s">
        <v>261</v>
      </c>
      <c r="H8" s="6" t="s">
        <v>271</v>
      </c>
      <c r="I8" s="6" t="s">
        <v>263</v>
      </c>
      <c r="J8" s="7" t="str">
        <f aca="false">IF(AND(C8&lt;&gt;"",D8&lt;&gt;"",F8&lt;&gt;"",H8&lt;&gt;""),"HỢP LỆ","CẦN SỬA")</f>
        <v>HỢP LỆ</v>
      </c>
    </row>
    <row r="9" customFormat="false" ht="39.75" hidden="false" customHeight="true" outlineLevel="0" collapsed="false">
      <c r="A9" s="6" t="s">
        <v>188</v>
      </c>
      <c r="B9" s="6" t="n">
        <v>2</v>
      </c>
      <c r="C9" s="6" t="s">
        <v>272</v>
      </c>
      <c r="D9" s="6" t="s">
        <v>137</v>
      </c>
      <c r="E9" s="6"/>
      <c r="F9" s="6" t="s">
        <v>178</v>
      </c>
      <c r="G9" s="6" t="s">
        <v>265</v>
      </c>
      <c r="H9" s="6" t="s">
        <v>273</v>
      </c>
      <c r="I9" s="6" t="s">
        <v>267</v>
      </c>
      <c r="J9" s="7" t="str">
        <f aca="false">IF(AND(C9&lt;&gt;"",D9&lt;&gt;"",F9&lt;&gt;"",H9&lt;&gt;""),"HỢP LỆ","CẦN SỬA")</f>
        <v>HỢP LỆ</v>
      </c>
    </row>
    <row r="10" customFormat="false" ht="39.75" hidden="false" customHeight="true" outlineLevel="0" collapsed="false">
      <c r="A10" s="6" t="s">
        <v>188</v>
      </c>
      <c r="B10" s="6" t="n">
        <v>3</v>
      </c>
      <c r="C10" s="6" t="s">
        <v>274</v>
      </c>
      <c r="D10" s="6" t="s">
        <v>137</v>
      </c>
      <c r="E10" s="6"/>
      <c r="F10" s="6" t="s">
        <v>178</v>
      </c>
      <c r="G10" s="6" t="s">
        <v>265</v>
      </c>
      <c r="H10" s="6" t="s">
        <v>275</v>
      </c>
      <c r="I10" s="6" t="s">
        <v>267</v>
      </c>
      <c r="J10" s="7" t="str">
        <f aca="false">IF(AND(C10&lt;&gt;"",D10&lt;&gt;"",F10&lt;&gt;"",H10&lt;&gt;""),"HỢP LỆ","CẦN SỬA")</f>
        <v>HỢP LỆ</v>
      </c>
    </row>
    <row r="11" customFormat="false" ht="39.75" hidden="false" customHeight="true" outlineLevel="0" collapsed="false">
      <c r="A11" s="6" t="s">
        <v>204</v>
      </c>
      <c r="B11" s="6" t="n">
        <v>1</v>
      </c>
      <c r="C11" s="6" t="s">
        <v>276</v>
      </c>
      <c r="D11" s="6" t="s">
        <v>96</v>
      </c>
      <c r="E11" s="6"/>
      <c r="F11" s="6" t="s">
        <v>201</v>
      </c>
      <c r="G11" s="6" t="s">
        <v>179</v>
      </c>
      <c r="H11" s="6" t="s">
        <v>277</v>
      </c>
      <c r="I11" s="6" t="s">
        <v>263</v>
      </c>
      <c r="J11" s="7" t="str">
        <f aca="false">IF(AND(C11&lt;&gt;"",D11&lt;&gt;"",F11&lt;&gt;"",H11&lt;&gt;""),"HỢP LỆ","CẦN SỬA")</f>
        <v>HỢP LỆ</v>
      </c>
    </row>
    <row r="12" customFormat="false" ht="39.75" hidden="false" customHeight="true" outlineLevel="0" collapsed="false">
      <c r="A12" s="6" t="s">
        <v>204</v>
      </c>
      <c r="B12" s="6" t="n">
        <v>2</v>
      </c>
      <c r="C12" s="6" t="s">
        <v>278</v>
      </c>
      <c r="D12" s="6" t="s">
        <v>137</v>
      </c>
      <c r="E12" s="6"/>
      <c r="F12" s="6" t="s">
        <v>201</v>
      </c>
      <c r="G12" s="6" t="s">
        <v>202</v>
      </c>
      <c r="H12" s="6" t="s">
        <v>279</v>
      </c>
      <c r="I12" s="6" t="s">
        <v>267</v>
      </c>
      <c r="J12" s="7" t="str">
        <f aca="false">IF(AND(C12&lt;&gt;"",D12&lt;&gt;"",F12&lt;&gt;"",H12&lt;&gt;""),"HỢP LỆ","CẦN SỬA")</f>
        <v>HỢP LỆ</v>
      </c>
    </row>
    <row r="13" customFormat="false" ht="39.75" hidden="false" customHeight="true" outlineLevel="0" collapsed="false">
      <c r="A13" s="6" t="s">
        <v>204</v>
      </c>
      <c r="B13" s="6" t="n">
        <v>3</v>
      </c>
      <c r="C13" s="6" t="s">
        <v>280</v>
      </c>
      <c r="D13" s="6" t="s">
        <v>137</v>
      </c>
      <c r="E13" s="6"/>
      <c r="F13" s="6" t="s">
        <v>201</v>
      </c>
      <c r="G13" s="6" t="s">
        <v>202</v>
      </c>
      <c r="H13" s="6" t="s">
        <v>281</v>
      </c>
      <c r="I13" s="6" t="s">
        <v>267</v>
      </c>
      <c r="J13" s="7" t="str">
        <f aca="false">IF(AND(C13&lt;&gt;"",D13&lt;&gt;"",F13&lt;&gt;"",H13&lt;&gt;""),"HỢP LỆ","CẦN SỬA")</f>
        <v>HỢP LỆ</v>
      </c>
    </row>
    <row r="14" customFormat="false" ht="39.75" hidden="false" customHeight="true" outlineLevel="0" collapsed="false">
      <c r="A14" s="6" t="s">
        <v>208</v>
      </c>
      <c r="B14" s="6" t="n">
        <v>1</v>
      </c>
      <c r="C14" s="6" t="s">
        <v>282</v>
      </c>
      <c r="D14" s="6" t="s">
        <v>96</v>
      </c>
      <c r="E14" s="6"/>
      <c r="F14" s="6" t="s">
        <v>201</v>
      </c>
      <c r="G14" s="6" t="s">
        <v>179</v>
      </c>
      <c r="H14" s="6" t="s">
        <v>283</v>
      </c>
      <c r="I14" s="6" t="s">
        <v>263</v>
      </c>
      <c r="J14" s="7" t="str">
        <f aca="false">IF(AND(C14&lt;&gt;"",D14&lt;&gt;"",F14&lt;&gt;"",H14&lt;&gt;""),"HỢP LỆ","CẦN SỬA")</f>
        <v>HỢP LỆ</v>
      </c>
    </row>
    <row r="15" customFormat="false" ht="39.75" hidden="false" customHeight="true" outlineLevel="0" collapsed="false">
      <c r="A15" s="6" t="s">
        <v>208</v>
      </c>
      <c r="B15" s="6" t="n">
        <v>2</v>
      </c>
      <c r="C15" s="6" t="s">
        <v>284</v>
      </c>
      <c r="D15" s="6" t="s">
        <v>137</v>
      </c>
      <c r="E15" s="6"/>
      <c r="F15" s="6" t="s">
        <v>201</v>
      </c>
      <c r="G15" s="6" t="s">
        <v>202</v>
      </c>
      <c r="H15" s="6" t="s">
        <v>285</v>
      </c>
      <c r="I15" s="6" t="s">
        <v>267</v>
      </c>
      <c r="J15" s="7" t="str">
        <f aca="false">IF(AND(C15&lt;&gt;"",D15&lt;&gt;"",F15&lt;&gt;"",H15&lt;&gt;""),"HỢP LỆ","CẦN SỬA")</f>
        <v>HỢP LỆ</v>
      </c>
    </row>
    <row r="16" customFormat="false" ht="39.75" hidden="false" customHeight="true" outlineLevel="0" collapsed="false">
      <c r="A16" s="6" t="s">
        <v>208</v>
      </c>
      <c r="B16" s="6" t="n">
        <v>3</v>
      </c>
      <c r="C16" s="6" t="s">
        <v>286</v>
      </c>
      <c r="D16" s="6" t="s">
        <v>137</v>
      </c>
      <c r="E16" s="6"/>
      <c r="F16" s="6" t="s">
        <v>201</v>
      </c>
      <c r="G16" s="6" t="s">
        <v>202</v>
      </c>
      <c r="H16" s="6" t="s">
        <v>287</v>
      </c>
      <c r="I16" s="6" t="s">
        <v>267</v>
      </c>
      <c r="J16" s="7" t="str">
        <f aca="false">IF(AND(C16&lt;&gt;"",D16&lt;&gt;"",F16&lt;&gt;"",H16&lt;&gt;""),"HỢP LỆ","CẦN SỬA")</f>
        <v>HỢP LỆ</v>
      </c>
    </row>
    <row r="17" customFormat="false" ht="39.75" hidden="false" customHeight="true" outlineLevel="0" collapsed="false">
      <c r="A17" s="6" t="s">
        <v>222</v>
      </c>
      <c r="B17" s="6" t="n">
        <v>1</v>
      </c>
      <c r="C17" s="6" t="s">
        <v>288</v>
      </c>
      <c r="D17" s="6" t="s">
        <v>96</v>
      </c>
      <c r="E17" s="6"/>
      <c r="F17" s="6" t="s">
        <v>220</v>
      </c>
      <c r="G17" s="6" t="s">
        <v>261</v>
      </c>
      <c r="H17" s="6" t="s">
        <v>289</v>
      </c>
      <c r="I17" s="6" t="s">
        <v>263</v>
      </c>
      <c r="J17" s="7" t="str">
        <f aca="false">IF(AND(C17&lt;&gt;"",D17&lt;&gt;"",F17&lt;&gt;"",H17&lt;&gt;""),"HỢP LỆ","CẦN SỬA")</f>
        <v>HỢP LỆ</v>
      </c>
    </row>
    <row r="18" customFormat="false" ht="39.75" hidden="false" customHeight="true" outlineLevel="0" collapsed="false">
      <c r="A18" s="6" t="s">
        <v>222</v>
      </c>
      <c r="B18" s="6" t="n">
        <v>2</v>
      </c>
      <c r="C18" s="6" t="s">
        <v>290</v>
      </c>
      <c r="D18" s="6" t="s">
        <v>137</v>
      </c>
      <c r="E18" s="6"/>
      <c r="F18" s="6" t="s">
        <v>178</v>
      </c>
      <c r="G18" s="6" t="s">
        <v>265</v>
      </c>
      <c r="H18" s="6" t="s">
        <v>291</v>
      </c>
      <c r="I18" s="6" t="s">
        <v>267</v>
      </c>
      <c r="J18" s="7" t="str">
        <f aca="false">IF(AND(C18&lt;&gt;"",D18&lt;&gt;"",F18&lt;&gt;"",H18&lt;&gt;""),"HỢP LỆ","CẦN SỬA")</f>
        <v>HỢP LỆ</v>
      </c>
    </row>
    <row r="19" customFormat="false" ht="39.75" hidden="false" customHeight="true" outlineLevel="0" collapsed="false">
      <c r="A19" s="6" t="s">
        <v>222</v>
      </c>
      <c r="B19" s="6" t="n">
        <v>3</v>
      </c>
      <c r="C19" s="6" t="s">
        <v>292</v>
      </c>
      <c r="D19" s="6" t="s">
        <v>137</v>
      </c>
      <c r="E19" s="6"/>
      <c r="F19" s="6" t="s">
        <v>178</v>
      </c>
      <c r="G19" s="6" t="s">
        <v>265</v>
      </c>
      <c r="H19" s="6" t="s">
        <v>293</v>
      </c>
      <c r="I19" s="6" t="s">
        <v>267</v>
      </c>
      <c r="J19" s="7" t="str">
        <f aca="false">IF(AND(C19&lt;&gt;"",D19&lt;&gt;"",F19&lt;&gt;"",H19&lt;&gt;""),"HỢP LỆ","CẦN SỬA")</f>
        <v>HỢP LỆ</v>
      </c>
    </row>
    <row r="20" customFormat="false" ht="39.75" hidden="false" customHeight="true" outlineLevel="0" collapsed="false">
      <c r="A20" s="6" t="s">
        <v>226</v>
      </c>
      <c r="B20" s="6" t="n">
        <v>1</v>
      </c>
      <c r="C20" s="6" t="s">
        <v>294</v>
      </c>
      <c r="D20" s="6" t="s">
        <v>96</v>
      </c>
      <c r="E20" s="6"/>
      <c r="F20" s="6" t="s">
        <v>178</v>
      </c>
      <c r="G20" s="6" t="s">
        <v>261</v>
      </c>
      <c r="H20" s="6" t="s">
        <v>295</v>
      </c>
      <c r="I20" s="6" t="s">
        <v>263</v>
      </c>
      <c r="J20" s="7" t="str">
        <f aca="false">IF(AND(C20&lt;&gt;"",D20&lt;&gt;"",F20&lt;&gt;"",H20&lt;&gt;""),"HỢP LỆ","CẦN SỬA")</f>
        <v>HỢP LỆ</v>
      </c>
    </row>
    <row r="21" customFormat="false" ht="39.75" hidden="false" customHeight="true" outlineLevel="0" collapsed="false">
      <c r="A21" s="6" t="s">
        <v>226</v>
      </c>
      <c r="B21" s="6" t="n">
        <v>2</v>
      </c>
      <c r="C21" s="6" t="s">
        <v>296</v>
      </c>
      <c r="D21" s="6" t="s">
        <v>137</v>
      </c>
      <c r="E21" s="6"/>
      <c r="F21" s="6" t="s">
        <v>178</v>
      </c>
      <c r="G21" s="6" t="s">
        <v>265</v>
      </c>
      <c r="H21" s="6" t="s">
        <v>297</v>
      </c>
      <c r="I21" s="6" t="s">
        <v>267</v>
      </c>
      <c r="J21" s="7" t="str">
        <f aca="false">IF(AND(C21&lt;&gt;"",D21&lt;&gt;"",F21&lt;&gt;"",H21&lt;&gt;""),"HỢP LỆ","CẦN SỬA")</f>
        <v>HỢP LỆ</v>
      </c>
    </row>
    <row r="22" customFormat="false" ht="39.75" hidden="false" customHeight="true" outlineLevel="0" collapsed="false">
      <c r="A22" s="6" t="s">
        <v>226</v>
      </c>
      <c r="B22" s="6" t="n">
        <v>3</v>
      </c>
      <c r="C22" s="6" t="s">
        <v>298</v>
      </c>
      <c r="D22" s="6" t="s">
        <v>137</v>
      </c>
      <c r="E22" s="6"/>
      <c r="F22" s="6" t="s">
        <v>178</v>
      </c>
      <c r="G22" s="6" t="s">
        <v>265</v>
      </c>
      <c r="H22" s="6" t="s">
        <v>299</v>
      </c>
      <c r="I22" s="6" t="s">
        <v>267</v>
      </c>
      <c r="J22" s="7" t="str">
        <f aca="false">IF(AND(C22&lt;&gt;"",D22&lt;&gt;"",F22&lt;&gt;"",H22&lt;&gt;""),"HỢP LỆ","CẦN SỬA")</f>
        <v>HỢP LỆ</v>
      </c>
    </row>
    <row r="23" customFormat="false" ht="39.75" hidden="false" customHeight="true" outlineLevel="0" collapsed="false">
      <c r="A23" s="6" t="s">
        <v>238</v>
      </c>
      <c r="B23" s="6" t="n">
        <v>1</v>
      </c>
      <c r="C23" s="6" t="s">
        <v>300</v>
      </c>
      <c r="D23" s="6" t="s">
        <v>96</v>
      </c>
      <c r="E23" s="6"/>
      <c r="F23" s="6" t="s">
        <v>178</v>
      </c>
      <c r="G23" s="6" t="s">
        <v>261</v>
      </c>
      <c r="H23" s="6" t="s">
        <v>301</v>
      </c>
      <c r="I23" s="6" t="s">
        <v>263</v>
      </c>
      <c r="J23" s="7" t="str">
        <f aca="false">IF(AND(C23&lt;&gt;"",D23&lt;&gt;"",F23&lt;&gt;"",H23&lt;&gt;""),"HỢP LỆ","CẦN SỬA")</f>
        <v>HỢP LỆ</v>
      </c>
    </row>
    <row r="24" customFormat="false" ht="39.75" hidden="false" customHeight="true" outlineLevel="0" collapsed="false">
      <c r="A24" s="6" t="s">
        <v>238</v>
      </c>
      <c r="B24" s="6" t="n">
        <v>2</v>
      </c>
      <c r="C24" s="6" t="s">
        <v>302</v>
      </c>
      <c r="D24" s="6" t="s">
        <v>137</v>
      </c>
      <c r="E24" s="6"/>
      <c r="F24" s="6" t="s">
        <v>178</v>
      </c>
      <c r="G24" s="6" t="s">
        <v>265</v>
      </c>
      <c r="H24" s="6" t="s">
        <v>303</v>
      </c>
      <c r="I24" s="6" t="s">
        <v>267</v>
      </c>
      <c r="J24" s="7" t="str">
        <f aca="false">IF(AND(C24&lt;&gt;"",D24&lt;&gt;"",F24&lt;&gt;"",H24&lt;&gt;""),"HỢP LỆ","CẦN SỬA")</f>
        <v>HỢP LỆ</v>
      </c>
    </row>
    <row r="25" customFormat="false" ht="39.75" hidden="false" customHeight="true" outlineLevel="0" collapsed="false">
      <c r="A25" s="6" t="s">
        <v>238</v>
      </c>
      <c r="B25" s="6" t="n">
        <v>3</v>
      </c>
      <c r="C25" s="6" t="s">
        <v>304</v>
      </c>
      <c r="D25" s="6" t="s">
        <v>137</v>
      </c>
      <c r="E25" s="6"/>
      <c r="F25" s="6" t="s">
        <v>178</v>
      </c>
      <c r="G25" s="6" t="s">
        <v>265</v>
      </c>
      <c r="H25" s="6" t="s">
        <v>305</v>
      </c>
      <c r="I25" s="6" t="s">
        <v>267</v>
      </c>
      <c r="J25" s="7" t="str">
        <f aca="false">IF(AND(C25&lt;&gt;"",D25&lt;&gt;"",F25&lt;&gt;"",H25&lt;&gt;""),"HỢP LỆ","CẦN SỬA")</f>
        <v>HỢP LỆ</v>
      </c>
    </row>
    <row r="26" customFormat="false" ht="39.75" hidden="false" customHeight="true" outlineLevel="0" collapsed="false">
      <c r="A26" s="6" t="s">
        <v>242</v>
      </c>
      <c r="B26" s="6" t="n">
        <v>1</v>
      </c>
      <c r="C26" s="6" t="s">
        <v>306</v>
      </c>
      <c r="D26" s="6" t="s">
        <v>96</v>
      </c>
      <c r="E26" s="6"/>
      <c r="F26" s="6" t="s">
        <v>178</v>
      </c>
      <c r="G26" s="6" t="s">
        <v>261</v>
      </c>
      <c r="H26" s="6" t="s">
        <v>307</v>
      </c>
      <c r="I26" s="6" t="s">
        <v>263</v>
      </c>
      <c r="J26" s="7" t="str">
        <f aca="false">IF(AND(C26&lt;&gt;"",D26&lt;&gt;"",F26&lt;&gt;"",H26&lt;&gt;""),"HỢP LỆ","CẦN SỬA")</f>
        <v>HỢP LỆ</v>
      </c>
    </row>
    <row r="27" customFormat="false" ht="39.75" hidden="false" customHeight="true" outlineLevel="0" collapsed="false">
      <c r="A27" s="6" t="s">
        <v>242</v>
      </c>
      <c r="B27" s="6" t="n">
        <v>2</v>
      </c>
      <c r="C27" s="6" t="s">
        <v>308</v>
      </c>
      <c r="D27" s="6" t="s">
        <v>137</v>
      </c>
      <c r="E27" s="6"/>
      <c r="F27" s="6" t="s">
        <v>178</v>
      </c>
      <c r="G27" s="6" t="s">
        <v>265</v>
      </c>
      <c r="H27" s="6" t="s">
        <v>309</v>
      </c>
      <c r="I27" s="6" t="s">
        <v>267</v>
      </c>
      <c r="J27" s="7" t="str">
        <f aca="false">IF(AND(C27&lt;&gt;"",D27&lt;&gt;"",F27&lt;&gt;"",H27&lt;&gt;""),"HỢP LỆ","CẦN SỬA")</f>
        <v>HỢP LỆ</v>
      </c>
    </row>
    <row r="28" customFormat="false" ht="39.75" hidden="false" customHeight="true" outlineLevel="0" collapsed="false">
      <c r="A28" s="6" t="s">
        <v>242</v>
      </c>
      <c r="B28" s="6" t="n">
        <v>3</v>
      </c>
      <c r="C28" s="6" t="s">
        <v>310</v>
      </c>
      <c r="D28" s="6" t="s">
        <v>137</v>
      </c>
      <c r="E28" s="6"/>
      <c r="F28" s="6" t="s">
        <v>178</v>
      </c>
      <c r="G28" s="6" t="s">
        <v>265</v>
      </c>
      <c r="H28" s="6" t="s">
        <v>311</v>
      </c>
      <c r="I28" s="6" t="s">
        <v>267</v>
      </c>
      <c r="J28" s="7" t="str">
        <f aca="false">IF(AND(C28&lt;&gt;"",D28&lt;&gt;"",F28&lt;&gt;"",H28&lt;&gt;""),"HỢP LỆ","CẦN SỬA")</f>
        <v>HỢP LỆ</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 t="s">
        <v>312</v>
      </c>
    </row>
    <row r="2" customFormat="false" ht="15" hidden="false" customHeight="false" outlineLevel="0" collapsed="false">
      <c r="A2" s="8" t="s">
        <v>313</v>
      </c>
      <c r="B2" s="8"/>
      <c r="C2" s="8"/>
      <c r="D2" s="8"/>
      <c r="E2" s="8"/>
      <c r="F2" s="8"/>
      <c r="G2" s="8"/>
      <c r="H2" s="8"/>
      <c r="I2" s="8"/>
      <c r="J2" s="8"/>
    </row>
    <row r="4" customFormat="false" ht="15" hidden="false" customHeight="false" outlineLevel="0" collapsed="false">
      <c r="A4" s="3" t="s">
        <v>314</v>
      </c>
    </row>
    <row r="5" customFormat="false" ht="15" hidden="false" customHeight="false" outlineLevel="0" collapsed="false">
      <c r="A5" s="4" t="s">
        <v>162</v>
      </c>
      <c r="B5" s="4" t="s">
        <v>315</v>
      </c>
      <c r="C5" s="4" t="s">
        <v>316</v>
      </c>
    </row>
    <row r="6" customFormat="false" ht="15" hidden="false" customHeight="false" outlineLevel="0" collapsed="false">
      <c r="A6" s="5" t="s">
        <v>175</v>
      </c>
      <c r="B6" s="5" t="s">
        <v>76</v>
      </c>
      <c r="C6" s="5"/>
    </row>
    <row r="7" customFormat="false" ht="15" hidden="false" customHeight="false" outlineLevel="0" collapsed="false">
      <c r="A7" s="5" t="s">
        <v>317</v>
      </c>
      <c r="B7" s="5" t="s">
        <v>318</v>
      </c>
      <c r="C7" s="5" t="s">
        <v>319</v>
      </c>
    </row>
    <row r="8" customFormat="false" ht="15" hidden="false" customHeight="false" outlineLevel="0" collapsed="false">
      <c r="A8" s="5" t="s">
        <v>178</v>
      </c>
      <c r="B8" s="5" t="s">
        <v>320</v>
      </c>
      <c r="C8" s="5" t="s">
        <v>321</v>
      </c>
    </row>
    <row r="9" customFormat="false" ht="15" hidden="false" customHeight="false" outlineLevel="0" collapsed="false">
      <c r="A9" s="5" t="s">
        <v>322</v>
      </c>
      <c r="B9" s="5" t="s">
        <v>323</v>
      </c>
      <c r="C9" s="5" t="s">
        <v>324</v>
      </c>
    </row>
    <row r="10" customFormat="false" ht="15" hidden="false" customHeight="false" outlineLevel="0" collapsed="false">
      <c r="A10" s="5" t="s">
        <v>201</v>
      </c>
      <c r="B10" s="5" t="s">
        <v>325</v>
      </c>
      <c r="C10" s="5" t="s">
        <v>326</v>
      </c>
    </row>
    <row r="11" customFormat="false" ht="15" hidden="false" customHeight="false" outlineLevel="0" collapsed="false">
      <c r="A11" s="5" t="s">
        <v>220</v>
      </c>
      <c r="B11" s="5" t="s">
        <v>327</v>
      </c>
      <c r="C11" s="5" t="s">
        <v>328</v>
      </c>
    </row>
    <row r="13" customFormat="false" ht="15" hidden="false" customHeight="false" outlineLevel="0" collapsed="false">
      <c r="A13" s="3" t="s">
        <v>329</v>
      </c>
    </row>
    <row r="14" customFormat="false" ht="15" hidden="false" customHeight="false" outlineLevel="0" collapsed="false">
      <c r="A14" s="4" t="s">
        <v>330</v>
      </c>
      <c r="B14" s="4" t="s">
        <v>331</v>
      </c>
      <c r="C14" s="4" t="s">
        <v>332</v>
      </c>
    </row>
    <row r="15" customFormat="false" ht="23.85" hidden="false" customHeight="false" outlineLevel="0" collapsed="false">
      <c r="A15" s="5" t="s">
        <v>170</v>
      </c>
      <c r="B15" s="5" t="s">
        <v>333</v>
      </c>
      <c r="C15" s="5" t="s">
        <v>334</v>
      </c>
    </row>
    <row r="16" customFormat="false" ht="23.85" hidden="false" customHeight="false" outlineLevel="0" collapsed="false">
      <c r="A16" s="5" t="s">
        <v>195</v>
      </c>
      <c r="B16" s="5" t="s">
        <v>335</v>
      </c>
      <c r="C16" s="5" t="s">
        <v>334</v>
      </c>
    </row>
    <row r="17" customFormat="false" ht="23.85" hidden="false" customHeight="false" outlineLevel="0" collapsed="false">
      <c r="A17" s="5" t="s">
        <v>214</v>
      </c>
      <c r="B17" s="5" t="s">
        <v>336</v>
      </c>
      <c r="C17" s="5" t="s">
        <v>334</v>
      </c>
    </row>
    <row r="19" customFormat="false" ht="15" hidden="false" customHeight="false" outlineLevel="0" collapsed="false">
      <c r="A19" s="3" t="s">
        <v>337</v>
      </c>
    </row>
    <row r="20" customFormat="false" ht="15" hidden="false" customHeight="false" outlineLevel="0" collapsed="false">
      <c r="A20" s="4" t="s">
        <v>338</v>
      </c>
      <c r="B20" s="4" t="s">
        <v>339</v>
      </c>
    </row>
    <row r="21" customFormat="false" ht="15" hidden="false" customHeight="false" outlineLevel="0" collapsed="false">
      <c r="A21" s="5" t="s">
        <v>179</v>
      </c>
      <c r="B21" s="5" t="s">
        <v>340</v>
      </c>
    </row>
    <row r="22" customFormat="false" ht="15" hidden="false" customHeight="false" outlineLevel="0" collapsed="false">
      <c r="A22" s="5" t="s">
        <v>261</v>
      </c>
      <c r="B22" s="5" t="s">
        <v>341</v>
      </c>
    </row>
    <row r="23" customFormat="false" ht="23.85" hidden="false" customHeight="false" outlineLevel="0" collapsed="false">
      <c r="A23" s="5" t="s">
        <v>265</v>
      </c>
      <c r="B23" s="5" t="s">
        <v>342</v>
      </c>
    </row>
    <row r="24" customFormat="false" ht="15" hidden="false" customHeight="false" outlineLevel="0" collapsed="false">
      <c r="A24" s="5" t="s">
        <v>202</v>
      </c>
      <c r="B24" s="5" t="s">
        <v>343</v>
      </c>
    </row>
    <row r="26" customFormat="false" ht="15" hidden="false" customHeight="false" outlineLevel="0" collapsed="false">
      <c r="A26" s="3" t="s">
        <v>344</v>
      </c>
    </row>
    <row r="27" customFormat="false" ht="15" hidden="false" customHeight="false" outlineLevel="0" collapsed="false">
      <c r="A27" s="4" t="s">
        <v>345</v>
      </c>
      <c r="B27" s="4" t="s">
        <v>346</v>
      </c>
      <c r="C27" s="4" t="s">
        <v>347</v>
      </c>
    </row>
    <row r="28" customFormat="false" ht="23.85" hidden="false" customHeight="false" outlineLevel="0" collapsed="false">
      <c r="A28" s="5" t="s">
        <v>169</v>
      </c>
      <c r="B28" s="5" t="s">
        <v>348</v>
      </c>
      <c r="C28" s="5" t="s">
        <v>349</v>
      </c>
    </row>
    <row r="29" customFormat="false" ht="23.85" hidden="false" customHeight="false" outlineLevel="0" collapsed="false">
      <c r="A29" s="5" t="s">
        <v>174</v>
      </c>
      <c r="B29" s="5" t="s">
        <v>350</v>
      </c>
      <c r="C29" s="5" t="s">
        <v>351</v>
      </c>
    </row>
    <row r="30" customFormat="false" ht="35.05" hidden="false" customHeight="false" outlineLevel="0" collapsed="false">
      <c r="A30" s="5" t="s">
        <v>182</v>
      </c>
      <c r="B30" s="5" t="s">
        <v>352</v>
      </c>
      <c r="C30" s="5" t="s">
        <v>353</v>
      </c>
    </row>
    <row r="31" customFormat="false" ht="15" hidden="false" customHeight="false" outlineLevel="0" collapsed="false">
      <c r="A31" s="5" t="s">
        <v>191</v>
      </c>
      <c r="B31" s="5" t="s">
        <v>165</v>
      </c>
      <c r="C31" s="5" t="s">
        <v>354</v>
      </c>
    </row>
    <row r="32" customFormat="false" ht="15" hidden="false" customHeight="false" outlineLevel="0" collapsed="false">
      <c r="A32" s="5" t="s">
        <v>248</v>
      </c>
      <c r="B32" s="5" t="s">
        <v>355</v>
      </c>
      <c r="C32" s="5" t="s">
        <v>356</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34"/>
    <col collapsed="false" customWidth="true" hidden="false" outlineLevel="0" max="7" min="7" style="0" width="14"/>
  </cols>
  <sheetData>
    <row r="1" customFormat="false" ht="19.7" hidden="false" customHeight="false" outlineLevel="0" collapsed="false">
      <c r="A1" s="1" t="s">
        <v>357</v>
      </c>
    </row>
    <row r="2" customFormat="false" ht="15" hidden="false" customHeight="false" outlineLevel="0" collapsed="false">
      <c r="A2" s="8" t="s">
        <v>358</v>
      </c>
      <c r="B2" s="8"/>
      <c r="C2" s="8"/>
      <c r="D2" s="8"/>
      <c r="E2" s="8"/>
      <c r="F2" s="8"/>
      <c r="G2" s="8"/>
      <c r="H2" s="8"/>
    </row>
    <row r="4" customFormat="false" ht="15" hidden="false" customHeight="false" outlineLevel="0" collapsed="false">
      <c r="A4" s="3" t="s">
        <v>359</v>
      </c>
    </row>
    <row r="5" customFormat="false" ht="15" hidden="false" customHeight="false" outlineLevel="0" collapsed="false">
      <c r="A5" s="4" t="s">
        <v>360</v>
      </c>
      <c r="B5" s="4" t="s">
        <v>361</v>
      </c>
      <c r="C5" s="4" t="s">
        <v>362</v>
      </c>
      <c r="D5" s="4" t="s">
        <v>363</v>
      </c>
      <c r="E5" s="4" t="s">
        <v>364</v>
      </c>
      <c r="F5" s="4" t="s">
        <v>365</v>
      </c>
      <c r="G5" s="4" t="s">
        <v>366</v>
      </c>
      <c r="H5" s="4" t="s">
        <v>367</v>
      </c>
    </row>
    <row r="6" customFormat="false" ht="15" hidden="false" customHeight="false" outlineLevel="0" collapsed="false">
      <c r="A6" s="7" t="n">
        <f aca="false">COUNTA(02_KICH_BAN_NODES!B5:B33)</f>
        <v>29</v>
      </c>
      <c r="B6" s="7" t="n">
        <f aca="false">COUNTIF(02_KICH_BAN_NODES!D5:D33,"scene")</f>
        <v>4</v>
      </c>
      <c r="C6" s="7" t="n">
        <f aca="false">COUNTIF(02_KICH_BAN_NODES!D5:D33,"say")</f>
        <v>12</v>
      </c>
      <c r="D6" s="7" t="n">
        <f aca="false">COUNTIF(02_KICH_BAN_NODES!D5:D33,"choice")</f>
        <v>8</v>
      </c>
      <c r="E6" s="7" t="n">
        <f aca="false">COUNTIF(02_KICH_BAN_NODES!D5:D33,"act")</f>
        <v>4</v>
      </c>
      <c r="F6" s="7" t="n">
        <f aca="false">COUNTIF(02_KICH_BAN_NODES!D5:D33,"end")</f>
        <v>1</v>
      </c>
      <c r="G6" s="7" t="n">
        <f aca="false">COUNTIF(02_KICH_BAN_NODES!M5:M33,"CẦN SỬA")</f>
        <v>0</v>
      </c>
      <c r="H6" s="7" t="n">
        <f aca="false">COUNTIF(03_LUA_CHON!J5:J28,"CẦN SỬA")</f>
        <v>0</v>
      </c>
    </row>
    <row r="8" customFormat="false" ht="15" hidden="false" customHeight="false" outlineLevel="0" collapsed="false">
      <c r="A8" s="3" t="s">
        <v>368</v>
      </c>
    </row>
    <row r="9" customFormat="false" ht="15" hidden="false" customHeight="false" outlineLevel="0" collapsed="false">
      <c r="A9" s="4" t="s">
        <v>369</v>
      </c>
      <c r="B9" s="4" t="s">
        <v>85</v>
      </c>
      <c r="C9" s="4" t="s">
        <v>370</v>
      </c>
      <c r="D9" s="4" t="s">
        <v>75</v>
      </c>
    </row>
    <row r="10" customFormat="false" ht="23.85" hidden="false" customHeight="false" outlineLevel="0" collapsed="false">
      <c r="A10" s="5" t="s">
        <v>371</v>
      </c>
      <c r="B10" s="5" t="n">
        <f aca="false">F6</f>
        <v>1</v>
      </c>
      <c r="C10" s="5" t="str">
        <f aca="false">IF(F6=1,"HỢP LỆ","CẦN SỬA")</f>
        <v>HỢP LỆ</v>
      </c>
      <c r="D10" s="5" t="s">
        <v>372</v>
      </c>
    </row>
    <row r="11" customFormat="false" ht="23.85" hidden="false" customHeight="false" outlineLevel="0" collapsed="false">
      <c r="A11" s="5" t="s">
        <v>373</v>
      </c>
      <c r="B11" s="5" t="n">
        <f aca="false">G6</f>
        <v>0</v>
      </c>
      <c r="C11" s="5" t="str">
        <f aca="false">IF(G6=0,"HỢP LỆ","CẦN SỬA")</f>
        <v>HỢP LỆ</v>
      </c>
      <c r="D11" s="5" t="s">
        <v>374</v>
      </c>
    </row>
    <row r="12" customFormat="false" ht="23.85" hidden="false" customHeight="false" outlineLevel="0" collapsed="false">
      <c r="A12" s="5" t="s">
        <v>375</v>
      </c>
      <c r="B12" s="5" t="n">
        <f aca="false">H6</f>
        <v>0</v>
      </c>
      <c r="C12" s="5" t="str">
        <f aca="false">IF(H6=0,"HỢP LỆ","CẦN SỬA")</f>
        <v>HỢP LỆ</v>
      </c>
      <c r="D12" s="5" t="s">
        <v>376</v>
      </c>
    </row>
    <row r="13" customFormat="false" ht="35.05" hidden="false" customHeight="false" outlineLevel="0" collapsed="false">
      <c r="A13" s="5" t="s">
        <v>377</v>
      </c>
      <c r="B13" s="5" t="n">
        <f aca="false">B6</f>
        <v>4</v>
      </c>
      <c r="C13" s="5" t="str">
        <f aca="false">IF(AND(B6&gt;=2,B6&lt;=4),"HỢP LỆ","NGOÀI KHOẢNG - CẦN REVIEWER")</f>
        <v>HỢP LỆ</v>
      </c>
      <c r="D13" s="5" t="s">
        <v>378</v>
      </c>
    </row>
    <row r="14" customFormat="false" ht="23.85" hidden="false" customHeight="false" outlineLevel="0" collapsed="false">
      <c r="A14" s="5" t="s">
        <v>379</v>
      </c>
      <c r="B14" s="5"/>
      <c r="C14" s="5" t="str">
        <f aca="false">01_THONG_TIN_Game!C22</f>
        <v>CHƯA SẴN SÀNG</v>
      </c>
      <c r="D14" s="5" t="s">
        <v>380</v>
      </c>
    </row>
    <row r="15" customFormat="false" ht="23.85" hidden="false" customHeight="false" outlineLevel="0" collapsed="false">
      <c r="A15" s="5" t="s">
        <v>381</v>
      </c>
      <c r="B15" s="7" t="str">
        <f aca="false">IF(AND(C10="HỢP LỆ",C11="HỢP LỆ",C12="HỢP LỆ",C14="SẴN SÀNG"),"SẴN SÀNG","CHƯA SẴN SÀNG")</f>
        <v>CHƯA SẴN SÀNG</v>
      </c>
      <c r="C15" s="7" t="str">
        <f aca="false">IF(B15="SẴN SÀNG","SẴN SÀNG","CHƯA SẴN SÀNG")</f>
        <v>CHƯA SẴN SÀNG</v>
      </c>
      <c r="D15" s="5" t="s">
        <v>382</v>
      </c>
    </row>
    <row r="17" customFormat="false" ht="15" hidden="false" customHeight="false" outlineLevel="0" collapsed="false">
      <c r="A17" s="3" t="s">
        <v>383</v>
      </c>
    </row>
    <row r="18" customFormat="false" ht="15" hidden="false" customHeight="false" outlineLevel="0" collapsed="false">
      <c r="A18" s="4" t="s">
        <v>384</v>
      </c>
      <c r="B18" s="4" t="s">
        <v>159</v>
      </c>
      <c r="C18" s="4" t="s">
        <v>385</v>
      </c>
      <c r="D18" s="4" t="s">
        <v>386</v>
      </c>
      <c r="E18" s="4" t="s">
        <v>147</v>
      </c>
      <c r="F18" s="4" t="s">
        <v>387</v>
      </c>
    </row>
    <row r="19" customFormat="false" ht="15" hidden="false" customHeight="false" outlineLevel="0" collapsed="false">
      <c r="A19" s="7" t="s">
        <v>181</v>
      </c>
      <c r="B19" s="7" t="str">
        <f aca="false">INDEX(02_KICH_BAN_NODES!E5:E33,MATCH("N004",02_KICH_BAN_NODES!B5:B33,0))</f>
        <v>Kiến thức</v>
      </c>
      <c r="C19" s="7" t="n">
        <f aca="false">COUNTIF(03_LUA_CHON!A5:A28,"N004")</f>
        <v>3</v>
      </c>
      <c r="D19" s="7" t="n">
        <f aca="false">COUNTIFS(03_LUA_CHON!A5:A28,"N004",03_LUA_CHON!D5:D28,"Có")</f>
        <v>1</v>
      </c>
      <c r="E19" s="7" t="str">
        <f aca="false">IF(AND(C19&gt;=2,C19&lt;=4,D19=1),"HỢP LỆ","CẦN SỬA")</f>
        <v>HỢP LỆ</v>
      </c>
      <c r="F19" s="7"/>
    </row>
    <row r="20" customFormat="false" ht="15" hidden="false" customHeight="false" outlineLevel="0" collapsed="false">
      <c r="A20" s="7" t="s">
        <v>188</v>
      </c>
      <c r="B20" s="7" t="str">
        <f aca="false">INDEX(02_KICH_BAN_NODES!E5:E33,MATCH("N006",02_KICH_BAN_NODES!B5:B33,0))</f>
        <v>Kiến thức</v>
      </c>
      <c r="C20" s="7" t="n">
        <f aca="false">COUNTIF(03_LUA_CHON!A5:A28,"N006")</f>
        <v>3</v>
      </c>
      <c r="D20" s="7" t="n">
        <f aca="false">COUNTIFS(03_LUA_CHON!A5:A28,"N006",03_LUA_CHON!D5:D28,"Có")</f>
        <v>1</v>
      </c>
      <c r="E20" s="7" t="str">
        <f aca="false">IF(AND(C20&gt;=2,C20&lt;=4,D20=1),"HỢP LỆ","CẦN SỬA")</f>
        <v>HỢP LỆ</v>
      </c>
      <c r="F20" s="7"/>
    </row>
    <row r="21" customFormat="false" ht="15" hidden="false" customHeight="false" outlineLevel="0" collapsed="false">
      <c r="A21" s="7" t="s">
        <v>204</v>
      </c>
      <c r="B21" s="7" t="str">
        <f aca="false">INDEX(02_KICH_BAN_NODES!E5:E33,MATCH("N011",02_KICH_BAN_NODES!B5:B33,0))</f>
        <v>Kiến thức</v>
      </c>
      <c r="C21" s="7" t="n">
        <f aca="false">COUNTIF(03_LUA_CHON!A5:A28,"N011")</f>
        <v>3</v>
      </c>
      <c r="D21" s="7" t="n">
        <f aca="false">COUNTIFS(03_LUA_CHON!A5:A28,"N011",03_LUA_CHON!D5:D28,"Có")</f>
        <v>1</v>
      </c>
      <c r="E21" s="7" t="str">
        <f aca="false">IF(AND(C21&gt;=2,C21&lt;=4,D21=1),"HỢP LỆ","CẦN SỬA")</f>
        <v>HỢP LỆ</v>
      </c>
      <c r="F21" s="7"/>
    </row>
    <row r="22" customFormat="false" ht="15" hidden="false" customHeight="false" outlineLevel="0" collapsed="false">
      <c r="A22" s="7" t="s">
        <v>208</v>
      </c>
      <c r="B22" s="7" t="str">
        <f aca="false">INDEX(02_KICH_BAN_NODES!E5:E33,MATCH("N013",02_KICH_BAN_NODES!B5:B33,0))</f>
        <v>Kiến thức</v>
      </c>
      <c r="C22" s="7" t="n">
        <f aca="false">COUNTIF(03_LUA_CHON!A5:A28,"N013")</f>
        <v>3</v>
      </c>
      <c r="D22" s="7" t="n">
        <f aca="false">COUNTIFS(03_LUA_CHON!A5:A28,"N013",03_LUA_CHON!D5:D28,"Có")</f>
        <v>1</v>
      </c>
      <c r="E22" s="7" t="str">
        <f aca="false">IF(AND(C22&gt;=2,C22&lt;=4,D22=1),"HỢP LỆ","CẦN SỬA")</f>
        <v>HỢP LỆ</v>
      </c>
      <c r="F22" s="7"/>
    </row>
    <row r="23" customFormat="false" ht="15" hidden="false" customHeight="false" outlineLevel="0" collapsed="false">
      <c r="A23" s="7" t="s">
        <v>222</v>
      </c>
      <c r="B23" s="7" t="str">
        <f aca="false">INDEX(02_KICH_BAN_NODES!E5:E33,MATCH("N018",02_KICH_BAN_NODES!B5:B33,0))</f>
        <v>Kiến thức</v>
      </c>
      <c r="C23" s="7" t="n">
        <f aca="false">COUNTIF(03_LUA_CHON!A5:A28,"N018")</f>
        <v>3</v>
      </c>
      <c r="D23" s="7" t="n">
        <f aca="false">COUNTIFS(03_LUA_CHON!A5:A28,"N018",03_LUA_CHON!D5:D28,"Có")</f>
        <v>1</v>
      </c>
      <c r="E23" s="7" t="str">
        <f aca="false">IF(AND(C23&gt;=2,C23&lt;=4,D23=1),"HỢP LỆ","CẦN SỬA")</f>
        <v>HỢP LỆ</v>
      </c>
      <c r="F23" s="7"/>
    </row>
    <row r="24" customFormat="false" ht="15" hidden="false" customHeight="false" outlineLevel="0" collapsed="false">
      <c r="A24" s="7" t="s">
        <v>226</v>
      </c>
      <c r="B24" s="7" t="str">
        <f aca="false">INDEX(02_KICH_BAN_NODES!E5:E33,MATCH("N020",02_KICH_BAN_NODES!B5:B33,0))</f>
        <v>Kiến thức</v>
      </c>
      <c r="C24" s="7" t="n">
        <f aca="false">COUNTIF(03_LUA_CHON!A5:A28,"N020")</f>
        <v>3</v>
      </c>
      <c r="D24" s="7" t="n">
        <f aca="false">COUNTIFS(03_LUA_CHON!A5:A28,"N020",03_LUA_CHON!D5:D28,"Có")</f>
        <v>1</v>
      </c>
      <c r="E24" s="7" t="str">
        <f aca="false">IF(AND(C24&gt;=2,C24&lt;=4,D24=1),"HỢP LỆ","CẦN SỬA")</f>
        <v>HỢP LỆ</v>
      </c>
      <c r="F24" s="7"/>
    </row>
    <row r="25" customFormat="false" ht="15" hidden="false" customHeight="false" outlineLevel="0" collapsed="false">
      <c r="A25" s="7" t="s">
        <v>238</v>
      </c>
      <c r="B25" s="7" t="str">
        <f aca="false">INDEX(02_KICH_BAN_NODES!E5:E33,MATCH("N025",02_KICH_BAN_NODES!B5:B33,0))</f>
        <v>Kiến thức</v>
      </c>
      <c r="C25" s="7" t="n">
        <f aca="false">COUNTIF(03_LUA_CHON!A5:A28,"N025")</f>
        <v>3</v>
      </c>
      <c r="D25" s="7" t="n">
        <f aca="false">COUNTIFS(03_LUA_CHON!A5:A28,"N025",03_LUA_CHON!D5:D28,"Có")</f>
        <v>1</v>
      </c>
      <c r="E25" s="7" t="str">
        <f aca="false">IF(AND(C25&gt;=2,C25&lt;=4,D25=1),"HỢP LỆ","CẦN SỬA")</f>
        <v>HỢP LỆ</v>
      </c>
      <c r="F25" s="7"/>
    </row>
    <row r="26" customFormat="false" ht="15" hidden="false" customHeight="false" outlineLevel="0" collapsed="false">
      <c r="A26" s="7" t="s">
        <v>242</v>
      </c>
      <c r="B26" s="7" t="str">
        <f aca="false">INDEX(02_KICH_BAN_NODES!E5:E33,MATCH("N027",02_KICH_BAN_NODES!B5:B33,0))</f>
        <v>Kiến thức</v>
      </c>
      <c r="C26" s="7" t="n">
        <f aca="false">COUNTIF(03_LUA_CHON!A5:A28,"N027")</f>
        <v>3</v>
      </c>
      <c r="D26" s="7" t="n">
        <f aca="false">COUNTIFS(03_LUA_CHON!A5:A28,"N027",03_LUA_CHON!D5:D28,"Có")</f>
        <v>1</v>
      </c>
      <c r="E26" s="7" t="str">
        <f aca="false">IF(AND(C26&gt;=2,C26&lt;=4,D26=1),"HỢP LỆ","CẦN SỬA")</f>
        <v>HỢP LỆ</v>
      </c>
      <c r="F26" s="7"/>
    </row>
    <row r="28" customFormat="false" ht="15" hidden="false" customHeight="false" outlineLevel="0" collapsed="false">
      <c r="A28" s="3" t="s">
        <v>388</v>
      </c>
    </row>
    <row r="29" customFormat="false" ht="15" hidden="false" customHeight="false" outlineLevel="0" collapsed="false">
      <c r="A29" s="4" t="s">
        <v>389</v>
      </c>
      <c r="B29" s="4" t="s">
        <v>390</v>
      </c>
    </row>
    <row r="30" customFormat="false" ht="15" hidden="false" customHeight="false" outlineLevel="0" collapsed="false">
      <c r="A30" s="5" t="s">
        <v>391</v>
      </c>
      <c r="B30" s="6" t="s">
        <v>392</v>
      </c>
    </row>
    <row r="31" customFormat="false" ht="15" hidden="false" customHeight="false" outlineLevel="0" collapsed="false">
      <c r="A31" s="5" t="s">
        <v>393</v>
      </c>
      <c r="B31" s="6" t="s">
        <v>392</v>
      </c>
    </row>
    <row r="32" customFormat="false" ht="15" hidden="false" customHeight="false" outlineLevel="0" collapsed="false">
      <c r="A32" s="5" t="s">
        <v>394</v>
      </c>
      <c r="B32" s="6" t="s">
        <v>392</v>
      </c>
    </row>
    <row r="33" customFormat="false" ht="23.85" hidden="false" customHeight="false" outlineLevel="0" collapsed="false">
      <c r="A33" s="5" t="s">
        <v>395</v>
      </c>
      <c r="B33" s="6" t="s">
        <v>392</v>
      </c>
    </row>
    <row r="34" customFormat="false" ht="15" hidden="false" customHeight="false" outlineLevel="0" collapsed="false">
      <c r="A34" s="5" t="s">
        <v>396</v>
      </c>
      <c r="B34" s="6" t="s">
        <v>392</v>
      </c>
    </row>
    <row r="35" customFormat="false" ht="23.85" hidden="false" customHeight="false" outlineLevel="0" collapsed="false">
      <c r="A35" s="5" t="s">
        <v>397</v>
      </c>
      <c r="B35" s="6" t="s">
        <v>392</v>
      </c>
    </row>
    <row r="36" customFormat="false" ht="23.85" hidden="false" customHeight="false" outlineLevel="0" collapsed="false">
      <c r="A36" s="5" t="s">
        <v>398</v>
      </c>
      <c r="B36" s="6" t="s">
        <v>392</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20"/>
    <col collapsed="false" customWidth="true" hidden="false" outlineLevel="0" max="6" min="6" style="0" width="30"/>
    <col collapsed="false" customWidth="true" hidden="false" outlineLevel="0" max="8" min="7" style="0" width="20"/>
  </cols>
  <sheetData>
    <row r="1" customFormat="false" ht="19.7" hidden="false" customHeight="false" outlineLevel="0" collapsed="false">
      <c r="A1" s="1" t="s">
        <v>399</v>
      </c>
    </row>
    <row r="2" customFormat="false" ht="15" hidden="false" customHeight="false" outlineLevel="0" collapsed="false">
      <c r="A2" s="8" t="s">
        <v>400</v>
      </c>
      <c r="B2" s="8"/>
      <c r="C2" s="8"/>
      <c r="D2" s="8"/>
      <c r="E2" s="8"/>
      <c r="F2" s="8"/>
    </row>
    <row r="4" customFormat="false" ht="15" hidden="false" customHeight="false" outlineLevel="0" collapsed="false">
      <c r="A4" s="3" t="s">
        <v>401</v>
      </c>
    </row>
    <row r="5" customFormat="false" ht="15" hidden="false" customHeight="false" outlineLevel="0" collapsed="false">
      <c r="A5" s="4" t="s">
        <v>402</v>
      </c>
      <c r="B5" s="4" t="s">
        <v>403</v>
      </c>
      <c r="C5" s="4" t="s">
        <v>404</v>
      </c>
      <c r="D5" s="4" t="s">
        <v>49</v>
      </c>
      <c r="E5" s="4" t="s">
        <v>148</v>
      </c>
    </row>
    <row r="6" customFormat="false" ht="23.85" hidden="false" customHeight="false" outlineLevel="0" collapsed="false">
      <c r="A6" s="5" t="s">
        <v>405</v>
      </c>
      <c r="B6" s="5" t="s">
        <v>95</v>
      </c>
      <c r="C6" s="5" t="s">
        <v>406</v>
      </c>
      <c r="D6" s="5" t="s">
        <v>96</v>
      </c>
      <c r="E6" s="5" t="s">
        <v>407</v>
      </c>
    </row>
    <row r="7" customFormat="false" ht="23.85" hidden="false" customHeight="false" outlineLevel="0" collapsed="false">
      <c r="A7" s="5" t="s">
        <v>408</v>
      </c>
      <c r="B7" s="5" t="s">
        <v>100</v>
      </c>
      <c r="C7" s="5" t="s">
        <v>409</v>
      </c>
      <c r="D7" s="5" t="s">
        <v>96</v>
      </c>
      <c r="E7" s="5" t="s">
        <v>410</v>
      </c>
    </row>
    <row r="8" customFormat="false" ht="15" hidden="false" customHeight="false" outlineLevel="0" collapsed="false">
      <c r="A8" s="5" t="s">
        <v>411</v>
      </c>
      <c r="B8" s="5" t="s">
        <v>104</v>
      </c>
      <c r="C8" s="5" t="s">
        <v>412</v>
      </c>
      <c r="D8" s="5" t="s">
        <v>96</v>
      </c>
      <c r="E8" s="5" t="s">
        <v>413</v>
      </c>
    </row>
    <row r="9" customFormat="false" ht="15" hidden="false" customHeight="false" outlineLevel="0" collapsed="false">
      <c r="A9" s="5" t="s">
        <v>414</v>
      </c>
      <c r="B9" s="5" t="s">
        <v>415</v>
      </c>
      <c r="C9" s="5" t="s">
        <v>416</v>
      </c>
      <c r="D9" s="5" t="s">
        <v>96</v>
      </c>
      <c r="E9" s="5" t="s">
        <v>417</v>
      </c>
    </row>
    <row r="10" customFormat="false" ht="15" hidden="false" customHeight="false" outlineLevel="0" collapsed="false">
      <c r="A10" s="5" t="s">
        <v>418</v>
      </c>
      <c r="B10" s="5" t="s">
        <v>419</v>
      </c>
      <c r="C10" s="5" t="s">
        <v>420</v>
      </c>
      <c r="D10" s="5" t="s">
        <v>96</v>
      </c>
      <c r="E10" s="5" t="s">
        <v>421</v>
      </c>
    </row>
    <row r="12" customFormat="false" ht="15" hidden="false" customHeight="false" outlineLevel="0" collapsed="false">
      <c r="A12" s="3" t="s">
        <v>422</v>
      </c>
    </row>
    <row r="13" customFormat="false" ht="15" hidden="false" customHeight="false" outlineLevel="0" collapsed="false">
      <c r="A13" s="4" t="s">
        <v>345</v>
      </c>
      <c r="B13" s="4" t="s">
        <v>423</v>
      </c>
      <c r="C13" s="4" t="s">
        <v>347</v>
      </c>
      <c r="D13" s="4" t="s">
        <v>424</v>
      </c>
      <c r="E13" s="4" t="s">
        <v>425</v>
      </c>
      <c r="F13" s="4" t="s">
        <v>70</v>
      </c>
      <c r="G13" s="4" t="s">
        <v>369</v>
      </c>
      <c r="H13" s="4" t="s">
        <v>148</v>
      </c>
    </row>
    <row r="14" customFormat="false" ht="15" hidden="false" customHeight="false" outlineLevel="0" collapsed="false">
      <c r="A14" s="5" t="s">
        <v>169</v>
      </c>
      <c r="B14" s="5" t="s">
        <v>426</v>
      </c>
      <c r="C14" s="5" t="s">
        <v>427</v>
      </c>
      <c r="D14" s="5" t="s">
        <v>137</v>
      </c>
      <c r="E14" s="5" t="s">
        <v>137</v>
      </c>
      <c r="F14" s="5" t="s">
        <v>428</v>
      </c>
      <c r="G14" s="5" t="s">
        <v>429</v>
      </c>
      <c r="H14" s="5" t="s">
        <v>430</v>
      </c>
    </row>
    <row r="15" customFormat="false" ht="23.85" hidden="false" customHeight="false" outlineLevel="0" collapsed="false">
      <c r="A15" s="5" t="s">
        <v>174</v>
      </c>
      <c r="B15" s="5" t="s">
        <v>431</v>
      </c>
      <c r="C15" s="5" t="s">
        <v>432</v>
      </c>
      <c r="D15" s="5" t="s">
        <v>433</v>
      </c>
      <c r="E15" s="5" t="s">
        <v>137</v>
      </c>
      <c r="F15" s="5" t="s">
        <v>428</v>
      </c>
      <c r="G15" s="5" t="s">
        <v>434</v>
      </c>
      <c r="H15" s="5" t="s">
        <v>435</v>
      </c>
    </row>
    <row r="16" customFormat="false" ht="23.85" hidden="false" customHeight="false" outlineLevel="0" collapsed="false">
      <c r="A16" s="5" t="s">
        <v>182</v>
      </c>
      <c r="B16" s="5" t="s">
        <v>436</v>
      </c>
      <c r="C16" s="5" t="s">
        <v>437</v>
      </c>
      <c r="D16" s="5" t="s">
        <v>137</v>
      </c>
      <c r="E16" s="5" t="s">
        <v>438</v>
      </c>
      <c r="F16" s="5" t="s">
        <v>439</v>
      </c>
      <c r="G16" s="5" t="s">
        <v>440</v>
      </c>
      <c r="H16" s="5" t="s">
        <v>441</v>
      </c>
    </row>
    <row r="17" customFormat="false" ht="15" hidden="false" customHeight="false" outlineLevel="0" collapsed="false">
      <c r="A17" s="5" t="s">
        <v>191</v>
      </c>
      <c r="B17" s="5" t="s">
        <v>165</v>
      </c>
      <c r="C17" s="5" t="s">
        <v>442</v>
      </c>
      <c r="D17" s="5" t="s">
        <v>137</v>
      </c>
      <c r="E17" s="5" t="s">
        <v>137</v>
      </c>
      <c r="F17" s="5" t="s">
        <v>428</v>
      </c>
      <c r="G17" s="5" t="s">
        <v>443</v>
      </c>
      <c r="H17" s="5" t="s">
        <v>444</v>
      </c>
    </row>
    <row r="18" customFormat="false" ht="15" hidden="false" customHeight="false" outlineLevel="0" collapsed="false">
      <c r="A18" s="5" t="s">
        <v>248</v>
      </c>
      <c r="B18" s="5" t="s">
        <v>445</v>
      </c>
      <c r="C18" s="5" t="s">
        <v>446</v>
      </c>
      <c r="D18" s="5" t="s">
        <v>447</v>
      </c>
      <c r="E18" s="5" t="s">
        <v>137</v>
      </c>
      <c r="F18" s="5" t="s">
        <v>428</v>
      </c>
      <c r="G18" s="5" t="s">
        <v>448</v>
      </c>
      <c r="H18" s="5" t="s">
        <v>449</v>
      </c>
    </row>
    <row r="20" customFormat="false" ht="15" hidden="false" customHeight="false" outlineLevel="0" collapsed="false">
      <c r="A20" s="3" t="s">
        <v>450</v>
      </c>
    </row>
    <row r="21" customFormat="false" ht="15" hidden="false" customHeight="false" outlineLevel="0" collapsed="false">
      <c r="A21" s="4" t="s">
        <v>451</v>
      </c>
      <c r="B21" s="4" t="s">
        <v>452</v>
      </c>
      <c r="C21" s="4" t="s">
        <v>44</v>
      </c>
      <c r="D21" s="4" t="s">
        <v>93</v>
      </c>
      <c r="E21" s="4" t="s">
        <v>49</v>
      </c>
      <c r="F21" s="4" t="s">
        <v>453</v>
      </c>
    </row>
    <row r="22" customFormat="false" ht="23.85" hidden="false" customHeight="false" outlineLevel="0" collapsed="false">
      <c r="A22" s="5" t="s">
        <v>454</v>
      </c>
      <c r="B22" s="5" t="s">
        <v>455</v>
      </c>
      <c r="C22" s="5" t="s">
        <v>456</v>
      </c>
      <c r="D22" s="5" t="s">
        <v>457</v>
      </c>
      <c r="E22" s="5" t="s">
        <v>96</v>
      </c>
      <c r="F22" s="5" t="s">
        <v>458</v>
      </c>
    </row>
    <row r="23" customFormat="false" ht="23.85" hidden="false" customHeight="false" outlineLevel="0" collapsed="false">
      <c r="A23" s="5" t="s">
        <v>459</v>
      </c>
      <c r="B23" s="5" t="s">
        <v>460</v>
      </c>
      <c r="C23" s="5" t="s">
        <v>461</v>
      </c>
      <c r="D23" s="5" t="s">
        <v>462</v>
      </c>
      <c r="E23" s="5" t="s">
        <v>96</v>
      </c>
      <c r="F23" s="5" t="s">
        <v>463</v>
      </c>
    </row>
    <row r="24" customFormat="false" ht="15" hidden="false" customHeight="false" outlineLevel="0" collapsed="false">
      <c r="A24" s="5" t="s">
        <v>256</v>
      </c>
      <c r="B24" s="5" t="s">
        <v>256</v>
      </c>
      <c r="C24" s="5" t="s">
        <v>464</v>
      </c>
      <c r="D24" s="5" t="s">
        <v>465</v>
      </c>
      <c r="E24" s="5" t="s">
        <v>137</v>
      </c>
      <c r="F24" s="5" t="s">
        <v>466</v>
      </c>
    </row>
    <row r="25" customFormat="false" ht="15" hidden="false" customHeight="false" outlineLevel="0" collapsed="false">
      <c r="A25" s="5" t="s">
        <v>467</v>
      </c>
      <c r="B25" s="5" t="s">
        <v>468</v>
      </c>
      <c r="C25" s="5" t="s">
        <v>469</v>
      </c>
      <c r="D25" s="5" t="s">
        <v>178</v>
      </c>
      <c r="E25" s="5" t="s">
        <v>96</v>
      </c>
      <c r="F25" s="5" t="s">
        <v>470</v>
      </c>
    </row>
    <row r="26" customFormat="false" ht="15" hidden="false" customHeight="false" outlineLevel="0" collapsed="false">
      <c r="A26" s="5" t="s">
        <v>258</v>
      </c>
      <c r="B26" s="5" t="s">
        <v>471</v>
      </c>
      <c r="C26" s="5" t="s">
        <v>472</v>
      </c>
      <c r="D26" s="5" t="s">
        <v>261</v>
      </c>
      <c r="E26" s="5" t="s">
        <v>137</v>
      </c>
      <c r="F26" s="5" t="s">
        <v>473</v>
      </c>
    </row>
    <row r="27" customFormat="false" ht="15" hidden="false" customHeight="false" outlineLevel="0" collapsed="false">
      <c r="A27" s="5" t="s">
        <v>474</v>
      </c>
      <c r="B27" s="5" t="s">
        <v>475</v>
      </c>
      <c r="C27" s="5" t="s">
        <v>476</v>
      </c>
      <c r="D27" s="5" t="s">
        <v>477</v>
      </c>
      <c r="E27" s="5" t="s">
        <v>96</v>
      </c>
      <c r="F27" s="5" t="s">
        <v>478</v>
      </c>
    </row>
    <row r="29" customFormat="false" ht="15" hidden="false" customHeight="false" outlineLevel="0" collapsed="false">
      <c r="A29" s="3" t="s">
        <v>479</v>
      </c>
    </row>
    <row r="30" customFormat="false" ht="15" hidden="false" customHeight="false" outlineLevel="0" collapsed="false">
      <c r="A30" s="4" t="s">
        <v>3</v>
      </c>
      <c r="B30" s="4" t="s">
        <v>480</v>
      </c>
      <c r="C30" s="4" t="s">
        <v>481</v>
      </c>
    </row>
    <row r="31" customFormat="false" ht="23.85" hidden="false" customHeight="false" outlineLevel="0" collapsed="false">
      <c r="A31" s="5" t="n">
        <v>1</v>
      </c>
      <c r="B31" s="5" t="s">
        <v>482</v>
      </c>
      <c r="C31" s="5" t="s">
        <v>483</v>
      </c>
    </row>
    <row r="32" customFormat="false" ht="23.85" hidden="false" customHeight="false" outlineLevel="0" collapsed="false">
      <c r="A32" s="5" t="n">
        <v>2</v>
      </c>
      <c r="B32" s="5" t="s">
        <v>484</v>
      </c>
      <c r="C32" s="5" t="s">
        <v>485</v>
      </c>
    </row>
    <row r="33" customFormat="false" ht="23.85" hidden="false" customHeight="false" outlineLevel="0" collapsed="false">
      <c r="A33" s="5" t="n">
        <v>3</v>
      </c>
      <c r="B33" s="5" t="s">
        <v>486</v>
      </c>
      <c r="C33" s="5" t="s">
        <v>487</v>
      </c>
    </row>
    <row r="34" customFormat="false" ht="23.85" hidden="false" customHeight="false" outlineLevel="0" collapsed="false">
      <c r="A34" s="5" t="n">
        <v>4</v>
      </c>
      <c r="B34" s="5" t="s">
        <v>488</v>
      </c>
      <c r="C34" s="5" t="s">
        <v>489</v>
      </c>
    </row>
    <row r="35" customFormat="false" ht="23.85" hidden="false" customHeight="false" outlineLevel="0" collapsed="false">
      <c r="A35" s="5" t="n">
        <v>5</v>
      </c>
      <c r="B35" s="5" t="s">
        <v>490</v>
      </c>
      <c r="C35" s="5" t="s">
        <v>491</v>
      </c>
    </row>
    <row r="36" customFormat="false" ht="23.85" hidden="false" customHeight="false" outlineLevel="0" collapsed="false">
      <c r="A36" s="5" t="n">
        <v>6</v>
      </c>
      <c r="B36" s="5" t="s">
        <v>492</v>
      </c>
      <c r="C36" s="5" t="s">
        <v>493</v>
      </c>
    </row>
    <row r="37" customFormat="false" ht="23.85" hidden="false" customHeight="false" outlineLevel="0" collapsed="false">
      <c r="A37" s="5" t="n">
        <v>7</v>
      </c>
      <c r="B37" s="5" t="s">
        <v>494</v>
      </c>
      <c r="C37" s="5" t="s">
        <v>495</v>
      </c>
    </row>
    <row r="39" customFormat="false" ht="15" hidden="false" customHeight="false" outlineLevel="0" collapsed="false">
      <c r="A39" s="3" t="s">
        <v>496</v>
      </c>
    </row>
    <row r="40" customFormat="false" ht="23.85" hidden="false" customHeight="false" outlineLevel="0" collapsed="false">
      <c r="A40" s="4" t="s">
        <v>497</v>
      </c>
      <c r="B40" s="4" t="s">
        <v>498</v>
      </c>
    </row>
    <row r="41" customFormat="false" ht="23.85" hidden="false" customHeight="false" outlineLevel="0" collapsed="false">
      <c r="A41" s="5" t="s">
        <v>169</v>
      </c>
      <c r="B41" s="5" t="s">
        <v>499</v>
      </c>
    </row>
    <row r="42" customFormat="false" ht="35.05" hidden="false" customHeight="false" outlineLevel="0" collapsed="false">
      <c r="A42" s="5" t="s">
        <v>174</v>
      </c>
      <c r="B42" s="5" t="s">
        <v>500</v>
      </c>
    </row>
    <row r="43" customFormat="false" ht="35.05" hidden="false" customHeight="false" outlineLevel="0" collapsed="false">
      <c r="A43" s="5" t="s">
        <v>182</v>
      </c>
      <c r="B43" s="5" t="s">
        <v>501</v>
      </c>
    </row>
    <row r="44" customFormat="false" ht="15" hidden="false" customHeight="false" outlineLevel="0" collapsed="false">
      <c r="A44" s="5" t="s">
        <v>191</v>
      </c>
      <c r="B44" s="5" t="s">
        <v>502</v>
      </c>
    </row>
    <row r="45" customFormat="false" ht="15" hidden="false" customHeight="false" outlineLevel="0" collapsed="false">
      <c r="A45" s="5" t="s">
        <v>248</v>
      </c>
      <c r="B45" s="5" t="s">
        <v>356</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2026-07-12T13:10:25Z</dcterms:created>
  <dc:creator>openpyxl</dc:creator>
  <dc:description/>
  <dc:language>en-US</dc:language>
  <cp:lastModifiedBy/>
  <dcterms:modified xsi:type="dcterms:W3CDTF">2026-07-12T13:10:25Z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