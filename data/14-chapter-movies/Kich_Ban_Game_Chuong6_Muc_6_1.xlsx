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ang\Downloads\"/>
    </mc:Choice>
  </mc:AlternateContent>
  <xr:revisionPtr revIDLastSave="0" documentId="13_ncr:1_{C84B3E7E-21DE-4963-96AD-1AD3CA1B4CDD}" xr6:coauthVersionLast="47" xr6:coauthVersionMax="47" xr10:uidLastSave="{00000000-0000-0000-0000-000000000000}"/>
  <bookViews>
    <workbookView xWindow="22932" yWindow="-108" windowWidth="23256" windowHeight="12456" activeTab="1" xr2:uid="{00000000-000D-0000-FFFF-FFFF00000000}"/>
  </bookViews>
  <sheets>
    <sheet name="00_HUONG_DAN" sheetId="1" r:id="rId1"/>
    <sheet name="01_THONG_TIN_PHIM" sheetId="2" r:id="rId2"/>
    <sheet name="02_KICH_BAN_NODES" sheetId="3" r:id="rId3"/>
    <sheet name="03_LUA_CHON" sheetId="4" r:id="rId4"/>
    <sheet name="04_DANH_MUC" sheetId="5" r:id="rId5"/>
    <sheet name="05_KIEM_TRA_QA" sheetId="6" r:id="rId6"/>
    <sheet name="06_DEV_MAPP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8" i="6" l="1"/>
  <c r="F218" i="6" s="1"/>
  <c r="A217" i="6"/>
  <c r="F217" i="6" s="1"/>
  <c r="F216" i="6"/>
  <c r="E216" i="6"/>
  <c r="D216" i="6"/>
  <c r="C216" i="6"/>
  <c r="A216" i="6"/>
  <c r="B216" i="6" s="1"/>
  <c r="A215" i="6"/>
  <c r="F215" i="6" s="1"/>
  <c r="A214" i="6"/>
  <c r="F214" i="6" s="1"/>
  <c r="F213" i="6"/>
  <c r="E213" i="6"/>
  <c r="A213" i="6"/>
  <c r="D213" i="6" s="1"/>
  <c r="C212" i="6"/>
  <c r="A212" i="6"/>
  <c r="F212" i="6" s="1"/>
  <c r="C211" i="6"/>
  <c r="B211" i="6"/>
  <c r="A211" i="6"/>
  <c r="F211" i="6" s="1"/>
  <c r="A210" i="6"/>
  <c r="F210" i="6" s="1"/>
  <c r="A209" i="6"/>
  <c r="F209" i="6" s="1"/>
  <c r="F208" i="6"/>
  <c r="E208" i="6"/>
  <c r="D208" i="6"/>
  <c r="C208" i="6"/>
  <c r="A208" i="6"/>
  <c r="B208" i="6" s="1"/>
  <c r="A207" i="6"/>
  <c r="F207" i="6" s="1"/>
  <c r="A206" i="6"/>
  <c r="F206" i="6" s="1"/>
  <c r="F205" i="6"/>
  <c r="E205" i="6"/>
  <c r="A205" i="6"/>
  <c r="D205" i="6" s="1"/>
  <c r="C204" i="6"/>
  <c r="A204" i="6"/>
  <c r="F204" i="6" s="1"/>
  <c r="C203" i="6"/>
  <c r="B203" i="6"/>
  <c r="A203" i="6"/>
  <c r="F203" i="6" s="1"/>
  <c r="A202" i="6"/>
  <c r="F202" i="6" s="1"/>
  <c r="A201" i="6"/>
  <c r="F201" i="6" s="1"/>
  <c r="F200" i="6"/>
  <c r="E200" i="6"/>
  <c r="D200" i="6"/>
  <c r="C200" i="6"/>
  <c r="A200" i="6"/>
  <c r="B200" i="6" s="1"/>
  <c r="A199" i="6"/>
  <c r="F199" i="6" s="1"/>
  <c r="A198" i="6"/>
  <c r="F198" i="6" s="1"/>
  <c r="F197" i="6"/>
  <c r="E197" i="6"/>
  <c r="A197" i="6"/>
  <c r="D197" i="6" s="1"/>
  <c r="C196" i="6"/>
  <c r="A196" i="6"/>
  <c r="F196" i="6" s="1"/>
  <c r="C195" i="6"/>
  <c r="B195" i="6"/>
  <c r="A195" i="6"/>
  <c r="F195" i="6" s="1"/>
  <c r="A194" i="6"/>
  <c r="F194" i="6" s="1"/>
  <c r="A193" i="6"/>
  <c r="F193" i="6" s="1"/>
  <c r="F192" i="6"/>
  <c r="E192" i="6"/>
  <c r="D192" i="6"/>
  <c r="C192" i="6"/>
  <c r="A192" i="6"/>
  <c r="B192" i="6" s="1"/>
  <c r="A191" i="6"/>
  <c r="F191" i="6" s="1"/>
  <c r="A190" i="6"/>
  <c r="F190" i="6" s="1"/>
  <c r="F189" i="6"/>
  <c r="E189" i="6"/>
  <c r="C189" i="6"/>
  <c r="A189" i="6"/>
  <c r="D189" i="6" s="1"/>
  <c r="C188" i="6"/>
  <c r="A188" i="6"/>
  <c r="F188" i="6" s="1"/>
  <c r="C187" i="6"/>
  <c r="B187" i="6"/>
  <c r="A187" i="6"/>
  <c r="F187" i="6" s="1"/>
  <c r="A186" i="6"/>
  <c r="F186" i="6" s="1"/>
  <c r="A185" i="6"/>
  <c r="F185" i="6" s="1"/>
  <c r="F184" i="6"/>
  <c r="E184" i="6"/>
  <c r="D184" i="6"/>
  <c r="C184" i="6"/>
  <c r="A184" i="6"/>
  <c r="B184" i="6" s="1"/>
  <c r="A183" i="6"/>
  <c r="F183" i="6" s="1"/>
  <c r="A182" i="6"/>
  <c r="F182" i="6" s="1"/>
  <c r="F181" i="6"/>
  <c r="E181" i="6"/>
  <c r="C181" i="6"/>
  <c r="A181" i="6"/>
  <c r="D181" i="6" s="1"/>
  <c r="C180" i="6"/>
  <c r="A180" i="6"/>
  <c r="F180" i="6" s="1"/>
  <c r="C179" i="6"/>
  <c r="B179" i="6"/>
  <c r="A179" i="6"/>
  <c r="F179" i="6" s="1"/>
  <c r="A178" i="6"/>
  <c r="F178" i="6" s="1"/>
  <c r="A177" i="6"/>
  <c r="F177" i="6" s="1"/>
  <c r="F176" i="6"/>
  <c r="E176" i="6"/>
  <c r="D176" i="6"/>
  <c r="C176" i="6"/>
  <c r="A176" i="6"/>
  <c r="B176" i="6" s="1"/>
  <c r="A175" i="6"/>
  <c r="F175" i="6" s="1"/>
  <c r="A174" i="6"/>
  <c r="F174" i="6" s="1"/>
  <c r="F173" i="6"/>
  <c r="E173" i="6"/>
  <c r="C173" i="6"/>
  <c r="A173" i="6"/>
  <c r="D173" i="6" s="1"/>
  <c r="C172" i="6"/>
  <c r="A172" i="6"/>
  <c r="F172" i="6" s="1"/>
  <c r="C171" i="6"/>
  <c r="B171" i="6"/>
  <c r="A171" i="6"/>
  <c r="F171" i="6" s="1"/>
  <c r="A170" i="6"/>
  <c r="F170" i="6" s="1"/>
  <c r="A169" i="6"/>
  <c r="F169" i="6" s="1"/>
  <c r="F168" i="6"/>
  <c r="E168" i="6"/>
  <c r="D168" i="6"/>
  <c r="C168" i="6"/>
  <c r="A168" i="6"/>
  <c r="B168" i="6" s="1"/>
  <c r="A167" i="6"/>
  <c r="F167" i="6" s="1"/>
  <c r="A166" i="6"/>
  <c r="F166" i="6" s="1"/>
  <c r="F165" i="6"/>
  <c r="E165" i="6"/>
  <c r="C165" i="6"/>
  <c r="A165" i="6"/>
  <c r="D165" i="6" s="1"/>
  <c r="C164" i="6"/>
  <c r="A164" i="6"/>
  <c r="F164" i="6" s="1"/>
  <c r="C163" i="6"/>
  <c r="B163" i="6"/>
  <c r="A163" i="6"/>
  <c r="F163" i="6" s="1"/>
  <c r="A162" i="6"/>
  <c r="F162" i="6" s="1"/>
  <c r="A161" i="6"/>
  <c r="F161" i="6" s="1"/>
  <c r="F160" i="6"/>
  <c r="E160" i="6"/>
  <c r="D160" i="6"/>
  <c r="C160" i="6"/>
  <c r="A160" i="6"/>
  <c r="B160" i="6" s="1"/>
  <c r="A159" i="6"/>
  <c r="F159" i="6" s="1"/>
  <c r="A158" i="6"/>
  <c r="F158" i="6" s="1"/>
  <c r="F157" i="6"/>
  <c r="E157" i="6"/>
  <c r="C157" i="6"/>
  <c r="A157" i="6"/>
  <c r="D157" i="6" s="1"/>
  <c r="C156" i="6"/>
  <c r="A156" i="6"/>
  <c r="F156" i="6" s="1"/>
  <c r="C155" i="6"/>
  <c r="B155" i="6"/>
  <c r="A155" i="6"/>
  <c r="F155" i="6" s="1"/>
  <c r="A154" i="6"/>
  <c r="F154" i="6" s="1"/>
  <c r="A153" i="6"/>
  <c r="F153" i="6" s="1"/>
  <c r="F152" i="6"/>
  <c r="E152" i="6"/>
  <c r="D152" i="6"/>
  <c r="C152" i="6"/>
  <c r="A152" i="6"/>
  <c r="B152" i="6" s="1"/>
  <c r="A151" i="6"/>
  <c r="F151" i="6" s="1"/>
  <c r="A150" i="6"/>
  <c r="F150" i="6" s="1"/>
  <c r="F149" i="6"/>
  <c r="E149" i="6"/>
  <c r="C149" i="6"/>
  <c r="A149" i="6"/>
  <c r="D149" i="6" s="1"/>
  <c r="C148" i="6"/>
  <c r="A148" i="6"/>
  <c r="F148" i="6" s="1"/>
  <c r="C147" i="6"/>
  <c r="B147" i="6"/>
  <c r="A147" i="6"/>
  <c r="F147" i="6" s="1"/>
  <c r="A146" i="6"/>
  <c r="F146" i="6" s="1"/>
  <c r="A145" i="6"/>
  <c r="F145" i="6" s="1"/>
  <c r="F144" i="6"/>
  <c r="E144" i="6"/>
  <c r="D144" i="6"/>
  <c r="C144" i="6"/>
  <c r="A144" i="6"/>
  <c r="B144" i="6" s="1"/>
  <c r="A143" i="6"/>
  <c r="F143" i="6" s="1"/>
  <c r="A142" i="6"/>
  <c r="F142" i="6" s="1"/>
  <c r="F141" i="6"/>
  <c r="E141" i="6"/>
  <c r="C141" i="6"/>
  <c r="A141" i="6"/>
  <c r="D141" i="6" s="1"/>
  <c r="C140" i="6"/>
  <c r="A140" i="6"/>
  <c r="F140" i="6" s="1"/>
  <c r="C139" i="6"/>
  <c r="B139" i="6"/>
  <c r="A139" i="6"/>
  <c r="F139" i="6" s="1"/>
  <c r="E138" i="6"/>
  <c r="A138" i="6"/>
  <c r="F138" i="6" s="1"/>
  <c r="A137" i="6"/>
  <c r="F137" i="6" s="1"/>
  <c r="F136" i="6"/>
  <c r="E136" i="6"/>
  <c r="D136" i="6"/>
  <c r="C136" i="6"/>
  <c r="A136" i="6"/>
  <c r="B136" i="6" s="1"/>
  <c r="A135" i="6"/>
  <c r="F135" i="6" s="1"/>
  <c r="A134" i="6"/>
  <c r="F134" i="6" s="1"/>
  <c r="F133" i="6"/>
  <c r="E133" i="6"/>
  <c r="C133" i="6"/>
  <c r="A133" i="6"/>
  <c r="D133" i="6" s="1"/>
  <c r="C132" i="6"/>
  <c r="A132" i="6"/>
  <c r="F132" i="6" s="1"/>
  <c r="C131" i="6"/>
  <c r="B131" i="6"/>
  <c r="A131" i="6"/>
  <c r="F131" i="6" s="1"/>
  <c r="E130" i="6"/>
  <c r="A130" i="6"/>
  <c r="F130" i="6" s="1"/>
  <c r="A129" i="6"/>
  <c r="F129" i="6" s="1"/>
  <c r="F128" i="6"/>
  <c r="E128" i="6"/>
  <c r="D128" i="6"/>
  <c r="C128" i="6"/>
  <c r="A128" i="6"/>
  <c r="B128" i="6" s="1"/>
  <c r="A127" i="6"/>
  <c r="F127" i="6" s="1"/>
  <c r="A126" i="6"/>
  <c r="F126" i="6" s="1"/>
  <c r="F125" i="6"/>
  <c r="E125" i="6"/>
  <c r="C125" i="6"/>
  <c r="A125" i="6"/>
  <c r="D125" i="6" s="1"/>
  <c r="C124" i="6"/>
  <c r="A124" i="6"/>
  <c r="F124" i="6" s="1"/>
  <c r="C123" i="6"/>
  <c r="B123" i="6"/>
  <c r="A123" i="6"/>
  <c r="F123" i="6" s="1"/>
  <c r="E122" i="6"/>
  <c r="A122" i="6"/>
  <c r="F122" i="6" s="1"/>
  <c r="A121" i="6"/>
  <c r="F121" i="6" s="1"/>
  <c r="F120" i="6"/>
  <c r="E120" i="6"/>
  <c r="D120" i="6"/>
  <c r="C120" i="6"/>
  <c r="A120" i="6"/>
  <c r="B120" i="6" s="1"/>
  <c r="A119" i="6"/>
  <c r="F119" i="6" s="1"/>
  <c r="A118" i="6"/>
  <c r="F118" i="6" s="1"/>
  <c r="F117" i="6"/>
  <c r="E117" i="6"/>
  <c r="C117" i="6"/>
  <c r="A117" i="6"/>
  <c r="D117" i="6" s="1"/>
  <c r="C116" i="6"/>
  <c r="A116" i="6"/>
  <c r="F116" i="6" s="1"/>
  <c r="C115" i="6"/>
  <c r="B115" i="6"/>
  <c r="A115" i="6"/>
  <c r="F115" i="6" s="1"/>
  <c r="E114" i="6"/>
  <c r="A114" i="6"/>
  <c r="F114" i="6" s="1"/>
  <c r="A113" i="6"/>
  <c r="F113" i="6" s="1"/>
  <c r="F112" i="6"/>
  <c r="E112" i="6"/>
  <c r="D112" i="6"/>
  <c r="C112" i="6"/>
  <c r="A112" i="6"/>
  <c r="B112" i="6" s="1"/>
  <c r="A111" i="6"/>
  <c r="F111" i="6" s="1"/>
  <c r="A110" i="6"/>
  <c r="F110" i="6" s="1"/>
  <c r="F109" i="6"/>
  <c r="E109" i="6"/>
  <c r="C109" i="6"/>
  <c r="A109" i="6"/>
  <c r="D109" i="6" s="1"/>
  <c r="C108" i="6"/>
  <c r="A108" i="6"/>
  <c r="F108" i="6" s="1"/>
  <c r="C107" i="6"/>
  <c r="B107" i="6"/>
  <c r="A107" i="6"/>
  <c r="F107" i="6" s="1"/>
  <c r="E106" i="6"/>
  <c r="A106" i="6"/>
  <c r="F106" i="6" s="1"/>
  <c r="A105" i="6"/>
  <c r="F105" i="6" s="1"/>
  <c r="F104" i="6"/>
  <c r="E104" i="6"/>
  <c r="D104" i="6"/>
  <c r="C104" i="6"/>
  <c r="A104" i="6"/>
  <c r="B104" i="6" s="1"/>
  <c r="A103" i="6"/>
  <c r="F103" i="6" s="1"/>
  <c r="A102" i="6"/>
  <c r="F102" i="6" s="1"/>
  <c r="F101" i="6"/>
  <c r="E101" i="6"/>
  <c r="C101" i="6"/>
  <c r="A101" i="6"/>
  <c r="D101" i="6" s="1"/>
  <c r="C100" i="6"/>
  <c r="A100" i="6"/>
  <c r="F100" i="6" s="1"/>
  <c r="C99" i="6"/>
  <c r="B99" i="6"/>
  <c r="A99" i="6"/>
  <c r="F99" i="6" s="1"/>
  <c r="E98" i="6"/>
  <c r="A98" i="6"/>
  <c r="F98" i="6" s="1"/>
  <c r="A97" i="6"/>
  <c r="F97" i="6" s="1"/>
  <c r="F96" i="6"/>
  <c r="E96" i="6"/>
  <c r="D96" i="6"/>
  <c r="C96" i="6"/>
  <c r="A96" i="6"/>
  <c r="B96" i="6" s="1"/>
  <c r="A95" i="6"/>
  <c r="F95" i="6" s="1"/>
  <c r="A94" i="6"/>
  <c r="F94" i="6" s="1"/>
  <c r="F93" i="6"/>
  <c r="E93" i="6"/>
  <c r="C93" i="6"/>
  <c r="A93" i="6"/>
  <c r="D93" i="6" s="1"/>
  <c r="C92" i="6"/>
  <c r="A92" i="6"/>
  <c r="F92" i="6" s="1"/>
  <c r="C91" i="6"/>
  <c r="B91" i="6"/>
  <c r="A91" i="6"/>
  <c r="F91" i="6" s="1"/>
  <c r="E90" i="6"/>
  <c r="A90" i="6"/>
  <c r="F90" i="6" s="1"/>
  <c r="A89" i="6"/>
  <c r="F89" i="6" s="1"/>
  <c r="F88" i="6"/>
  <c r="E88" i="6"/>
  <c r="D88" i="6"/>
  <c r="C88" i="6"/>
  <c r="A88" i="6"/>
  <c r="B88" i="6" s="1"/>
  <c r="A87" i="6"/>
  <c r="F87" i="6" s="1"/>
  <c r="A86" i="6"/>
  <c r="F86" i="6" s="1"/>
  <c r="F85" i="6"/>
  <c r="E85" i="6"/>
  <c r="C85" i="6"/>
  <c r="A85" i="6"/>
  <c r="D85" i="6" s="1"/>
  <c r="C84" i="6"/>
  <c r="A84" i="6"/>
  <c r="F84" i="6" s="1"/>
  <c r="C83" i="6"/>
  <c r="B83" i="6"/>
  <c r="A83" i="6"/>
  <c r="F83" i="6" s="1"/>
  <c r="E82" i="6"/>
  <c r="A82" i="6"/>
  <c r="F82" i="6" s="1"/>
  <c r="A81" i="6"/>
  <c r="F81" i="6" s="1"/>
  <c r="F80" i="6"/>
  <c r="E80" i="6"/>
  <c r="D80" i="6"/>
  <c r="C80" i="6"/>
  <c r="A80" i="6"/>
  <c r="B80" i="6" s="1"/>
  <c r="A79" i="6"/>
  <c r="F79" i="6" s="1"/>
  <c r="A78" i="6"/>
  <c r="F78" i="6" s="1"/>
  <c r="F77" i="6"/>
  <c r="E77" i="6"/>
  <c r="C77" i="6"/>
  <c r="A77" i="6"/>
  <c r="D77" i="6" s="1"/>
  <c r="C76" i="6"/>
  <c r="A76" i="6"/>
  <c r="F76" i="6" s="1"/>
  <c r="C75" i="6"/>
  <c r="B75" i="6"/>
  <c r="A75" i="6"/>
  <c r="F75" i="6" s="1"/>
  <c r="E74" i="6"/>
  <c r="A74" i="6"/>
  <c r="F74" i="6" s="1"/>
  <c r="E73" i="6"/>
  <c r="A73" i="6"/>
  <c r="F73" i="6" s="1"/>
  <c r="F72" i="6"/>
  <c r="E72" i="6"/>
  <c r="D72" i="6"/>
  <c r="C72" i="6"/>
  <c r="A72" i="6"/>
  <c r="B72" i="6" s="1"/>
  <c r="A71" i="6"/>
  <c r="F71" i="6" s="1"/>
  <c r="A70" i="6"/>
  <c r="F70" i="6" s="1"/>
  <c r="F69" i="6"/>
  <c r="E69" i="6"/>
  <c r="C69" i="6"/>
  <c r="A69" i="6"/>
  <c r="D69" i="6" s="1"/>
  <c r="C68" i="6"/>
  <c r="A68" i="6"/>
  <c r="F68" i="6" s="1"/>
  <c r="C67" i="6"/>
  <c r="B67" i="6"/>
  <c r="A67" i="6"/>
  <c r="F67" i="6" s="1"/>
  <c r="E66" i="6"/>
  <c r="A66" i="6"/>
  <c r="F66" i="6" s="1"/>
  <c r="E65" i="6"/>
  <c r="A65" i="6"/>
  <c r="F65" i="6" s="1"/>
  <c r="F64" i="6"/>
  <c r="E64" i="6"/>
  <c r="D64" i="6"/>
  <c r="C64" i="6"/>
  <c r="A64" i="6"/>
  <c r="B64" i="6" s="1"/>
  <c r="A63" i="6"/>
  <c r="F63" i="6" s="1"/>
  <c r="A62" i="6"/>
  <c r="F62" i="6" s="1"/>
  <c r="F61" i="6"/>
  <c r="E61" i="6"/>
  <c r="C61" i="6"/>
  <c r="A61" i="6"/>
  <c r="D61" i="6" s="1"/>
  <c r="C60" i="6"/>
  <c r="A60" i="6"/>
  <c r="F60" i="6" s="1"/>
  <c r="C59" i="6"/>
  <c r="B59" i="6"/>
  <c r="A59" i="6"/>
  <c r="F59" i="6" s="1"/>
  <c r="E58" i="6"/>
  <c r="A58" i="6"/>
  <c r="F58" i="6" s="1"/>
  <c r="E57" i="6"/>
  <c r="A57" i="6"/>
  <c r="F57" i="6" s="1"/>
  <c r="F56" i="6"/>
  <c r="E56" i="6"/>
  <c r="D56" i="6"/>
  <c r="C56" i="6"/>
  <c r="A56" i="6"/>
  <c r="B56" i="6" s="1"/>
  <c r="A55" i="6"/>
  <c r="F55" i="6" s="1"/>
  <c r="A54" i="6"/>
  <c r="C53" i="6"/>
  <c r="A53" i="6"/>
  <c r="D53" i="6" s="1"/>
  <c r="C52" i="6"/>
  <c r="A52" i="6"/>
  <c r="C51" i="6"/>
  <c r="B51" i="6"/>
  <c r="A51" i="6"/>
  <c r="F51" i="6" s="1"/>
  <c r="E50" i="6"/>
  <c r="A50" i="6"/>
  <c r="F50" i="6" s="1"/>
  <c r="E49" i="6"/>
  <c r="A49" i="6"/>
  <c r="F49" i="6" s="1"/>
  <c r="E48" i="6"/>
  <c r="D48" i="6"/>
  <c r="C48" i="6"/>
  <c r="A48" i="6"/>
  <c r="B48" i="6" s="1"/>
  <c r="A47" i="6"/>
  <c r="A46" i="6"/>
  <c r="C45" i="6"/>
  <c r="A45" i="6"/>
  <c r="D45" i="6" s="1"/>
  <c r="C44" i="6"/>
  <c r="A44" i="6"/>
  <c r="C43" i="6"/>
  <c r="B43" i="6"/>
  <c r="A43" i="6"/>
  <c r="A42" i="6"/>
  <c r="E41" i="6"/>
  <c r="A41" i="6"/>
  <c r="F41" i="6" s="1"/>
  <c r="E40" i="6"/>
  <c r="D40" i="6"/>
  <c r="C40" i="6"/>
  <c r="A40" i="6"/>
  <c r="B40" i="6" s="1"/>
  <c r="A39" i="6"/>
  <c r="F39" i="6" s="1"/>
  <c r="A38" i="6"/>
  <c r="F38" i="6" s="1"/>
  <c r="C37" i="6"/>
  <c r="A37" i="6"/>
  <c r="D37" i="6" s="1"/>
  <c r="C36" i="6"/>
  <c r="A36" i="6"/>
  <c r="C35" i="6"/>
  <c r="B35" i="6"/>
  <c r="A35" i="6"/>
  <c r="A34" i="6"/>
  <c r="A33" i="6"/>
  <c r="E32" i="6"/>
  <c r="D32" i="6"/>
  <c r="A32" i="6"/>
  <c r="B32" i="6" s="1"/>
  <c r="A31" i="6"/>
  <c r="F31" i="6" s="1"/>
  <c r="A30" i="6"/>
  <c r="F30" i="6" s="1"/>
  <c r="F29" i="6"/>
  <c r="E29" i="6"/>
  <c r="C29" i="6"/>
  <c r="A29" i="6"/>
  <c r="D29" i="6" s="1"/>
  <c r="C28" i="6"/>
  <c r="A28" i="6"/>
  <c r="C27" i="6"/>
  <c r="B27" i="6"/>
  <c r="A27" i="6"/>
  <c r="A26" i="6"/>
  <c r="A25" i="6"/>
  <c r="D24" i="6"/>
  <c r="A24" i="6"/>
  <c r="B24" i="6" s="1"/>
  <c r="A23" i="6"/>
  <c r="A22" i="6"/>
  <c r="F21" i="6"/>
  <c r="E21" i="6"/>
  <c r="C21" i="6"/>
  <c r="A21" i="6"/>
  <c r="D21" i="6" s="1"/>
  <c r="C20" i="6"/>
  <c r="A20" i="6"/>
  <c r="F20" i="6" s="1"/>
  <c r="C19" i="6"/>
  <c r="B19" i="6"/>
  <c r="A19" i="6"/>
  <c r="F19" i="6" s="1"/>
  <c r="F6" i="6"/>
  <c r="B10" i="6" s="1"/>
  <c r="C10" i="6" s="1"/>
  <c r="E6" i="6"/>
  <c r="D6" i="6"/>
  <c r="C6" i="6"/>
  <c r="B6" i="6"/>
  <c r="B13" i="6" s="1"/>
  <c r="C13" i="6" s="1"/>
  <c r="A6" i="6"/>
  <c r="K404" i="4"/>
  <c r="J404" i="4"/>
  <c r="K403" i="4"/>
  <c r="J403" i="4"/>
  <c r="K402" i="4"/>
  <c r="J402" i="4"/>
  <c r="K401" i="4"/>
  <c r="J401" i="4"/>
  <c r="K400" i="4"/>
  <c r="J400" i="4"/>
  <c r="K399" i="4"/>
  <c r="J399" i="4"/>
  <c r="K398" i="4"/>
  <c r="J398" i="4"/>
  <c r="K397" i="4"/>
  <c r="J397" i="4"/>
  <c r="K396" i="4"/>
  <c r="J396" i="4"/>
  <c r="K395" i="4"/>
  <c r="J395" i="4"/>
  <c r="K394" i="4"/>
  <c r="J394" i="4"/>
  <c r="K393" i="4"/>
  <c r="J393" i="4"/>
  <c r="K392" i="4"/>
  <c r="J392" i="4"/>
  <c r="K391" i="4"/>
  <c r="J391" i="4"/>
  <c r="K390" i="4"/>
  <c r="J390" i="4"/>
  <c r="K389" i="4"/>
  <c r="J389" i="4"/>
  <c r="K388" i="4"/>
  <c r="J388" i="4"/>
  <c r="K387" i="4"/>
  <c r="J387" i="4"/>
  <c r="K386" i="4"/>
  <c r="J386" i="4"/>
  <c r="K385" i="4"/>
  <c r="J385" i="4"/>
  <c r="K384" i="4"/>
  <c r="J384" i="4"/>
  <c r="K383" i="4"/>
  <c r="J383" i="4"/>
  <c r="K382" i="4"/>
  <c r="J382" i="4"/>
  <c r="K381" i="4"/>
  <c r="J381" i="4"/>
  <c r="K380" i="4"/>
  <c r="J380" i="4"/>
  <c r="K379" i="4"/>
  <c r="J379" i="4"/>
  <c r="K378" i="4"/>
  <c r="J378" i="4"/>
  <c r="K377" i="4"/>
  <c r="J377" i="4"/>
  <c r="K376" i="4"/>
  <c r="J376" i="4"/>
  <c r="K375" i="4"/>
  <c r="J375" i="4"/>
  <c r="K374" i="4"/>
  <c r="J374" i="4"/>
  <c r="K373" i="4"/>
  <c r="J373" i="4"/>
  <c r="K372" i="4"/>
  <c r="J372" i="4"/>
  <c r="K371" i="4"/>
  <c r="J371" i="4"/>
  <c r="K370" i="4"/>
  <c r="J370" i="4"/>
  <c r="K369" i="4"/>
  <c r="J369" i="4"/>
  <c r="K368" i="4"/>
  <c r="J368" i="4"/>
  <c r="K367" i="4"/>
  <c r="J367" i="4"/>
  <c r="K366" i="4"/>
  <c r="J366" i="4"/>
  <c r="K365" i="4"/>
  <c r="J365" i="4"/>
  <c r="K364" i="4"/>
  <c r="J364" i="4"/>
  <c r="K363" i="4"/>
  <c r="J363" i="4"/>
  <c r="K362" i="4"/>
  <c r="J362" i="4"/>
  <c r="K361" i="4"/>
  <c r="J361" i="4"/>
  <c r="K360" i="4"/>
  <c r="J360" i="4"/>
  <c r="K359" i="4"/>
  <c r="J359" i="4"/>
  <c r="K358" i="4"/>
  <c r="J358" i="4"/>
  <c r="K357" i="4"/>
  <c r="J357" i="4"/>
  <c r="K356" i="4"/>
  <c r="J356" i="4"/>
  <c r="K355" i="4"/>
  <c r="J355" i="4"/>
  <c r="K354" i="4"/>
  <c r="J354" i="4"/>
  <c r="K353" i="4"/>
  <c r="J353" i="4"/>
  <c r="K352" i="4"/>
  <c r="J352" i="4"/>
  <c r="K351" i="4"/>
  <c r="J351" i="4"/>
  <c r="K350" i="4"/>
  <c r="J350" i="4"/>
  <c r="K349" i="4"/>
  <c r="J349" i="4"/>
  <c r="K348" i="4"/>
  <c r="J348" i="4"/>
  <c r="K347" i="4"/>
  <c r="J347" i="4"/>
  <c r="K346" i="4"/>
  <c r="J346" i="4"/>
  <c r="K345" i="4"/>
  <c r="J345" i="4"/>
  <c r="K344" i="4"/>
  <c r="J344" i="4"/>
  <c r="K343" i="4"/>
  <c r="J343" i="4"/>
  <c r="K342" i="4"/>
  <c r="J342" i="4"/>
  <c r="K341" i="4"/>
  <c r="J341" i="4"/>
  <c r="K340" i="4"/>
  <c r="J340" i="4"/>
  <c r="K339" i="4"/>
  <c r="J339" i="4"/>
  <c r="K338" i="4"/>
  <c r="J338" i="4"/>
  <c r="K337" i="4"/>
  <c r="J337" i="4"/>
  <c r="K336" i="4"/>
  <c r="J336" i="4"/>
  <c r="K335" i="4"/>
  <c r="J335" i="4"/>
  <c r="K334" i="4"/>
  <c r="J334" i="4"/>
  <c r="K333" i="4"/>
  <c r="J333" i="4"/>
  <c r="K332" i="4"/>
  <c r="J332" i="4"/>
  <c r="K331" i="4"/>
  <c r="J331" i="4"/>
  <c r="K330" i="4"/>
  <c r="J330" i="4"/>
  <c r="K329" i="4"/>
  <c r="J329" i="4"/>
  <c r="K328" i="4"/>
  <c r="J328" i="4"/>
  <c r="K327" i="4"/>
  <c r="J327" i="4"/>
  <c r="K326" i="4"/>
  <c r="J326" i="4"/>
  <c r="K325" i="4"/>
  <c r="J325" i="4"/>
  <c r="K324" i="4"/>
  <c r="J324" i="4"/>
  <c r="K323" i="4"/>
  <c r="J323" i="4"/>
  <c r="K322" i="4"/>
  <c r="J322" i="4"/>
  <c r="K321" i="4"/>
  <c r="J321" i="4"/>
  <c r="K320" i="4"/>
  <c r="J320" i="4"/>
  <c r="K319" i="4"/>
  <c r="J319" i="4"/>
  <c r="K318" i="4"/>
  <c r="J318" i="4"/>
  <c r="K317" i="4"/>
  <c r="J317" i="4"/>
  <c r="K316" i="4"/>
  <c r="J316" i="4"/>
  <c r="K315" i="4"/>
  <c r="J315" i="4"/>
  <c r="K314" i="4"/>
  <c r="J314" i="4"/>
  <c r="K313" i="4"/>
  <c r="J313" i="4"/>
  <c r="K312" i="4"/>
  <c r="J312" i="4"/>
  <c r="K311" i="4"/>
  <c r="J311" i="4"/>
  <c r="K310" i="4"/>
  <c r="J310" i="4"/>
  <c r="K309" i="4"/>
  <c r="J309" i="4"/>
  <c r="K308" i="4"/>
  <c r="J308" i="4"/>
  <c r="K307" i="4"/>
  <c r="J307" i="4"/>
  <c r="K306" i="4"/>
  <c r="J306" i="4"/>
  <c r="K305" i="4"/>
  <c r="J305" i="4"/>
  <c r="K304" i="4"/>
  <c r="J304" i="4"/>
  <c r="K303" i="4"/>
  <c r="J303" i="4"/>
  <c r="K302" i="4"/>
  <c r="J302" i="4"/>
  <c r="K301" i="4"/>
  <c r="J301" i="4"/>
  <c r="K300" i="4"/>
  <c r="J300" i="4"/>
  <c r="K299" i="4"/>
  <c r="J299" i="4"/>
  <c r="K298" i="4"/>
  <c r="J298" i="4"/>
  <c r="K297" i="4"/>
  <c r="J297" i="4"/>
  <c r="K296" i="4"/>
  <c r="J296" i="4"/>
  <c r="K295" i="4"/>
  <c r="J295" i="4"/>
  <c r="K294" i="4"/>
  <c r="J294" i="4"/>
  <c r="K293" i="4"/>
  <c r="J293" i="4"/>
  <c r="K292" i="4"/>
  <c r="J292" i="4"/>
  <c r="K291" i="4"/>
  <c r="J291" i="4"/>
  <c r="K290" i="4"/>
  <c r="J290" i="4"/>
  <c r="K289" i="4"/>
  <c r="J289" i="4"/>
  <c r="K288" i="4"/>
  <c r="J288" i="4"/>
  <c r="K287" i="4"/>
  <c r="J287" i="4"/>
  <c r="K286" i="4"/>
  <c r="J286" i="4"/>
  <c r="K285" i="4"/>
  <c r="J285" i="4"/>
  <c r="K284" i="4"/>
  <c r="J284" i="4"/>
  <c r="K283" i="4"/>
  <c r="J283" i="4"/>
  <c r="K282" i="4"/>
  <c r="J282" i="4"/>
  <c r="K281" i="4"/>
  <c r="J281" i="4"/>
  <c r="K280" i="4"/>
  <c r="J280" i="4"/>
  <c r="K279" i="4"/>
  <c r="J279" i="4"/>
  <c r="K278" i="4"/>
  <c r="J278" i="4"/>
  <c r="K277" i="4"/>
  <c r="J277" i="4"/>
  <c r="K276" i="4"/>
  <c r="J276" i="4"/>
  <c r="K275" i="4"/>
  <c r="J275" i="4"/>
  <c r="K274" i="4"/>
  <c r="J274" i="4"/>
  <c r="K273" i="4"/>
  <c r="J273" i="4"/>
  <c r="K272" i="4"/>
  <c r="J272" i="4"/>
  <c r="K271" i="4"/>
  <c r="J271" i="4"/>
  <c r="K270" i="4"/>
  <c r="J270" i="4"/>
  <c r="K269" i="4"/>
  <c r="J269" i="4"/>
  <c r="K268" i="4"/>
  <c r="J268" i="4"/>
  <c r="K267" i="4"/>
  <c r="J267" i="4"/>
  <c r="K266" i="4"/>
  <c r="J266" i="4"/>
  <c r="K265" i="4"/>
  <c r="J265" i="4"/>
  <c r="K264" i="4"/>
  <c r="J264" i="4"/>
  <c r="K263" i="4"/>
  <c r="J263" i="4"/>
  <c r="K262" i="4"/>
  <c r="J262" i="4"/>
  <c r="K261" i="4"/>
  <c r="J261" i="4"/>
  <c r="K260" i="4"/>
  <c r="J260" i="4"/>
  <c r="K259" i="4"/>
  <c r="J259" i="4"/>
  <c r="K258" i="4"/>
  <c r="J258" i="4"/>
  <c r="K257" i="4"/>
  <c r="J257" i="4"/>
  <c r="K256" i="4"/>
  <c r="J256" i="4"/>
  <c r="K255" i="4"/>
  <c r="J255" i="4"/>
  <c r="K254" i="4"/>
  <c r="J254" i="4"/>
  <c r="K253" i="4"/>
  <c r="J253" i="4"/>
  <c r="K252" i="4"/>
  <c r="J252" i="4"/>
  <c r="K251" i="4"/>
  <c r="J251" i="4"/>
  <c r="K250" i="4"/>
  <c r="J250" i="4"/>
  <c r="K249" i="4"/>
  <c r="J249" i="4"/>
  <c r="K248" i="4"/>
  <c r="J248" i="4"/>
  <c r="K247" i="4"/>
  <c r="J247" i="4"/>
  <c r="K246" i="4"/>
  <c r="J246" i="4"/>
  <c r="K245" i="4"/>
  <c r="J245" i="4"/>
  <c r="K244" i="4"/>
  <c r="J244" i="4"/>
  <c r="K243" i="4"/>
  <c r="J243" i="4"/>
  <c r="K242" i="4"/>
  <c r="J242" i="4"/>
  <c r="K241" i="4"/>
  <c r="J241" i="4"/>
  <c r="K240" i="4"/>
  <c r="J240" i="4"/>
  <c r="K239" i="4"/>
  <c r="J239" i="4"/>
  <c r="K238" i="4"/>
  <c r="J238" i="4"/>
  <c r="K237" i="4"/>
  <c r="J237" i="4"/>
  <c r="K236" i="4"/>
  <c r="J236" i="4"/>
  <c r="K235" i="4"/>
  <c r="J235" i="4"/>
  <c r="K234" i="4"/>
  <c r="J234" i="4"/>
  <c r="K233" i="4"/>
  <c r="J233" i="4"/>
  <c r="K232" i="4"/>
  <c r="J232" i="4"/>
  <c r="K231" i="4"/>
  <c r="J231" i="4"/>
  <c r="K230" i="4"/>
  <c r="J230" i="4"/>
  <c r="K229" i="4"/>
  <c r="J229" i="4"/>
  <c r="K228" i="4"/>
  <c r="J228" i="4"/>
  <c r="K227" i="4"/>
  <c r="J227" i="4"/>
  <c r="K226" i="4"/>
  <c r="J226" i="4"/>
  <c r="K225" i="4"/>
  <c r="J225" i="4"/>
  <c r="K224" i="4"/>
  <c r="J224" i="4"/>
  <c r="K223" i="4"/>
  <c r="J223" i="4"/>
  <c r="K222" i="4"/>
  <c r="J222" i="4"/>
  <c r="K221" i="4"/>
  <c r="J221" i="4"/>
  <c r="K220" i="4"/>
  <c r="J220" i="4"/>
  <c r="K219" i="4"/>
  <c r="J219" i="4"/>
  <c r="K218" i="4"/>
  <c r="J218" i="4"/>
  <c r="K217" i="4"/>
  <c r="J217" i="4"/>
  <c r="K216" i="4"/>
  <c r="J216" i="4"/>
  <c r="K215" i="4"/>
  <c r="J215" i="4"/>
  <c r="K214" i="4"/>
  <c r="J214" i="4"/>
  <c r="K213" i="4"/>
  <c r="J213" i="4"/>
  <c r="K212" i="4"/>
  <c r="J212" i="4"/>
  <c r="K211" i="4"/>
  <c r="J211" i="4"/>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s="1"/>
  <c r="K65" i="4"/>
  <c r="J65" i="4"/>
  <c r="K64" i="4"/>
  <c r="J64" i="4" s="1"/>
  <c r="K63" i="4"/>
  <c r="J63" i="4" s="1"/>
  <c r="K62" i="4"/>
  <c r="J62" i="4" s="1"/>
  <c r="K61" i="4"/>
  <c r="J61" i="4" s="1"/>
  <c r="K60" i="4"/>
  <c r="J60" i="4" s="1"/>
  <c r="K59" i="4"/>
  <c r="J59" i="4" s="1"/>
  <c r="K58" i="4"/>
  <c r="J58" i="4" s="1"/>
  <c r="K57" i="4"/>
  <c r="J57" i="4" s="1"/>
  <c r="K56" i="4"/>
  <c r="J56" i="4" s="1"/>
  <c r="K55" i="4"/>
  <c r="J55" i="4" s="1"/>
  <c r="K54" i="4"/>
  <c r="J54" i="4" s="1"/>
  <c r="K53" i="4"/>
  <c r="J53" i="4" s="1"/>
  <c r="K52" i="4"/>
  <c r="J52" i="4" s="1"/>
  <c r="K51" i="4"/>
  <c r="J51" i="4" s="1"/>
  <c r="K50" i="4"/>
  <c r="J50" i="4" s="1"/>
  <c r="K49" i="4"/>
  <c r="J49" i="4" s="1"/>
  <c r="K48" i="4"/>
  <c r="J48" i="4" s="1"/>
  <c r="K47" i="4"/>
  <c r="J47" i="4" s="1"/>
  <c r="K46" i="4"/>
  <c r="J46" i="4" s="1"/>
  <c r="K45" i="4"/>
  <c r="J45" i="4" s="1"/>
  <c r="K44" i="4"/>
  <c r="J44" i="4" s="1"/>
  <c r="K43" i="4"/>
  <c r="J43" i="4" s="1"/>
  <c r="K42" i="4"/>
  <c r="J42" i="4" s="1"/>
  <c r="K41" i="4"/>
  <c r="J41" i="4" s="1"/>
  <c r="K40" i="4"/>
  <c r="J40" i="4" s="1"/>
  <c r="K39" i="4"/>
  <c r="J39" i="4" s="1"/>
  <c r="K38" i="4"/>
  <c r="J38" i="4" s="1"/>
  <c r="K37" i="4"/>
  <c r="J37" i="4" s="1"/>
  <c r="K36" i="4"/>
  <c r="J36" i="4" s="1"/>
  <c r="K35" i="4"/>
  <c r="J35" i="4" s="1"/>
  <c r="K34" i="4"/>
  <c r="J34" i="4" s="1"/>
  <c r="K33" i="4"/>
  <c r="J33" i="4" s="1"/>
  <c r="K32" i="4"/>
  <c r="J32" i="4" s="1"/>
  <c r="K31" i="4"/>
  <c r="J31" i="4" s="1"/>
  <c r="K30" i="4"/>
  <c r="J30" i="4" s="1"/>
  <c r="K29" i="4"/>
  <c r="J29" i="4" s="1"/>
  <c r="K28" i="4"/>
  <c r="J28" i="4" s="1"/>
  <c r="K27" i="4"/>
  <c r="J27" i="4" s="1"/>
  <c r="K26" i="4"/>
  <c r="J26" i="4" s="1"/>
  <c r="K25" i="4"/>
  <c r="J25" i="4" s="1"/>
  <c r="K24" i="4"/>
  <c r="J24" i="4" s="1"/>
  <c r="K23" i="4"/>
  <c r="J23" i="4" s="1"/>
  <c r="K22" i="4"/>
  <c r="J22" i="4" s="1"/>
  <c r="K21" i="4"/>
  <c r="J21" i="4" s="1"/>
  <c r="K20" i="4"/>
  <c r="J20" i="4" s="1"/>
  <c r="K19" i="4"/>
  <c r="J19" i="4" s="1"/>
  <c r="K18" i="4"/>
  <c r="J18" i="4" s="1"/>
  <c r="K17" i="4"/>
  <c r="J17" i="4" s="1"/>
  <c r="K16" i="4"/>
  <c r="J16" i="4" s="1"/>
  <c r="K15" i="4"/>
  <c r="J15" i="4" s="1"/>
  <c r="K14" i="4"/>
  <c r="J14" i="4" s="1"/>
  <c r="K13" i="4"/>
  <c r="J13" i="4" s="1"/>
  <c r="K12" i="4"/>
  <c r="J12" i="4" s="1"/>
  <c r="K11" i="4"/>
  <c r="J11" i="4" s="1"/>
  <c r="K10" i="4"/>
  <c r="J10" i="4" s="1"/>
  <c r="K9" i="4"/>
  <c r="J9" i="4" s="1"/>
  <c r="K8" i="4"/>
  <c r="J8" i="4" s="1"/>
  <c r="K7" i="4"/>
  <c r="J7" i="4" s="1"/>
  <c r="K6" i="4"/>
  <c r="J6" i="4" s="1"/>
  <c r="K5" i="4"/>
  <c r="J5" i="4" s="1"/>
  <c r="N204" i="3"/>
  <c r="M204" i="3"/>
  <c r="N203" i="3"/>
  <c r="M203" i="3"/>
  <c r="N202" i="3"/>
  <c r="M202" i="3"/>
  <c r="N201" i="3"/>
  <c r="M201" i="3"/>
  <c r="N200"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s="1"/>
  <c r="N42" i="3"/>
  <c r="M42" i="3" s="1"/>
  <c r="N41" i="3"/>
  <c r="M41" i="3" s="1"/>
  <c r="N40" i="3"/>
  <c r="M40" i="3" s="1"/>
  <c r="N39" i="3"/>
  <c r="M39" i="3" s="1"/>
  <c r="N38" i="3"/>
  <c r="M38" i="3" s="1"/>
  <c r="N37" i="3"/>
  <c r="M37" i="3" s="1"/>
  <c r="N36" i="3"/>
  <c r="M36" i="3" s="1"/>
  <c r="N35" i="3"/>
  <c r="M35" i="3" s="1"/>
  <c r="N34" i="3"/>
  <c r="M34" i="3" s="1"/>
  <c r="N33" i="3"/>
  <c r="M33" i="3" s="1"/>
  <c r="N32" i="3"/>
  <c r="M32" i="3" s="1"/>
  <c r="N31" i="3"/>
  <c r="M31" i="3" s="1"/>
  <c r="N30" i="3"/>
  <c r="M30" i="3" s="1"/>
  <c r="N29" i="3"/>
  <c r="M29" i="3" s="1"/>
  <c r="N28" i="3"/>
  <c r="M28" i="3" s="1"/>
  <c r="N27" i="3"/>
  <c r="M27" i="3" s="1"/>
  <c r="N26" i="3"/>
  <c r="M26" i="3" s="1"/>
  <c r="N25" i="3"/>
  <c r="M25" i="3" s="1"/>
  <c r="N24" i="3"/>
  <c r="M24" i="3" s="1"/>
  <c r="N23" i="3"/>
  <c r="M23" i="3" s="1"/>
  <c r="N22" i="3"/>
  <c r="M22" i="3" s="1"/>
  <c r="N21" i="3"/>
  <c r="M21" i="3" s="1"/>
  <c r="N20" i="3"/>
  <c r="M20" i="3" s="1"/>
  <c r="N19" i="3"/>
  <c r="M19" i="3" s="1"/>
  <c r="N18" i="3"/>
  <c r="M18" i="3" s="1"/>
  <c r="N17" i="3"/>
  <c r="M17" i="3" s="1"/>
  <c r="N16" i="3"/>
  <c r="M16" i="3" s="1"/>
  <c r="N15" i="3"/>
  <c r="M15" i="3" s="1"/>
  <c r="N14" i="3"/>
  <c r="M14" i="3" s="1"/>
  <c r="N13" i="3"/>
  <c r="M13" i="3" s="1"/>
  <c r="N12" i="3"/>
  <c r="M12" i="3" s="1"/>
  <c r="N11" i="3"/>
  <c r="M11" i="3" s="1"/>
  <c r="N10" i="3"/>
  <c r="M10" i="3" s="1"/>
  <c r="N9" i="3"/>
  <c r="M9" i="3" s="1"/>
  <c r="N8" i="3"/>
  <c r="M8" i="3" s="1"/>
  <c r="N7" i="3"/>
  <c r="M7" i="3" s="1"/>
  <c r="N6" i="3"/>
  <c r="M6" i="3" s="1"/>
  <c r="N5" i="3"/>
  <c r="M5" i="3" s="1"/>
  <c r="C21" i="2"/>
  <c r="B21" i="2"/>
  <c r="B20" i="2"/>
  <c r="C20" i="2" s="1"/>
  <c r="B22" i="2" s="1"/>
  <c r="H6" i="6" l="1"/>
  <c r="B12" i="6" s="1"/>
  <c r="C12" i="6" s="1"/>
  <c r="B14" i="6"/>
  <c r="C14" i="6" s="1"/>
  <c r="C22" i="2"/>
  <c r="G6" i="6"/>
  <c r="B11" i="6" s="1"/>
  <c r="C11" i="6" s="1"/>
  <c r="C24" i="6"/>
  <c r="E24" i="6" s="1"/>
  <c r="C32" i="6"/>
  <c r="D19" i="6"/>
  <c r="B22" i="6"/>
  <c r="D27" i="6"/>
  <c r="F27" i="6" s="1"/>
  <c r="B30" i="6"/>
  <c r="F32" i="6"/>
  <c r="D35" i="6"/>
  <c r="F35" i="6" s="1"/>
  <c r="B38" i="6"/>
  <c r="F40" i="6"/>
  <c r="D43" i="6"/>
  <c r="F43" i="6" s="1"/>
  <c r="B46" i="6"/>
  <c r="F48" i="6"/>
  <c r="D51" i="6"/>
  <c r="B54" i="6"/>
  <c r="D59" i="6"/>
  <c r="B62" i="6"/>
  <c r="D67" i="6"/>
  <c r="B70" i="6"/>
  <c r="D75" i="6"/>
  <c r="B78" i="6"/>
  <c r="D83" i="6"/>
  <c r="B86" i="6"/>
  <c r="D91" i="6"/>
  <c r="B94" i="6"/>
  <c r="D99" i="6"/>
  <c r="B102" i="6"/>
  <c r="D107" i="6"/>
  <c r="B110" i="6"/>
  <c r="D115" i="6"/>
  <c r="B118" i="6"/>
  <c r="D123" i="6"/>
  <c r="B126" i="6"/>
  <c r="D131" i="6"/>
  <c r="B134" i="6"/>
  <c r="D139" i="6"/>
  <c r="B142" i="6"/>
  <c r="D147" i="6"/>
  <c r="B150" i="6"/>
  <c r="D155" i="6"/>
  <c r="B158" i="6"/>
  <c r="D163" i="6"/>
  <c r="B166" i="6"/>
  <c r="D171" i="6"/>
  <c r="B174" i="6"/>
  <c r="D179" i="6"/>
  <c r="B182" i="6"/>
  <c r="D187" i="6"/>
  <c r="B190" i="6"/>
  <c r="D195" i="6"/>
  <c r="B198" i="6"/>
  <c r="D203" i="6"/>
  <c r="B206" i="6"/>
  <c r="D211" i="6"/>
  <c r="B214" i="6"/>
  <c r="E19" i="6"/>
  <c r="C22" i="6"/>
  <c r="F22" i="6" s="1"/>
  <c r="C30" i="6"/>
  <c r="C38" i="6"/>
  <c r="C46" i="6"/>
  <c r="F46" i="6" s="1"/>
  <c r="E51" i="6"/>
  <c r="C54" i="6"/>
  <c r="F54" i="6" s="1"/>
  <c r="E59" i="6"/>
  <c r="C62" i="6"/>
  <c r="E67" i="6"/>
  <c r="C70" i="6"/>
  <c r="E75" i="6"/>
  <c r="C78" i="6"/>
  <c r="E83" i="6"/>
  <c r="C86" i="6"/>
  <c r="E91" i="6"/>
  <c r="C94" i="6"/>
  <c r="E99" i="6"/>
  <c r="C102" i="6"/>
  <c r="E107" i="6"/>
  <c r="C110" i="6"/>
  <c r="E115" i="6"/>
  <c r="C118" i="6"/>
  <c r="E123" i="6"/>
  <c r="C126" i="6"/>
  <c r="E131" i="6"/>
  <c r="C134" i="6"/>
  <c r="E139" i="6"/>
  <c r="C142" i="6"/>
  <c r="E147" i="6"/>
  <c r="C150" i="6"/>
  <c r="E155" i="6"/>
  <c r="C158" i="6"/>
  <c r="E163" i="6"/>
  <c r="C166" i="6"/>
  <c r="E171" i="6"/>
  <c r="C174" i="6"/>
  <c r="E179" i="6"/>
  <c r="C182" i="6"/>
  <c r="E187" i="6"/>
  <c r="C190" i="6"/>
  <c r="E195" i="6"/>
  <c r="C198" i="6"/>
  <c r="E203" i="6"/>
  <c r="C206" i="6"/>
  <c r="E211" i="6"/>
  <c r="C214" i="6"/>
  <c r="D22" i="6"/>
  <c r="B25" i="6"/>
  <c r="D30" i="6"/>
  <c r="B33" i="6"/>
  <c r="D38" i="6"/>
  <c r="B41" i="6"/>
  <c r="D46" i="6"/>
  <c r="B49" i="6"/>
  <c r="D54" i="6"/>
  <c r="E54" i="6" s="1"/>
  <c r="B57" i="6"/>
  <c r="D62" i="6"/>
  <c r="B65" i="6"/>
  <c r="D70" i="6"/>
  <c r="B73" i="6"/>
  <c r="D78" i="6"/>
  <c r="B81" i="6"/>
  <c r="D86" i="6"/>
  <c r="B89" i="6"/>
  <c r="D94" i="6"/>
  <c r="B97" i="6"/>
  <c r="D102" i="6"/>
  <c r="B105" i="6"/>
  <c r="D110" i="6"/>
  <c r="B113" i="6"/>
  <c r="D118" i="6"/>
  <c r="B121" i="6"/>
  <c r="D126" i="6"/>
  <c r="B129" i="6"/>
  <c r="D134" i="6"/>
  <c r="B137" i="6"/>
  <c r="D142" i="6"/>
  <c r="B145" i="6"/>
  <c r="D150" i="6"/>
  <c r="B153" i="6"/>
  <c r="D158" i="6"/>
  <c r="B161" i="6"/>
  <c r="D166" i="6"/>
  <c r="B169" i="6"/>
  <c r="D174" i="6"/>
  <c r="B177" i="6"/>
  <c r="D182" i="6"/>
  <c r="B185" i="6"/>
  <c r="D190" i="6"/>
  <c r="B193" i="6"/>
  <c r="D198" i="6"/>
  <c r="B201" i="6"/>
  <c r="D206" i="6"/>
  <c r="B209" i="6"/>
  <c r="D214" i="6"/>
  <c r="B217" i="6"/>
  <c r="E22" i="6"/>
  <c r="C25" i="6"/>
  <c r="F25" i="6" s="1"/>
  <c r="E30" i="6"/>
  <c r="C33" i="6"/>
  <c r="F33" i="6" s="1"/>
  <c r="E38" i="6"/>
  <c r="C41" i="6"/>
  <c r="E46" i="6"/>
  <c r="C49" i="6"/>
  <c r="C57" i="6"/>
  <c r="E62" i="6"/>
  <c r="C65" i="6"/>
  <c r="E70" i="6"/>
  <c r="C73" i="6"/>
  <c r="E78" i="6"/>
  <c r="C81" i="6"/>
  <c r="E86" i="6"/>
  <c r="C89" i="6"/>
  <c r="E94" i="6"/>
  <c r="C97" i="6"/>
  <c r="E102" i="6"/>
  <c r="C105" i="6"/>
  <c r="E110" i="6"/>
  <c r="C113" i="6"/>
  <c r="E118" i="6"/>
  <c r="C121" i="6"/>
  <c r="E126" i="6"/>
  <c r="C129" i="6"/>
  <c r="E134" i="6"/>
  <c r="C137" i="6"/>
  <c r="E142" i="6"/>
  <c r="C145" i="6"/>
  <c r="E150" i="6"/>
  <c r="C153" i="6"/>
  <c r="E158" i="6"/>
  <c r="C161" i="6"/>
  <c r="E166" i="6"/>
  <c r="C169" i="6"/>
  <c r="E174" i="6"/>
  <c r="C177" i="6"/>
  <c r="E182" i="6"/>
  <c r="C185" i="6"/>
  <c r="E190" i="6"/>
  <c r="C193" i="6"/>
  <c r="E198" i="6"/>
  <c r="C201" i="6"/>
  <c r="E206" i="6"/>
  <c r="C209" i="6"/>
  <c r="E214" i="6"/>
  <c r="C217" i="6"/>
  <c r="B20" i="6"/>
  <c r="D25" i="6"/>
  <c r="B28" i="6"/>
  <c r="F28" i="6" s="1"/>
  <c r="D33" i="6"/>
  <c r="B36" i="6"/>
  <c r="F36" i="6" s="1"/>
  <c r="D41" i="6"/>
  <c r="B44" i="6"/>
  <c r="F44" i="6" s="1"/>
  <c r="D49" i="6"/>
  <c r="B52" i="6"/>
  <c r="F52" i="6" s="1"/>
  <c r="D57" i="6"/>
  <c r="B60" i="6"/>
  <c r="D65" i="6"/>
  <c r="B68" i="6"/>
  <c r="D73" i="6"/>
  <c r="B76" i="6"/>
  <c r="D81" i="6"/>
  <c r="B84" i="6"/>
  <c r="D89" i="6"/>
  <c r="B92" i="6"/>
  <c r="D97" i="6"/>
  <c r="B100" i="6"/>
  <c r="D105" i="6"/>
  <c r="B108" i="6"/>
  <c r="D113" i="6"/>
  <c r="B116" i="6"/>
  <c r="D121" i="6"/>
  <c r="B124" i="6"/>
  <c r="D129" i="6"/>
  <c r="B132" i="6"/>
  <c r="D137" i="6"/>
  <c r="B140" i="6"/>
  <c r="D145" i="6"/>
  <c r="B148" i="6"/>
  <c r="D153" i="6"/>
  <c r="B156" i="6"/>
  <c r="D161" i="6"/>
  <c r="B164" i="6"/>
  <c r="D169" i="6"/>
  <c r="B172" i="6"/>
  <c r="D177" i="6"/>
  <c r="B180" i="6"/>
  <c r="D185" i="6"/>
  <c r="B188" i="6"/>
  <c r="D193" i="6"/>
  <c r="B196" i="6"/>
  <c r="D201" i="6"/>
  <c r="B204" i="6"/>
  <c r="D209" i="6"/>
  <c r="B212" i="6"/>
  <c r="D217" i="6"/>
  <c r="E81" i="6"/>
  <c r="E89" i="6"/>
  <c r="E97" i="6"/>
  <c r="E105" i="6"/>
  <c r="E113" i="6"/>
  <c r="E121" i="6"/>
  <c r="E129" i="6"/>
  <c r="E137" i="6"/>
  <c r="E145" i="6"/>
  <c r="E153" i="6"/>
  <c r="E161" i="6"/>
  <c r="E169" i="6"/>
  <c r="E177" i="6"/>
  <c r="E185" i="6"/>
  <c r="E193" i="6"/>
  <c r="E201" i="6"/>
  <c r="E209" i="6"/>
  <c r="E217" i="6"/>
  <c r="D20" i="6"/>
  <c r="B23" i="6"/>
  <c r="D28" i="6"/>
  <c r="B31" i="6"/>
  <c r="D36" i="6"/>
  <c r="B39" i="6"/>
  <c r="D44" i="6"/>
  <c r="E44" i="6" s="1"/>
  <c r="B47" i="6"/>
  <c r="D52" i="6"/>
  <c r="B55" i="6"/>
  <c r="D60" i="6"/>
  <c r="B63" i="6"/>
  <c r="D68" i="6"/>
  <c r="B71" i="6"/>
  <c r="D76" i="6"/>
  <c r="B79" i="6"/>
  <c r="D84" i="6"/>
  <c r="B87" i="6"/>
  <c r="D92" i="6"/>
  <c r="B95" i="6"/>
  <c r="D100" i="6"/>
  <c r="B103" i="6"/>
  <c r="D108" i="6"/>
  <c r="B111" i="6"/>
  <c r="D116" i="6"/>
  <c r="B119" i="6"/>
  <c r="D124" i="6"/>
  <c r="B127" i="6"/>
  <c r="D132" i="6"/>
  <c r="B135" i="6"/>
  <c r="D140" i="6"/>
  <c r="B143" i="6"/>
  <c r="D148" i="6"/>
  <c r="B151" i="6"/>
  <c r="D156" i="6"/>
  <c r="B159" i="6"/>
  <c r="D164" i="6"/>
  <c r="B167" i="6"/>
  <c r="D172" i="6"/>
  <c r="B175" i="6"/>
  <c r="D180" i="6"/>
  <c r="B183" i="6"/>
  <c r="D188" i="6"/>
  <c r="B191" i="6"/>
  <c r="D196" i="6"/>
  <c r="B199" i="6"/>
  <c r="D204" i="6"/>
  <c r="B207" i="6"/>
  <c r="D212" i="6"/>
  <c r="B215" i="6"/>
  <c r="E20" i="6"/>
  <c r="C23" i="6"/>
  <c r="F23" i="6" s="1"/>
  <c r="E28" i="6"/>
  <c r="C31" i="6"/>
  <c r="C39" i="6"/>
  <c r="C47" i="6"/>
  <c r="F47" i="6" s="1"/>
  <c r="C55" i="6"/>
  <c r="E60" i="6"/>
  <c r="C63" i="6"/>
  <c r="E68" i="6"/>
  <c r="C71" i="6"/>
  <c r="E76" i="6"/>
  <c r="C79" i="6"/>
  <c r="E84" i="6"/>
  <c r="C87" i="6"/>
  <c r="E92" i="6"/>
  <c r="C95" i="6"/>
  <c r="E100" i="6"/>
  <c r="C103" i="6"/>
  <c r="E108" i="6"/>
  <c r="C111" i="6"/>
  <c r="E116" i="6"/>
  <c r="C119" i="6"/>
  <c r="E124" i="6"/>
  <c r="C127" i="6"/>
  <c r="E132" i="6"/>
  <c r="C135" i="6"/>
  <c r="E140" i="6"/>
  <c r="C143" i="6"/>
  <c r="E148" i="6"/>
  <c r="C151" i="6"/>
  <c r="E156" i="6"/>
  <c r="C159" i="6"/>
  <c r="E164" i="6"/>
  <c r="C167" i="6"/>
  <c r="E172" i="6"/>
  <c r="C175" i="6"/>
  <c r="E180" i="6"/>
  <c r="C183" i="6"/>
  <c r="E188" i="6"/>
  <c r="C191" i="6"/>
  <c r="E196" i="6"/>
  <c r="C199" i="6"/>
  <c r="E204" i="6"/>
  <c r="C207" i="6"/>
  <c r="E212" i="6"/>
  <c r="C215" i="6"/>
  <c r="D23" i="6"/>
  <c r="B26" i="6"/>
  <c r="D31" i="6"/>
  <c r="B34" i="6"/>
  <c r="D39" i="6"/>
  <c r="B42" i="6"/>
  <c r="D47" i="6"/>
  <c r="B50" i="6"/>
  <c r="D55" i="6"/>
  <c r="B58" i="6"/>
  <c r="D63" i="6"/>
  <c r="B66" i="6"/>
  <c r="D71" i="6"/>
  <c r="B74" i="6"/>
  <c r="D79" i="6"/>
  <c r="B82" i="6"/>
  <c r="D87" i="6"/>
  <c r="B90" i="6"/>
  <c r="D95" i="6"/>
  <c r="B98" i="6"/>
  <c r="D103" i="6"/>
  <c r="B106" i="6"/>
  <c r="D111" i="6"/>
  <c r="B114" i="6"/>
  <c r="D119" i="6"/>
  <c r="B122" i="6"/>
  <c r="D127" i="6"/>
  <c r="B130" i="6"/>
  <c r="D135" i="6"/>
  <c r="B138" i="6"/>
  <c r="D143" i="6"/>
  <c r="B146" i="6"/>
  <c r="D151" i="6"/>
  <c r="B154" i="6"/>
  <c r="D159" i="6"/>
  <c r="B162" i="6"/>
  <c r="D167" i="6"/>
  <c r="B170" i="6"/>
  <c r="D175" i="6"/>
  <c r="B178" i="6"/>
  <c r="D183" i="6"/>
  <c r="B186" i="6"/>
  <c r="D191" i="6"/>
  <c r="B194" i="6"/>
  <c r="D199" i="6"/>
  <c r="B202" i="6"/>
  <c r="D207" i="6"/>
  <c r="B210" i="6"/>
  <c r="D215" i="6"/>
  <c r="B218" i="6"/>
  <c r="C26" i="6"/>
  <c r="F26" i="6" s="1"/>
  <c r="E31" i="6"/>
  <c r="C34" i="6"/>
  <c r="F34" i="6" s="1"/>
  <c r="E39" i="6"/>
  <c r="C42" i="6"/>
  <c r="F42" i="6" s="1"/>
  <c r="C50" i="6"/>
  <c r="E55" i="6"/>
  <c r="C58" i="6"/>
  <c r="E63" i="6"/>
  <c r="C66" i="6"/>
  <c r="E71" i="6"/>
  <c r="C74" i="6"/>
  <c r="E79" i="6"/>
  <c r="C82" i="6"/>
  <c r="E87" i="6"/>
  <c r="C90" i="6"/>
  <c r="E95" i="6"/>
  <c r="C98" i="6"/>
  <c r="E103" i="6"/>
  <c r="C106" i="6"/>
  <c r="E111" i="6"/>
  <c r="C114" i="6"/>
  <c r="E119" i="6"/>
  <c r="C122" i="6"/>
  <c r="E127" i="6"/>
  <c r="C130" i="6"/>
  <c r="E135" i="6"/>
  <c r="C138" i="6"/>
  <c r="E143" i="6"/>
  <c r="C146" i="6"/>
  <c r="E151" i="6"/>
  <c r="C154" i="6"/>
  <c r="E159" i="6"/>
  <c r="C162" i="6"/>
  <c r="E167" i="6"/>
  <c r="C170" i="6"/>
  <c r="E175" i="6"/>
  <c r="C178" i="6"/>
  <c r="E183" i="6"/>
  <c r="C186" i="6"/>
  <c r="E191" i="6"/>
  <c r="C194" i="6"/>
  <c r="E199" i="6"/>
  <c r="C202" i="6"/>
  <c r="E207" i="6"/>
  <c r="C210" i="6"/>
  <c r="E215" i="6"/>
  <c r="C218" i="6"/>
  <c r="B21" i="6"/>
  <c r="D26" i="6"/>
  <c r="B29" i="6"/>
  <c r="D34" i="6"/>
  <c r="B37" i="6"/>
  <c r="F37" i="6" s="1"/>
  <c r="D42" i="6"/>
  <c r="B45" i="6"/>
  <c r="D50" i="6"/>
  <c r="B53" i="6"/>
  <c r="D58" i="6"/>
  <c r="B61" i="6"/>
  <c r="D66" i="6"/>
  <c r="B69" i="6"/>
  <c r="D74" i="6"/>
  <c r="B77" i="6"/>
  <c r="D82" i="6"/>
  <c r="B85" i="6"/>
  <c r="D90" i="6"/>
  <c r="B93" i="6"/>
  <c r="D98" i="6"/>
  <c r="B101" i="6"/>
  <c r="D106" i="6"/>
  <c r="B109" i="6"/>
  <c r="D114" i="6"/>
  <c r="B117" i="6"/>
  <c r="D122" i="6"/>
  <c r="B125" i="6"/>
  <c r="D130" i="6"/>
  <c r="B133" i="6"/>
  <c r="D138" i="6"/>
  <c r="B141" i="6"/>
  <c r="D146" i="6"/>
  <c r="B149" i="6"/>
  <c r="D154" i="6"/>
  <c r="B157" i="6"/>
  <c r="D162" i="6"/>
  <c r="B165" i="6"/>
  <c r="D170" i="6"/>
  <c r="B173" i="6"/>
  <c r="D178" i="6"/>
  <c r="B181" i="6"/>
  <c r="D186" i="6"/>
  <c r="B189" i="6"/>
  <c r="D194" i="6"/>
  <c r="B197" i="6"/>
  <c r="D202" i="6"/>
  <c r="B205" i="6"/>
  <c r="D210" i="6"/>
  <c r="B213" i="6"/>
  <c r="D218" i="6"/>
  <c r="E146" i="6"/>
  <c r="E154" i="6"/>
  <c r="E162" i="6"/>
  <c r="E170" i="6"/>
  <c r="E178" i="6"/>
  <c r="E186" i="6"/>
  <c r="E194" i="6"/>
  <c r="C197" i="6"/>
  <c r="E202" i="6"/>
  <c r="C205" i="6"/>
  <c r="E210" i="6"/>
  <c r="C213" i="6"/>
  <c r="E218" i="6"/>
  <c r="B15" i="6" l="1"/>
  <c r="C15" i="6" s="1"/>
  <c r="E23" i="6"/>
  <c r="E36" i="6"/>
  <c r="F24" i="6"/>
  <c r="E33" i="6"/>
  <c r="E47" i="6"/>
  <c r="E43" i="6"/>
  <c r="E42" i="6"/>
  <c r="E25" i="6"/>
  <c r="F53" i="6"/>
  <c r="E53" i="6"/>
  <c r="F45" i="6"/>
  <c r="E45" i="6"/>
  <c r="E52" i="6"/>
  <c r="E35" i="6"/>
  <c r="E34" i="6"/>
  <c r="E27" i="6"/>
  <c r="E37" i="6"/>
  <c r="E26" i="6"/>
</calcChain>
</file>

<file path=xl/sharedStrings.xml><?xml version="1.0" encoding="utf-8"?>
<sst xmlns="http://schemas.openxmlformats.org/spreadsheetml/2006/main" count="1138" uniqueCount="579">
  <si>
    <t xml:space="preserve">MẪU NHẬP KỊCH BẢN GAME TƯƠNG TÁC </t>
  </si>
  <si>
    <t>Workbook chuẩn hóa cấu trúc từ 15-movie-template.ts. Team tài liệu nhập ô màu vàng; team dev dùng các bảng dữ liệu đã chuẩn hóa để dựng mảng script JSON/TypeScript và upsert movie.</t>
  </si>
  <si>
    <t>1. QUY TRÌNH SỬ DỤNG</t>
  </si>
  <si>
    <t>Bước</t>
  </si>
  <si>
    <t>Người thực hiện</t>
  </si>
  <si>
    <t>Thao tác</t>
  </si>
  <si>
    <t>Kết quả cần đạt</t>
  </si>
  <si>
    <t>Không được làm</t>
  </si>
  <si>
    <t>Team tài liệu</t>
  </si>
  <si>
    <t>Điền 01_THONG_TIN_Game</t>
  </si>
  <si>
    <t>Đủ mã chương, mục, tiêu đề và thông tin seed</t>
  </si>
  <si>
    <t>Không đổi tên trường kỹ thuật</t>
  </si>
  <si>
    <t>Điền 02_KICH_BAN_NODES theo NodeOrder</t>
  </si>
  <si>
    <t>Mỗi dòng là 1 scene/say/choice/act/end</t>
  </si>
  <si>
    <t>Không gộp nhiều node trong một dòng</t>
  </si>
  <si>
    <t>Điền 03_LUA_CHON theo ChoiceNodeId</t>
  </si>
  <si>
    <t>Mỗi choice có 2–4 phương án và đúng quy tắc ChoiceMode</t>
  </si>
  <si>
    <t>Không bỏ phản hồi phương án</t>
  </si>
  <si>
    <t>Reviewer</t>
  </si>
  <si>
    <t>Kiểm tra 05_KIEM_TRA_QA</t>
  </si>
  <si>
    <t>Không còn lỗi cấu trúc; checklist chuyên môn đạt</t>
  </si>
  <si>
    <t>Không bàn giao khi còn CẦN SỬA</t>
  </si>
  <si>
    <t>Team dev</t>
  </si>
  <si>
    <t>Chuyển đổi theo 06_DEV_MAPPING</t>
  </si>
  <si>
    <t>Seed chạy được và upsert theo muc</t>
  </si>
  <si>
    <t>Không tự thay đổi nội dung chuyên môn</t>
  </si>
  <si>
    <t>2. QUY ƯỚC MÀU VÀ TRẠNG THÁI</t>
  </si>
  <si>
    <t>Màu/Trạng thái</t>
  </si>
  <si>
    <t>Ý nghĩa</t>
  </si>
  <si>
    <t>Hành động</t>
  </si>
  <si>
    <t>Ô màu vàng</t>
  </si>
  <si>
    <t>Dữ liệu team tài liệu được phép nhập/sửa</t>
  </si>
  <si>
    <t>Điền nội dung, không xóa tiêu đề cột</t>
  </si>
  <si>
    <t>Ô màu xám</t>
  </si>
  <si>
    <t>Công thức hoặc thông tin kỹ thuật</t>
  </si>
  <si>
    <t>Không sửa</t>
  </si>
  <si>
    <t>HỢP LỆ</t>
  </si>
  <si>
    <t>Dòng đạt kiểm tra cấu trúc cơ bản</t>
  </si>
  <si>
    <t>Chuyển sang review chuyên môn</t>
  </si>
  <si>
    <t>CẦN SỬA</t>
  </si>
  <si>
    <t>Thiếu dữ liệu, sai liên kết hoặc sai quy tắc</t>
  </si>
  <si>
    <t>Đọc cột Lỗi cấu trúc và chỉnh lại</t>
  </si>
  <si>
    <t>3. QUY TẮC NỘI DUNG BẮT BUỘC</t>
  </si>
  <si>
    <t>Nhóm</t>
  </si>
  <si>
    <t>Quy tắc</t>
  </si>
  <si>
    <t>Mức độ</t>
  </si>
  <si>
    <t>Lý do</t>
  </si>
  <si>
    <t>Cấu trúc game</t>
  </si>
  <si>
    <t>Thông thường 2–4 màn; mỗi màn bắt đầu bằng scene, kết thúc bằng act; toàn game có đúng 1 end.</t>
  </si>
  <si>
    <t>Bắt buộc</t>
  </si>
  <si>
    <t>Khớp ScriptNode trong template.</t>
  </si>
  <si>
    <t>Choice kiến thức</t>
  </si>
  <si>
    <t>ChoiceMode = Kiến thức: 2–4 phương án và đúng 1 IsCorrect = Có.</t>
  </si>
  <si>
    <t>Dùng để kiểm tra và chấm đúng/sai.</t>
  </si>
  <si>
    <t>Choice tương tác</t>
  </si>
  <si>
    <t>ChoiceMode = Tương tác: 2–4 phương án và không đánh dấu đáp án đúng; có thể dùng dc.</t>
  </si>
  <si>
    <t>Khớp các lựa chọn thái độ/thiện cảm trong kịch bản mẫu.</t>
  </si>
  <si>
    <t>Phản hồi</t>
  </si>
  <si>
    <t>Mọi phương án phải có ReplyText; phương án sai của câu kiến thức phải giải thích vì sao sai.</t>
  </si>
  <si>
    <t>Bảo đảm giá trị học tập.</t>
  </si>
  <si>
    <t>Nhân vật</t>
  </si>
  <si>
    <t>Chỉ dùng SpeakerKey trong danh mục; nhân vật mới phải được dev bổ sung vào CHARACTERS.</t>
  </si>
  <si>
    <t>Tránh key không tồn tại.</t>
  </si>
  <si>
    <t>Cảnh nền</t>
  </si>
  <si>
    <t>Chỉ dùng Background trong danh mục; cảnh mới cần asset/SVG được dev xác nhận.</t>
  </si>
  <si>
    <t>Tránh thiếu tài nguyên giao diện.</t>
  </si>
  <si>
    <t>Văn bản</t>
  </si>
  <si>
    <t>Không dùng HTML; câu hỏi không đánh đố; lời thoại tự nhiên, phù hợp vai trò.</t>
  </si>
  <si>
    <t>Khuyến nghị cao</t>
  </si>
  <si>
    <t>Theo nguyên tắc biên soạn của template.</t>
  </si>
  <si>
    <t>Thứ tự</t>
  </si>
  <si>
    <t>NodeOrder và NodeId phải duy nhất; option sắp xếp bằng OptionOrder.</t>
  </si>
  <si>
    <t>Bảo toàn thứ tự mảng script/opts.</t>
  </si>
  <si>
    <t>4. TRƯỜNG HỢP ĐẶC BIỆT</t>
  </si>
  <si>
    <t>Tình huống</t>
  </si>
  <si>
    <t>Cách xử lý</t>
  </si>
  <si>
    <t>Lời dẫn chuyện</t>
  </si>
  <si>
    <t>NodeType = say, SpeakerKey = narr, Mood để trống.</t>
  </si>
  <si>
    <t>Choice mở đầu kiểu “Bạn sẵn sàng chứ?”</t>
  </si>
  <si>
    <t>Chọn ChoiceMode = Tương tác; IsCorrect của mọi option = Không; dùng dc nếu cần.</t>
  </si>
  <si>
    <t>Thêm nhân vật/cảnh nền</t>
  </si>
  <si>
    <t>Bổ sung tại 04_DANH_MUC, ghi rõ cần dev bổ sung và chỉ dùng sau khi được duyệt.</t>
  </si>
  <si>
    <t>Điểm thiện cảm dc</t>
  </si>
  <si>
    <t>Nhập số nguyên dương/âm khi cần; để trống để dùng cơ chế mặc định.</t>
  </si>
  <si>
    <t>Thông tin mẫu</t>
  </si>
  <si>
    <t>Giá trị</t>
  </si>
  <si>
    <t>Nguồn cấu trúc</t>
  </si>
  <si>
    <t>15-movie-template.ts</t>
  </si>
  <si>
    <t>Phiên bản workbook</t>
  </si>
  <si>
    <t>1.1.0 — 2026-07-10</t>
  </si>
  <si>
    <t>01 — THÔNG TIN game / THÔNG SỐ SEED</t>
  </si>
  <si>
    <t>Điền cột Giá trị. Trường có Bắt buộc = Có phải hoàn thành trước khi bàn giao.</t>
  </si>
  <si>
    <t>Trường kỹ thuật</t>
  </si>
  <si>
    <t>Ví dụ</t>
  </si>
  <si>
    <t>Quy tắc / Ghi chú</t>
  </si>
  <si>
    <t>chapterCode</t>
  </si>
  <si>
    <t>Có</t>
  </si>
  <si>
    <t>2</t>
  </si>
  <si>
    <t>Phải tồn tại trong bảng chapter trước khi seed.</t>
  </si>
  <si>
    <t>muc</t>
  </si>
  <si>
    <t>2.1</t>
  </si>
  <si>
    <t>Khóa nghiệp vụ dùng tìm movie hiện có để update/create.</t>
  </si>
  <si>
    <t>movieTitle</t>
  </si>
  <si>
    <t>game tương tác: Hàng hóa và tiền tệ</t>
  </si>
  <si>
    <t>Tên hiển thị của game.</t>
  </si>
  <si>
    <t>seedFunctionName</t>
  </si>
  <si>
    <t>seedMovieChuong2</t>
  </si>
  <si>
    <t>camelCase, không dấu, duy nhất.</t>
  </si>
  <si>
    <t>outputFileName</t>
  </si>
  <si>
    <t>16-movie-chuong-2.ts</t>
  </si>
  <si>
    <t>Tên file TypeScript sau chuyển đổi.</t>
  </si>
  <si>
    <t>seedLogLabel</t>
  </si>
  <si>
    <t>Interactive Movies (Chương 2)</t>
  </si>
  <si>
    <t>Nhãn dùng trong seedLog().</t>
  </si>
  <si>
    <t>author</t>
  </si>
  <si>
    <t>Nguyễn Văn A</t>
  </si>
  <si>
    <t>Người biên soạn.</t>
  </si>
  <si>
    <t>reviewer</t>
  </si>
  <si>
    <t>Trần Thị B</t>
  </si>
  <si>
    <t>Người duyệt nội dung.</t>
  </si>
  <si>
    <t>version</t>
  </si>
  <si>
    <t>1.1</t>
  </si>
  <si>
    <t>Tăng version khi chỉnh sau bàn giao.</t>
  </si>
  <si>
    <t>documentStatus</t>
  </si>
  <si>
    <t>Đã duyệt</t>
  </si>
  <si>
    <t>Chỉ bàn giao khi Đã duyệt.</t>
  </si>
  <si>
    <t>sourceReference</t>
  </si>
  <si>
    <t>Không</t>
  </si>
  <si>
    <t>Giáo trình Chương 2, trang 30–45</t>
  </si>
  <si>
    <t>Nguồn chuyên môn.</t>
  </si>
  <si>
    <t>changeSummary</t>
  </si>
  <si>
    <t>Tạo mới kịch bản Chương 2</t>
  </si>
  <si>
    <t>Tóm tắt thay đổi.</t>
  </si>
  <si>
    <t>KIỂM TRA NHANH</t>
  </si>
  <si>
    <t>Chỉ số</t>
  </si>
  <si>
    <t>Trạng thái</t>
  </si>
  <si>
    <t>Trường bắt buộc còn trống</t>
  </si>
  <si>
    <t>Trạng thái tài liệu</t>
  </si>
  <si>
    <t>Sẵn sàng bàn giao dev</t>
  </si>
  <si>
    <t>Ghi chú</t>
  </si>
  <si>
    <t>Công thức chỉ kiểm tra cấu trúc; reviewer vẫn phải kiểm tra kiến thức.</t>
  </si>
  <si>
    <t>02 — KỊCH BẢN: DANH SÁCH SCRIPT NODE</t>
  </si>
  <si>
    <t>Mỗi dòng là một ScriptNode. ChoiceMode chỉ dùng để QA/biên soạn và không cần ghi vào object TypeScript.</t>
  </si>
  <si>
    <t>NodeOrder*</t>
  </si>
  <si>
    <t>NodeId*</t>
  </si>
  <si>
    <t>ActNo</t>
  </si>
  <si>
    <t>NodeType*</t>
  </si>
  <si>
    <t>ChoiceMode</t>
  </si>
  <si>
    <t>Background</t>
  </si>
  <si>
    <t>SceneName</t>
  </si>
  <si>
    <t>SpeakerKey</t>
  </si>
  <si>
    <t>Mood</t>
  </si>
  <si>
    <t>Text / Question</t>
  </si>
  <si>
    <t>ActRoman</t>
  </si>
  <si>
    <t>Ghi chú biên soạn</t>
  </si>
  <si>
    <t>Lỗi cấu trúc</t>
  </si>
  <si>
    <t>03 — PHƯƠNG ÁN CHO CÁC NODE CHOICE</t>
  </si>
  <si>
    <t>Choice kiến thức: đúng 1 đáp án. Choice tương tác: không có đáp án đúng, có thể nhập dc để thay đổi thiện cảm.</t>
  </si>
  <si>
    <t>ChoiceNodeId*</t>
  </si>
  <si>
    <t>OptionOrder*</t>
  </si>
  <si>
    <t>OptionText*</t>
  </si>
  <si>
    <t>IsCorrect*</t>
  </si>
  <si>
    <t>dc</t>
  </si>
  <si>
    <t>ReplySpeaker*</t>
  </si>
  <si>
    <t>ReplyMood</t>
  </si>
  <si>
    <t>ReplyText*</t>
  </si>
  <si>
    <t>04 — DANH MỤC KỸ THUẬT DÙNG CHUNG</t>
  </si>
  <si>
    <t>Các vùng danh mục là nguồn dropdown. Dòng trống phía dưới dành cho tài nguyên mới đã được dev xác nhận.</t>
  </si>
  <si>
    <t>NHÂN VẬT</t>
  </si>
  <si>
    <t>CẢNH NỀN</t>
  </si>
  <si>
    <t>MOOD</t>
  </si>
  <si>
    <t>NODE TYPE</t>
  </si>
  <si>
    <t>Tên hiển thị</t>
  </si>
  <si>
    <t>Vai trò</t>
  </si>
  <si>
    <t>BackgroundKey</t>
  </si>
  <si>
    <t>Mô tả</t>
  </si>
  <si>
    <t>Tình trạng asset</t>
  </si>
  <si>
    <t>MoodKey</t>
  </si>
  <si>
    <t>Ý nghĩa gợi ý</t>
  </si>
  <si>
    <t>NodeType</t>
  </si>
  <si>
    <t>Trường bắt buộc</t>
  </si>
  <si>
    <t>Object đầu ra</t>
  </si>
  <si>
    <t>narr</t>
  </si>
  <si>
    <t>thukho</t>
  </si>
  <si>
    <t>Thư khố / tầng hầm lưu trữ, tông nâu ấm</t>
  </si>
  <si>
    <t>Có sẵn</t>
  </si>
  <si>
    <t>neutral</t>
  </si>
  <si>
    <t>Bình thường / trung lập</t>
  </si>
  <si>
    <t>scene</t>
  </si>
  <si>
    <t>ActNo, Background, SceneName</t>
  </si>
  <si>
    <t>{ t: "scene", bg, act, name }</t>
  </si>
  <si>
    <t>you</t>
  </si>
  <si>
    <t>Bạn</t>
  </si>
  <si>
    <t>Trợ lý nghiên cứu</t>
  </si>
  <si>
    <t>hoithao</t>
  </si>
  <si>
    <t>Hội trường / hội thảo, tông tím xanh</t>
  </si>
  <si>
    <t>happy</t>
  </si>
  <si>
    <t>Vui / khích lệ</t>
  </si>
  <si>
    <t>say</t>
  </si>
  <si>
    <t>SpeakerKey, Text; Mood trừ narr</t>
  </si>
  <si>
    <t>{ t: "say", who, mood?, text }</t>
  </si>
  <si>
    <t>lam</t>
  </si>
  <si>
    <t>GS. Lâm</t>
  </si>
  <si>
    <t>Người hướng dẫn</t>
  </si>
  <si>
    <t>buctham</t>
  </si>
  <si>
    <t>Bục thẩm / khán phòng, tông đỏ trầm</t>
  </si>
  <si>
    <t>concern</t>
  </si>
  <si>
    <t>Quan ngại / sửa sai nhẹ nhàng</t>
  </si>
  <si>
    <t>choice</t>
  </si>
  <si>
    <t>ChoiceMode, SpeakerKey, Mood, Question + options</t>
  </si>
  <si>
    <t>{ t: "choice", who, mood, q, opts }</t>
  </si>
  <si>
    <t>an</t>
  </si>
  <si>
    <t>Thủ thư An</t>
  </si>
  <si>
    <t>Thủ thư lưu trữ</t>
  </si>
  <si>
    <t>stern</t>
  </si>
  <si>
    <t>Nghiêm khắc / phản biện</t>
  </si>
  <si>
    <t>act</t>
  </si>
  <si>
    <t>{ t: "act", n }</t>
  </si>
  <si>
    <t>khoa</t>
  </si>
  <si>
    <t>TS. Khoa</t>
  </si>
  <si>
    <t>Phản biện viên</t>
  </si>
  <si>
    <t>end</t>
  </si>
  <si>
    <t>Không có trường phụ</t>
  </si>
  <si>
    <t>{ t: "end" }</t>
  </si>
  <si>
    <t>minh</t>
  </si>
  <si>
    <t>SV. Minh</t>
  </si>
  <si>
    <t>Sinh viên</t>
  </si>
  <si>
    <t>05 — KIỂM TRA CHẤT LƯỢNG TRƯỚC KHI BÀN GIAO</t>
  </si>
  <si>
    <t>QA tự động kiểm tra cấu trúc; reviewer vẫn cần duyệt kiến thức, chính tả và tính tự nhiên.</t>
  </si>
  <si>
    <t>TỔNG QUAN</t>
  </si>
  <si>
    <t>Tổng node</t>
  </si>
  <si>
    <t>Scene</t>
  </si>
  <si>
    <t>Say</t>
  </si>
  <si>
    <t>Choice</t>
  </si>
  <si>
    <t>Act</t>
  </si>
  <si>
    <t>End</t>
  </si>
  <si>
    <t>Lỗi node</t>
  </si>
  <si>
    <t>Lỗi option</t>
  </si>
  <si>
    <t>CÁC ĐIỀU KIỆN BẮT BUỘC</t>
  </si>
  <si>
    <t>Kiểm tra</t>
  </si>
  <si>
    <t>Kết quả</t>
  </si>
  <si>
    <t>Có đúng 1 node end</t>
  </si>
  <si>
    <t>Giữ đúng một end ở cuối phim.</t>
  </si>
  <si>
    <t>Không có lỗi node</t>
  </si>
  <si>
    <t>Xem cột Lỗi cấu trúc sheet 02.</t>
  </si>
  <si>
    <t>Không có lỗi option</t>
  </si>
  <si>
    <t>Xem cột Lỗi cấu trúc sheet 03.</t>
  </si>
  <si>
    <t>Số scene thông thường 2–4</t>
  </si>
  <si>
    <t>Ngoài khoảng cần reviewer xác nhận.</t>
  </si>
  <si>
    <t>Metadata sẵn sàng</t>
  </si>
  <si>
    <t>Hoàn tất sheet 01 và Đã duyệt.</t>
  </si>
  <si>
    <t>KẾT LUẬN BÀN GIAO</t>
  </si>
  <si>
    <t>Chỉ bàn giao khi SẴN SÀNG.</t>
  </si>
  <si>
    <t>KIỂM TRA TỪNG CHOICE NODE</t>
  </si>
  <si>
    <t>CHECKLIST REVIEWER</t>
  </si>
  <si>
    <t>ChoiceNodeId</t>
  </si>
  <si>
    <t>Số option</t>
  </si>
  <si>
    <t>Số đáp án đúng</t>
  </si>
  <si>
    <t>Lỗi</t>
  </si>
  <si>
    <t>Mục review</t>
  </si>
  <si>
    <t>Xác nhận</t>
  </si>
  <si>
    <t>Kiến thức đúng nguồn</t>
  </si>
  <si>
    <t>Chưa kiểm tra</t>
  </si>
  <si>
    <t>Câu hỏi không đánh đố</t>
  </si>
  <si>
    <t>Phản hồi sai có giải thích</t>
  </si>
  <si>
    <t>Lời thoại tự nhiên, đúng vai</t>
  </si>
  <si>
    <t>Không có HTML / lỗi chính tả</t>
  </si>
  <si>
    <t>Tên màn và chuyển cảnh hợp lý</t>
  </si>
  <si>
    <t>Đã chạy thử seed ở môi trường dev</t>
  </si>
  <si>
    <t>06 — MAPPING EXCEL → TYPESCRIPT / PRISMA SEED</t>
  </si>
  <si>
    <t>Dành cho dev. ChoiceMode là metadata biên soạn, chỉ dùng để validate và không xuất vào ScriptNode.</t>
  </si>
  <si>
    <t>1. MAPPING THÔNG TIN MOVIE</t>
  </si>
  <si>
    <t>Excel</t>
  </si>
  <si>
    <t>Biến seed</t>
  </si>
  <si>
    <t>Prisma / Mục đích</t>
  </si>
  <si>
    <t>01!chapterCode</t>
  </si>
  <si>
    <t>chapter.findUnique({ where: { code } })</t>
  </si>
  <si>
    <t>Không tìm thấy chapter thì cảnh báo và return.</t>
  </si>
  <si>
    <t>01!muc</t>
  </si>
  <si>
    <t>movie.findFirst({ where: { muc } })</t>
  </si>
  <si>
    <t>Khóa xác định update/create.</t>
  </si>
  <si>
    <t>01!movieTitle</t>
  </si>
  <si>
    <t>movie.title</t>
  </si>
  <si>
    <t>Tên hiển thị.</t>
  </si>
  <si>
    <t>01!seedFunctionName</t>
  </si>
  <si>
    <t>Tên export function</t>
  </si>
  <si>
    <t>Đăng ký vào seed/index.ts</t>
  </si>
  <si>
    <t>Phải duy nhất.</t>
  </si>
  <si>
    <t>01!seedLogLabel</t>
  </si>
  <si>
    <t>seedLog(label, 1)</t>
  </si>
  <si>
    <t>Log seed</t>
  </si>
  <si>
    <t>Đổi theo chương.</t>
  </si>
  <si>
    <t>2. MAPPING SCRIPT NODE</t>
  </si>
  <si>
    <t>Excel fields</t>
  </si>
  <si>
    <t>Bỏ qua khi rỗng</t>
  </si>
  <si>
    <t>Liên kết option</t>
  </si>
  <si>
    <t>Background, ActNo, SceneName</t>
  </si>
  <si>
    <t>{ t:"scene", bg, act, name }</t>
  </si>
  <si>
    <t>NodeOrder</t>
  </si>
  <si>
    <t>Đủ 3 trường</t>
  </si>
  <si>
    <t>Đầu màn.</t>
  </si>
  <si>
    <t>SpeakerKey, Mood, Text</t>
  </si>
  <si>
    <t>{ t:"say", who, mood?, text }</t>
  </si>
  <si>
    <t>mood</t>
  </si>
  <si>
    <t>who/text bắt buộc</t>
  </si>
  <si>
    <t>narr thường không có mood.</t>
  </si>
  <si>
    <t>SpeakerKey, Mood, Question</t>
  </si>
  <si>
    <t>{ t:"choice", who, mood, q, opts }</t>
  </si>
  <si>
    <t>Join 03 theo ChoiceNodeId</t>
  </si>
  <si>
    <t>NodeOrder + OptionOrder</t>
  </si>
  <si>
    <t>2–4 opts, theo ChoiceMode</t>
  </si>
  <si>
    <t>Không xuất ChoiceMode.</t>
  </si>
  <si>
    <t>{ t:"act", n }</t>
  </si>
  <si>
    <t>n bắt buộc</t>
  </si>
  <si>
    <t>Cuối màn.</t>
  </si>
  <si>
    <t>{ t:"end" }</t>
  </si>
  <si>
    <t>Tất cả</t>
  </si>
  <si>
    <t>Đúng 1 node</t>
  </si>
  <si>
    <t>Cuối phim.</t>
  </si>
  <si>
    <t>3. MAPPING CHOICE OPTION</t>
  </si>
  <si>
    <t>Excel field</t>
  </si>
  <si>
    <t>Output field</t>
  </si>
  <si>
    <t>Lưu ý</t>
  </si>
  <si>
    <t>OptionText</t>
  </si>
  <si>
    <t>text</t>
  </si>
  <si>
    <t>Giữ nguyên chuỗi</t>
  </si>
  <si>
    <t>Em sẵn sàng.</t>
  </si>
  <si>
    <t>Không tự thêm A/B/C nếu UI không yêu cầu.</t>
  </si>
  <si>
    <t>IsCorrect</t>
  </si>
  <si>
    <t>correct</t>
  </si>
  <si>
    <t>Chỉ xuất correct:true khi "Có"</t>
  </si>
  <si>
    <t>true</t>
  </si>
  <si>
    <t>Tương tác: tất cả = Không; không xuất false.</t>
  </si>
  <si>
    <t>Chỉ xuất khi có số</t>
  </si>
  <si>
    <t>8 hoặc -2</t>
  </si>
  <si>
    <t>Dùng cho thiện cảm.</t>
  </si>
  <si>
    <t>ReplySpeaker</t>
  </si>
  <si>
    <t>reply.who</t>
  </si>
  <si>
    <t>Key hợp lệ</t>
  </si>
  <si>
    <t>reply.t luôn là say.</t>
  </si>
  <si>
    <t>reply.mood</t>
  </si>
  <si>
    <t>Bỏ qua nếu trống</t>
  </si>
  <si>
    <t>narr thường trống.</t>
  </si>
  <si>
    <t>ReplyText</t>
  </si>
  <si>
    <t>reply.text</t>
  </si>
  <si>
    <t>Giữ nguyên</t>
  </si>
  <si>
    <t>Tinh thần tốt.</t>
  </si>
  <si>
    <t>Sai kiến thức cần giải thích.</t>
  </si>
  <si>
    <t>4. THUẬT TOÁN CHUYỂN ĐỔI ĐỀ XUẤT</t>
  </si>
  <si>
    <t>Xử lý</t>
  </si>
  <si>
    <t>Chi tiết</t>
  </si>
  <si>
    <t>Đọc metadata</t>
  </si>
  <si>
    <t>Lấy chapterCode, muc, movieTitle, tên hàm/file.</t>
  </si>
  <si>
    <t>Đọc node</t>
  </si>
  <si>
    <t>Bỏ NodeOrder trống; sort tăng dần; kiểm tra NodeId duy nhất.</t>
  </si>
  <si>
    <t>Đọc option</t>
  </si>
  <si>
    <t>Bỏ ChoiceNodeId trống; group theo ID; sort OptionOrder.</t>
  </si>
  <si>
    <t>Dựng script</t>
  </si>
  <si>
    <t>Switch NodeType; choice gắn opts đã group; bỏ ChoiceMode.</t>
  </si>
  <si>
    <t>Tạo option</t>
  </si>
  <si>
    <t>correct chỉ khi Có; dc/mood chỉ khi có giá trị; reply luôn t=say.</t>
  </si>
  <si>
    <t>Upsert movie</t>
  </si>
  <si>
    <t>Tìm chapter; tìm movie theo muc; update hoặc create.</t>
  </si>
  <si>
    <t>Đăng ký seed</t>
  </si>
  <si>
    <t>Import và gọi hàm trong services/src/seed/index.ts.</t>
  </si>
  <si>
    <t>5. MẪU OBJECT ĐẦU RA</t>
  </si>
  <si>
    <t>Loại</t>
  </si>
  <si>
    <t>Ví dụ TypeScript / JSON tương ứng</t>
  </si>
  <si>
    <t>{ t: "scene", bg: "thukho", act: 1, name: "Màn I · Nguồn gốc" }</t>
  </si>
  <si>
    <t>{ t: "say", who: "lam", mood: "neutral", text: "Chào trợ lý mới." }</t>
  </si>
  <si>
    <t>{ t: "choice", who: "lam", mood: "neutral", q: "...", opts: [ /* từ sheet 03 */ ] }</t>
  </si>
  <si>
    <t>{ t: "act", n: "I" }</t>
  </si>
  <si>
    <t>6</t>
  </si>
  <si>
    <t>6.1</t>
  </si>
  <si>
    <t>Game tương tác: Công nghiệp hóa, hiện đại hóa ở Việt Nam</t>
  </si>
  <si>
    <t>seedMovieChuong6Muc61</t>
  </si>
  <si>
    <t>18-movie-chuong-6-muc-6-1.ts</t>
  </si>
  <si>
    <t>Interactive Movies (Chương 6 - Mục 6.1)</t>
  </si>
  <si>
    <t>1.0</t>
  </si>
  <si>
    <t>Đang soạn</t>
  </si>
  <si>
    <t>Giáo trình Kinh tế chính trị Mác - Lênin, Chương 6, Mục 6.1, trang gốc 140–162.</t>
  </si>
  <si>
    <t>Bao phủ các cuộc cách mạng công nghiệp, mô hình công nghiệp hóa và công nghiệp hóa, hiện đại hóa ở Việt Nam.</t>
  </si>
  <si>
    <t>N001</t>
  </si>
  <si>
    <t>Màn I · Bốn cuộc cách mạng công nghiệp</t>
  </si>
  <si>
    <t>Bắt đầu màn 1</t>
  </si>
  <si>
    <t>N002</t>
  </si>
  <si>
    <t>Bốn cánh cửa mang ký hiệu 1.0, 2.0, 3.0 và 4.0 lần lượt phát sáng. Mỗi cánh cửa mô phỏng một bước nhảy về tư liệu lao động, năng lượng và tổ chức sản xuất.</t>
  </si>
  <si>
    <t>N003</t>
  </si>
  <si>
    <t>Muốn hiểu công nghiệp hóa, hiện đại hóa ở Việt Nam, trước hết phải nắm lịch sử và tác động của các cuộc cách mạng công nghiệp.</t>
  </si>
  <si>
    <t>N004</t>
  </si>
  <si>
    <t>Tương tác</t>
  </si>
  <si>
    <t>Bạn muốn đi qua các cánh cửa công nghiệp theo cách nào?</t>
  </si>
  <si>
    <t>Nhập option ở sheet 03</t>
  </si>
  <si>
    <t>N005</t>
  </si>
  <si>
    <t>Kiến thức</t>
  </si>
  <si>
    <t>Cách mạng công nghiệp được hiểu là gì?</t>
  </si>
  <si>
    <t>N006</t>
  </si>
  <si>
    <t>Đặc trưng trung tâm của cuộc cách mạng công nghiệp lần thứ nhất là gì?</t>
  </si>
  <si>
    <t>N007</t>
  </si>
  <si>
    <t>Nền tảng chủ yếu của cuộc cách mạng công nghiệp lần thứ hai là gì?</t>
  </si>
  <si>
    <t>N008</t>
  </si>
  <si>
    <t>Cuộc cách mạng công nghiệp lần thứ ba gắn với bước chuyển nào?</t>
  </si>
  <si>
    <t>N009</t>
  </si>
  <si>
    <t>Đặc trưng nổi bật của cuộc cách mạng công nghiệp lần thứ tư là gì?</t>
  </si>
  <si>
    <t>N010</t>
  </si>
  <si>
    <t>Tác động chung của các cuộc cách mạng công nghiệp đối với xã hội là gì?</t>
  </si>
  <si>
    <t>N011</t>
  </si>
  <si>
    <t>I</t>
  </si>
  <si>
    <t>Kết thúc màn I</t>
  </si>
  <si>
    <t>N012</t>
  </si>
  <si>
    <t>Màn II · Công nghiệp hóa và các mô hình tiêu biểu</t>
  </si>
  <si>
    <t>Bắt đầu màn 2</t>
  </si>
  <si>
    <t>N013</t>
  </si>
  <si>
    <t>Ba bản đồ lịch sử xuất hiện: công nghiệp hóa cổ điển ở Anh, mô hình kế hoạch hóa tập trung của Liên Xô và con đường rút ngắn của Nhật Bản cùng các nền kinh tế công nghiệp mới.</t>
  </si>
  <si>
    <t>N014</t>
  </si>
  <si>
    <t>Không có một mô hình duy nhất áp dụng nguyên xi cho mọi nước; mỗi con đường gắn với điều kiện lịch sử riêng.</t>
  </si>
  <si>
    <t>N015</t>
  </si>
  <si>
    <t>Công nghiệp hóa được hiểu là gì?</t>
  </si>
  <si>
    <t>N016</t>
  </si>
  <si>
    <t>Mô hình công nghiệp hóa cổ điển có đặc điểm chủ yếu nào?</t>
  </si>
  <si>
    <t>N017</t>
  </si>
  <si>
    <t>Mô hình công nghiệp hóa kiểu Liên Xô trước đây nhấn mạnh điều gì?</t>
  </si>
  <si>
    <t>N018</t>
  </si>
  <si>
    <t>Con đường công nghiệp hóa của Nhật Bản và các nền kinh tế công nghiệp mới có điểm nổi bật nào?</t>
  </si>
  <si>
    <t>N019</t>
  </si>
  <si>
    <t>Bài học quan trọng đối với một quốc gia đi sau là gì?</t>
  </si>
  <si>
    <t>N020</t>
  </si>
  <si>
    <t>II</t>
  </si>
  <si>
    <t>Kết thúc màn II</t>
  </si>
  <si>
    <t>N021</t>
  </si>
  <si>
    <t>Màn III · Công nghiệp hóa, hiện đại hóa ở Việt Nam</t>
  </si>
  <si>
    <t>Bắt đầu màn 3</t>
  </si>
  <si>
    <t>N022</t>
  </si>
  <si>
    <t>Bản đồ Việt Nam hiện lên với nông nghiệp, công nghiệp, dịch vụ, đô thị, nông thôn, hạ tầng, khoa học - công nghệ và nguồn nhân lực được kết nối.</t>
  </si>
  <si>
    <t>N023</t>
  </si>
  <si>
    <t>Ở Việt Nam, công nghiệp hóa, hiện đại hóa là quá trình toàn diện trong kinh tế thị trường định hướng xã hội chủ nghĩa và hội nhập.</t>
  </si>
  <si>
    <t>N024</t>
  </si>
  <si>
    <t>Vì sao công nghiệp hóa, hiện đại hóa là tất yếu khách quan đối với Việt Nam?</t>
  </si>
  <si>
    <t>N025</t>
  </si>
  <si>
    <t>Đặc điểm chủ yếu của công nghiệp hóa, hiện đại hóa ở Việt Nam hiện nay là gì?</t>
  </si>
  <si>
    <t>N026</t>
  </si>
  <si>
    <t>Điều kiện quan trọng để thực hiện thành công công nghiệp hóa, hiện đại hóa là gì?</t>
  </si>
  <si>
    <t>N027</t>
  </si>
  <si>
    <t>Nội dung nào thể hiện đúng việc chuyển đổi nền sản xuất - xã hội lạc hậu sang hiện đại?</t>
  </si>
  <si>
    <t>N028</t>
  </si>
  <si>
    <t>Nguồn nhân lực giữ vai trò như thế nào?</t>
  </si>
  <si>
    <t>N029</t>
  </si>
  <si>
    <t>Hiện đại hóa nông nghiệp, nông thôn cần gắn với nội dung nào?</t>
  </si>
  <si>
    <t>N030</t>
  </si>
  <si>
    <t>III</t>
  </si>
  <si>
    <t>Kết thúc màn III</t>
  </si>
  <si>
    <t>N031</t>
  </si>
  <si>
    <t>Màn IV · Thích ứng với cách mạng công nghiệp 4.0</t>
  </si>
  <si>
    <t>Bắt đầu màn 4</t>
  </si>
  <si>
    <t>N032</t>
  </si>
  <si>
    <t>Hệ thống mô phỏng chuyển sang dữ liệu thời gian thực, robot, trí tuệ nhân tạo và chuỗi cung ứng số. Cơ hội rút ngắn đi kèm nguy cơ tụt hậu và mất việc cục bộ.</t>
  </si>
  <si>
    <t>N033</t>
  </si>
  <si>
    <t>Công nghiệp 4.0 không tự động đưa một quốc gia đi lên; kết quả phụ thuộc thể chế, công nghệ, nhân lực và cách phân phối cơ hội.</t>
  </si>
  <si>
    <t>N034</t>
  </si>
  <si>
    <t>Cơ hội và thách thức lớn của cách mạng công nghiệp 4.0 đối với Việt Nam là gì?</t>
  </si>
  <si>
    <t>N035</t>
  </si>
  <si>
    <t>Nhóm giải pháp nào phù hợp trong bối cảnh mới?</t>
  </si>
  <si>
    <t>N036</t>
  </si>
  <si>
    <t>Trách nhiệm phù hợp của sinh viên và người lao động là gì?</t>
  </si>
  <si>
    <t>N037</t>
  </si>
  <si>
    <t>Bạn đã hoàn thành mục 6.1: các cuộc cách mạng công nghiệp, mô hình công nghiệp hóa và công nghiệp hóa, hiện đại hóa ở Việt Nam.</t>
  </si>
  <si>
    <t>N038</t>
  </si>
  <si>
    <t>IV</t>
  </si>
  <si>
    <t>Kết thúc màn IV</t>
  </si>
  <si>
    <t>N039</t>
  </si>
  <si>
    <t>Kết thúc toàn bộ game</t>
  </si>
  <si>
    <t>Theo trình tự lịch sử từ cơ khí hóa đến kết nối thông minh.</t>
  </si>
  <si>
    <t>Tốt. Trình tự lịch sử giúp thấy rõ tính kế thừa và bước nhảy của mỗi cuộc cách mạng.</t>
  </si>
  <si>
    <t>Bắt đầu từ công nghiệp 4.0 rồi truy ngược các nền tảng trước đó.</t>
  </si>
  <si>
    <t>Cũng hợp lý. Công nghiệp 4.0 được xây dựng trên cơ khí, điện khí hóa và số hóa.</t>
  </si>
  <si>
    <t>Bước phát triển nhảy vọt về chất của tư liệu lao động dựa trên các phát minh đột phá về kỹ thuật và công nghệ, làm thay đổi căn bản sản xuất và xã hội.</t>
  </si>
  <si>
    <t>Chính xác. Điểm cốt lõi là bước nhảy công nghệ được ứng dụng rộng rãi và làm biến đổi phương thức sản xuất.</t>
  </si>
  <si>
    <t>Đáp án đúng</t>
  </si>
  <si>
    <t>Mọi thay đổi nhỏ trong mẫu mã sản phẩm của một doanh nghiệp.</t>
  </si>
  <si>
    <t>Chưa đúng. Điểm cốt lõi là bước nhảy công nghệ được ứng dụng rộng rãi và làm biến đổi phương thức sản xuất.</t>
  </si>
  <si>
    <t>Đáp án nhiễu</t>
  </si>
  <si>
    <t>Quá trình tăng số lượng lao động thủ công mà không thay đổi công nghệ.</t>
  </si>
  <si>
    <t>Cơ khí hóa sản xuất dựa trên máy hơi nước, chuyển từ lao động thủ công sang máy móc.</t>
  </si>
  <si>
    <t>Chính xác. Cuộc cách mạng lần thứ nhất hình thành nền đại công nghiệp cơ khí.</t>
  </si>
  <si>
    <t>Sử dụng rộng rãi điện và dây chuyền sản xuất hàng loạt.</t>
  </si>
  <si>
    <t>Chưa đúng. Cuộc cách mạng lần thứ nhất hình thành nền đại công nghiệp cơ khí.</t>
  </si>
  <si>
    <t>Ứng dụng trí tuệ nhân tạo và kết nối vạn vật.</t>
  </si>
  <si>
    <t>Điện năng, động cơ điện, động cơ đốt trong và tổ chức sản xuất hàng loạt.</t>
  </si>
  <si>
    <t>Chính xác. Điện khí hóa và dây chuyền sản xuất làm năng suất, quy mô công nghiệp tăng mạnh.</t>
  </si>
  <si>
    <t>Máy hơi nước và khung cửi cơ khí là nền tảng duy nhất.</t>
  </si>
  <si>
    <t>Chưa đúng. Điện khí hóa và dây chuyền sản xuất làm năng suất, quy mô công nghiệp tăng mạnh.</t>
  </si>
  <si>
    <t>Dữ liệu lớn và trí tuệ nhân tạo.</t>
  </si>
  <si>
    <t>Ứng dụng điện tử, công nghệ thông tin và điều khiển tự động để tự động hóa sản xuất.</t>
  </si>
  <si>
    <t>Chính xác. Đây còn được gọi là cuộc cách mạng số, tạo nền tảng cho mạng máy tính và tự động hóa.</t>
  </si>
  <si>
    <t>Mở rộng sử dụng sức kéo động vật.</t>
  </si>
  <si>
    <t>Chưa đúng. Đây còn được gọi là cuộc cách mạng số, tạo nền tảng cho mạng máy tính và tự động hóa.</t>
  </si>
  <si>
    <t>Quay trở lại sản xuất thủ công quy mô nhỏ.</t>
  </si>
  <si>
    <t>Sự hội tụ của công nghệ số, vật lý và sinh học; kết nối vạn vật, dữ liệu lớn, trí tuệ nhân tạo và hệ thống thông minh.</t>
  </si>
  <si>
    <t>Chính xác. Kết nối thời gian thực và xử lý dữ liệu làm biến đổi sâu sắc sản xuất, quản trị và đời sống.</t>
  </si>
  <si>
    <t>Chỉ thay máy hơi nước bằng động cơ điện.</t>
  </si>
  <si>
    <t>Chưa đúng. Kết nối thời gian thực và xử lý dữ liệu làm biến đổi sâu sắc sản xuất, quản trị và đời sống.</t>
  </si>
  <si>
    <t>Không làm thay đổi tổ chức sản xuất hay mô hình kinh doanh.</t>
  </si>
  <si>
    <t>Thúc đẩy lực lượng sản xuất, năng suất và phân công lao động, đồng thời làm biến đổi cơ cấu việc làm, quan hệ xã hội và đặt ra thách thức mới.</t>
  </si>
  <si>
    <t>Chính xác. Cách mạng công nghiệp tạo cơ hội lớn nhưng lợi ích và khả năng thích ứng phân bố không đồng đều.</t>
  </si>
  <si>
    <t>Chỉ làm tăng số lượng máy móc, không ảnh hưởng đời sống.</t>
  </si>
  <si>
    <t>Chưa đúng. Cách mạng công nghiệp tạo cơ hội lớn nhưng lợi ích và khả năng thích ứng phân bố không đồng đều.</t>
  </si>
  <si>
    <t>Luôn đem lại lợi ích đồng đều cho mọi quốc gia và nhóm dân cư.</t>
  </si>
  <si>
    <t>Quá trình chuyển nền sản xuất xã hội từ dựa chủ yếu vào lao động thủ công sang sử dụng phổ biến công nghệ, phương tiện và phương pháp tiên tiến để nâng cao năng suất.</t>
  </si>
  <si>
    <t>Chính xác. Công nghiệp hóa là sự biến đổi căn bản phương thức sản xuất và cơ cấu kinh tế - xã hội.</t>
  </si>
  <si>
    <t>Chỉ tăng tỷ trọng một vài ngành công nghiệp nặng.</t>
  </si>
  <si>
    <t>Chưa đúng. Công nghiệp hóa là sự biến đổi căn bản phương thức sản xuất và cơ cấu kinh tế - xã hội.</t>
  </si>
  <si>
    <t>Thay thế hoàn toàn con người bằng máy móc trong thời gian ngắn.</t>
  </si>
  <si>
    <t>Khởi đầu từ công nghiệp nhẹ, tích lũy dần vốn rồi phát triển công nghiệp nặng; diễn ra trong thời gian dài.</t>
  </si>
  <si>
    <t>Chính xác. Đây là con đường của các nước tư bản đi đầu, tiêu biểu là Anh.</t>
  </si>
  <si>
    <t>Ưu tiên ngay công nghiệp nặng bằng kế hoạch tập trung cao độ.</t>
  </si>
  <si>
    <t>Chưa đúng. Đây là con đường của các nước tư bản đi đầu, tiêu biểu là Anh.</t>
  </si>
  <si>
    <t>Chủ yếu nhập công nghệ hiện đại trong vài thập kỷ và hướng mạnh về xuất khẩu.</t>
  </si>
  <si>
    <t>Ưu tiên phát triển công nghiệp nặng, dựa trên kế hoạch hóa tập trung và huy động nguồn lực cao độ.</t>
  </si>
  <si>
    <t>Chính xác. Mô hình tạo nhanh một số năng lực công nghiệp nhưng bộc lộ hạn chế về hiệu quả và linh hoạt.</t>
  </si>
  <si>
    <t>Để thị trường tự do quyết định hoàn toàn, không có kế hoạch.</t>
  </si>
  <si>
    <t>Chưa đúng. Mô hình tạo nhanh một số năng lực công nghiệp nhưng bộc lộ hạn chế về hiệu quả và linh hoạt.</t>
  </si>
  <si>
    <t>Bắt đầu bằng xuất khẩu dịch vụ số.</t>
  </si>
  <si>
    <t>Tận dụng lợi thế nước đi sau, tiếp nhận và cải tiến công nghệ, huy động nguồn lực trong và ngoài nước, phát triển hướng xuất khẩu để rút ngắn thời gian.</t>
  </si>
  <si>
    <t>Chính xác. Khả năng học hỏi, làm chủ công nghệ và lựa chọn chiến lược phù hợp giúp rút ngắn quá trình.</t>
  </si>
  <si>
    <t>Từ chối mọi công nghệ bên ngoài.</t>
  </si>
  <si>
    <t>Chưa đúng. Khả năng học hỏi, làm chủ công nghệ và lựa chọn chiến lược phù hợp giúp rút ngắn quá trình.</t>
  </si>
  <si>
    <t>Chỉ nhập máy móc mà không đầu tư giáo dục hay quản trị.</t>
  </si>
  <si>
    <t>Kết hợp phát triển tuần tự với bước đi rút ngắn; tiếp nhận có chọn lọc công nghệ bên ngoài đồng thời xây dựng năng lực nghiên cứu, nhân lực và thể chế trong nước.</t>
  </si>
  <si>
    <t>Chính xác. Rút ngắn không đồng nghĩa sao chép; thành công phụ thuộc năng lực hấp thụ và đổi mới sáng tạo.</t>
  </si>
  <si>
    <t>Sao chép nguyên vẹn mô hình của một nước bất kể điều kiện.</t>
  </si>
  <si>
    <t>Chưa đúng. Rút ngắn không đồng nghĩa sao chép; thành công phụ thuộc năng lực hấp thụ và đổi mới sáng tạo.</t>
  </si>
  <si>
    <t>Chờ đến khi tự phát minh toàn bộ công nghệ rồi mới công nghiệp hóa.</t>
  </si>
  <si>
    <t>Vì đó là con đường xây dựng cơ sở vật chất - kỹ thuật, phát triển lực lượng sản xuất, nâng năng suất và tạo nền tảng cho xây dựng chủ nghĩa xã hội.</t>
  </si>
  <si>
    <t>Chính xác. Một nền sản xuất nhỏ, công nghệ thấp không thể tạo đủ năng lực và của cải cho mục tiêu phát triển.</t>
  </si>
  <si>
    <t>Vì chỉ là xu hướng thời trang và có thể dừng bất cứ lúc nào.</t>
  </si>
  <si>
    <t>Chưa đúng. Một nền sản xuất nhỏ, công nghệ thấp không thể tạo đủ năng lực và của cải cho mục tiêu phát triển.</t>
  </si>
  <si>
    <t>Vì mục tiêu là xóa bỏ hoàn toàn nông nghiệp và dịch vụ.</t>
  </si>
  <si>
    <t>Theo định hướng xã hội chủ nghĩa; gắn với kinh tế tri thức; diễn ra trong kinh tế thị trường định hướng xã hội chủ nghĩa và bối cảnh toàn cầu hóa, hội nhập.</t>
  </si>
  <si>
    <t>Chính xác. Những đặc điểm này chi phối lựa chọn công nghệ, nguồn lực và chính sách.</t>
  </si>
  <si>
    <t>Tách khỏi kinh tế tri thức và hội nhập.</t>
  </si>
  <si>
    <t>Chưa đúng. Những đặc điểm này chi phối lựa chọn công nghệ, nguồn lực và chính sách.</t>
  </si>
  <si>
    <t>Chỉ dựa trên mệnh lệnh hành chính, không sử dụng cơ chế thị trường.</t>
  </si>
  <si>
    <t>Đổi mới tư duy và thể chế; huy động nguồn lực hiệu quả; phát triển hạ tầng; tăng cường khoa học - công nghệ và môi trường ổn định.</t>
  </si>
  <si>
    <t>Chính xác. Công nghệ chỉ phát huy khi được đặt trong hệ thống thể chế, hạ tầng, nhân lực và nguồn lực đồng bộ.</t>
  </si>
  <si>
    <t>Chỉ cần vốn đầu tư, không cần thể chế, nhân lực hay hạ tầng.</t>
  </si>
  <si>
    <t>Chưa đúng. Công nghệ chỉ phát huy khi được đặt trong hệ thống thể chế, hạ tầng, nhân lực và nguồn lực đồng bộ.</t>
  </si>
  <si>
    <t>Chỉ cần nhập khẩu máy móc hiện đại.</t>
  </si>
  <si>
    <t>Ứng dụng khoa học - công nghệ, cơ cấu lại nền kinh tế, phát triển công nghiệp và dịch vụ hiện đại, hiện đại hóa nông nghiệp - nông thôn và hạ tầng.</t>
  </si>
  <si>
    <t>Chính xác. Chuyển đổi phải diễn ra trên toàn nền kinh tế, giữa các ngành, vùng và khu vực.</t>
  </si>
  <si>
    <t>Chỉ mở rộng khai thác tài nguyên thô và lao động giá rẻ.</t>
  </si>
  <si>
    <t>Chưa đúng. Chuyển đổi phải diễn ra trên toàn nền kinh tế, giữa các ngành, vùng và khu vực.</t>
  </si>
  <si>
    <t>Chỉ tập trung các đô thị lớn, bỏ qua nông nghiệp và nông thôn.</t>
  </si>
  <si>
    <t>Là yếu tố quyết định khả năng tiếp nhận, làm chủ và sáng tạo công nghệ; cần giáo dục, đào tạo nhân lực chất lượng cao và học tập suốt đời.</t>
  </si>
  <si>
    <t>Chính xác. Công nghệ chỉ biến thành năng suất khi con người đủ kiến thức, kỹ năng và khả năng đổi mới.</t>
  </si>
  <si>
    <t>Không quan trọng vì máy móc có thể tự vận hành.</t>
  </si>
  <si>
    <t>Chưa đúng. Công nghệ chỉ biến thành năng suất khi con người đủ kiến thức, kỹ năng và khả năng đổi mới.</t>
  </si>
  <si>
    <t>Chỉ cần đào tạo thao tác ngắn hạn.</t>
  </si>
  <si>
    <t>Ứng dụng khoa học - công nghệ, tổ chức sản xuất hiệu quả, phát triển hạ tầng, chuỗi giá trị và nâng cao đời sống cư dân nông thôn.</t>
  </si>
  <si>
    <t>Chính xác. Hiện đại hóa nông nghiệp phải gắn sản xuất với chế biến, thị trường, hạ tầng và phát triển nông thôn.</t>
  </si>
  <si>
    <t>Chỉ tăng diện tích canh tác bất kể môi trường và thị trường.</t>
  </si>
  <si>
    <t>Chưa đúng. Hiện đại hóa nông nghiệp phải gắn sản xuất với chế biến, thị trường, hạ tầng và phát triển nông thôn.</t>
  </si>
  <si>
    <t>Tách nông nghiệp khỏi chế biến, dịch vụ và logistics.</t>
  </si>
  <si>
    <t>Cơ hội nâng năng suất, rút ngắn khoảng cách và tạo mô hình mới; đồng thời có nguy cơ tụt hậu công nghệ, mất việc cục bộ, phụ thuộc dữ liệu và gia tăng bất bình đẳng.</t>
  </si>
  <si>
    <t>Chính xác. Cần tận dụng cơ hội và chuẩn bị chính sách chuyển đổi, đào tạo lại, an ninh và an sinh.</t>
  </si>
  <si>
    <t>Chỉ có cơ hội, không tạo rủi ro về việc làm hay an ninh.</t>
  </si>
  <si>
    <t>Chưa đúng. Cần tận dụng cơ hội và chuẩn bị chính sách chuyển đổi, đào tạo lại, an ninh và an sinh.</t>
  </si>
  <si>
    <t>Chỉ có thách thức nên tốt nhất từ chối mọi công nghệ mới.</t>
  </si>
  <si>
    <t>Hoàn thiện thể chế đổi mới sáng tạo; phát triển hạ tầng số và khoa học - công nghệ; nâng cao nhân lực; hỗ trợ doanh nghiệp chuyển đổi số và bảo đảm an ninh, môi trường, an sinh.</t>
  </si>
  <si>
    <t>Chính xác. Giải pháp phải đồng bộ giữa thể chế, công nghệ, con người, doanh nghiệp và quản trị.</t>
  </si>
  <si>
    <t>Chỉ mua thiết bị hiện đại, không cần đổi mới quản trị hay đào tạo.</t>
  </si>
  <si>
    <t>Chưa đúng. Giải pháp phải đồng bộ giữa thể chế, công nghệ, con người, doanh nghiệp và quản trị.</t>
  </si>
  <si>
    <t>Bảo hộ mọi doanh nghiệp và giữ nguyên công nghệ cũ.</t>
  </si>
  <si>
    <t>Chủ động học tập, nâng cao kỹ năng số, chuyên môn, ngoại ngữ, tư duy sáng tạo, kỷ luật lao động và khả năng thích ứng nghề nghiệp.</t>
  </si>
  <si>
    <t>Chính xác. Năng lực học tập suốt đời là điều kiện để thích ứng với chuyển đổi công nghệ.</t>
  </si>
  <si>
    <t>Chỉ học một kỹ năng cố định vì công nghệ ít thay đổi.</t>
  </si>
  <si>
    <t>Chưa đúng. Năng lực học tập suốt đời là điều kiện để thích ứng với chuyển đổi công nghệ.</t>
  </si>
  <si>
    <t>Chờ Nhà nước hoặc doanh nghiệp giải quyết toàn bộ.</t>
  </si>
  <si>
    <t>Trương Tiến Đạt</t>
  </si>
  <si>
    <t>Lê Đặng Nhật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</si>
</sst>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i/>
      <sz val="10"/>
      <color rgb="FF17365D"/>
      <name val="Carlito"/>
    </font>
    <font>
      <b/>
      <sz val="11"/>
      <color rgb="FFFFFFFF"/>
      <name val="Carlito"/>
    </font>
    <font>
      <b/>
      <sz val="10"/>
      <color rgb="FFFFFFFF"/>
      <name val="Carlito"/>
    </font>
    <font>
      <b/>
      <sz val="14"/>
      <color rgb="FF17365D"/>
      <name val="Carlito"/>
    </font>
    <font>
      <sz val="11"/>
      <name val="Carlito"/>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9E6"/>
      </patternFill>
    </fill>
  </fills>
  <borders count="1">
    <border>
      <left/>
      <right/>
      <top/>
      <bottom/>
      <diagonal/>
    </border>
  </borders>
  <cellStyleXfs count="3">
    <xf numFmtId="0" fontId="0" fillId="0" borderId="0"/>
    <xf numFmtId="0" fontId="6" fillId="0" borderId="0"/>
    <xf numFmtId="0" fontId="6" fillId="0" borderId="0"/>
  </cellStyleXfs>
  <cellXfs count="21">
    <xf numFmtId="0" fontId="0" fillId="0" borderId="0" xfId="0"/>
    <xf numFmtId="0" fontId="4" fillId="5"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0" fillId="0" borderId="0" xfId="1" applyFont="1" applyAlignment="1">
      <alignment horizontal="center" vertical="top" wrapText="1"/>
    </xf>
    <xf numFmtId="0" fontId="0" fillId="6" borderId="0" xfId="1" applyFont="1" applyFill="1" applyAlignment="1">
      <alignment wrapText="1"/>
    </xf>
    <xf numFmtId="0" fontId="0" fillId="7" borderId="0" xfId="1" applyFont="1" applyFill="1" applyAlignment="1">
      <alignment wrapText="1"/>
    </xf>
    <xf numFmtId="0" fontId="0" fillId="8" borderId="0" xfId="1" applyFont="1" applyFill="1" applyAlignment="1">
      <alignment wrapText="1"/>
    </xf>
    <xf numFmtId="0" fontId="0" fillId="9" borderId="0" xfId="1" applyFont="1" applyFill="1" applyAlignment="1">
      <alignment wrapText="1"/>
    </xf>
    <xf numFmtId="0" fontId="0" fillId="0" borderId="0" xfId="1" applyFont="1" applyAlignment="1">
      <alignment horizontal="center" wrapText="1"/>
    </xf>
    <xf numFmtId="0" fontId="0" fillId="3" borderId="0" xfId="1" applyFont="1" applyFill="1" applyAlignment="1">
      <alignment wrapText="1"/>
    </xf>
    <xf numFmtId="0" fontId="0" fillId="10" borderId="0" xfId="1" applyFont="1" applyFill="1" applyAlignment="1">
      <alignment wrapText="1"/>
    </xf>
    <xf numFmtId="0" fontId="0" fillId="3" borderId="0" xfId="1" applyFont="1" applyFill="1" applyAlignment="1">
      <alignment horizontal="center" wrapText="1"/>
    </xf>
    <xf numFmtId="0" fontId="0" fillId="6" borderId="0" xfId="1" applyFont="1" applyFill="1" applyAlignment="1">
      <alignment horizontal="center" wrapText="1"/>
    </xf>
    <xf numFmtId="0" fontId="5" fillId="3" borderId="0" xfId="1" applyFont="1" applyFill="1" applyAlignment="1">
      <alignment horizontal="center"/>
    </xf>
    <xf numFmtId="0" fontId="0" fillId="6" borderId="0" xfId="2" applyFont="1" applyFill="1" applyAlignment="1">
      <alignment wrapText="1"/>
    </xf>
    <xf numFmtId="0" fontId="0" fillId="6" borderId="0" xfId="2" applyFont="1" applyFill="1" applyAlignment="1">
      <alignment horizontal="center" wrapText="1"/>
    </xf>
    <xf numFmtId="0" fontId="0" fillId="7" borderId="0" xfId="2" applyFont="1" applyFill="1" applyAlignment="1">
      <alignment wrapText="1"/>
    </xf>
    <xf numFmtId="0" fontId="3" fillId="4" borderId="0" xfId="1" applyFont="1" applyFill="1" applyAlignment="1">
      <alignment vertical="center"/>
    </xf>
    <xf numFmtId="0" fontId="1" fillId="2" borderId="0" xfId="1" applyFont="1" applyFill="1" applyAlignment="1">
      <alignment horizontal="center" vertical="center"/>
    </xf>
    <xf numFmtId="0" fontId="2" fillId="3" borderId="0" xfId="1" applyFont="1" applyFill="1" applyAlignment="1">
      <alignment vertical="center" wrapText="1"/>
    </xf>
  </cellXfs>
  <cellStyles count="3">
    <cellStyle name="Bình thường" xfId="2" xr:uid="{00000000-0005-0000-0000-000000000000}"/>
    <cellStyle name="Normal" xfId="0" builtinId="0"/>
    <cellStyle name="Normal 2" xfId="1" xr:uid="{00000000-0005-0000-0000-000001000000}"/>
  </cellStyles>
  <dxfs count="22">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9C6500"/>
      </font>
      <fill>
        <patternFill>
          <bgColor rgb="FFFFF2CC"/>
        </patternFill>
      </fill>
    </dxf>
    <dxf>
      <font>
        <b/>
        <color rgb="FFC00000"/>
      </font>
      <fill>
        <patternFill>
          <bgColor rgb="FFFCE4D6"/>
        </patternFill>
      </fill>
    </dxf>
    <dxf>
      <font>
        <b/>
        <color rgb="FF548235"/>
      </font>
      <fill>
        <patternFill>
          <bgColor rgb="FFE2F0D9"/>
        </patternFill>
      </fill>
    </dxf>
    <dxf>
      <font>
        <b/>
        <color rgb="FF548235"/>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ont>
        <b/>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ill>
        <patternFill>
          <bgColor rgb="FFE2F0D9"/>
        </patternFill>
      </fill>
    </dxf>
    <dxf>
      <fill>
        <patternFill>
          <bgColor rgb="FFE4DFEC"/>
        </patternFill>
      </fill>
    </dxf>
    <dxf>
      <fill>
        <patternFill>
          <bgColor rgb="FFD9EAF7"/>
        </patternFill>
      </fill>
    </dxf>
    <dxf>
      <font>
        <b/>
        <color rgb="FFC00000"/>
      </font>
      <fill>
        <patternFill>
          <bgColor rgb="FFFCE4D6"/>
        </patternFill>
      </fill>
    </dxf>
    <dxf>
      <font>
        <b/>
        <color rgb="FF548235"/>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MetadataTable" displayName="MovieMetadataTable" ref="A4:E16">
  <tableColumns count="5">
    <tableColumn id="1" xr3:uid="{00000000-0010-0000-0000-000001000000}" name="Trường kỹ thuật"/>
    <tableColumn id="2" xr3:uid="{00000000-0010-0000-0000-000002000000}" name="Bắt buộc"/>
    <tableColumn id="3" xr3:uid="{00000000-0010-0000-0000-000003000000}" name="Giá trị"/>
    <tableColumn id="4" xr3:uid="{00000000-0010-0000-0000-000004000000}" name="Ví dụ"/>
    <tableColumn id="5" xr3:uid="{00000000-0010-0000-0000-000005000000}" name="Quy tắc / 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iptNodesTable" displayName="ScriptNodesTable" ref="A4:N204">
  <tableColumns count="14">
    <tableColumn id="1" xr3:uid="{00000000-0010-0000-0100-000001000000}" name="NodeOrder*"/>
    <tableColumn id="2" xr3:uid="{00000000-0010-0000-0100-000002000000}" name="NodeId*"/>
    <tableColumn id="3" xr3:uid="{00000000-0010-0000-0100-000003000000}" name="ActNo"/>
    <tableColumn id="4" xr3:uid="{00000000-0010-0000-0100-000004000000}" name="NodeType*"/>
    <tableColumn id="5" xr3:uid="{00000000-0010-0000-0100-000005000000}" name="ChoiceMode"/>
    <tableColumn id="6" xr3:uid="{00000000-0010-0000-0100-000006000000}" name="Background"/>
    <tableColumn id="7" xr3:uid="{00000000-0010-0000-0100-000007000000}" name="SceneName"/>
    <tableColumn id="8" xr3:uid="{00000000-0010-0000-0100-000008000000}" name="SpeakerKey"/>
    <tableColumn id="9" xr3:uid="{00000000-0010-0000-0100-000009000000}" name="Mood"/>
    <tableColumn id="10" xr3:uid="{00000000-0010-0000-0100-00000A000000}" name="Text / Question"/>
    <tableColumn id="11" xr3:uid="{00000000-0010-0000-0100-00000B000000}" name="ActRoman"/>
    <tableColumn id="12" xr3:uid="{00000000-0010-0000-0100-00000C000000}" name="Ghi chú biên soạn"/>
    <tableColumn id="13" xr3:uid="{00000000-0010-0000-0100-00000D000000}" name="Trạng thái"/>
    <tableColumn id="14" xr3:uid="{00000000-0010-0000-0100-00000E000000}" name="Lỗi cấu trú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oiceOptionsTable" displayName="ChoiceOptionsTable" ref="A4:K404">
  <tableColumns count="11">
    <tableColumn id="1" xr3:uid="{00000000-0010-0000-0200-000001000000}" name="ChoiceNodeId*"/>
    <tableColumn id="2" xr3:uid="{00000000-0010-0000-0200-000002000000}" name="OptionOrder*"/>
    <tableColumn id="3" xr3:uid="{00000000-0010-0000-0200-000003000000}" name="OptionText*"/>
    <tableColumn id="4" xr3:uid="{00000000-0010-0000-0200-000004000000}" name="IsCorrect*"/>
    <tableColumn id="5" xr3:uid="{00000000-0010-0000-0200-000005000000}" name="dc"/>
    <tableColumn id="6" xr3:uid="{00000000-0010-0000-0200-000006000000}" name="ReplySpeaker*"/>
    <tableColumn id="7" xr3:uid="{00000000-0010-0000-0200-000007000000}" name="ReplyMood"/>
    <tableColumn id="8" xr3:uid="{00000000-0010-0000-0200-000008000000}" name="ReplyText*"/>
    <tableColumn id="9" xr3:uid="{00000000-0010-0000-0200-000009000000}" name="Ghi chú"/>
    <tableColumn id="10" xr3:uid="{00000000-0010-0000-0200-00000A000000}" name="Trạng thái"/>
    <tableColumn id="11" xr3:uid="{00000000-0010-0000-0200-00000B000000}" name="Lỗi cấu trúc"/>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racterCatalogTable" displayName="CharacterCatalogTable" ref="A5:C20">
  <tableColumns count="3">
    <tableColumn id="1" xr3:uid="{00000000-0010-0000-0300-000001000000}" name="SpeakerKey"/>
    <tableColumn id="2" xr3:uid="{00000000-0010-0000-0300-000002000000}" name="Tên hiển thị"/>
    <tableColumn id="3" xr3:uid="{00000000-0010-0000-0300-000003000000}" name="Vai trò"/>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eneCatalogTable" displayName="SceneCatalogTable" ref="D5:F20">
  <tableColumns count="3">
    <tableColumn id="1" xr3:uid="{00000000-0010-0000-0400-000001000000}" name="BackgroundKey"/>
    <tableColumn id="2" xr3:uid="{00000000-0010-0000-0400-000002000000}" name="Mô tả"/>
    <tableColumn id="3" xr3:uid="{00000000-0010-0000-0400-000003000000}" name="Tình trạng asse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odCatalogTable" displayName="MoodCatalogTable" ref="G5:H9">
  <tableColumns count="2">
    <tableColumn id="1" xr3:uid="{00000000-0010-0000-0500-000001000000}" name="MoodKey"/>
    <tableColumn id="2" xr3:uid="{00000000-0010-0000-0500-000002000000}" name="Ý nghĩa gợi ý"/>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odeTypeCatalogTable" displayName="NodeTypeCatalogTable" ref="J5:L10">
  <tableColumns count="3">
    <tableColumn id="1" xr3:uid="{00000000-0010-0000-0600-000001000000}" name="NodeType"/>
    <tableColumn id="2" xr3:uid="{00000000-0010-0000-0600-000002000000}" name="Trường bắt buộc"/>
    <tableColumn id="3" xr3:uid="{00000000-0010-0000-0600-000003000000}" name="Object đầu 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sqref="A1:H1"/>
    </sheetView>
  </sheetViews>
  <sheetFormatPr defaultRowHeight="14.25"/>
  <cols>
    <col min="1" max="1" width="18" customWidth="1"/>
    <col min="2" max="2" width="26" customWidth="1"/>
    <col min="3" max="3" width="40" customWidth="1"/>
    <col min="4" max="4" width="38" customWidth="1"/>
    <col min="5" max="5" width="24" customWidth="1"/>
    <col min="6" max="8" width="4" customWidth="1"/>
  </cols>
  <sheetData>
    <row r="1" spans="1:8" ht="30" customHeight="1">
      <c r="A1" s="19" t="s">
        <v>0</v>
      </c>
      <c r="B1" s="19"/>
      <c r="C1" s="19"/>
      <c r="D1" s="19"/>
      <c r="E1" s="19"/>
      <c r="F1" s="19"/>
      <c r="G1" s="19"/>
      <c r="H1" s="19"/>
    </row>
    <row r="2" spans="1:8" ht="36" customHeight="1">
      <c r="A2" s="20" t="s">
        <v>1</v>
      </c>
      <c r="B2" s="20"/>
      <c r="C2" s="20"/>
      <c r="D2" s="20"/>
      <c r="E2" s="20"/>
      <c r="F2" s="20"/>
      <c r="G2" s="20"/>
      <c r="H2" s="20"/>
    </row>
    <row r="4" spans="1:8" ht="24" customHeight="1">
      <c r="A4" s="18" t="s">
        <v>2</v>
      </c>
      <c r="B4" s="18"/>
      <c r="C4" s="18"/>
      <c r="D4" s="18"/>
      <c r="E4" s="18"/>
      <c r="F4" s="18"/>
      <c r="G4" s="18"/>
      <c r="H4" s="18"/>
    </row>
    <row r="5" spans="1:8" ht="39.950000000000003" customHeight="1">
      <c r="A5" s="1" t="s">
        <v>3</v>
      </c>
      <c r="B5" s="1" t="s">
        <v>4</v>
      </c>
      <c r="C5" s="1" t="s">
        <v>5</v>
      </c>
      <c r="D5" s="1" t="s">
        <v>6</v>
      </c>
      <c r="E5" s="1" t="s">
        <v>7</v>
      </c>
      <c r="F5" s="1"/>
      <c r="G5" s="1"/>
      <c r="H5" s="1"/>
    </row>
    <row r="6" spans="1:8" ht="28.5">
      <c r="A6" s="4">
        <v>1</v>
      </c>
      <c r="B6" s="3" t="s">
        <v>8</v>
      </c>
      <c r="C6" s="3" t="s">
        <v>9</v>
      </c>
      <c r="D6" s="3" t="s">
        <v>10</v>
      </c>
      <c r="E6" s="3" t="s">
        <v>11</v>
      </c>
      <c r="F6" s="3"/>
      <c r="G6" s="3"/>
      <c r="H6" s="3"/>
    </row>
    <row r="7" spans="1:8" ht="28.5">
      <c r="A7" s="4">
        <v>2</v>
      </c>
      <c r="B7" s="3" t="s">
        <v>8</v>
      </c>
      <c r="C7" s="3" t="s">
        <v>12</v>
      </c>
      <c r="D7" s="3" t="s">
        <v>13</v>
      </c>
      <c r="E7" s="3" t="s">
        <v>14</v>
      </c>
      <c r="F7" s="3"/>
      <c r="G7" s="3"/>
      <c r="H7" s="3"/>
    </row>
    <row r="8" spans="1:8" ht="28.5">
      <c r="A8" s="4">
        <v>3</v>
      </c>
      <c r="B8" s="3" t="s">
        <v>8</v>
      </c>
      <c r="C8" s="3" t="s">
        <v>15</v>
      </c>
      <c r="D8" s="3" t="s">
        <v>16</v>
      </c>
      <c r="E8" s="3" t="s">
        <v>17</v>
      </c>
      <c r="F8" s="3"/>
      <c r="G8" s="3"/>
      <c r="H8" s="3"/>
    </row>
    <row r="9" spans="1:8" ht="28.5">
      <c r="A9" s="4">
        <v>4</v>
      </c>
      <c r="B9" s="3" t="s">
        <v>18</v>
      </c>
      <c r="C9" s="3" t="s">
        <v>19</v>
      </c>
      <c r="D9" s="3" t="s">
        <v>20</v>
      </c>
      <c r="E9" s="3" t="s">
        <v>21</v>
      </c>
      <c r="F9" s="3"/>
      <c r="G9" s="3"/>
      <c r="H9" s="3"/>
    </row>
    <row r="10" spans="1:8" ht="28.5">
      <c r="A10" s="4">
        <v>5</v>
      </c>
      <c r="B10" s="3" t="s">
        <v>22</v>
      </c>
      <c r="C10" s="3" t="s">
        <v>23</v>
      </c>
      <c r="D10" s="3" t="s">
        <v>24</v>
      </c>
      <c r="E10" s="3" t="s">
        <v>25</v>
      </c>
      <c r="F10" s="3"/>
      <c r="G10" s="3"/>
      <c r="H10" s="3"/>
    </row>
    <row r="12" spans="1:8" ht="24" customHeight="1">
      <c r="A12" s="18" t="s">
        <v>26</v>
      </c>
      <c r="B12" s="18"/>
      <c r="C12" s="18"/>
      <c r="D12" s="18"/>
      <c r="E12" s="18"/>
      <c r="F12" s="18"/>
      <c r="G12" s="18"/>
      <c r="H12" s="18"/>
    </row>
    <row r="13" spans="1:8" ht="39.950000000000003" customHeight="1">
      <c r="A13" s="1" t="s">
        <v>27</v>
      </c>
      <c r="B13" s="1" t="s">
        <v>28</v>
      </c>
      <c r="C13" s="1" t="s">
        <v>29</v>
      </c>
      <c r="D13" s="1"/>
      <c r="E13" s="1"/>
      <c r="F13" s="1"/>
      <c r="G13" s="1"/>
      <c r="H13" s="1"/>
    </row>
    <row r="14" spans="1:8" ht="28.5">
      <c r="A14" s="5" t="s">
        <v>30</v>
      </c>
      <c r="B14" s="2" t="s">
        <v>31</v>
      </c>
      <c r="C14" s="2" t="s">
        <v>32</v>
      </c>
      <c r="D14" s="2"/>
      <c r="E14" s="2"/>
      <c r="F14" s="2"/>
      <c r="G14" s="2"/>
      <c r="H14" s="2"/>
    </row>
    <row r="15" spans="1:8" ht="28.5">
      <c r="A15" s="6" t="s">
        <v>33</v>
      </c>
      <c r="B15" s="2" t="s">
        <v>34</v>
      </c>
      <c r="C15" s="2" t="s">
        <v>35</v>
      </c>
      <c r="D15" s="2"/>
      <c r="E15" s="2"/>
      <c r="F15" s="2"/>
      <c r="G15" s="2"/>
      <c r="H15" s="2"/>
    </row>
    <row r="16" spans="1:8" ht="28.5">
      <c r="A16" s="7" t="s">
        <v>36</v>
      </c>
      <c r="B16" s="2" t="s">
        <v>37</v>
      </c>
      <c r="C16" s="2" t="s">
        <v>38</v>
      </c>
      <c r="D16" s="2"/>
      <c r="E16" s="2"/>
      <c r="F16" s="2"/>
      <c r="G16" s="2"/>
      <c r="H16" s="2"/>
    </row>
    <row r="17" spans="1:8" ht="28.5">
      <c r="A17" s="8" t="s">
        <v>39</v>
      </c>
      <c r="B17" s="2" t="s">
        <v>40</v>
      </c>
      <c r="C17" s="2" t="s">
        <v>41</v>
      </c>
      <c r="D17" s="2"/>
      <c r="E17" s="2"/>
      <c r="F17" s="2"/>
      <c r="G17" s="2"/>
      <c r="H17" s="2"/>
    </row>
    <row r="19" spans="1:8" ht="24" customHeight="1">
      <c r="A19" s="18" t="s">
        <v>42</v>
      </c>
      <c r="B19" s="18"/>
      <c r="C19" s="18"/>
      <c r="D19" s="18"/>
      <c r="E19" s="18"/>
      <c r="F19" s="18"/>
      <c r="G19" s="18"/>
      <c r="H19" s="18"/>
    </row>
    <row r="20" spans="1:8" ht="39.950000000000003" customHeight="1">
      <c r="A20" s="1" t="s">
        <v>43</v>
      </c>
      <c r="B20" s="1" t="s">
        <v>44</v>
      </c>
      <c r="C20" s="1" t="s">
        <v>45</v>
      </c>
      <c r="D20" s="1" t="s">
        <v>46</v>
      </c>
      <c r="E20" s="1"/>
      <c r="F20" s="1"/>
      <c r="G20" s="1"/>
      <c r="H20" s="1"/>
    </row>
    <row r="21" spans="1:8" ht="57">
      <c r="A21" s="2" t="s">
        <v>47</v>
      </c>
      <c r="B21" s="2" t="s">
        <v>48</v>
      </c>
      <c r="C21" s="9" t="s">
        <v>49</v>
      </c>
      <c r="D21" s="2" t="s">
        <v>50</v>
      </c>
      <c r="E21" s="2"/>
      <c r="F21" s="2"/>
      <c r="G21" s="2"/>
      <c r="H21" s="2"/>
    </row>
    <row r="22" spans="1:8" ht="42.75">
      <c r="A22" s="2" t="s">
        <v>51</v>
      </c>
      <c r="B22" s="2" t="s">
        <v>52</v>
      </c>
      <c r="C22" s="9" t="s">
        <v>49</v>
      </c>
      <c r="D22" s="2" t="s">
        <v>53</v>
      </c>
      <c r="E22" s="2"/>
      <c r="F22" s="2"/>
      <c r="G22" s="2"/>
      <c r="H22" s="2"/>
    </row>
    <row r="23" spans="1:8" ht="57">
      <c r="A23" s="2" t="s">
        <v>54</v>
      </c>
      <c r="B23" s="2" t="s">
        <v>55</v>
      </c>
      <c r="C23" s="9" t="s">
        <v>49</v>
      </c>
      <c r="D23" s="2" t="s">
        <v>56</v>
      </c>
      <c r="E23" s="2"/>
      <c r="F23" s="2"/>
      <c r="G23" s="2"/>
      <c r="H23" s="2"/>
    </row>
    <row r="24" spans="1:8" ht="57">
      <c r="A24" s="2" t="s">
        <v>57</v>
      </c>
      <c r="B24" s="2" t="s">
        <v>58</v>
      </c>
      <c r="C24" s="9" t="s">
        <v>49</v>
      </c>
      <c r="D24" s="2" t="s">
        <v>59</v>
      </c>
      <c r="E24" s="2"/>
      <c r="F24" s="2"/>
      <c r="G24" s="2"/>
      <c r="H24" s="2"/>
    </row>
    <row r="25" spans="1:8" ht="57">
      <c r="A25" s="2" t="s">
        <v>60</v>
      </c>
      <c r="B25" s="2" t="s">
        <v>61</v>
      </c>
      <c r="C25" s="9" t="s">
        <v>49</v>
      </c>
      <c r="D25" s="2" t="s">
        <v>62</v>
      </c>
      <c r="E25" s="2"/>
      <c r="F25" s="2"/>
      <c r="G25" s="2"/>
      <c r="H25" s="2"/>
    </row>
    <row r="26" spans="1:8" ht="57">
      <c r="A26" s="2" t="s">
        <v>63</v>
      </c>
      <c r="B26" s="2" t="s">
        <v>64</v>
      </c>
      <c r="C26" s="9" t="s">
        <v>49</v>
      </c>
      <c r="D26" s="2" t="s">
        <v>65</v>
      </c>
      <c r="E26" s="2"/>
      <c r="F26" s="2"/>
      <c r="G26" s="2"/>
      <c r="H26" s="2"/>
    </row>
    <row r="27" spans="1:8" ht="42.75">
      <c r="A27" s="2" t="s">
        <v>66</v>
      </c>
      <c r="B27" s="2" t="s">
        <v>67</v>
      </c>
      <c r="C27" s="9" t="s">
        <v>68</v>
      </c>
      <c r="D27" s="2" t="s">
        <v>69</v>
      </c>
      <c r="E27" s="2"/>
      <c r="F27" s="2"/>
      <c r="G27" s="2"/>
      <c r="H27" s="2"/>
    </row>
    <row r="28" spans="1:8" ht="42.75">
      <c r="A28" s="2" t="s">
        <v>70</v>
      </c>
      <c r="B28" s="2" t="s">
        <v>71</v>
      </c>
      <c r="C28" s="9" t="s">
        <v>49</v>
      </c>
      <c r="D28" s="2" t="s">
        <v>72</v>
      </c>
      <c r="E28" s="2"/>
      <c r="F28" s="2"/>
      <c r="G28" s="2"/>
      <c r="H28" s="2"/>
    </row>
    <row r="30" spans="1:8" ht="24" customHeight="1">
      <c r="A30" s="18" t="s">
        <v>73</v>
      </c>
      <c r="B30" s="18"/>
      <c r="C30" s="18"/>
      <c r="D30" s="18"/>
      <c r="E30" s="18"/>
      <c r="F30" s="18"/>
      <c r="G30" s="18"/>
      <c r="H30" s="18"/>
    </row>
    <row r="31" spans="1:8" ht="39.950000000000003" customHeight="1">
      <c r="A31" s="1" t="s">
        <v>74</v>
      </c>
      <c r="B31" s="1" t="s">
        <v>75</v>
      </c>
      <c r="C31" s="1"/>
      <c r="D31" s="1"/>
      <c r="E31" s="1"/>
      <c r="F31" s="1"/>
      <c r="G31" s="1"/>
      <c r="H31" s="1"/>
    </row>
    <row r="32" spans="1:8" ht="28.5">
      <c r="A32" s="2" t="s">
        <v>76</v>
      </c>
      <c r="B32" s="2" t="s">
        <v>77</v>
      </c>
      <c r="C32" s="2"/>
      <c r="D32" s="2"/>
      <c r="E32" s="2"/>
      <c r="F32" s="2"/>
      <c r="G32" s="2"/>
      <c r="H32" s="2"/>
    </row>
    <row r="33" spans="1:8" ht="42.75">
      <c r="A33" s="2" t="s">
        <v>78</v>
      </c>
      <c r="B33" s="2" t="s">
        <v>79</v>
      </c>
      <c r="C33" s="2"/>
      <c r="D33" s="2"/>
      <c r="E33" s="2"/>
      <c r="F33" s="2"/>
      <c r="G33" s="2"/>
      <c r="H33" s="2"/>
    </row>
    <row r="34" spans="1:8" ht="42.75">
      <c r="A34" s="2" t="s">
        <v>80</v>
      </c>
      <c r="B34" s="2" t="s">
        <v>81</v>
      </c>
      <c r="C34" s="2"/>
      <c r="D34" s="2"/>
      <c r="E34" s="2"/>
      <c r="F34" s="2"/>
      <c r="G34" s="2"/>
      <c r="H34" s="2"/>
    </row>
    <row r="35" spans="1:8" ht="42.75">
      <c r="A35" s="2" t="s">
        <v>82</v>
      </c>
      <c r="B35" s="2" t="s">
        <v>83</v>
      </c>
      <c r="C35" s="2"/>
      <c r="D35" s="2"/>
      <c r="E35" s="2"/>
      <c r="F35" s="2"/>
      <c r="G35" s="2"/>
      <c r="H35" s="2"/>
    </row>
    <row r="37" spans="1:8" ht="39.950000000000003" customHeight="1">
      <c r="A37" s="1" t="s">
        <v>84</v>
      </c>
      <c r="B37" s="1" t="s">
        <v>85</v>
      </c>
      <c r="C37" s="1"/>
      <c r="D37" s="1"/>
      <c r="E37" s="1"/>
      <c r="F37" s="1"/>
      <c r="G37" s="1"/>
      <c r="H37" s="1"/>
    </row>
    <row r="38" spans="1:8">
      <c r="A38" t="s">
        <v>86</v>
      </c>
      <c r="B38" t="s">
        <v>87</v>
      </c>
    </row>
    <row r="39" spans="1:8">
      <c r="A39" t="s">
        <v>88</v>
      </c>
      <c r="B39" t="s">
        <v>89</v>
      </c>
    </row>
  </sheetData>
  <mergeCells count="6">
    <mergeCell ref="A30:H30"/>
    <mergeCell ref="A1:H1"/>
    <mergeCell ref="A2:H2"/>
    <mergeCell ref="A4:H4"/>
    <mergeCell ref="A12:H12"/>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workbookViewId="0">
      <selection activeCell="C14" sqref="C14"/>
    </sheetView>
  </sheetViews>
  <sheetFormatPr defaultRowHeight="14.25"/>
  <cols>
    <col min="1" max="1" width="24" customWidth="1"/>
    <col min="2" max="2" width="12" customWidth="1"/>
    <col min="3" max="3" width="55" customWidth="1"/>
    <col min="4" max="4" width="34" customWidth="1"/>
    <col min="5" max="5" width="48" customWidth="1"/>
  </cols>
  <sheetData>
    <row r="1" spans="1:5" ht="19.149999999999999" customHeight="1">
      <c r="A1" s="19" t="s">
        <v>90</v>
      </c>
      <c r="B1" s="19"/>
      <c r="C1" s="19"/>
      <c r="D1" s="19"/>
      <c r="E1" s="19"/>
    </row>
    <row r="2" spans="1:5" ht="36" customHeight="1">
      <c r="A2" s="20" t="s">
        <v>91</v>
      </c>
      <c r="B2" s="20"/>
      <c r="C2" s="20"/>
      <c r="D2" s="20"/>
      <c r="E2" s="20"/>
    </row>
    <row r="4" spans="1:5" ht="15" customHeight="1">
      <c r="A4" s="1" t="s">
        <v>92</v>
      </c>
      <c r="B4" s="1" t="s">
        <v>49</v>
      </c>
      <c r="C4" s="1" t="s">
        <v>85</v>
      </c>
      <c r="D4" s="1" t="s">
        <v>93</v>
      </c>
      <c r="E4" s="1" t="s">
        <v>94</v>
      </c>
    </row>
    <row r="5" spans="1:5" ht="15" customHeight="1">
      <c r="A5" s="10" t="s">
        <v>95</v>
      </c>
      <c r="B5" s="12" t="s">
        <v>96</v>
      </c>
      <c r="C5" s="15" t="s">
        <v>372</v>
      </c>
      <c r="D5" s="11" t="s">
        <v>97</v>
      </c>
      <c r="E5" s="11" t="s">
        <v>98</v>
      </c>
    </row>
    <row r="6" spans="1:5" ht="15" customHeight="1">
      <c r="A6" s="10" t="s">
        <v>99</v>
      </c>
      <c r="B6" s="12" t="s">
        <v>96</v>
      </c>
      <c r="C6" s="15" t="s">
        <v>373</v>
      </c>
      <c r="D6" s="11" t="s">
        <v>100</v>
      </c>
      <c r="E6" s="11" t="s">
        <v>101</v>
      </c>
    </row>
    <row r="7" spans="1:5" ht="15" customHeight="1">
      <c r="A7" s="10" t="s">
        <v>102</v>
      </c>
      <c r="B7" s="12" t="s">
        <v>96</v>
      </c>
      <c r="C7" s="15" t="s">
        <v>374</v>
      </c>
      <c r="D7" s="11" t="s">
        <v>103</v>
      </c>
      <c r="E7" s="11" t="s">
        <v>104</v>
      </c>
    </row>
    <row r="8" spans="1:5" ht="15" customHeight="1">
      <c r="A8" s="10" t="s">
        <v>105</v>
      </c>
      <c r="B8" s="12" t="s">
        <v>96</v>
      </c>
      <c r="C8" s="15" t="s">
        <v>375</v>
      </c>
      <c r="D8" s="11" t="s">
        <v>106</v>
      </c>
      <c r="E8" s="11" t="s">
        <v>107</v>
      </c>
    </row>
    <row r="9" spans="1:5" ht="15" customHeight="1">
      <c r="A9" s="10" t="s">
        <v>108</v>
      </c>
      <c r="B9" s="12" t="s">
        <v>96</v>
      </c>
      <c r="C9" s="15" t="s">
        <v>376</v>
      </c>
      <c r="D9" s="11" t="s">
        <v>109</v>
      </c>
      <c r="E9" s="11" t="s">
        <v>110</v>
      </c>
    </row>
    <row r="10" spans="1:5" ht="15" customHeight="1">
      <c r="A10" s="10" t="s">
        <v>111</v>
      </c>
      <c r="B10" s="12" t="s">
        <v>96</v>
      </c>
      <c r="C10" s="15" t="s">
        <v>377</v>
      </c>
      <c r="D10" s="11" t="s">
        <v>112</v>
      </c>
      <c r="E10" s="11" t="s">
        <v>113</v>
      </c>
    </row>
    <row r="11" spans="1:5" ht="15" customHeight="1">
      <c r="A11" s="10" t="s">
        <v>114</v>
      </c>
      <c r="B11" s="12" t="s">
        <v>96</v>
      </c>
      <c r="C11" s="15" t="s">
        <v>577</v>
      </c>
      <c r="D11" s="11" t="s">
        <v>115</v>
      </c>
      <c r="E11" s="11" t="s">
        <v>116</v>
      </c>
    </row>
    <row r="12" spans="1:5" ht="15" customHeight="1">
      <c r="A12" s="10" t="s">
        <v>117</v>
      </c>
      <c r="B12" s="12" t="s">
        <v>96</v>
      </c>
      <c r="C12" s="15" t="s">
        <v>578</v>
      </c>
      <c r="D12" s="11" t="s">
        <v>118</v>
      </c>
      <c r="E12" s="11" t="s">
        <v>119</v>
      </c>
    </row>
    <row r="13" spans="1:5" ht="15" customHeight="1">
      <c r="A13" s="10" t="s">
        <v>120</v>
      </c>
      <c r="B13" s="12" t="s">
        <v>96</v>
      </c>
      <c r="C13" s="15" t="s">
        <v>378</v>
      </c>
      <c r="D13" s="11" t="s">
        <v>121</v>
      </c>
      <c r="E13" s="11" t="s">
        <v>122</v>
      </c>
    </row>
    <row r="14" spans="1:5" ht="15" customHeight="1">
      <c r="A14" s="10" t="s">
        <v>123</v>
      </c>
      <c r="B14" s="12" t="s">
        <v>96</v>
      </c>
      <c r="C14" s="15" t="s">
        <v>379</v>
      </c>
      <c r="D14" s="11" t="s">
        <v>124</v>
      </c>
      <c r="E14" s="11" t="s">
        <v>125</v>
      </c>
    </row>
    <row r="15" spans="1:5" ht="26.45" customHeight="1">
      <c r="A15" s="10" t="s">
        <v>126</v>
      </c>
      <c r="B15" s="12" t="s">
        <v>127</v>
      </c>
      <c r="C15" s="15" t="s">
        <v>380</v>
      </c>
      <c r="D15" s="11" t="s">
        <v>128</v>
      </c>
      <c r="E15" s="11" t="s">
        <v>129</v>
      </c>
    </row>
    <row r="16" spans="1:5" ht="26.45" customHeight="1">
      <c r="A16" s="10" t="s">
        <v>130</v>
      </c>
      <c r="B16" s="12" t="s">
        <v>127</v>
      </c>
      <c r="C16" s="15" t="s">
        <v>381</v>
      </c>
      <c r="D16" s="11" t="s">
        <v>131</v>
      </c>
      <c r="E16" s="11" t="s">
        <v>132</v>
      </c>
    </row>
    <row r="18" spans="1:5" ht="15" customHeight="1">
      <c r="A18" s="18" t="s">
        <v>133</v>
      </c>
      <c r="B18" s="18"/>
      <c r="C18" s="18"/>
      <c r="D18" s="18"/>
      <c r="E18" s="18"/>
    </row>
    <row r="19" spans="1:5" ht="15" customHeight="1">
      <c r="A19" s="1" t="s">
        <v>134</v>
      </c>
      <c r="B19" s="1" t="s">
        <v>85</v>
      </c>
      <c r="C19" s="1" t="s">
        <v>135</v>
      </c>
    </row>
    <row r="20" spans="1:5" ht="15" customHeight="1">
      <c r="A20" s="2" t="s">
        <v>136</v>
      </c>
      <c r="B20" s="6">
        <f>COUNTBLANK(C5:C14)</f>
        <v>0</v>
      </c>
      <c r="C20" s="6" t="str">
        <f>IF(B20=0,"HỢP LỆ","CẦN SỬA")</f>
        <v>HỢP LỆ</v>
      </c>
    </row>
    <row r="21" spans="1:5" ht="15" customHeight="1">
      <c r="A21" s="2" t="s">
        <v>137</v>
      </c>
      <c r="B21" s="6" t="str">
        <f>C14</f>
        <v>Đang soạn</v>
      </c>
      <c r="C21" s="6" t="str">
        <f>IF(B21="Đã duyệt","HỢP LỆ","CHƯA DUYỆT")</f>
        <v>CHƯA DUYỆT</v>
      </c>
    </row>
    <row r="22" spans="1:5" ht="15" customHeight="1">
      <c r="A22" s="2" t="s">
        <v>138</v>
      </c>
      <c r="B22" s="6" t="str">
        <f>IF(AND(C20="HỢP LỆ",C21="HỢP LỆ"),"CÓ","KHÔNG")</f>
        <v>KHÔNG</v>
      </c>
      <c r="C22" s="6" t="str">
        <f>IF(B22="CÓ","HỢP LỆ","CẦN SỬA")</f>
        <v>CẦN SỬA</v>
      </c>
    </row>
    <row r="23" spans="1:5" ht="66" customHeight="1">
      <c r="A23" s="2" t="s">
        <v>139</v>
      </c>
      <c r="B23" s="2" t="s">
        <v>140</v>
      </c>
      <c r="C23" s="2"/>
    </row>
  </sheetData>
  <mergeCells count="3">
    <mergeCell ref="A1:E1"/>
    <mergeCell ref="A2:E2"/>
    <mergeCell ref="A18:E18"/>
  </mergeCells>
  <conditionalFormatting sqref="C20:C22">
    <cfRule type="expression" dxfId="21" priority="1">
      <formula>C20="HỢP LỆ"</formula>
    </cfRule>
    <cfRule type="expression" dxfId="20" priority="2">
      <formula>OR(C20="CẦN SỬA",C20="CHƯA DUYỆT")</formula>
    </cfRule>
  </conditionalFormatting>
  <dataValidations count="1">
    <dataValidation type="list" sqref="C14" xr:uid="{00000000-0002-0000-0100-000000000000}">
      <formula1>"Đang soạn,Chờ review,Cần chỉnh sửa,Đã duyệt"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4"/>
  <sheetViews>
    <sheetView workbookViewId="0"/>
  </sheetViews>
  <sheetFormatPr defaultRowHeight="14.25"/>
  <cols>
    <col min="1" max="1" width="11" customWidth="1"/>
    <col min="2" max="2" width="12" customWidth="1"/>
    <col min="3" max="3" width="8" customWidth="1"/>
    <col min="4" max="4" width="12" customWidth="1"/>
    <col min="5" max="6" width="14" customWidth="1"/>
    <col min="7" max="7" width="29" customWidth="1"/>
    <col min="8" max="8" width="13" customWidth="1"/>
    <col min="9" max="9" width="12" customWidth="1"/>
    <col min="10" max="10" width="64" customWidth="1"/>
    <col min="11" max="11" width="11" customWidth="1"/>
    <col min="12" max="12" width="23" customWidth="1"/>
    <col min="13" max="13" width="13" customWidth="1"/>
    <col min="14" max="14" width="31" customWidth="1"/>
  </cols>
  <sheetData>
    <row r="1" spans="1:14" ht="30" customHeight="1">
      <c r="A1" s="19" t="s">
        <v>141</v>
      </c>
      <c r="B1" s="19"/>
      <c r="C1" s="19"/>
      <c r="D1" s="19"/>
      <c r="E1" s="19"/>
      <c r="F1" s="19"/>
      <c r="G1" s="19"/>
      <c r="H1" s="19"/>
      <c r="I1" s="19"/>
      <c r="J1" s="19"/>
      <c r="K1" s="19"/>
      <c r="L1" s="19"/>
      <c r="M1" s="19"/>
      <c r="N1" s="19"/>
    </row>
    <row r="2" spans="1:14" ht="36" customHeight="1">
      <c r="A2" s="20" t="s">
        <v>142</v>
      </c>
      <c r="B2" s="20"/>
      <c r="C2" s="20"/>
      <c r="D2" s="20"/>
      <c r="E2" s="20"/>
      <c r="F2" s="20"/>
      <c r="G2" s="20"/>
      <c r="H2" s="20"/>
      <c r="I2" s="20"/>
      <c r="J2" s="20"/>
      <c r="K2" s="20"/>
      <c r="L2" s="20"/>
      <c r="M2" s="20"/>
      <c r="N2" s="20"/>
    </row>
    <row r="4" spans="1:14" ht="39.950000000000003" customHeight="1">
      <c r="A4" s="1" t="s">
        <v>143</v>
      </c>
      <c r="B4" s="1" t="s">
        <v>144</v>
      </c>
      <c r="C4" s="1" t="s">
        <v>145</v>
      </c>
      <c r="D4" s="1" t="s">
        <v>146</v>
      </c>
      <c r="E4" s="1" t="s">
        <v>147</v>
      </c>
      <c r="F4" s="1" t="s">
        <v>148</v>
      </c>
      <c r="G4" s="1" t="s">
        <v>149</v>
      </c>
      <c r="H4" s="1" t="s">
        <v>150</v>
      </c>
      <c r="I4" s="1" t="s">
        <v>151</v>
      </c>
      <c r="J4" s="1" t="s">
        <v>152</v>
      </c>
      <c r="K4" s="1" t="s">
        <v>153</v>
      </c>
      <c r="L4" s="1" t="s">
        <v>154</v>
      </c>
      <c r="M4" s="1" t="s">
        <v>135</v>
      </c>
      <c r="N4" s="1" t="s">
        <v>155</v>
      </c>
    </row>
    <row r="5" spans="1:14" ht="26.45" customHeight="1">
      <c r="A5" s="16">
        <v>1</v>
      </c>
      <c r="B5" s="16" t="s">
        <v>382</v>
      </c>
      <c r="C5" s="16">
        <v>1</v>
      </c>
      <c r="D5" s="16" t="s">
        <v>188</v>
      </c>
      <c r="E5" s="16"/>
      <c r="F5" s="15" t="s">
        <v>183</v>
      </c>
      <c r="G5" s="15" t="s">
        <v>383</v>
      </c>
      <c r="H5" s="15"/>
      <c r="I5" s="15"/>
      <c r="J5" s="15"/>
      <c r="K5" s="15"/>
      <c r="L5" s="15" t="s">
        <v>384</v>
      </c>
      <c r="M5" s="17" t="str">
        <f t="shared" ref="M5:M36" si="0">IF(A5="","",IF(N5="","HỢP LỆ","CẦN SỬA"))</f>
        <v>HỢP LỆ</v>
      </c>
      <c r="N5" s="17" t="str">
        <f t="shared" ref="N5:N36" si="1">IF(A5="","",IF(B5="","Thiếu NodeId",IF(D5="","Thiếu NodeType",IF(COUNTIF($B$5:$B$204,B5)&gt;1,"NodeId bị trùng",IF(COUNTIF($A$5:$A$204,A5)&gt;1,"NodeOrder bị trùng",IF(AND(D5="scene",OR(C5="",F5="",G5="")),"scene cần ActNo, Background, SceneName",IF(AND(D5="say",OR(H5="",J5="")),"say cần SpeakerKey và Text",IF(AND(D5="choice",OR(E5="",H5="",I5="",J5="")),"choice cần ChoiceMode, SpeakerKey, Mood, Question",IF(AND(D5="act",K5=""),"act cần số La Mã",IF(AND(D5="end",COUNTIF($D$5:$D$204,"end")&lt;&gt;1),"Phải có đúng 1 node end",""))))))))))</f>
        <v/>
      </c>
    </row>
    <row r="6" spans="1:14" ht="26.45" customHeight="1">
      <c r="A6" s="16">
        <v>2</v>
      </c>
      <c r="B6" s="16" t="s">
        <v>385</v>
      </c>
      <c r="C6" s="16">
        <v>1</v>
      </c>
      <c r="D6" s="16" t="s">
        <v>198</v>
      </c>
      <c r="E6" s="16"/>
      <c r="F6" s="15"/>
      <c r="G6" s="15"/>
      <c r="H6" s="15" t="s">
        <v>182</v>
      </c>
      <c r="I6" s="15"/>
      <c r="J6" s="15" t="s">
        <v>386</v>
      </c>
      <c r="K6" s="15"/>
      <c r="L6" s="15"/>
      <c r="M6" s="17" t="str">
        <f t="shared" si="0"/>
        <v>HỢP LỆ</v>
      </c>
      <c r="N6" s="17" t="str">
        <f t="shared" si="1"/>
        <v/>
      </c>
    </row>
    <row r="7" spans="1:14" ht="26.45" customHeight="1">
      <c r="A7" s="16">
        <v>3</v>
      </c>
      <c r="B7" s="16" t="s">
        <v>387</v>
      </c>
      <c r="C7" s="16">
        <v>1</v>
      </c>
      <c r="D7" s="16" t="s">
        <v>198</v>
      </c>
      <c r="E7" s="16"/>
      <c r="F7" s="15"/>
      <c r="G7" s="15"/>
      <c r="H7" s="15" t="s">
        <v>201</v>
      </c>
      <c r="I7" s="15" t="s">
        <v>186</v>
      </c>
      <c r="J7" s="15" t="s">
        <v>388</v>
      </c>
      <c r="K7" s="15"/>
      <c r="L7" s="15"/>
      <c r="M7" s="17" t="str">
        <f t="shared" si="0"/>
        <v>HỢP LỆ</v>
      </c>
      <c r="N7" s="17" t="str">
        <f t="shared" si="1"/>
        <v/>
      </c>
    </row>
    <row r="8" spans="1:14" ht="15" customHeight="1">
      <c r="A8" s="16">
        <v>4</v>
      </c>
      <c r="B8" s="16" t="s">
        <v>389</v>
      </c>
      <c r="C8" s="16">
        <v>1</v>
      </c>
      <c r="D8" s="16" t="s">
        <v>208</v>
      </c>
      <c r="E8" s="16" t="s">
        <v>390</v>
      </c>
      <c r="F8" s="15"/>
      <c r="G8" s="15"/>
      <c r="H8" s="15" t="s">
        <v>201</v>
      </c>
      <c r="I8" s="15" t="s">
        <v>186</v>
      </c>
      <c r="J8" s="15" t="s">
        <v>391</v>
      </c>
      <c r="K8" s="15"/>
      <c r="L8" s="15" t="s">
        <v>392</v>
      </c>
      <c r="M8" s="17" t="str">
        <f t="shared" si="0"/>
        <v>HỢP LỆ</v>
      </c>
      <c r="N8" s="17" t="str">
        <f t="shared" si="1"/>
        <v/>
      </c>
    </row>
    <row r="9" spans="1:14" ht="15" customHeight="1">
      <c r="A9" s="16">
        <v>5</v>
      </c>
      <c r="B9" s="16" t="s">
        <v>393</v>
      </c>
      <c r="C9" s="16">
        <v>1</v>
      </c>
      <c r="D9" s="16" t="s">
        <v>208</v>
      </c>
      <c r="E9" s="16" t="s">
        <v>394</v>
      </c>
      <c r="F9" s="15"/>
      <c r="G9" s="15"/>
      <c r="H9" s="15" t="s">
        <v>211</v>
      </c>
      <c r="I9" s="15" t="s">
        <v>186</v>
      </c>
      <c r="J9" s="15" t="s">
        <v>395</v>
      </c>
      <c r="K9" s="15"/>
      <c r="L9" s="15" t="s">
        <v>392</v>
      </c>
      <c r="M9" s="17" t="str">
        <f t="shared" si="0"/>
        <v>HỢP LỆ</v>
      </c>
      <c r="N9" s="17" t="str">
        <f t="shared" si="1"/>
        <v/>
      </c>
    </row>
    <row r="10" spans="1:14" ht="15" customHeight="1">
      <c r="A10" s="16">
        <v>6</v>
      </c>
      <c r="B10" s="16" t="s">
        <v>396</v>
      </c>
      <c r="C10" s="16">
        <v>1</v>
      </c>
      <c r="D10" s="16" t="s">
        <v>208</v>
      </c>
      <c r="E10" s="16" t="s">
        <v>394</v>
      </c>
      <c r="F10" s="15"/>
      <c r="G10" s="15"/>
      <c r="H10" s="15" t="s">
        <v>201</v>
      </c>
      <c r="I10" s="15" t="s">
        <v>186</v>
      </c>
      <c r="J10" s="15" t="s">
        <v>397</v>
      </c>
      <c r="K10" s="15"/>
      <c r="L10" s="15" t="s">
        <v>392</v>
      </c>
      <c r="M10" s="17" t="str">
        <f t="shared" si="0"/>
        <v>HỢP LỆ</v>
      </c>
      <c r="N10" s="17" t="str">
        <f t="shared" si="1"/>
        <v/>
      </c>
    </row>
    <row r="11" spans="1:14" ht="15" customHeight="1">
      <c r="A11" s="16">
        <v>7</v>
      </c>
      <c r="B11" s="16" t="s">
        <v>398</v>
      </c>
      <c r="C11" s="16">
        <v>1</v>
      </c>
      <c r="D11" s="16" t="s">
        <v>208</v>
      </c>
      <c r="E11" s="16" t="s">
        <v>394</v>
      </c>
      <c r="F11" s="15"/>
      <c r="G11" s="15"/>
      <c r="H11" s="15" t="s">
        <v>218</v>
      </c>
      <c r="I11" s="15" t="s">
        <v>186</v>
      </c>
      <c r="J11" s="15" t="s">
        <v>399</v>
      </c>
      <c r="K11" s="15"/>
      <c r="L11" s="15" t="s">
        <v>392</v>
      </c>
      <c r="M11" s="17" t="str">
        <f t="shared" si="0"/>
        <v>HỢP LỆ</v>
      </c>
      <c r="N11" s="17" t="str">
        <f t="shared" si="1"/>
        <v/>
      </c>
    </row>
    <row r="12" spans="1:14" ht="15" customHeight="1">
      <c r="A12" s="16">
        <v>8</v>
      </c>
      <c r="B12" s="16" t="s">
        <v>400</v>
      </c>
      <c r="C12" s="16">
        <v>1</v>
      </c>
      <c r="D12" s="16" t="s">
        <v>208</v>
      </c>
      <c r="E12" s="16" t="s">
        <v>394</v>
      </c>
      <c r="F12" s="15"/>
      <c r="G12" s="15"/>
      <c r="H12" s="15" t="s">
        <v>211</v>
      </c>
      <c r="I12" s="15" t="s">
        <v>186</v>
      </c>
      <c r="J12" s="15" t="s">
        <v>401</v>
      </c>
      <c r="K12" s="15"/>
      <c r="L12" s="15" t="s">
        <v>392</v>
      </c>
      <c r="M12" s="17" t="str">
        <f t="shared" si="0"/>
        <v>HỢP LỆ</v>
      </c>
      <c r="N12" s="17" t="str">
        <f t="shared" si="1"/>
        <v/>
      </c>
    </row>
    <row r="13" spans="1:14" ht="15" customHeight="1">
      <c r="A13" s="16">
        <v>9</v>
      </c>
      <c r="B13" s="16" t="s">
        <v>402</v>
      </c>
      <c r="C13" s="16">
        <v>1</v>
      </c>
      <c r="D13" s="16" t="s">
        <v>208</v>
      </c>
      <c r="E13" s="16" t="s">
        <v>394</v>
      </c>
      <c r="F13" s="15"/>
      <c r="G13" s="15"/>
      <c r="H13" s="15" t="s">
        <v>201</v>
      </c>
      <c r="I13" s="15" t="s">
        <v>186</v>
      </c>
      <c r="J13" s="15" t="s">
        <v>403</v>
      </c>
      <c r="K13" s="15"/>
      <c r="L13" s="15" t="s">
        <v>392</v>
      </c>
      <c r="M13" s="17" t="str">
        <f t="shared" si="0"/>
        <v>HỢP LỆ</v>
      </c>
      <c r="N13" s="17" t="str">
        <f t="shared" si="1"/>
        <v/>
      </c>
    </row>
    <row r="14" spans="1:14" ht="15" customHeight="1">
      <c r="A14" s="16">
        <v>10</v>
      </c>
      <c r="B14" s="16" t="s">
        <v>404</v>
      </c>
      <c r="C14" s="16">
        <v>1</v>
      </c>
      <c r="D14" s="16" t="s">
        <v>208</v>
      </c>
      <c r="E14" s="16" t="s">
        <v>394</v>
      </c>
      <c r="F14" s="15"/>
      <c r="G14" s="15"/>
      <c r="H14" s="15" t="s">
        <v>218</v>
      </c>
      <c r="I14" s="15" t="s">
        <v>186</v>
      </c>
      <c r="J14" s="15" t="s">
        <v>405</v>
      </c>
      <c r="K14" s="15"/>
      <c r="L14" s="15" t="s">
        <v>392</v>
      </c>
      <c r="M14" s="17" t="str">
        <f t="shared" si="0"/>
        <v>HỢP LỆ</v>
      </c>
      <c r="N14" s="17" t="str">
        <f t="shared" si="1"/>
        <v/>
      </c>
    </row>
    <row r="15" spans="1:14" ht="15" customHeight="1">
      <c r="A15" s="16">
        <v>11</v>
      </c>
      <c r="B15" s="16" t="s">
        <v>406</v>
      </c>
      <c r="C15" s="16">
        <v>1</v>
      </c>
      <c r="D15" s="16" t="s">
        <v>216</v>
      </c>
      <c r="E15" s="16"/>
      <c r="F15" s="15"/>
      <c r="G15" s="15"/>
      <c r="H15" s="15"/>
      <c r="I15" s="15"/>
      <c r="J15" s="15"/>
      <c r="K15" s="15" t="s">
        <v>407</v>
      </c>
      <c r="L15" s="15" t="s">
        <v>408</v>
      </c>
      <c r="M15" s="17" t="str">
        <f t="shared" si="0"/>
        <v>HỢP LỆ</v>
      </c>
      <c r="N15" s="17" t="str">
        <f t="shared" si="1"/>
        <v/>
      </c>
    </row>
    <row r="16" spans="1:14" ht="26.45" customHeight="1">
      <c r="A16" s="16">
        <v>12</v>
      </c>
      <c r="B16" s="16" t="s">
        <v>409</v>
      </c>
      <c r="C16" s="16">
        <v>2</v>
      </c>
      <c r="D16" s="16" t="s">
        <v>188</v>
      </c>
      <c r="E16" s="16"/>
      <c r="F16" s="15" t="s">
        <v>194</v>
      </c>
      <c r="G16" s="15" t="s">
        <v>410</v>
      </c>
      <c r="H16" s="15"/>
      <c r="I16" s="15"/>
      <c r="J16" s="15"/>
      <c r="K16" s="15"/>
      <c r="L16" s="15" t="s">
        <v>411</v>
      </c>
      <c r="M16" s="17" t="str">
        <f t="shared" si="0"/>
        <v>HỢP LỆ</v>
      </c>
      <c r="N16" s="17" t="str">
        <f t="shared" si="1"/>
        <v/>
      </c>
    </row>
    <row r="17" spans="1:14" ht="39.6" customHeight="1">
      <c r="A17" s="16">
        <v>13</v>
      </c>
      <c r="B17" s="16" t="s">
        <v>412</v>
      </c>
      <c r="C17" s="16">
        <v>2</v>
      </c>
      <c r="D17" s="16" t="s">
        <v>198</v>
      </c>
      <c r="E17" s="16"/>
      <c r="F17" s="15"/>
      <c r="G17" s="15"/>
      <c r="H17" s="15" t="s">
        <v>182</v>
      </c>
      <c r="I17" s="15"/>
      <c r="J17" s="15" t="s">
        <v>413</v>
      </c>
      <c r="K17" s="15"/>
      <c r="L17" s="15"/>
      <c r="M17" s="17" t="str">
        <f t="shared" si="0"/>
        <v>HỢP LỆ</v>
      </c>
      <c r="N17" s="17" t="str">
        <f t="shared" si="1"/>
        <v/>
      </c>
    </row>
    <row r="18" spans="1:14" ht="26.45" customHeight="1">
      <c r="A18" s="16">
        <v>14</v>
      </c>
      <c r="B18" s="16" t="s">
        <v>414</v>
      </c>
      <c r="C18" s="16">
        <v>2</v>
      </c>
      <c r="D18" s="16" t="s">
        <v>198</v>
      </c>
      <c r="E18" s="16"/>
      <c r="F18" s="15"/>
      <c r="G18" s="15"/>
      <c r="H18" s="15" t="s">
        <v>218</v>
      </c>
      <c r="I18" s="15" t="s">
        <v>214</v>
      </c>
      <c r="J18" s="15" t="s">
        <v>415</v>
      </c>
      <c r="K18" s="15"/>
      <c r="L18" s="15"/>
      <c r="M18" s="17" t="str">
        <f t="shared" si="0"/>
        <v>HỢP LỆ</v>
      </c>
      <c r="N18" s="17" t="str">
        <f t="shared" si="1"/>
        <v/>
      </c>
    </row>
    <row r="19" spans="1:14" ht="15" customHeight="1">
      <c r="A19" s="16">
        <v>15</v>
      </c>
      <c r="B19" s="16" t="s">
        <v>416</v>
      </c>
      <c r="C19" s="16">
        <v>2</v>
      </c>
      <c r="D19" s="16" t="s">
        <v>208</v>
      </c>
      <c r="E19" s="16" t="s">
        <v>394</v>
      </c>
      <c r="F19" s="15"/>
      <c r="G19" s="15"/>
      <c r="H19" s="15" t="s">
        <v>218</v>
      </c>
      <c r="I19" s="15" t="s">
        <v>186</v>
      </c>
      <c r="J19" s="15" t="s">
        <v>417</v>
      </c>
      <c r="K19" s="15"/>
      <c r="L19" s="15" t="s">
        <v>392</v>
      </c>
      <c r="M19" s="17" t="str">
        <f t="shared" si="0"/>
        <v>HỢP LỆ</v>
      </c>
      <c r="N19" s="17" t="str">
        <f t="shared" si="1"/>
        <v/>
      </c>
    </row>
    <row r="20" spans="1:14" ht="15" customHeight="1">
      <c r="A20" s="16">
        <v>16</v>
      </c>
      <c r="B20" s="16" t="s">
        <v>418</v>
      </c>
      <c r="C20" s="16">
        <v>2</v>
      </c>
      <c r="D20" s="16" t="s">
        <v>208</v>
      </c>
      <c r="E20" s="16" t="s">
        <v>394</v>
      </c>
      <c r="F20" s="15"/>
      <c r="G20" s="15"/>
      <c r="H20" s="15" t="s">
        <v>211</v>
      </c>
      <c r="I20" s="15" t="s">
        <v>186</v>
      </c>
      <c r="J20" s="15" t="s">
        <v>419</v>
      </c>
      <c r="K20" s="15"/>
      <c r="L20" s="15" t="s">
        <v>392</v>
      </c>
      <c r="M20" s="17" t="str">
        <f t="shared" si="0"/>
        <v>HỢP LỆ</v>
      </c>
      <c r="N20" s="17" t="str">
        <f t="shared" si="1"/>
        <v/>
      </c>
    </row>
    <row r="21" spans="1:14" ht="15" customHeight="1">
      <c r="A21" s="16">
        <v>17</v>
      </c>
      <c r="B21" s="16" t="s">
        <v>420</v>
      </c>
      <c r="C21" s="16">
        <v>2</v>
      </c>
      <c r="D21" s="16" t="s">
        <v>208</v>
      </c>
      <c r="E21" s="16" t="s">
        <v>394</v>
      </c>
      <c r="F21" s="15"/>
      <c r="G21" s="15"/>
      <c r="H21" s="15" t="s">
        <v>201</v>
      </c>
      <c r="I21" s="15" t="s">
        <v>186</v>
      </c>
      <c r="J21" s="15" t="s">
        <v>421</v>
      </c>
      <c r="K21" s="15"/>
      <c r="L21" s="15" t="s">
        <v>392</v>
      </c>
      <c r="M21" s="17" t="str">
        <f t="shared" si="0"/>
        <v>HỢP LỆ</v>
      </c>
      <c r="N21" s="17" t="str">
        <f t="shared" si="1"/>
        <v/>
      </c>
    </row>
    <row r="22" spans="1:14" ht="26.45" customHeight="1">
      <c r="A22" s="16">
        <v>18</v>
      </c>
      <c r="B22" s="16" t="s">
        <v>422</v>
      </c>
      <c r="C22" s="16">
        <v>2</v>
      </c>
      <c r="D22" s="16" t="s">
        <v>208</v>
      </c>
      <c r="E22" s="16" t="s">
        <v>394</v>
      </c>
      <c r="F22" s="15"/>
      <c r="G22" s="15"/>
      <c r="H22" s="15" t="s">
        <v>211</v>
      </c>
      <c r="I22" s="15" t="s">
        <v>186</v>
      </c>
      <c r="J22" s="15" t="s">
        <v>423</v>
      </c>
      <c r="K22" s="15"/>
      <c r="L22" s="15" t="s">
        <v>392</v>
      </c>
      <c r="M22" s="17" t="str">
        <f t="shared" si="0"/>
        <v>HỢP LỆ</v>
      </c>
      <c r="N22" s="17" t="str">
        <f t="shared" si="1"/>
        <v/>
      </c>
    </row>
    <row r="23" spans="1:14" ht="15" customHeight="1">
      <c r="A23" s="16">
        <v>19</v>
      </c>
      <c r="B23" s="16" t="s">
        <v>424</v>
      </c>
      <c r="C23" s="16">
        <v>2</v>
      </c>
      <c r="D23" s="16" t="s">
        <v>208</v>
      </c>
      <c r="E23" s="16" t="s">
        <v>394</v>
      </c>
      <c r="F23" s="15"/>
      <c r="G23" s="15"/>
      <c r="H23" s="15" t="s">
        <v>218</v>
      </c>
      <c r="I23" s="15" t="s">
        <v>186</v>
      </c>
      <c r="J23" s="15" t="s">
        <v>425</v>
      </c>
      <c r="K23" s="15"/>
      <c r="L23" s="15" t="s">
        <v>392</v>
      </c>
      <c r="M23" s="17" t="str">
        <f t="shared" si="0"/>
        <v>HỢP LỆ</v>
      </c>
      <c r="N23" s="17" t="str">
        <f t="shared" si="1"/>
        <v/>
      </c>
    </row>
    <row r="24" spans="1:14" ht="15" customHeight="1">
      <c r="A24" s="16">
        <v>20</v>
      </c>
      <c r="B24" s="16" t="s">
        <v>426</v>
      </c>
      <c r="C24" s="16">
        <v>2</v>
      </c>
      <c r="D24" s="16" t="s">
        <v>216</v>
      </c>
      <c r="E24" s="16"/>
      <c r="F24" s="15"/>
      <c r="G24" s="15"/>
      <c r="H24" s="15"/>
      <c r="I24" s="15"/>
      <c r="J24" s="15"/>
      <c r="K24" s="15" t="s">
        <v>427</v>
      </c>
      <c r="L24" s="15" t="s">
        <v>428</v>
      </c>
      <c r="M24" s="17" t="str">
        <f t="shared" si="0"/>
        <v>HỢP LỆ</v>
      </c>
      <c r="N24" s="17" t="str">
        <f t="shared" si="1"/>
        <v/>
      </c>
    </row>
    <row r="25" spans="1:14" ht="26.45" customHeight="1">
      <c r="A25" s="16">
        <v>21</v>
      </c>
      <c r="B25" s="16" t="s">
        <v>429</v>
      </c>
      <c r="C25" s="16">
        <v>3</v>
      </c>
      <c r="D25" s="16" t="s">
        <v>188</v>
      </c>
      <c r="E25" s="16"/>
      <c r="F25" s="15" t="s">
        <v>204</v>
      </c>
      <c r="G25" s="15" t="s">
        <v>430</v>
      </c>
      <c r="H25" s="15"/>
      <c r="I25" s="15"/>
      <c r="J25" s="15"/>
      <c r="K25" s="15"/>
      <c r="L25" s="15" t="s">
        <v>431</v>
      </c>
      <c r="M25" s="17" t="str">
        <f t="shared" si="0"/>
        <v>HỢP LỆ</v>
      </c>
      <c r="N25" s="17" t="str">
        <f t="shared" si="1"/>
        <v/>
      </c>
    </row>
    <row r="26" spans="1:14" ht="26.45" customHeight="1">
      <c r="A26" s="16">
        <v>22</v>
      </c>
      <c r="B26" s="16" t="s">
        <v>432</v>
      </c>
      <c r="C26" s="16">
        <v>3</v>
      </c>
      <c r="D26" s="16" t="s">
        <v>198</v>
      </c>
      <c r="E26" s="16"/>
      <c r="F26" s="15"/>
      <c r="G26" s="15"/>
      <c r="H26" s="15" t="s">
        <v>182</v>
      </c>
      <c r="I26" s="15"/>
      <c r="J26" s="15" t="s">
        <v>433</v>
      </c>
      <c r="K26" s="15"/>
      <c r="L26" s="15"/>
      <c r="M26" s="17" t="str">
        <f t="shared" si="0"/>
        <v>HỢP LỆ</v>
      </c>
      <c r="N26" s="17" t="str">
        <f t="shared" si="1"/>
        <v/>
      </c>
    </row>
    <row r="27" spans="1:14" ht="26.45" customHeight="1">
      <c r="A27" s="16">
        <v>23</v>
      </c>
      <c r="B27" s="16" t="s">
        <v>434</v>
      </c>
      <c r="C27" s="16">
        <v>3</v>
      </c>
      <c r="D27" s="16" t="s">
        <v>198</v>
      </c>
      <c r="E27" s="16"/>
      <c r="F27" s="15"/>
      <c r="G27" s="15"/>
      <c r="H27" s="15" t="s">
        <v>201</v>
      </c>
      <c r="I27" s="15" t="s">
        <v>186</v>
      </c>
      <c r="J27" s="15" t="s">
        <v>435</v>
      </c>
      <c r="K27" s="15"/>
      <c r="L27" s="15"/>
      <c r="M27" s="17" t="str">
        <f t="shared" si="0"/>
        <v>HỢP LỆ</v>
      </c>
      <c r="N27" s="17" t="str">
        <f t="shared" si="1"/>
        <v/>
      </c>
    </row>
    <row r="28" spans="1:14" ht="15" customHeight="1">
      <c r="A28" s="16">
        <v>24</v>
      </c>
      <c r="B28" s="16" t="s">
        <v>436</v>
      </c>
      <c r="C28" s="16">
        <v>3</v>
      </c>
      <c r="D28" s="16" t="s">
        <v>208</v>
      </c>
      <c r="E28" s="16" t="s">
        <v>394</v>
      </c>
      <c r="F28" s="15"/>
      <c r="G28" s="15"/>
      <c r="H28" s="15" t="s">
        <v>201</v>
      </c>
      <c r="I28" s="15" t="s">
        <v>186</v>
      </c>
      <c r="J28" s="15" t="s">
        <v>437</v>
      </c>
      <c r="K28" s="15"/>
      <c r="L28" s="15" t="s">
        <v>392</v>
      </c>
      <c r="M28" s="17" t="str">
        <f t="shared" si="0"/>
        <v>HỢP LỆ</v>
      </c>
      <c r="N28" s="17" t="str">
        <f t="shared" si="1"/>
        <v/>
      </c>
    </row>
    <row r="29" spans="1:14" ht="15" customHeight="1">
      <c r="A29" s="16">
        <v>25</v>
      </c>
      <c r="B29" s="16" t="s">
        <v>438</v>
      </c>
      <c r="C29" s="16">
        <v>3</v>
      </c>
      <c r="D29" s="16" t="s">
        <v>208</v>
      </c>
      <c r="E29" s="16" t="s">
        <v>394</v>
      </c>
      <c r="F29" s="15"/>
      <c r="G29" s="15"/>
      <c r="H29" s="15" t="s">
        <v>218</v>
      </c>
      <c r="I29" s="15" t="s">
        <v>186</v>
      </c>
      <c r="J29" s="15" t="s">
        <v>439</v>
      </c>
      <c r="K29" s="15"/>
      <c r="L29" s="15" t="s">
        <v>392</v>
      </c>
      <c r="M29" s="17" t="str">
        <f t="shared" si="0"/>
        <v>HỢP LỆ</v>
      </c>
      <c r="N29" s="17" t="str">
        <f t="shared" si="1"/>
        <v/>
      </c>
    </row>
    <row r="30" spans="1:14" ht="15" customHeight="1">
      <c r="A30" s="16">
        <v>26</v>
      </c>
      <c r="B30" s="16" t="s">
        <v>440</v>
      </c>
      <c r="C30" s="16">
        <v>3</v>
      </c>
      <c r="D30" s="16" t="s">
        <v>208</v>
      </c>
      <c r="E30" s="16" t="s">
        <v>394</v>
      </c>
      <c r="F30" s="15"/>
      <c r="G30" s="15"/>
      <c r="H30" s="15" t="s">
        <v>211</v>
      </c>
      <c r="I30" s="15" t="s">
        <v>186</v>
      </c>
      <c r="J30" s="15" t="s">
        <v>441</v>
      </c>
      <c r="K30" s="15"/>
      <c r="L30" s="15" t="s">
        <v>392</v>
      </c>
      <c r="M30" s="17" t="str">
        <f t="shared" si="0"/>
        <v>HỢP LỆ</v>
      </c>
      <c r="N30" s="17" t="str">
        <f t="shared" si="1"/>
        <v/>
      </c>
    </row>
    <row r="31" spans="1:14" ht="26.45" customHeight="1">
      <c r="A31" s="16">
        <v>27</v>
      </c>
      <c r="B31" s="16" t="s">
        <v>442</v>
      </c>
      <c r="C31" s="16">
        <v>3</v>
      </c>
      <c r="D31" s="16" t="s">
        <v>208</v>
      </c>
      <c r="E31" s="16" t="s">
        <v>394</v>
      </c>
      <c r="F31" s="15"/>
      <c r="G31" s="15"/>
      <c r="H31" s="15" t="s">
        <v>201</v>
      </c>
      <c r="I31" s="15" t="s">
        <v>186</v>
      </c>
      <c r="J31" s="15" t="s">
        <v>443</v>
      </c>
      <c r="K31" s="15"/>
      <c r="L31" s="15" t="s">
        <v>392</v>
      </c>
      <c r="M31" s="17" t="str">
        <f t="shared" si="0"/>
        <v>HỢP LỆ</v>
      </c>
      <c r="N31" s="17" t="str">
        <f t="shared" si="1"/>
        <v/>
      </c>
    </row>
    <row r="32" spans="1:14" ht="15" customHeight="1">
      <c r="A32" s="16">
        <v>28</v>
      </c>
      <c r="B32" s="16" t="s">
        <v>444</v>
      </c>
      <c r="C32" s="16">
        <v>3</v>
      </c>
      <c r="D32" s="16" t="s">
        <v>208</v>
      </c>
      <c r="E32" s="16" t="s">
        <v>394</v>
      </c>
      <c r="F32" s="15"/>
      <c r="G32" s="15"/>
      <c r="H32" s="15" t="s">
        <v>224</v>
      </c>
      <c r="I32" s="15" t="s">
        <v>186</v>
      </c>
      <c r="J32" s="15" t="s">
        <v>445</v>
      </c>
      <c r="K32" s="15"/>
      <c r="L32" s="15" t="s">
        <v>392</v>
      </c>
      <c r="M32" s="17" t="str">
        <f t="shared" si="0"/>
        <v>HỢP LỆ</v>
      </c>
      <c r="N32" s="17" t="str">
        <f t="shared" si="1"/>
        <v/>
      </c>
    </row>
    <row r="33" spans="1:14" ht="15" customHeight="1">
      <c r="A33" s="16">
        <v>29</v>
      </c>
      <c r="B33" s="16" t="s">
        <v>446</v>
      </c>
      <c r="C33" s="16">
        <v>3</v>
      </c>
      <c r="D33" s="16" t="s">
        <v>208</v>
      </c>
      <c r="E33" s="16" t="s">
        <v>394</v>
      </c>
      <c r="F33" s="15"/>
      <c r="G33" s="15"/>
      <c r="H33" s="15" t="s">
        <v>218</v>
      </c>
      <c r="I33" s="15" t="s">
        <v>186</v>
      </c>
      <c r="J33" s="15" t="s">
        <v>447</v>
      </c>
      <c r="K33" s="15"/>
      <c r="L33" s="15" t="s">
        <v>392</v>
      </c>
      <c r="M33" s="17" t="str">
        <f t="shared" si="0"/>
        <v>HỢP LỆ</v>
      </c>
      <c r="N33" s="17" t="str">
        <f t="shared" si="1"/>
        <v/>
      </c>
    </row>
    <row r="34" spans="1:14" ht="15" customHeight="1">
      <c r="A34" s="16">
        <v>30</v>
      </c>
      <c r="B34" s="16" t="s">
        <v>448</v>
      </c>
      <c r="C34" s="16">
        <v>3</v>
      </c>
      <c r="D34" s="16" t="s">
        <v>216</v>
      </c>
      <c r="E34" s="16"/>
      <c r="F34" s="15"/>
      <c r="G34" s="15"/>
      <c r="H34" s="15"/>
      <c r="I34" s="15"/>
      <c r="J34" s="15"/>
      <c r="K34" s="15" t="s">
        <v>449</v>
      </c>
      <c r="L34" s="15" t="s">
        <v>450</v>
      </c>
      <c r="M34" s="17" t="str">
        <f t="shared" si="0"/>
        <v>HỢP LỆ</v>
      </c>
      <c r="N34" s="17" t="str">
        <f t="shared" si="1"/>
        <v/>
      </c>
    </row>
    <row r="35" spans="1:14" ht="26.45" customHeight="1">
      <c r="A35" s="16">
        <v>31</v>
      </c>
      <c r="B35" s="16" t="s">
        <v>451</v>
      </c>
      <c r="C35" s="16">
        <v>4</v>
      </c>
      <c r="D35" s="16" t="s">
        <v>188</v>
      </c>
      <c r="E35" s="16"/>
      <c r="F35" s="15" t="s">
        <v>194</v>
      </c>
      <c r="G35" s="15" t="s">
        <v>452</v>
      </c>
      <c r="H35" s="15"/>
      <c r="I35" s="15"/>
      <c r="J35" s="15"/>
      <c r="K35" s="15"/>
      <c r="L35" s="15" t="s">
        <v>453</v>
      </c>
      <c r="M35" s="17" t="str">
        <f t="shared" si="0"/>
        <v>HỢP LỆ</v>
      </c>
      <c r="N35" s="17" t="str">
        <f t="shared" si="1"/>
        <v/>
      </c>
    </row>
    <row r="36" spans="1:14" ht="26.45" customHeight="1">
      <c r="A36" s="16">
        <v>32</v>
      </c>
      <c r="B36" s="16" t="s">
        <v>454</v>
      </c>
      <c r="C36" s="16">
        <v>4</v>
      </c>
      <c r="D36" s="16" t="s">
        <v>198</v>
      </c>
      <c r="E36" s="16"/>
      <c r="F36" s="15"/>
      <c r="G36" s="15"/>
      <c r="H36" s="15" t="s">
        <v>182</v>
      </c>
      <c r="I36" s="15"/>
      <c r="J36" s="15" t="s">
        <v>455</v>
      </c>
      <c r="K36" s="15"/>
      <c r="L36" s="15"/>
      <c r="M36" s="17" t="str">
        <f t="shared" si="0"/>
        <v>HỢP LỆ</v>
      </c>
      <c r="N36" s="17" t="str">
        <f t="shared" si="1"/>
        <v/>
      </c>
    </row>
    <row r="37" spans="1:14" ht="26.45" customHeight="1">
      <c r="A37" s="16">
        <v>33</v>
      </c>
      <c r="B37" s="16" t="s">
        <v>456</v>
      </c>
      <c r="C37" s="16">
        <v>4</v>
      </c>
      <c r="D37" s="16" t="s">
        <v>198</v>
      </c>
      <c r="E37" s="16"/>
      <c r="F37" s="15"/>
      <c r="G37" s="15"/>
      <c r="H37" s="15" t="s">
        <v>218</v>
      </c>
      <c r="I37" s="15" t="s">
        <v>214</v>
      </c>
      <c r="J37" s="15" t="s">
        <v>457</v>
      </c>
      <c r="K37" s="15"/>
      <c r="L37" s="15"/>
      <c r="M37" s="17" t="str">
        <f t="shared" ref="M37:M68" si="2">IF(A37="","",IF(N37="","HỢP LỆ","CẦN SỬA"))</f>
        <v>HỢP LỆ</v>
      </c>
      <c r="N37" s="17" t="str">
        <f t="shared" ref="N37:N68" si="3">IF(A37="","",IF(B37="","Thiếu NodeId",IF(D37="","Thiếu NodeType",IF(COUNTIF($B$5:$B$204,B37)&gt;1,"NodeId bị trùng",IF(COUNTIF($A$5:$A$204,A37)&gt;1,"NodeOrder bị trùng",IF(AND(D37="scene",OR(C37="",F37="",G37="")),"scene cần ActNo, Background, SceneName",IF(AND(D37="say",OR(H37="",J37="")),"say cần SpeakerKey và Text",IF(AND(D37="choice",OR(E37="",H37="",I37="",J37="")),"choice cần ChoiceMode, SpeakerKey, Mood, Question",IF(AND(D37="act",K37=""),"act cần số La Mã",IF(AND(D37="end",COUNTIF($D$5:$D$204,"end")&lt;&gt;1),"Phải có đúng 1 node end",""))))))))))</f>
        <v/>
      </c>
    </row>
    <row r="38" spans="1:14" ht="15" customHeight="1">
      <c r="A38" s="16">
        <v>34</v>
      </c>
      <c r="B38" s="16" t="s">
        <v>458</v>
      </c>
      <c r="C38" s="16">
        <v>4</v>
      </c>
      <c r="D38" s="16" t="s">
        <v>208</v>
      </c>
      <c r="E38" s="16" t="s">
        <v>394</v>
      </c>
      <c r="F38" s="15"/>
      <c r="G38" s="15"/>
      <c r="H38" s="15" t="s">
        <v>218</v>
      </c>
      <c r="I38" s="15" t="s">
        <v>186</v>
      </c>
      <c r="J38" s="15" t="s">
        <v>459</v>
      </c>
      <c r="K38" s="15"/>
      <c r="L38" s="15" t="s">
        <v>392</v>
      </c>
      <c r="M38" s="17" t="str">
        <f t="shared" si="2"/>
        <v>HỢP LỆ</v>
      </c>
      <c r="N38" s="17" t="str">
        <f t="shared" si="3"/>
        <v/>
      </c>
    </row>
    <row r="39" spans="1:14" ht="15" customHeight="1">
      <c r="A39" s="16">
        <v>35</v>
      </c>
      <c r="B39" s="16" t="s">
        <v>460</v>
      </c>
      <c r="C39" s="16">
        <v>4</v>
      </c>
      <c r="D39" s="16" t="s">
        <v>208</v>
      </c>
      <c r="E39" s="16" t="s">
        <v>394</v>
      </c>
      <c r="F39" s="15"/>
      <c r="G39" s="15"/>
      <c r="H39" s="15" t="s">
        <v>201</v>
      </c>
      <c r="I39" s="15" t="s">
        <v>186</v>
      </c>
      <c r="J39" s="15" t="s">
        <v>461</v>
      </c>
      <c r="K39" s="15"/>
      <c r="L39" s="15" t="s">
        <v>392</v>
      </c>
      <c r="M39" s="17" t="str">
        <f t="shared" si="2"/>
        <v>HỢP LỆ</v>
      </c>
      <c r="N39" s="17" t="str">
        <f t="shared" si="3"/>
        <v/>
      </c>
    </row>
    <row r="40" spans="1:14" ht="15" customHeight="1">
      <c r="A40" s="16">
        <v>36</v>
      </c>
      <c r="B40" s="16" t="s">
        <v>462</v>
      </c>
      <c r="C40" s="16">
        <v>4</v>
      </c>
      <c r="D40" s="16" t="s">
        <v>208</v>
      </c>
      <c r="E40" s="16" t="s">
        <v>394</v>
      </c>
      <c r="F40" s="15"/>
      <c r="G40" s="15"/>
      <c r="H40" s="15" t="s">
        <v>224</v>
      </c>
      <c r="I40" s="15" t="s">
        <v>186</v>
      </c>
      <c r="J40" s="15" t="s">
        <v>463</v>
      </c>
      <c r="K40" s="15"/>
      <c r="L40" s="15" t="s">
        <v>392</v>
      </c>
      <c r="M40" s="17" t="str">
        <f t="shared" si="2"/>
        <v>HỢP LỆ</v>
      </c>
      <c r="N40" s="17" t="str">
        <f t="shared" si="3"/>
        <v/>
      </c>
    </row>
    <row r="41" spans="1:14" ht="26.45" customHeight="1">
      <c r="A41" s="16">
        <v>37</v>
      </c>
      <c r="B41" s="16" t="s">
        <v>464</v>
      </c>
      <c r="C41" s="16">
        <v>4</v>
      </c>
      <c r="D41" s="16" t="s">
        <v>198</v>
      </c>
      <c r="E41" s="16"/>
      <c r="F41" s="15"/>
      <c r="G41" s="15"/>
      <c r="H41" s="15" t="s">
        <v>201</v>
      </c>
      <c r="I41" s="15" t="s">
        <v>196</v>
      </c>
      <c r="J41" s="15" t="s">
        <v>465</v>
      </c>
      <c r="K41" s="15"/>
      <c r="L41" s="15"/>
      <c r="M41" s="17" t="str">
        <f t="shared" si="2"/>
        <v>HỢP LỆ</v>
      </c>
      <c r="N41" s="17" t="str">
        <f t="shared" si="3"/>
        <v/>
      </c>
    </row>
    <row r="42" spans="1:14" ht="15" customHeight="1">
      <c r="A42" s="16">
        <v>38</v>
      </c>
      <c r="B42" s="16" t="s">
        <v>466</v>
      </c>
      <c r="C42" s="16">
        <v>4</v>
      </c>
      <c r="D42" s="16" t="s">
        <v>216</v>
      </c>
      <c r="E42" s="16"/>
      <c r="F42" s="15"/>
      <c r="G42" s="15"/>
      <c r="H42" s="15"/>
      <c r="I42" s="15"/>
      <c r="J42" s="15"/>
      <c r="K42" s="15" t="s">
        <v>467</v>
      </c>
      <c r="L42" s="15" t="s">
        <v>468</v>
      </c>
      <c r="M42" s="17" t="str">
        <f t="shared" si="2"/>
        <v>HỢP LỆ</v>
      </c>
      <c r="N42" s="17" t="str">
        <f t="shared" si="3"/>
        <v/>
      </c>
    </row>
    <row r="43" spans="1:14" ht="15" customHeight="1">
      <c r="A43" s="16">
        <v>39</v>
      </c>
      <c r="B43" s="16" t="s">
        <v>469</v>
      </c>
      <c r="C43" s="16"/>
      <c r="D43" s="16" t="s">
        <v>221</v>
      </c>
      <c r="E43" s="16"/>
      <c r="F43" s="15"/>
      <c r="G43" s="15"/>
      <c r="H43" s="15"/>
      <c r="I43" s="15"/>
      <c r="J43" s="15"/>
      <c r="K43" s="15"/>
      <c r="L43" s="15" t="s">
        <v>470</v>
      </c>
      <c r="M43" s="17" t="str">
        <f t="shared" si="2"/>
        <v>HỢP LỆ</v>
      </c>
      <c r="N43" s="17" t="str">
        <f t="shared" si="3"/>
        <v/>
      </c>
    </row>
    <row r="44" spans="1:14">
      <c r="A44" s="13"/>
      <c r="B44" s="13"/>
      <c r="C44" s="13"/>
      <c r="D44" s="13"/>
      <c r="E44" s="13"/>
      <c r="F44" s="5"/>
      <c r="G44" s="5"/>
      <c r="H44" s="5"/>
      <c r="I44" s="5"/>
      <c r="J44" s="5"/>
      <c r="K44" s="5"/>
      <c r="L44" s="5"/>
      <c r="M44" s="6" t="str">
        <f t="shared" si="2"/>
        <v/>
      </c>
      <c r="N44" s="6" t="str">
        <f t="shared" si="3"/>
        <v/>
      </c>
    </row>
    <row r="45" spans="1:14">
      <c r="A45" s="13"/>
      <c r="B45" s="13"/>
      <c r="C45" s="13"/>
      <c r="D45" s="13"/>
      <c r="E45" s="13"/>
      <c r="F45" s="5"/>
      <c r="G45" s="5"/>
      <c r="H45" s="5"/>
      <c r="I45" s="5"/>
      <c r="J45" s="5"/>
      <c r="K45" s="5"/>
      <c r="L45" s="5"/>
      <c r="M45" s="6" t="str">
        <f t="shared" si="2"/>
        <v/>
      </c>
      <c r="N45" s="6" t="str">
        <f t="shared" si="3"/>
        <v/>
      </c>
    </row>
    <row r="46" spans="1:14">
      <c r="A46" s="13"/>
      <c r="B46" s="13"/>
      <c r="C46" s="13"/>
      <c r="D46" s="13"/>
      <c r="E46" s="13"/>
      <c r="F46" s="5"/>
      <c r="G46" s="5"/>
      <c r="H46" s="5"/>
      <c r="I46" s="5"/>
      <c r="J46" s="5"/>
      <c r="K46" s="5"/>
      <c r="L46" s="5"/>
      <c r="M46" s="6" t="str">
        <f t="shared" si="2"/>
        <v/>
      </c>
      <c r="N46" s="6" t="str">
        <f t="shared" si="3"/>
        <v/>
      </c>
    </row>
    <row r="47" spans="1:14">
      <c r="A47" s="13"/>
      <c r="B47" s="13"/>
      <c r="C47" s="13"/>
      <c r="D47" s="13"/>
      <c r="E47" s="13"/>
      <c r="F47" s="5"/>
      <c r="G47" s="5"/>
      <c r="H47" s="5"/>
      <c r="I47" s="5"/>
      <c r="J47" s="5"/>
      <c r="K47" s="5"/>
      <c r="L47" s="5"/>
      <c r="M47" s="6" t="str">
        <f t="shared" si="2"/>
        <v/>
      </c>
      <c r="N47" s="6" t="str">
        <f t="shared" si="3"/>
        <v/>
      </c>
    </row>
    <row r="48" spans="1:14">
      <c r="A48" s="13"/>
      <c r="B48" s="13"/>
      <c r="C48" s="13"/>
      <c r="D48" s="13"/>
      <c r="E48" s="13"/>
      <c r="F48" s="5"/>
      <c r="G48" s="5"/>
      <c r="H48" s="5"/>
      <c r="I48" s="5"/>
      <c r="J48" s="5"/>
      <c r="K48" s="5"/>
      <c r="L48" s="5"/>
      <c r="M48" s="6" t="str">
        <f t="shared" si="2"/>
        <v/>
      </c>
      <c r="N48" s="6" t="str">
        <f t="shared" si="3"/>
        <v/>
      </c>
    </row>
    <row r="49" spans="1:14">
      <c r="A49" s="13"/>
      <c r="B49" s="13"/>
      <c r="C49" s="13"/>
      <c r="D49" s="13"/>
      <c r="E49" s="13"/>
      <c r="F49" s="5"/>
      <c r="G49" s="5"/>
      <c r="H49" s="5"/>
      <c r="I49" s="5"/>
      <c r="J49" s="5"/>
      <c r="K49" s="5"/>
      <c r="L49" s="5"/>
      <c r="M49" s="6" t="str">
        <f t="shared" si="2"/>
        <v/>
      </c>
      <c r="N49" s="6" t="str">
        <f t="shared" si="3"/>
        <v/>
      </c>
    </row>
    <row r="50" spans="1:14">
      <c r="A50" s="13"/>
      <c r="B50" s="13"/>
      <c r="C50" s="13"/>
      <c r="D50" s="13"/>
      <c r="E50" s="13"/>
      <c r="F50" s="5"/>
      <c r="G50" s="5"/>
      <c r="H50" s="5"/>
      <c r="I50" s="5"/>
      <c r="J50" s="5"/>
      <c r="K50" s="5"/>
      <c r="L50" s="5"/>
      <c r="M50" s="6" t="str">
        <f t="shared" si="2"/>
        <v/>
      </c>
      <c r="N50" s="6" t="str">
        <f t="shared" si="3"/>
        <v/>
      </c>
    </row>
    <row r="51" spans="1:14">
      <c r="A51" s="13"/>
      <c r="B51" s="13"/>
      <c r="C51" s="13"/>
      <c r="D51" s="13"/>
      <c r="E51" s="13"/>
      <c r="F51" s="5"/>
      <c r="G51" s="5"/>
      <c r="H51" s="5"/>
      <c r="I51" s="5"/>
      <c r="J51" s="5"/>
      <c r="K51" s="5"/>
      <c r="L51" s="5"/>
      <c r="M51" s="6" t="str">
        <f t="shared" si="2"/>
        <v/>
      </c>
      <c r="N51" s="6" t="str">
        <f t="shared" si="3"/>
        <v/>
      </c>
    </row>
    <row r="52" spans="1:14">
      <c r="A52" s="13"/>
      <c r="B52" s="13"/>
      <c r="C52" s="13"/>
      <c r="D52" s="13"/>
      <c r="E52" s="13"/>
      <c r="F52" s="5"/>
      <c r="G52" s="5"/>
      <c r="H52" s="5"/>
      <c r="I52" s="5"/>
      <c r="J52" s="5"/>
      <c r="K52" s="5"/>
      <c r="L52" s="5"/>
      <c r="M52" s="6" t="str">
        <f t="shared" si="2"/>
        <v/>
      </c>
      <c r="N52" s="6" t="str">
        <f t="shared" si="3"/>
        <v/>
      </c>
    </row>
    <row r="53" spans="1:14">
      <c r="A53" s="13"/>
      <c r="B53" s="13"/>
      <c r="C53" s="13"/>
      <c r="D53" s="13"/>
      <c r="E53" s="13"/>
      <c r="F53" s="5"/>
      <c r="G53" s="5"/>
      <c r="H53" s="5"/>
      <c r="I53" s="5"/>
      <c r="J53" s="5"/>
      <c r="K53" s="5"/>
      <c r="L53" s="5"/>
      <c r="M53" s="6" t="str">
        <f t="shared" si="2"/>
        <v/>
      </c>
      <c r="N53" s="6" t="str">
        <f t="shared" si="3"/>
        <v/>
      </c>
    </row>
    <row r="54" spans="1:14">
      <c r="A54" s="13"/>
      <c r="B54" s="13"/>
      <c r="C54" s="13"/>
      <c r="D54" s="13"/>
      <c r="E54" s="13"/>
      <c r="F54" s="5"/>
      <c r="G54" s="5"/>
      <c r="H54" s="5"/>
      <c r="I54" s="5"/>
      <c r="J54" s="5"/>
      <c r="K54" s="5"/>
      <c r="L54" s="5"/>
      <c r="M54" s="6" t="str">
        <f t="shared" si="2"/>
        <v/>
      </c>
      <c r="N54" s="6" t="str">
        <f t="shared" si="3"/>
        <v/>
      </c>
    </row>
    <row r="55" spans="1:14">
      <c r="A55" s="13"/>
      <c r="B55" s="13"/>
      <c r="C55" s="13"/>
      <c r="D55" s="13"/>
      <c r="E55" s="13"/>
      <c r="F55" s="5"/>
      <c r="G55" s="5"/>
      <c r="H55" s="5"/>
      <c r="I55" s="5"/>
      <c r="J55" s="5"/>
      <c r="K55" s="5"/>
      <c r="L55" s="5"/>
      <c r="M55" s="6" t="str">
        <f t="shared" si="2"/>
        <v/>
      </c>
      <c r="N55" s="6" t="str">
        <f t="shared" si="3"/>
        <v/>
      </c>
    </row>
    <row r="56" spans="1:14">
      <c r="A56" s="13"/>
      <c r="B56" s="13"/>
      <c r="C56" s="13"/>
      <c r="D56" s="13"/>
      <c r="E56" s="13"/>
      <c r="F56" s="5"/>
      <c r="G56" s="5"/>
      <c r="H56" s="5"/>
      <c r="I56" s="5"/>
      <c r="J56" s="5"/>
      <c r="K56" s="5"/>
      <c r="L56" s="5"/>
      <c r="M56" s="6" t="str">
        <f t="shared" si="2"/>
        <v/>
      </c>
      <c r="N56" s="6" t="str">
        <f t="shared" si="3"/>
        <v/>
      </c>
    </row>
    <row r="57" spans="1:14">
      <c r="A57" s="13"/>
      <c r="B57" s="13"/>
      <c r="C57" s="13"/>
      <c r="D57" s="13"/>
      <c r="E57" s="13"/>
      <c r="F57" s="5"/>
      <c r="G57" s="5"/>
      <c r="H57" s="5"/>
      <c r="I57" s="5"/>
      <c r="J57" s="5"/>
      <c r="K57" s="5"/>
      <c r="L57" s="5"/>
      <c r="M57" s="6" t="str">
        <f t="shared" si="2"/>
        <v/>
      </c>
      <c r="N57" s="6" t="str">
        <f t="shared" si="3"/>
        <v/>
      </c>
    </row>
    <row r="58" spans="1:14">
      <c r="A58" s="13"/>
      <c r="B58" s="13"/>
      <c r="C58" s="13"/>
      <c r="D58" s="13"/>
      <c r="E58" s="13"/>
      <c r="F58" s="5"/>
      <c r="G58" s="5"/>
      <c r="H58" s="5"/>
      <c r="I58" s="5"/>
      <c r="J58" s="5"/>
      <c r="K58" s="5"/>
      <c r="L58" s="5"/>
      <c r="M58" s="6" t="str">
        <f t="shared" si="2"/>
        <v/>
      </c>
      <c r="N58" s="6" t="str">
        <f t="shared" si="3"/>
        <v/>
      </c>
    </row>
    <row r="59" spans="1:14">
      <c r="A59" s="13"/>
      <c r="B59" s="13"/>
      <c r="C59" s="13"/>
      <c r="D59" s="13"/>
      <c r="E59" s="13"/>
      <c r="F59" s="5"/>
      <c r="G59" s="5"/>
      <c r="H59" s="5"/>
      <c r="I59" s="5"/>
      <c r="J59" s="5"/>
      <c r="K59" s="5"/>
      <c r="L59" s="5"/>
      <c r="M59" s="6" t="str">
        <f t="shared" si="2"/>
        <v/>
      </c>
      <c r="N59" s="6" t="str">
        <f t="shared" si="3"/>
        <v/>
      </c>
    </row>
    <row r="60" spans="1:14">
      <c r="A60" s="13"/>
      <c r="B60" s="13"/>
      <c r="C60" s="13"/>
      <c r="D60" s="13"/>
      <c r="E60" s="13"/>
      <c r="F60" s="5"/>
      <c r="G60" s="5"/>
      <c r="H60" s="5"/>
      <c r="I60" s="5"/>
      <c r="J60" s="5"/>
      <c r="K60" s="5"/>
      <c r="L60" s="5"/>
      <c r="M60" s="6" t="str">
        <f t="shared" si="2"/>
        <v/>
      </c>
      <c r="N60" s="6" t="str">
        <f t="shared" si="3"/>
        <v/>
      </c>
    </row>
    <row r="61" spans="1:14">
      <c r="A61" s="13"/>
      <c r="B61" s="13"/>
      <c r="C61" s="13"/>
      <c r="D61" s="13"/>
      <c r="E61" s="13"/>
      <c r="F61" s="5"/>
      <c r="G61" s="5"/>
      <c r="H61" s="5"/>
      <c r="I61" s="5"/>
      <c r="J61" s="5"/>
      <c r="K61" s="5"/>
      <c r="L61" s="5"/>
      <c r="M61" s="6" t="str">
        <f t="shared" si="2"/>
        <v/>
      </c>
      <c r="N61" s="6" t="str">
        <f t="shared" si="3"/>
        <v/>
      </c>
    </row>
    <row r="62" spans="1:14">
      <c r="A62" s="13"/>
      <c r="B62" s="13"/>
      <c r="C62" s="13"/>
      <c r="D62" s="13"/>
      <c r="E62" s="13"/>
      <c r="F62" s="5"/>
      <c r="G62" s="5"/>
      <c r="H62" s="5"/>
      <c r="I62" s="5"/>
      <c r="J62" s="5"/>
      <c r="K62" s="5"/>
      <c r="L62" s="5"/>
      <c r="M62" s="6" t="str">
        <f t="shared" si="2"/>
        <v/>
      </c>
      <c r="N62" s="6" t="str">
        <f t="shared" si="3"/>
        <v/>
      </c>
    </row>
    <row r="63" spans="1:14">
      <c r="A63" s="13"/>
      <c r="B63" s="13"/>
      <c r="C63" s="13"/>
      <c r="D63" s="13"/>
      <c r="E63" s="13"/>
      <c r="F63" s="5"/>
      <c r="G63" s="5"/>
      <c r="H63" s="5"/>
      <c r="I63" s="5"/>
      <c r="J63" s="5"/>
      <c r="K63" s="5"/>
      <c r="L63" s="5"/>
      <c r="M63" s="6" t="str">
        <f t="shared" si="2"/>
        <v/>
      </c>
      <c r="N63" s="6" t="str">
        <f t="shared" si="3"/>
        <v/>
      </c>
    </row>
    <row r="64" spans="1:14">
      <c r="A64" s="13"/>
      <c r="B64" s="13"/>
      <c r="C64" s="13"/>
      <c r="D64" s="13"/>
      <c r="E64" s="13"/>
      <c r="F64" s="5"/>
      <c r="G64" s="5"/>
      <c r="H64" s="5"/>
      <c r="I64" s="5"/>
      <c r="J64" s="5"/>
      <c r="K64" s="5"/>
      <c r="L64" s="5"/>
      <c r="M64" s="6" t="str">
        <f t="shared" si="2"/>
        <v/>
      </c>
      <c r="N64" s="6" t="str">
        <f t="shared" si="3"/>
        <v/>
      </c>
    </row>
    <row r="65" spans="1:14">
      <c r="A65" s="13"/>
      <c r="B65" s="13"/>
      <c r="C65" s="13"/>
      <c r="D65" s="13"/>
      <c r="E65" s="13"/>
      <c r="F65" s="5"/>
      <c r="G65" s="5"/>
      <c r="H65" s="5"/>
      <c r="I65" s="5"/>
      <c r="J65" s="5"/>
      <c r="K65" s="5"/>
      <c r="L65" s="5"/>
      <c r="M65" s="6" t="str">
        <f t="shared" si="2"/>
        <v/>
      </c>
      <c r="N65" s="6" t="str">
        <f t="shared" si="3"/>
        <v/>
      </c>
    </row>
    <row r="66" spans="1:14">
      <c r="A66" s="13"/>
      <c r="B66" s="13"/>
      <c r="C66" s="13"/>
      <c r="D66" s="13"/>
      <c r="E66" s="13"/>
      <c r="F66" s="5"/>
      <c r="G66" s="5"/>
      <c r="H66" s="5"/>
      <c r="I66" s="5"/>
      <c r="J66" s="5"/>
      <c r="K66" s="5"/>
      <c r="L66" s="5"/>
      <c r="M66" s="6" t="str">
        <f t="shared" si="2"/>
        <v/>
      </c>
      <c r="N66" s="6" t="str">
        <f t="shared" si="3"/>
        <v/>
      </c>
    </row>
    <row r="67" spans="1:14">
      <c r="A67" s="13"/>
      <c r="B67" s="13"/>
      <c r="C67" s="13"/>
      <c r="D67" s="13"/>
      <c r="E67" s="13"/>
      <c r="F67" s="5"/>
      <c r="G67" s="5"/>
      <c r="H67" s="5"/>
      <c r="I67" s="5"/>
      <c r="J67" s="5"/>
      <c r="K67" s="5"/>
      <c r="L67" s="5"/>
      <c r="M67" s="6" t="str">
        <f t="shared" si="2"/>
        <v/>
      </c>
      <c r="N67" s="6" t="str">
        <f t="shared" si="3"/>
        <v/>
      </c>
    </row>
    <row r="68" spans="1:14">
      <c r="A68" s="13"/>
      <c r="B68" s="13"/>
      <c r="C68" s="13"/>
      <c r="D68" s="13"/>
      <c r="E68" s="13"/>
      <c r="F68" s="5"/>
      <c r="G68" s="5"/>
      <c r="H68" s="5"/>
      <c r="I68" s="5"/>
      <c r="J68" s="5"/>
      <c r="K68" s="5"/>
      <c r="L68" s="5"/>
      <c r="M68" s="6" t="str">
        <f t="shared" si="2"/>
        <v/>
      </c>
      <c r="N68" s="6" t="str">
        <f t="shared" si="3"/>
        <v/>
      </c>
    </row>
    <row r="69" spans="1:14">
      <c r="A69" s="13"/>
      <c r="B69" s="13"/>
      <c r="C69" s="13"/>
      <c r="D69" s="13"/>
      <c r="E69" s="13"/>
      <c r="F69" s="5"/>
      <c r="G69" s="5"/>
      <c r="H69" s="5"/>
      <c r="I69" s="5"/>
      <c r="J69" s="5"/>
      <c r="K69" s="5"/>
      <c r="L69" s="5"/>
      <c r="M69" s="6" t="str">
        <f t="shared" ref="M69:M100" si="4">IF(A69="","",IF(N69="","HỢP LỆ","CẦN SỬA"))</f>
        <v/>
      </c>
      <c r="N69" s="6" t="str">
        <f t="shared" ref="N69:N100" si="5">IF(A69="","",IF(B69="","Thiếu NodeId",IF(D69="","Thiếu NodeType",IF(COUNTIF($B$5:$B$204,B69)&gt;1,"NodeId bị trùng",IF(COUNTIF($A$5:$A$204,A69)&gt;1,"NodeOrder bị trùng",IF(AND(D69="scene",OR(C69="",F69="",G69="")),"scene cần ActNo, Background, SceneName",IF(AND(D69="say",OR(H69="",J69="")),"say cần SpeakerKey và Text",IF(AND(D69="choice",OR(E69="",H69="",I69="",J69="")),"choice cần ChoiceMode, SpeakerKey, Mood, Question",IF(AND(D69="act",K69=""),"act cần số La Mã",IF(AND(D69="end",COUNTIF($D$5:$D$204,"end")&lt;&gt;1),"Phải có đúng 1 node end",""))))))))))</f>
        <v/>
      </c>
    </row>
    <row r="70" spans="1:14">
      <c r="A70" s="13"/>
      <c r="B70" s="13"/>
      <c r="C70" s="13"/>
      <c r="D70" s="13"/>
      <c r="E70" s="13"/>
      <c r="F70" s="5"/>
      <c r="G70" s="5"/>
      <c r="H70" s="5"/>
      <c r="I70" s="5"/>
      <c r="J70" s="5"/>
      <c r="K70" s="5"/>
      <c r="L70" s="5"/>
      <c r="M70" s="6" t="str">
        <f t="shared" si="4"/>
        <v/>
      </c>
      <c r="N70" s="6" t="str">
        <f t="shared" si="5"/>
        <v/>
      </c>
    </row>
    <row r="71" spans="1:14">
      <c r="A71" s="13"/>
      <c r="B71" s="13"/>
      <c r="C71" s="13"/>
      <c r="D71" s="13"/>
      <c r="E71" s="13"/>
      <c r="F71" s="5"/>
      <c r="G71" s="5"/>
      <c r="H71" s="5"/>
      <c r="I71" s="5"/>
      <c r="J71" s="5"/>
      <c r="K71" s="5"/>
      <c r="L71" s="5"/>
      <c r="M71" s="6" t="str">
        <f t="shared" si="4"/>
        <v/>
      </c>
      <c r="N71" s="6" t="str">
        <f t="shared" si="5"/>
        <v/>
      </c>
    </row>
    <row r="72" spans="1:14">
      <c r="A72" s="13"/>
      <c r="B72" s="13"/>
      <c r="C72" s="13"/>
      <c r="D72" s="13"/>
      <c r="E72" s="13"/>
      <c r="F72" s="5"/>
      <c r="G72" s="5"/>
      <c r="H72" s="5"/>
      <c r="I72" s="5"/>
      <c r="J72" s="5"/>
      <c r="K72" s="5"/>
      <c r="L72" s="5"/>
      <c r="M72" s="6" t="str">
        <f t="shared" si="4"/>
        <v/>
      </c>
      <c r="N72" s="6" t="str">
        <f t="shared" si="5"/>
        <v/>
      </c>
    </row>
    <row r="73" spans="1:14">
      <c r="A73" s="13"/>
      <c r="B73" s="13"/>
      <c r="C73" s="13"/>
      <c r="D73" s="13"/>
      <c r="E73" s="13"/>
      <c r="F73" s="5"/>
      <c r="G73" s="5"/>
      <c r="H73" s="5"/>
      <c r="I73" s="5"/>
      <c r="J73" s="5"/>
      <c r="K73" s="5"/>
      <c r="L73" s="5"/>
      <c r="M73" s="6" t="str">
        <f t="shared" si="4"/>
        <v/>
      </c>
      <c r="N73" s="6" t="str">
        <f t="shared" si="5"/>
        <v/>
      </c>
    </row>
    <row r="74" spans="1:14">
      <c r="A74" s="13"/>
      <c r="B74" s="13"/>
      <c r="C74" s="13"/>
      <c r="D74" s="13"/>
      <c r="E74" s="13"/>
      <c r="F74" s="5"/>
      <c r="G74" s="5"/>
      <c r="H74" s="5"/>
      <c r="I74" s="5"/>
      <c r="J74" s="5"/>
      <c r="K74" s="5"/>
      <c r="L74" s="5"/>
      <c r="M74" s="6" t="str">
        <f t="shared" si="4"/>
        <v/>
      </c>
      <c r="N74" s="6" t="str">
        <f t="shared" si="5"/>
        <v/>
      </c>
    </row>
    <row r="75" spans="1:14">
      <c r="A75" s="13"/>
      <c r="B75" s="13"/>
      <c r="C75" s="13"/>
      <c r="D75" s="13"/>
      <c r="E75" s="13"/>
      <c r="F75" s="5"/>
      <c r="G75" s="5"/>
      <c r="H75" s="5"/>
      <c r="I75" s="5"/>
      <c r="J75" s="5"/>
      <c r="K75" s="5"/>
      <c r="L75" s="5"/>
      <c r="M75" s="6" t="str">
        <f t="shared" si="4"/>
        <v/>
      </c>
      <c r="N75" s="6" t="str">
        <f t="shared" si="5"/>
        <v/>
      </c>
    </row>
    <row r="76" spans="1:14">
      <c r="A76" s="13"/>
      <c r="B76" s="13"/>
      <c r="C76" s="13"/>
      <c r="D76" s="13"/>
      <c r="E76" s="13"/>
      <c r="F76" s="5"/>
      <c r="G76" s="5"/>
      <c r="H76" s="5"/>
      <c r="I76" s="5"/>
      <c r="J76" s="5"/>
      <c r="K76" s="5"/>
      <c r="L76" s="5"/>
      <c r="M76" s="6" t="str">
        <f t="shared" si="4"/>
        <v/>
      </c>
      <c r="N76" s="6" t="str">
        <f t="shared" si="5"/>
        <v/>
      </c>
    </row>
    <row r="77" spans="1:14">
      <c r="A77" s="13"/>
      <c r="B77" s="13"/>
      <c r="C77" s="13"/>
      <c r="D77" s="13"/>
      <c r="E77" s="13"/>
      <c r="F77" s="5"/>
      <c r="G77" s="5"/>
      <c r="H77" s="5"/>
      <c r="I77" s="5"/>
      <c r="J77" s="5"/>
      <c r="K77" s="5"/>
      <c r="L77" s="5"/>
      <c r="M77" s="6" t="str">
        <f t="shared" si="4"/>
        <v/>
      </c>
      <c r="N77" s="6" t="str">
        <f t="shared" si="5"/>
        <v/>
      </c>
    </row>
    <row r="78" spans="1:14">
      <c r="A78" s="13"/>
      <c r="B78" s="13"/>
      <c r="C78" s="13"/>
      <c r="D78" s="13"/>
      <c r="E78" s="13"/>
      <c r="F78" s="5"/>
      <c r="G78" s="5"/>
      <c r="H78" s="5"/>
      <c r="I78" s="5"/>
      <c r="J78" s="5"/>
      <c r="K78" s="5"/>
      <c r="L78" s="5"/>
      <c r="M78" s="6" t="str">
        <f t="shared" si="4"/>
        <v/>
      </c>
      <c r="N78" s="6" t="str">
        <f t="shared" si="5"/>
        <v/>
      </c>
    </row>
    <row r="79" spans="1:14">
      <c r="A79" s="13"/>
      <c r="B79" s="13"/>
      <c r="C79" s="13"/>
      <c r="D79" s="13"/>
      <c r="E79" s="13"/>
      <c r="F79" s="5"/>
      <c r="G79" s="5"/>
      <c r="H79" s="5"/>
      <c r="I79" s="5"/>
      <c r="J79" s="5"/>
      <c r="K79" s="5"/>
      <c r="L79" s="5"/>
      <c r="M79" s="6" t="str">
        <f t="shared" si="4"/>
        <v/>
      </c>
      <c r="N79" s="6" t="str">
        <f t="shared" si="5"/>
        <v/>
      </c>
    </row>
    <row r="80" spans="1:14">
      <c r="A80" s="13"/>
      <c r="B80" s="13"/>
      <c r="C80" s="13"/>
      <c r="D80" s="13"/>
      <c r="E80" s="13"/>
      <c r="F80" s="5"/>
      <c r="G80" s="5"/>
      <c r="H80" s="5"/>
      <c r="I80" s="5"/>
      <c r="J80" s="5"/>
      <c r="K80" s="5"/>
      <c r="L80" s="5"/>
      <c r="M80" s="6" t="str">
        <f t="shared" si="4"/>
        <v/>
      </c>
      <c r="N80" s="6" t="str">
        <f t="shared" si="5"/>
        <v/>
      </c>
    </row>
    <row r="81" spans="1:14">
      <c r="A81" s="13"/>
      <c r="B81" s="13"/>
      <c r="C81" s="13"/>
      <c r="D81" s="13"/>
      <c r="E81" s="13"/>
      <c r="F81" s="5"/>
      <c r="G81" s="5"/>
      <c r="H81" s="5"/>
      <c r="I81" s="5"/>
      <c r="J81" s="5"/>
      <c r="K81" s="5"/>
      <c r="L81" s="5"/>
      <c r="M81" s="6" t="str">
        <f t="shared" si="4"/>
        <v/>
      </c>
      <c r="N81" s="6" t="str">
        <f t="shared" si="5"/>
        <v/>
      </c>
    </row>
    <row r="82" spans="1:14">
      <c r="A82" s="13"/>
      <c r="B82" s="13"/>
      <c r="C82" s="13"/>
      <c r="D82" s="13"/>
      <c r="E82" s="13"/>
      <c r="F82" s="5"/>
      <c r="G82" s="5"/>
      <c r="H82" s="5"/>
      <c r="I82" s="5"/>
      <c r="J82" s="5"/>
      <c r="K82" s="5"/>
      <c r="L82" s="5"/>
      <c r="M82" s="6" t="str">
        <f t="shared" si="4"/>
        <v/>
      </c>
      <c r="N82" s="6" t="str">
        <f t="shared" si="5"/>
        <v/>
      </c>
    </row>
    <row r="83" spans="1:14">
      <c r="A83" s="13"/>
      <c r="B83" s="13"/>
      <c r="C83" s="13"/>
      <c r="D83" s="13"/>
      <c r="E83" s="13"/>
      <c r="F83" s="5"/>
      <c r="G83" s="5"/>
      <c r="H83" s="5"/>
      <c r="I83" s="5"/>
      <c r="J83" s="5"/>
      <c r="K83" s="5"/>
      <c r="L83" s="5"/>
      <c r="M83" s="6" t="str">
        <f t="shared" si="4"/>
        <v/>
      </c>
      <c r="N83" s="6" t="str">
        <f t="shared" si="5"/>
        <v/>
      </c>
    </row>
    <row r="84" spans="1:14">
      <c r="A84" s="13"/>
      <c r="B84" s="13"/>
      <c r="C84" s="13"/>
      <c r="D84" s="13"/>
      <c r="E84" s="13"/>
      <c r="F84" s="5"/>
      <c r="G84" s="5"/>
      <c r="H84" s="5"/>
      <c r="I84" s="5"/>
      <c r="J84" s="5"/>
      <c r="K84" s="5"/>
      <c r="L84" s="5"/>
      <c r="M84" s="6" t="str">
        <f t="shared" si="4"/>
        <v/>
      </c>
      <c r="N84" s="6" t="str">
        <f t="shared" si="5"/>
        <v/>
      </c>
    </row>
    <row r="85" spans="1:14">
      <c r="A85" s="13"/>
      <c r="B85" s="13"/>
      <c r="C85" s="13"/>
      <c r="D85" s="13"/>
      <c r="E85" s="13"/>
      <c r="F85" s="5"/>
      <c r="G85" s="5"/>
      <c r="H85" s="5"/>
      <c r="I85" s="5"/>
      <c r="J85" s="5"/>
      <c r="K85" s="5"/>
      <c r="L85" s="5"/>
      <c r="M85" s="6" t="str">
        <f t="shared" si="4"/>
        <v/>
      </c>
      <c r="N85" s="6" t="str">
        <f t="shared" si="5"/>
        <v/>
      </c>
    </row>
    <row r="86" spans="1:14">
      <c r="A86" s="13"/>
      <c r="B86" s="13"/>
      <c r="C86" s="13"/>
      <c r="D86" s="13"/>
      <c r="E86" s="13"/>
      <c r="F86" s="5"/>
      <c r="G86" s="5"/>
      <c r="H86" s="5"/>
      <c r="I86" s="5"/>
      <c r="J86" s="5"/>
      <c r="K86" s="5"/>
      <c r="L86" s="5"/>
      <c r="M86" s="6" t="str">
        <f t="shared" si="4"/>
        <v/>
      </c>
      <c r="N86" s="6" t="str">
        <f t="shared" si="5"/>
        <v/>
      </c>
    </row>
    <row r="87" spans="1:14">
      <c r="A87" s="13"/>
      <c r="B87" s="13"/>
      <c r="C87" s="13"/>
      <c r="D87" s="13"/>
      <c r="E87" s="13"/>
      <c r="F87" s="5"/>
      <c r="G87" s="5"/>
      <c r="H87" s="5"/>
      <c r="I87" s="5"/>
      <c r="J87" s="5"/>
      <c r="K87" s="5"/>
      <c r="L87" s="5"/>
      <c r="M87" s="6" t="str">
        <f t="shared" si="4"/>
        <v/>
      </c>
      <c r="N87" s="6" t="str">
        <f t="shared" si="5"/>
        <v/>
      </c>
    </row>
    <row r="88" spans="1:14">
      <c r="A88" s="13"/>
      <c r="B88" s="13"/>
      <c r="C88" s="13"/>
      <c r="D88" s="13"/>
      <c r="E88" s="13"/>
      <c r="F88" s="5"/>
      <c r="G88" s="5"/>
      <c r="H88" s="5"/>
      <c r="I88" s="5"/>
      <c r="J88" s="5"/>
      <c r="K88" s="5"/>
      <c r="L88" s="5"/>
      <c r="M88" s="6" t="str">
        <f t="shared" si="4"/>
        <v/>
      </c>
      <c r="N88" s="6" t="str">
        <f t="shared" si="5"/>
        <v/>
      </c>
    </row>
    <row r="89" spans="1:14">
      <c r="A89" s="13"/>
      <c r="B89" s="13"/>
      <c r="C89" s="13"/>
      <c r="D89" s="13"/>
      <c r="E89" s="13"/>
      <c r="F89" s="5"/>
      <c r="G89" s="5"/>
      <c r="H89" s="5"/>
      <c r="I89" s="5"/>
      <c r="J89" s="5"/>
      <c r="K89" s="5"/>
      <c r="L89" s="5"/>
      <c r="M89" s="6" t="str">
        <f t="shared" si="4"/>
        <v/>
      </c>
      <c r="N89" s="6" t="str">
        <f t="shared" si="5"/>
        <v/>
      </c>
    </row>
    <row r="90" spans="1:14">
      <c r="A90" s="13"/>
      <c r="B90" s="13"/>
      <c r="C90" s="13"/>
      <c r="D90" s="13"/>
      <c r="E90" s="13"/>
      <c r="F90" s="5"/>
      <c r="G90" s="5"/>
      <c r="H90" s="5"/>
      <c r="I90" s="5"/>
      <c r="J90" s="5"/>
      <c r="K90" s="5"/>
      <c r="L90" s="5"/>
      <c r="M90" s="6" t="str">
        <f t="shared" si="4"/>
        <v/>
      </c>
      <c r="N90" s="6" t="str">
        <f t="shared" si="5"/>
        <v/>
      </c>
    </row>
    <row r="91" spans="1:14">
      <c r="A91" s="13"/>
      <c r="B91" s="13"/>
      <c r="C91" s="13"/>
      <c r="D91" s="13"/>
      <c r="E91" s="13"/>
      <c r="F91" s="5"/>
      <c r="G91" s="5"/>
      <c r="H91" s="5"/>
      <c r="I91" s="5"/>
      <c r="J91" s="5"/>
      <c r="K91" s="5"/>
      <c r="L91" s="5"/>
      <c r="M91" s="6" t="str">
        <f t="shared" si="4"/>
        <v/>
      </c>
      <c r="N91" s="6" t="str">
        <f t="shared" si="5"/>
        <v/>
      </c>
    </row>
    <row r="92" spans="1:14">
      <c r="A92" s="13"/>
      <c r="B92" s="13"/>
      <c r="C92" s="13"/>
      <c r="D92" s="13"/>
      <c r="E92" s="13"/>
      <c r="F92" s="5"/>
      <c r="G92" s="5"/>
      <c r="H92" s="5"/>
      <c r="I92" s="5"/>
      <c r="J92" s="5"/>
      <c r="K92" s="5"/>
      <c r="L92" s="5"/>
      <c r="M92" s="6" t="str">
        <f t="shared" si="4"/>
        <v/>
      </c>
      <c r="N92" s="6" t="str">
        <f t="shared" si="5"/>
        <v/>
      </c>
    </row>
    <row r="93" spans="1:14">
      <c r="A93" s="13"/>
      <c r="B93" s="13"/>
      <c r="C93" s="13"/>
      <c r="D93" s="13"/>
      <c r="E93" s="13"/>
      <c r="F93" s="5"/>
      <c r="G93" s="5"/>
      <c r="H93" s="5"/>
      <c r="I93" s="5"/>
      <c r="J93" s="5"/>
      <c r="K93" s="5"/>
      <c r="L93" s="5"/>
      <c r="M93" s="6" t="str">
        <f t="shared" si="4"/>
        <v/>
      </c>
      <c r="N93" s="6" t="str">
        <f t="shared" si="5"/>
        <v/>
      </c>
    </row>
    <row r="94" spans="1:14">
      <c r="A94" s="13"/>
      <c r="B94" s="13"/>
      <c r="C94" s="13"/>
      <c r="D94" s="13"/>
      <c r="E94" s="13"/>
      <c r="F94" s="5"/>
      <c r="G94" s="5"/>
      <c r="H94" s="5"/>
      <c r="I94" s="5"/>
      <c r="J94" s="5"/>
      <c r="K94" s="5"/>
      <c r="L94" s="5"/>
      <c r="M94" s="6" t="str">
        <f t="shared" si="4"/>
        <v/>
      </c>
      <c r="N94" s="6" t="str">
        <f t="shared" si="5"/>
        <v/>
      </c>
    </row>
    <row r="95" spans="1:14">
      <c r="A95" s="13"/>
      <c r="B95" s="13"/>
      <c r="C95" s="13"/>
      <c r="D95" s="13"/>
      <c r="E95" s="13"/>
      <c r="F95" s="5"/>
      <c r="G95" s="5"/>
      <c r="H95" s="5"/>
      <c r="I95" s="5"/>
      <c r="J95" s="5"/>
      <c r="K95" s="5"/>
      <c r="L95" s="5"/>
      <c r="M95" s="6" t="str">
        <f t="shared" si="4"/>
        <v/>
      </c>
      <c r="N95" s="6" t="str">
        <f t="shared" si="5"/>
        <v/>
      </c>
    </row>
    <row r="96" spans="1:14">
      <c r="A96" s="13"/>
      <c r="B96" s="13"/>
      <c r="C96" s="13"/>
      <c r="D96" s="13"/>
      <c r="E96" s="13"/>
      <c r="F96" s="5"/>
      <c r="G96" s="5"/>
      <c r="H96" s="5"/>
      <c r="I96" s="5"/>
      <c r="J96" s="5"/>
      <c r="K96" s="5"/>
      <c r="L96" s="5"/>
      <c r="M96" s="6" t="str">
        <f t="shared" si="4"/>
        <v/>
      </c>
      <c r="N96" s="6" t="str">
        <f t="shared" si="5"/>
        <v/>
      </c>
    </row>
    <row r="97" spans="1:14">
      <c r="A97" s="13"/>
      <c r="B97" s="13"/>
      <c r="C97" s="13"/>
      <c r="D97" s="13"/>
      <c r="E97" s="13"/>
      <c r="F97" s="5"/>
      <c r="G97" s="5"/>
      <c r="H97" s="5"/>
      <c r="I97" s="5"/>
      <c r="J97" s="5"/>
      <c r="K97" s="5"/>
      <c r="L97" s="5"/>
      <c r="M97" s="6" t="str">
        <f t="shared" si="4"/>
        <v/>
      </c>
      <c r="N97" s="6" t="str">
        <f t="shared" si="5"/>
        <v/>
      </c>
    </row>
    <row r="98" spans="1:14">
      <c r="A98" s="13"/>
      <c r="B98" s="13"/>
      <c r="C98" s="13"/>
      <c r="D98" s="13"/>
      <c r="E98" s="13"/>
      <c r="F98" s="5"/>
      <c r="G98" s="5"/>
      <c r="H98" s="5"/>
      <c r="I98" s="5"/>
      <c r="J98" s="5"/>
      <c r="K98" s="5"/>
      <c r="L98" s="5"/>
      <c r="M98" s="6" t="str">
        <f t="shared" si="4"/>
        <v/>
      </c>
      <c r="N98" s="6" t="str">
        <f t="shared" si="5"/>
        <v/>
      </c>
    </row>
    <row r="99" spans="1:14">
      <c r="A99" s="13"/>
      <c r="B99" s="13"/>
      <c r="C99" s="13"/>
      <c r="D99" s="13"/>
      <c r="E99" s="13"/>
      <c r="F99" s="5"/>
      <c r="G99" s="5"/>
      <c r="H99" s="5"/>
      <c r="I99" s="5"/>
      <c r="J99" s="5"/>
      <c r="K99" s="5"/>
      <c r="L99" s="5"/>
      <c r="M99" s="6" t="str">
        <f t="shared" si="4"/>
        <v/>
      </c>
      <c r="N99" s="6" t="str">
        <f t="shared" si="5"/>
        <v/>
      </c>
    </row>
    <row r="100" spans="1:14">
      <c r="A100" s="13"/>
      <c r="B100" s="13"/>
      <c r="C100" s="13"/>
      <c r="D100" s="13"/>
      <c r="E100" s="13"/>
      <c r="F100" s="5"/>
      <c r="G100" s="5"/>
      <c r="H100" s="5"/>
      <c r="I100" s="5"/>
      <c r="J100" s="5"/>
      <c r="K100" s="5"/>
      <c r="L100" s="5"/>
      <c r="M100" s="6" t="str">
        <f t="shared" si="4"/>
        <v/>
      </c>
      <c r="N100" s="6" t="str">
        <f t="shared" si="5"/>
        <v/>
      </c>
    </row>
    <row r="101" spans="1:14">
      <c r="A101" s="13"/>
      <c r="B101" s="13"/>
      <c r="C101" s="13"/>
      <c r="D101" s="13"/>
      <c r="E101" s="13"/>
      <c r="F101" s="5"/>
      <c r="G101" s="5"/>
      <c r="H101" s="5"/>
      <c r="I101" s="5"/>
      <c r="J101" s="5"/>
      <c r="K101" s="5"/>
      <c r="L101" s="5"/>
      <c r="M101" s="6" t="str">
        <f t="shared" ref="M101:M132" si="6">IF(A101="","",IF(N101="","HỢP LỆ","CẦN SỬA"))</f>
        <v/>
      </c>
      <c r="N101" s="6" t="str">
        <f t="shared" ref="N101:N132" si="7">IF(A101="","",IF(B101="","Thiếu NodeId",IF(D101="","Thiếu NodeType",IF(COUNTIF($B$5:$B$204,B101)&gt;1,"NodeId bị trùng",IF(COUNTIF($A$5:$A$204,A101)&gt;1,"NodeOrder bị trùng",IF(AND(D101="scene",OR(C101="",F101="",G101="")),"scene cần ActNo, Background, SceneName",IF(AND(D101="say",OR(H101="",J101="")),"say cần SpeakerKey và Text",IF(AND(D101="choice",OR(E101="",H101="",I101="",J101="")),"choice cần ChoiceMode, SpeakerKey, Mood, Question",IF(AND(D101="act",K101=""),"act cần số La Mã",IF(AND(D101="end",COUNTIF($D$5:$D$204,"end")&lt;&gt;1),"Phải có đúng 1 node end",""))))))))))</f>
        <v/>
      </c>
    </row>
    <row r="102" spans="1:14">
      <c r="A102" s="13"/>
      <c r="B102" s="13"/>
      <c r="C102" s="13"/>
      <c r="D102" s="13"/>
      <c r="E102" s="13"/>
      <c r="F102" s="5"/>
      <c r="G102" s="5"/>
      <c r="H102" s="5"/>
      <c r="I102" s="5"/>
      <c r="J102" s="5"/>
      <c r="K102" s="5"/>
      <c r="L102" s="5"/>
      <c r="M102" s="6" t="str">
        <f t="shared" si="6"/>
        <v/>
      </c>
      <c r="N102" s="6" t="str">
        <f t="shared" si="7"/>
        <v/>
      </c>
    </row>
    <row r="103" spans="1:14">
      <c r="A103" s="13"/>
      <c r="B103" s="13"/>
      <c r="C103" s="13"/>
      <c r="D103" s="13"/>
      <c r="E103" s="13"/>
      <c r="F103" s="5"/>
      <c r="G103" s="5"/>
      <c r="H103" s="5"/>
      <c r="I103" s="5"/>
      <c r="J103" s="5"/>
      <c r="K103" s="5"/>
      <c r="L103" s="5"/>
      <c r="M103" s="6" t="str">
        <f t="shared" si="6"/>
        <v/>
      </c>
      <c r="N103" s="6" t="str">
        <f t="shared" si="7"/>
        <v/>
      </c>
    </row>
    <row r="104" spans="1:14">
      <c r="A104" s="13"/>
      <c r="B104" s="13"/>
      <c r="C104" s="13"/>
      <c r="D104" s="13"/>
      <c r="E104" s="13"/>
      <c r="F104" s="5"/>
      <c r="G104" s="5"/>
      <c r="H104" s="5"/>
      <c r="I104" s="5"/>
      <c r="J104" s="5"/>
      <c r="K104" s="5"/>
      <c r="L104" s="5"/>
      <c r="M104" s="6" t="str">
        <f t="shared" si="6"/>
        <v/>
      </c>
      <c r="N104" s="6" t="str">
        <f t="shared" si="7"/>
        <v/>
      </c>
    </row>
    <row r="105" spans="1:14">
      <c r="A105" s="13"/>
      <c r="B105" s="13"/>
      <c r="C105" s="13"/>
      <c r="D105" s="13"/>
      <c r="E105" s="13"/>
      <c r="F105" s="5"/>
      <c r="G105" s="5"/>
      <c r="H105" s="5"/>
      <c r="I105" s="5"/>
      <c r="J105" s="5"/>
      <c r="K105" s="5"/>
      <c r="L105" s="5"/>
      <c r="M105" s="6" t="str">
        <f t="shared" si="6"/>
        <v/>
      </c>
      <c r="N105" s="6" t="str">
        <f t="shared" si="7"/>
        <v/>
      </c>
    </row>
    <row r="106" spans="1:14">
      <c r="A106" s="13"/>
      <c r="B106" s="13"/>
      <c r="C106" s="13"/>
      <c r="D106" s="13"/>
      <c r="E106" s="13"/>
      <c r="F106" s="5"/>
      <c r="G106" s="5"/>
      <c r="H106" s="5"/>
      <c r="I106" s="5"/>
      <c r="J106" s="5"/>
      <c r="K106" s="5"/>
      <c r="L106" s="5"/>
      <c r="M106" s="6" t="str">
        <f t="shared" si="6"/>
        <v/>
      </c>
      <c r="N106" s="6" t="str">
        <f t="shared" si="7"/>
        <v/>
      </c>
    </row>
    <row r="107" spans="1:14">
      <c r="A107" s="13"/>
      <c r="B107" s="13"/>
      <c r="C107" s="13"/>
      <c r="D107" s="13"/>
      <c r="E107" s="13"/>
      <c r="F107" s="5"/>
      <c r="G107" s="5"/>
      <c r="H107" s="5"/>
      <c r="I107" s="5"/>
      <c r="J107" s="5"/>
      <c r="K107" s="5"/>
      <c r="L107" s="5"/>
      <c r="M107" s="6" t="str">
        <f t="shared" si="6"/>
        <v/>
      </c>
      <c r="N107" s="6" t="str">
        <f t="shared" si="7"/>
        <v/>
      </c>
    </row>
    <row r="108" spans="1:14">
      <c r="A108" s="13"/>
      <c r="B108" s="13"/>
      <c r="C108" s="13"/>
      <c r="D108" s="13"/>
      <c r="E108" s="13"/>
      <c r="F108" s="5"/>
      <c r="G108" s="5"/>
      <c r="H108" s="5"/>
      <c r="I108" s="5"/>
      <c r="J108" s="5"/>
      <c r="K108" s="5"/>
      <c r="L108" s="5"/>
      <c r="M108" s="6" t="str">
        <f t="shared" si="6"/>
        <v/>
      </c>
      <c r="N108" s="6" t="str">
        <f t="shared" si="7"/>
        <v/>
      </c>
    </row>
    <row r="109" spans="1:14">
      <c r="A109" s="13"/>
      <c r="B109" s="13"/>
      <c r="C109" s="13"/>
      <c r="D109" s="13"/>
      <c r="E109" s="13"/>
      <c r="F109" s="5"/>
      <c r="G109" s="5"/>
      <c r="H109" s="5"/>
      <c r="I109" s="5"/>
      <c r="J109" s="5"/>
      <c r="K109" s="5"/>
      <c r="L109" s="5"/>
      <c r="M109" s="6" t="str">
        <f t="shared" si="6"/>
        <v/>
      </c>
      <c r="N109" s="6" t="str">
        <f t="shared" si="7"/>
        <v/>
      </c>
    </row>
    <row r="110" spans="1:14">
      <c r="A110" s="13"/>
      <c r="B110" s="13"/>
      <c r="C110" s="13"/>
      <c r="D110" s="13"/>
      <c r="E110" s="13"/>
      <c r="F110" s="5"/>
      <c r="G110" s="5"/>
      <c r="H110" s="5"/>
      <c r="I110" s="5"/>
      <c r="J110" s="5"/>
      <c r="K110" s="5"/>
      <c r="L110" s="5"/>
      <c r="M110" s="6" t="str">
        <f t="shared" si="6"/>
        <v/>
      </c>
      <c r="N110" s="6" t="str">
        <f t="shared" si="7"/>
        <v/>
      </c>
    </row>
    <row r="111" spans="1:14">
      <c r="A111" s="13"/>
      <c r="B111" s="13"/>
      <c r="C111" s="13"/>
      <c r="D111" s="13"/>
      <c r="E111" s="13"/>
      <c r="F111" s="5"/>
      <c r="G111" s="5"/>
      <c r="H111" s="5"/>
      <c r="I111" s="5"/>
      <c r="J111" s="5"/>
      <c r="K111" s="5"/>
      <c r="L111" s="5"/>
      <c r="M111" s="6" t="str">
        <f t="shared" si="6"/>
        <v/>
      </c>
      <c r="N111" s="6" t="str">
        <f t="shared" si="7"/>
        <v/>
      </c>
    </row>
    <row r="112" spans="1:14">
      <c r="A112" s="13"/>
      <c r="B112" s="13"/>
      <c r="C112" s="13"/>
      <c r="D112" s="13"/>
      <c r="E112" s="13"/>
      <c r="F112" s="5"/>
      <c r="G112" s="5"/>
      <c r="H112" s="5"/>
      <c r="I112" s="5"/>
      <c r="J112" s="5"/>
      <c r="K112" s="5"/>
      <c r="L112" s="5"/>
      <c r="M112" s="6" t="str">
        <f t="shared" si="6"/>
        <v/>
      </c>
      <c r="N112" s="6" t="str">
        <f t="shared" si="7"/>
        <v/>
      </c>
    </row>
    <row r="113" spans="1:14">
      <c r="A113" s="13"/>
      <c r="B113" s="13"/>
      <c r="C113" s="13"/>
      <c r="D113" s="13"/>
      <c r="E113" s="13"/>
      <c r="F113" s="5"/>
      <c r="G113" s="5"/>
      <c r="H113" s="5"/>
      <c r="I113" s="5"/>
      <c r="J113" s="5"/>
      <c r="K113" s="5"/>
      <c r="L113" s="5"/>
      <c r="M113" s="6" t="str">
        <f t="shared" si="6"/>
        <v/>
      </c>
      <c r="N113" s="6" t="str">
        <f t="shared" si="7"/>
        <v/>
      </c>
    </row>
    <row r="114" spans="1:14">
      <c r="A114" s="13"/>
      <c r="B114" s="13"/>
      <c r="C114" s="13"/>
      <c r="D114" s="13"/>
      <c r="E114" s="13"/>
      <c r="F114" s="5"/>
      <c r="G114" s="5"/>
      <c r="H114" s="5"/>
      <c r="I114" s="5"/>
      <c r="J114" s="5"/>
      <c r="K114" s="5"/>
      <c r="L114" s="5"/>
      <c r="M114" s="6" t="str">
        <f t="shared" si="6"/>
        <v/>
      </c>
      <c r="N114" s="6" t="str">
        <f t="shared" si="7"/>
        <v/>
      </c>
    </row>
    <row r="115" spans="1:14">
      <c r="A115" s="13"/>
      <c r="B115" s="13"/>
      <c r="C115" s="13"/>
      <c r="D115" s="13"/>
      <c r="E115" s="13"/>
      <c r="F115" s="5"/>
      <c r="G115" s="5"/>
      <c r="H115" s="5"/>
      <c r="I115" s="5"/>
      <c r="J115" s="5"/>
      <c r="K115" s="5"/>
      <c r="L115" s="5"/>
      <c r="M115" s="6" t="str">
        <f t="shared" si="6"/>
        <v/>
      </c>
      <c r="N115" s="6" t="str">
        <f t="shared" si="7"/>
        <v/>
      </c>
    </row>
    <row r="116" spans="1:14">
      <c r="A116" s="13"/>
      <c r="B116" s="13"/>
      <c r="C116" s="13"/>
      <c r="D116" s="13"/>
      <c r="E116" s="13"/>
      <c r="F116" s="5"/>
      <c r="G116" s="5"/>
      <c r="H116" s="5"/>
      <c r="I116" s="5"/>
      <c r="J116" s="5"/>
      <c r="K116" s="5"/>
      <c r="L116" s="5"/>
      <c r="M116" s="6" t="str">
        <f t="shared" si="6"/>
        <v/>
      </c>
      <c r="N116" s="6" t="str">
        <f t="shared" si="7"/>
        <v/>
      </c>
    </row>
    <row r="117" spans="1:14">
      <c r="A117" s="13"/>
      <c r="B117" s="13"/>
      <c r="C117" s="13"/>
      <c r="D117" s="13"/>
      <c r="E117" s="13"/>
      <c r="F117" s="5"/>
      <c r="G117" s="5"/>
      <c r="H117" s="5"/>
      <c r="I117" s="5"/>
      <c r="J117" s="5"/>
      <c r="K117" s="5"/>
      <c r="L117" s="5"/>
      <c r="M117" s="6" t="str">
        <f t="shared" si="6"/>
        <v/>
      </c>
      <c r="N117" s="6" t="str">
        <f t="shared" si="7"/>
        <v/>
      </c>
    </row>
    <row r="118" spans="1:14">
      <c r="A118" s="13"/>
      <c r="B118" s="13"/>
      <c r="C118" s="13"/>
      <c r="D118" s="13"/>
      <c r="E118" s="13"/>
      <c r="F118" s="5"/>
      <c r="G118" s="5"/>
      <c r="H118" s="5"/>
      <c r="I118" s="5"/>
      <c r="J118" s="5"/>
      <c r="K118" s="5"/>
      <c r="L118" s="5"/>
      <c r="M118" s="6" t="str">
        <f t="shared" si="6"/>
        <v/>
      </c>
      <c r="N118" s="6" t="str">
        <f t="shared" si="7"/>
        <v/>
      </c>
    </row>
    <row r="119" spans="1:14">
      <c r="A119" s="13"/>
      <c r="B119" s="13"/>
      <c r="C119" s="13"/>
      <c r="D119" s="13"/>
      <c r="E119" s="13"/>
      <c r="F119" s="5"/>
      <c r="G119" s="5"/>
      <c r="H119" s="5"/>
      <c r="I119" s="5"/>
      <c r="J119" s="5"/>
      <c r="K119" s="5"/>
      <c r="L119" s="5"/>
      <c r="M119" s="6" t="str">
        <f t="shared" si="6"/>
        <v/>
      </c>
      <c r="N119" s="6" t="str">
        <f t="shared" si="7"/>
        <v/>
      </c>
    </row>
    <row r="120" spans="1:14">
      <c r="A120" s="13"/>
      <c r="B120" s="13"/>
      <c r="C120" s="13"/>
      <c r="D120" s="13"/>
      <c r="E120" s="13"/>
      <c r="F120" s="5"/>
      <c r="G120" s="5"/>
      <c r="H120" s="5"/>
      <c r="I120" s="5"/>
      <c r="J120" s="5"/>
      <c r="K120" s="5"/>
      <c r="L120" s="5"/>
      <c r="M120" s="6" t="str">
        <f t="shared" si="6"/>
        <v/>
      </c>
      <c r="N120" s="6" t="str">
        <f t="shared" si="7"/>
        <v/>
      </c>
    </row>
    <row r="121" spans="1:14">
      <c r="A121" s="13"/>
      <c r="B121" s="13"/>
      <c r="C121" s="13"/>
      <c r="D121" s="13"/>
      <c r="E121" s="13"/>
      <c r="F121" s="5"/>
      <c r="G121" s="5"/>
      <c r="H121" s="5"/>
      <c r="I121" s="5"/>
      <c r="J121" s="5"/>
      <c r="K121" s="5"/>
      <c r="L121" s="5"/>
      <c r="M121" s="6" t="str">
        <f t="shared" si="6"/>
        <v/>
      </c>
      <c r="N121" s="6" t="str">
        <f t="shared" si="7"/>
        <v/>
      </c>
    </row>
    <row r="122" spans="1:14">
      <c r="A122" s="13"/>
      <c r="B122" s="13"/>
      <c r="C122" s="13"/>
      <c r="D122" s="13"/>
      <c r="E122" s="13"/>
      <c r="F122" s="5"/>
      <c r="G122" s="5"/>
      <c r="H122" s="5"/>
      <c r="I122" s="5"/>
      <c r="J122" s="5"/>
      <c r="K122" s="5"/>
      <c r="L122" s="5"/>
      <c r="M122" s="6" t="str">
        <f t="shared" si="6"/>
        <v/>
      </c>
      <c r="N122" s="6" t="str">
        <f t="shared" si="7"/>
        <v/>
      </c>
    </row>
    <row r="123" spans="1:14">
      <c r="A123" s="13"/>
      <c r="B123" s="13"/>
      <c r="C123" s="13"/>
      <c r="D123" s="13"/>
      <c r="E123" s="13"/>
      <c r="F123" s="5"/>
      <c r="G123" s="5"/>
      <c r="H123" s="5"/>
      <c r="I123" s="5"/>
      <c r="J123" s="5"/>
      <c r="K123" s="5"/>
      <c r="L123" s="5"/>
      <c r="M123" s="6" t="str">
        <f t="shared" si="6"/>
        <v/>
      </c>
      <c r="N123" s="6" t="str">
        <f t="shared" si="7"/>
        <v/>
      </c>
    </row>
    <row r="124" spans="1:14">
      <c r="A124" s="13"/>
      <c r="B124" s="13"/>
      <c r="C124" s="13"/>
      <c r="D124" s="13"/>
      <c r="E124" s="13"/>
      <c r="F124" s="5"/>
      <c r="G124" s="5"/>
      <c r="H124" s="5"/>
      <c r="I124" s="5"/>
      <c r="J124" s="5"/>
      <c r="K124" s="5"/>
      <c r="L124" s="5"/>
      <c r="M124" s="6" t="str">
        <f t="shared" si="6"/>
        <v/>
      </c>
      <c r="N124" s="6" t="str">
        <f t="shared" si="7"/>
        <v/>
      </c>
    </row>
    <row r="125" spans="1:14">
      <c r="A125" s="13"/>
      <c r="B125" s="13"/>
      <c r="C125" s="13"/>
      <c r="D125" s="13"/>
      <c r="E125" s="13"/>
      <c r="F125" s="5"/>
      <c r="G125" s="5"/>
      <c r="H125" s="5"/>
      <c r="I125" s="5"/>
      <c r="J125" s="5"/>
      <c r="K125" s="5"/>
      <c r="L125" s="5"/>
      <c r="M125" s="6" t="str">
        <f t="shared" si="6"/>
        <v/>
      </c>
      <c r="N125" s="6" t="str">
        <f t="shared" si="7"/>
        <v/>
      </c>
    </row>
    <row r="126" spans="1:14">
      <c r="A126" s="13"/>
      <c r="B126" s="13"/>
      <c r="C126" s="13"/>
      <c r="D126" s="13"/>
      <c r="E126" s="13"/>
      <c r="F126" s="5"/>
      <c r="G126" s="5"/>
      <c r="H126" s="5"/>
      <c r="I126" s="5"/>
      <c r="J126" s="5"/>
      <c r="K126" s="5"/>
      <c r="L126" s="5"/>
      <c r="M126" s="6" t="str">
        <f t="shared" si="6"/>
        <v/>
      </c>
      <c r="N126" s="6" t="str">
        <f t="shared" si="7"/>
        <v/>
      </c>
    </row>
    <row r="127" spans="1:14">
      <c r="A127" s="13"/>
      <c r="B127" s="13"/>
      <c r="C127" s="13"/>
      <c r="D127" s="13"/>
      <c r="E127" s="13"/>
      <c r="F127" s="5"/>
      <c r="G127" s="5"/>
      <c r="H127" s="5"/>
      <c r="I127" s="5"/>
      <c r="J127" s="5"/>
      <c r="K127" s="5"/>
      <c r="L127" s="5"/>
      <c r="M127" s="6" t="str">
        <f t="shared" si="6"/>
        <v/>
      </c>
      <c r="N127" s="6" t="str">
        <f t="shared" si="7"/>
        <v/>
      </c>
    </row>
    <row r="128" spans="1:14">
      <c r="A128" s="13"/>
      <c r="B128" s="13"/>
      <c r="C128" s="13"/>
      <c r="D128" s="13"/>
      <c r="E128" s="13"/>
      <c r="F128" s="5"/>
      <c r="G128" s="5"/>
      <c r="H128" s="5"/>
      <c r="I128" s="5"/>
      <c r="J128" s="5"/>
      <c r="K128" s="5"/>
      <c r="L128" s="5"/>
      <c r="M128" s="6" t="str">
        <f t="shared" si="6"/>
        <v/>
      </c>
      <c r="N128" s="6" t="str">
        <f t="shared" si="7"/>
        <v/>
      </c>
    </row>
    <row r="129" spans="1:14">
      <c r="A129" s="13"/>
      <c r="B129" s="13"/>
      <c r="C129" s="13"/>
      <c r="D129" s="13"/>
      <c r="E129" s="13"/>
      <c r="F129" s="5"/>
      <c r="G129" s="5"/>
      <c r="H129" s="5"/>
      <c r="I129" s="5"/>
      <c r="J129" s="5"/>
      <c r="K129" s="5"/>
      <c r="L129" s="5"/>
      <c r="M129" s="6" t="str">
        <f t="shared" si="6"/>
        <v/>
      </c>
      <c r="N129" s="6" t="str">
        <f t="shared" si="7"/>
        <v/>
      </c>
    </row>
    <row r="130" spans="1:14">
      <c r="A130" s="13"/>
      <c r="B130" s="13"/>
      <c r="C130" s="13"/>
      <c r="D130" s="13"/>
      <c r="E130" s="13"/>
      <c r="F130" s="5"/>
      <c r="G130" s="5"/>
      <c r="H130" s="5"/>
      <c r="I130" s="5"/>
      <c r="J130" s="5"/>
      <c r="K130" s="5"/>
      <c r="L130" s="5"/>
      <c r="M130" s="6" t="str">
        <f t="shared" si="6"/>
        <v/>
      </c>
      <c r="N130" s="6" t="str">
        <f t="shared" si="7"/>
        <v/>
      </c>
    </row>
    <row r="131" spans="1:14">
      <c r="A131" s="13"/>
      <c r="B131" s="13"/>
      <c r="C131" s="13"/>
      <c r="D131" s="13"/>
      <c r="E131" s="13"/>
      <c r="F131" s="5"/>
      <c r="G131" s="5"/>
      <c r="H131" s="5"/>
      <c r="I131" s="5"/>
      <c r="J131" s="5"/>
      <c r="K131" s="5"/>
      <c r="L131" s="5"/>
      <c r="M131" s="6" t="str">
        <f t="shared" si="6"/>
        <v/>
      </c>
      <c r="N131" s="6" t="str">
        <f t="shared" si="7"/>
        <v/>
      </c>
    </row>
    <row r="132" spans="1:14">
      <c r="A132" s="13"/>
      <c r="B132" s="13"/>
      <c r="C132" s="13"/>
      <c r="D132" s="13"/>
      <c r="E132" s="13"/>
      <c r="F132" s="5"/>
      <c r="G132" s="5"/>
      <c r="H132" s="5"/>
      <c r="I132" s="5"/>
      <c r="J132" s="5"/>
      <c r="K132" s="5"/>
      <c r="L132" s="5"/>
      <c r="M132" s="6" t="str">
        <f t="shared" si="6"/>
        <v/>
      </c>
      <c r="N132" s="6" t="str">
        <f t="shared" si="7"/>
        <v/>
      </c>
    </row>
    <row r="133" spans="1:14">
      <c r="A133" s="13"/>
      <c r="B133" s="13"/>
      <c r="C133" s="13"/>
      <c r="D133" s="13"/>
      <c r="E133" s="13"/>
      <c r="F133" s="5"/>
      <c r="G133" s="5"/>
      <c r="H133" s="5"/>
      <c r="I133" s="5"/>
      <c r="J133" s="5"/>
      <c r="K133" s="5"/>
      <c r="L133" s="5"/>
      <c r="M133" s="6" t="str">
        <f t="shared" ref="M133:M164" si="8">IF(A133="","",IF(N133="","HỢP LỆ","CẦN SỬA"))</f>
        <v/>
      </c>
      <c r="N133" s="6" t="str">
        <f t="shared" ref="N133:N164" si="9">IF(A133="","",IF(B133="","Thiếu NodeId",IF(D133="","Thiếu NodeType",IF(COUNTIF($B$5:$B$204,B133)&gt;1,"NodeId bị trùng",IF(COUNTIF($A$5:$A$204,A133)&gt;1,"NodeOrder bị trùng",IF(AND(D133="scene",OR(C133="",F133="",G133="")),"scene cần ActNo, Background, SceneName",IF(AND(D133="say",OR(H133="",J133="")),"say cần SpeakerKey và Text",IF(AND(D133="choice",OR(E133="",H133="",I133="",J133="")),"choice cần ChoiceMode, SpeakerKey, Mood, Question",IF(AND(D133="act",K133=""),"act cần số La Mã",IF(AND(D133="end",COUNTIF($D$5:$D$204,"end")&lt;&gt;1),"Phải có đúng 1 node end",""))))))))))</f>
        <v/>
      </c>
    </row>
    <row r="134" spans="1:14">
      <c r="A134" s="13"/>
      <c r="B134" s="13"/>
      <c r="C134" s="13"/>
      <c r="D134" s="13"/>
      <c r="E134" s="13"/>
      <c r="F134" s="5"/>
      <c r="G134" s="5"/>
      <c r="H134" s="5"/>
      <c r="I134" s="5"/>
      <c r="J134" s="5"/>
      <c r="K134" s="5"/>
      <c r="L134" s="5"/>
      <c r="M134" s="6" t="str">
        <f t="shared" si="8"/>
        <v/>
      </c>
      <c r="N134" s="6" t="str">
        <f t="shared" si="9"/>
        <v/>
      </c>
    </row>
    <row r="135" spans="1:14">
      <c r="A135" s="13"/>
      <c r="B135" s="13"/>
      <c r="C135" s="13"/>
      <c r="D135" s="13"/>
      <c r="E135" s="13"/>
      <c r="F135" s="5"/>
      <c r="G135" s="5"/>
      <c r="H135" s="5"/>
      <c r="I135" s="5"/>
      <c r="J135" s="5"/>
      <c r="K135" s="5"/>
      <c r="L135" s="5"/>
      <c r="M135" s="6" t="str">
        <f t="shared" si="8"/>
        <v/>
      </c>
      <c r="N135" s="6" t="str">
        <f t="shared" si="9"/>
        <v/>
      </c>
    </row>
    <row r="136" spans="1:14">
      <c r="A136" s="13"/>
      <c r="B136" s="13"/>
      <c r="C136" s="13"/>
      <c r="D136" s="13"/>
      <c r="E136" s="13"/>
      <c r="F136" s="5"/>
      <c r="G136" s="5"/>
      <c r="H136" s="5"/>
      <c r="I136" s="5"/>
      <c r="J136" s="5"/>
      <c r="K136" s="5"/>
      <c r="L136" s="5"/>
      <c r="M136" s="6" t="str">
        <f t="shared" si="8"/>
        <v/>
      </c>
      <c r="N136" s="6" t="str">
        <f t="shared" si="9"/>
        <v/>
      </c>
    </row>
    <row r="137" spans="1:14">
      <c r="A137" s="13"/>
      <c r="B137" s="13"/>
      <c r="C137" s="13"/>
      <c r="D137" s="13"/>
      <c r="E137" s="13"/>
      <c r="F137" s="5"/>
      <c r="G137" s="5"/>
      <c r="H137" s="5"/>
      <c r="I137" s="5"/>
      <c r="J137" s="5"/>
      <c r="K137" s="5"/>
      <c r="L137" s="5"/>
      <c r="M137" s="6" t="str">
        <f t="shared" si="8"/>
        <v/>
      </c>
      <c r="N137" s="6" t="str">
        <f t="shared" si="9"/>
        <v/>
      </c>
    </row>
    <row r="138" spans="1:14">
      <c r="A138" s="13"/>
      <c r="B138" s="13"/>
      <c r="C138" s="13"/>
      <c r="D138" s="13"/>
      <c r="E138" s="13"/>
      <c r="F138" s="5"/>
      <c r="G138" s="5"/>
      <c r="H138" s="5"/>
      <c r="I138" s="5"/>
      <c r="J138" s="5"/>
      <c r="K138" s="5"/>
      <c r="L138" s="5"/>
      <c r="M138" s="6" t="str">
        <f t="shared" si="8"/>
        <v/>
      </c>
      <c r="N138" s="6" t="str">
        <f t="shared" si="9"/>
        <v/>
      </c>
    </row>
    <row r="139" spans="1:14">
      <c r="A139" s="13"/>
      <c r="B139" s="13"/>
      <c r="C139" s="13"/>
      <c r="D139" s="13"/>
      <c r="E139" s="13"/>
      <c r="F139" s="5"/>
      <c r="G139" s="5"/>
      <c r="H139" s="5"/>
      <c r="I139" s="5"/>
      <c r="J139" s="5"/>
      <c r="K139" s="5"/>
      <c r="L139" s="5"/>
      <c r="M139" s="6" t="str">
        <f t="shared" si="8"/>
        <v/>
      </c>
      <c r="N139" s="6" t="str">
        <f t="shared" si="9"/>
        <v/>
      </c>
    </row>
    <row r="140" spans="1:14">
      <c r="A140" s="13"/>
      <c r="B140" s="13"/>
      <c r="C140" s="13"/>
      <c r="D140" s="13"/>
      <c r="E140" s="13"/>
      <c r="F140" s="5"/>
      <c r="G140" s="5"/>
      <c r="H140" s="5"/>
      <c r="I140" s="5"/>
      <c r="J140" s="5"/>
      <c r="K140" s="5"/>
      <c r="L140" s="5"/>
      <c r="M140" s="6" t="str">
        <f t="shared" si="8"/>
        <v/>
      </c>
      <c r="N140" s="6" t="str">
        <f t="shared" si="9"/>
        <v/>
      </c>
    </row>
    <row r="141" spans="1:14">
      <c r="A141" s="13"/>
      <c r="B141" s="13"/>
      <c r="C141" s="13"/>
      <c r="D141" s="13"/>
      <c r="E141" s="13"/>
      <c r="F141" s="5"/>
      <c r="G141" s="5"/>
      <c r="H141" s="5"/>
      <c r="I141" s="5"/>
      <c r="J141" s="5"/>
      <c r="K141" s="5"/>
      <c r="L141" s="5"/>
      <c r="M141" s="6" t="str">
        <f t="shared" si="8"/>
        <v/>
      </c>
      <c r="N141" s="6" t="str">
        <f t="shared" si="9"/>
        <v/>
      </c>
    </row>
    <row r="142" spans="1:14">
      <c r="A142" s="13"/>
      <c r="B142" s="13"/>
      <c r="C142" s="13"/>
      <c r="D142" s="13"/>
      <c r="E142" s="13"/>
      <c r="F142" s="5"/>
      <c r="G142" s="5"/>
      <c r="H142" s="5"/>
      <c r="I142" s="5"/>
      <c r="J142" s="5"/>
      <c r="K142" s="5"/>
      <c r="L142" s="5"/>
      <c r="M142" s="6" t="str">
        <f t="shared" si="8"/>
        <v/>
      </c>
      <c r="N142" s="6" t="str">
        <f t="shared" si="9"/>
        <v/>
      </c>
    </row>
    <row r="143" spans="1:14">
      <c r="A143" s="13"/>
      <c r="B143" s="13"/>
      <c r="C143" s="13"/>
      <c r="D143" s="13"/>
      <c r="E143" s="13"/>
      <c r="F143" s="5"/>
      <c r="G143" s="5"/>
      <c r="H143" s="5"/>
      <c r="I143" s="5"/>
      <c r="J143" s="5"/>
      <c r="K143" s="5"/>
      <c r="L143" s="5"/>
      <c r="M143" s="6" t="str">
        <f t="shared" si="8"/>
        <v/>
      </c>
      <c r="N143" s="6" t="str">
        <f t="shared" si="9"/>
        <v/>
      </c>
    </row>
    <row r="144" spans="1:14">
      <c r="A144" s="13"/>
      <c r="B144" s="13"/>
      <c r="C144" s="13"/>
      <c r="D144" s="13"/>
      <c r="E144" s="13"/>
      <c r="F144" s="5"/>
      <c r="G144" s="5"/>
      <c r="H144" s="5"/>
      <c r="I144" s="5"/>
      <c r="J144" s="5"/>
      <c r="K144" s="5"/>
      <c r="L144" s="5"/>
      <c r="M144" s="6" t="str">
        <f t="shared" si="8"/>
        <v/>
      </c>
      <c r="N144" s="6" t="str">
        <f t="shared" si="9"/>
        <v/>
      </c>
    </row>
    <row r="145" spans="1:14">
      <c r="A145" s="13"/>
      <c r="B145" s="13"/>
      <c r="C145" s="13"/>
      <c r="D145" s="13"/>
      <c r="E145" s="13"/>
      <c r="F145" s="5"/>
      <c r="G145" s="5"/>
      <c r="H145" s="5"/>
      <c r="I145" s="5"/>
      <c r="J145" s="5"/>
      <c r="K145" s="5"/>
      <c r="L145" s="5"/>
      <c r="M145" s="6" t="str">
        <f t="shared" si="8"/>
        <v/>
      </c>
      <c r="N145" s="6" t="str">
        <f t="shared" si="9"/>
        <v/>
      </c>
    </row>
    <row r="146" spans="1:14">
      <c r="A146" s="13"/>
      <c r="B146" s="13"/>
      <c r="C146" s="13"/>
      <c r="D146" s="13"/>
      <c r="E146" s="13"/>
      <c r="F146" s="5"/>
      <c r="G146" s="5"/>
      <c r="H146" s="5"/>
      <c r="I146" s="5"/>
      <c r="J146" s="5"/>
      <c r="K146" s="5"/>
      <c r="L146" s="5"/>
      <c r="M146" s="6" t="str">
        <f t="shared" si="8"/>
        <v/>
      </c>
      <c r="N146" s="6" t="str">
        <f t="shared" si="9"/>
        <v/>
      </c>
    </row>
    <row r="147" spans="1:14">
      <c r="A147" s="13"/>
      <c r="B147" s="13"/>
      <c r="C147" s="13"/>
      <c r="D147" s="13"/>
      <c r="E147" s="13"/>
      <c r="F147" s="5"/>
      <c r="G147" s="5"/>
      <c r="H147" s="5"/>
      <c r="I147" s="5"/>
      <c r="J147" s="5"/>
      <c r="K147" s="5"/>
      <c r="L147" s="5"/>
      <c r="M147" s="6" t="str">
        <f t="shared" si="8"/>
        <v/>
      </c>
      <c r="N147" s="6" t="str">
        <f t="shared" si="9"/>
        <v/>
      </c>
    </row>
    <row r="148" spans="1:14">
      <c r="A148" s="13"/>
      <c r="B148" s="13"/>
      <c r="C148" s="13"/>
      <c r="D148" s="13"/>
      <c r="E148" s="13"/>
      <c r="F148" s="5"/>
      <c r="G148" s="5"/>
      <c r="H148" s="5"/>
      <c r="I148" s="5"/>
      <c r="J148" s="5"/>
      <c r="K148" s="5"/>
      <c r="L148" s="5"/>
      <c r="M148" s="6" t="str">
        <f t="shared" si="8"/>
        <v/>
      </c>
      <c r="N148" s="6" t="str">
        <f t="shared" si="9"/>
        <v/>
      </c>
    </row>
    <row r="149" spans="1:14">
      <c r="A149" s="13"/>
      <c r="B149" s="13"/>
      <c r="C149" s="13"/>
      <c r="D149" s="13"/>
      <c r="E149" s="13"/>
      <c r="F149" s="5"/>
      <c r="G149" s="5"/>
      <c r="H149" s="5"/>
      <c r="I149" s="5"/>
      <c r="J149" s="5"/>
      <c r="K149" s="5"/>
      <c r="L149" s="5"/>
      <c r="M149" s="6" t="str">
        <f t="shared" si="8"/>
        <v/>
      </c>
      <c r="N149" s="6" t="str">
        <f t="shared" si="9"/>
        <v/>
      </c>
    </row>
    <row r="150" spans="1:14">
      <c r="A150" s="13"/>
      <c r="B150" s="13"/>
      <c r="C150" s="13"/>
      <c r="D150" s="13"/>
      <c r="E150" s="13"/>
      <c r="F150" s="5"/>
      <c r="G150" s="5"/>
      <c r="H150" s="5"/>
      <c r="I150" s="5"/>
      <c r="J150" s="5"/>
      <c r="K150" s="5"/>
      <c r="L150" s="5"/>
      <c r="M150" s="6" t="str">
        <f t="shared" si="8"/>
        <v/>
      </c>
      <c r="N150" s="6" t="str">
        <f t="shared" si="9"/>
        <v/>
      </c>
    </row>
    <row r="151" spans="1:14">
      <c r="A151" s="13"/>
      <c r="B151" s="13"/>
      <c r="C151" s="13"/>
      <c r="D151" s="13"/>
      <c r="E151" s="13"/>
      <c r="F151" s="5"/>
      <c r="G151" s="5"/>
      <c r="H151" s="5"/>
      <c r="I151" s="5"/>
      <c r="J151" s="5"/>
      <c r="K151" s="5"/>
      <c r="L151" s="5"/>
      <c r="M151" s="6" t="str">
        <f t="shared" si="8"/>
        <v/>
      </c>
      <c r="N151" s="6" t="str">
        <f t="shared" si="9"/>
        <v/>
      </c>
    </row>
    <row r="152" spans="1:14">
      <c r="A152" s="13"/>
      <c r="B152" s="13"/>
      <c r="C152" s="13"/>
      <c r="D152" s="13"/>
      <c r="E152" s="13"/>
      <c r="F152" s="5"/>
      <c r="G152" s="5"/>
      <c r="H152" s="5"/>
      <c r="I152" s="5"/>
      <c r="J152" s="5"/>
      <c r="K152" s="5"/>
      <c r="L152" s="5"/>
      <c r="M152" s="6" t="str">
        <f t="shared" si="8"/>
        <v/>
      </c>
      <c r="N152" s="6" t="str">
        <f t="shared" si="9"/>
        <v/>
      </c>
    </row>
    <row r="153" spans="1:14">
      <c r="A153" s="13"/>
      <c r="B153" s="13"/>
      <c r="C153" s="13"/>
      <c r="D153" s="13"/>
      <c r="E153" s="13"/>
      <c r="F153" s="5"/>
      <c r="G153" s="5"/>
      <c r="H153" s="5"/>
      <c r="I153" s="5"/>
      <c r="J153" s="5"/>
      <c r="K153" s="5"/>
      <c r="L153" s="5"/>
      <c r="M153" s="6" t="str">
        <f t="shared" si="8"/>
        <v/>
      </c>
      <c r="N153" s="6" t="str">
        <f t="shared" si="9"/>
        <v/>
      </c>
    </row>
    <row r="154" spans="1:14">
      <c r="A154" s="13"/>
      <c r="B154" s="13"/>
      <c r="C154" s="13"/>
      <c r="D154" s="13"/>
      <c r="E154" s="13"/>
      <c r="F154" s="5"/>
      <c r="G154" s="5"/>
      <c r="H154" s="5"/>
      <c r="I154" s="5"/>
      <c r="J154" s="5"/>
      <c r="K154" s="5"/>
      <c r="L154" s="5"/>
      <c r="M154" s="6" t="str">
        <f t="shared" si="8"/>
        <v/>
      </c>
      <c r="N154" s="6" t="str">
        <f t="shared" si="9"/>
        <v/>
      </c>
    </row>
    <row r="155" spans="1:14">
      <c r="A155" s="13"/>
      <c r="B155" s="13"/>
      <c r="C155" s="13"/>
      <c r="D155" s="13"/>
      <c r="E155" s="13"/>
      <c r="F155" s="5"/>
      <c r="G155" s="5"/>
      <c r="H155" s="5"/>
      <c r="I155" s="5"/>
      <c r="J155" s="5"/>
      <c r="K155" s="5"/>
      <c r="L155" s="5"/>
      <c r="M155" s="6" t="str">
        <f t="shared" si="8"/>
        <v/>
      </c>
      <c r="N155" s="6" t="str">
        <f t="shared" si="9"/>
        <v/>
      </c>
    </row>
    <row r="156" spans="1:14">
      <c r="A156" s="13"/>
      <c r="B156" s="13"/>
      <c r="C156" s="13"/>
      <c r="D156" s="13"/>
      <c r="E156" s="13"/>
      <c r="F156" s="5"/>
      <c r="G156" s="5"/>
      <c r="H156" s="5"/>
      <c r="I156" s="5"/>
      <c r="J156" s="5"/>
      <c r="K156" s="5"/>
      <c r="L156" s="5"/>
      <c r="M156" s="6" t="str">
        <f t="shared" si="8"/>
        <v/>
      </c>
      <c r="N156" s="6" t="str">
        <f t="shared" si="9"/>
        <v/>
      </c>
    </row>
    <row r="157" spans="1:14">
      <c r="A157" s="13"/>
      <c r="B157" s="13"/>
      <c r="C157" s="13"/>
      <c r="D157" s="13"/>
      <c r="E157" s="13"/>
      <c r="F157" s="5"/>
      <c r="G157" s="5"/>
      <c r="H157" s="5"/>
      <c r="I157" s="5"/>
      <c r="J157" s="5"/>
      <c r="K157" s="5"/>
      <c r="L157" s="5"/>
      <c r="M157" s="6" t="str">
        <f t="shared" si="8"/>
        <v/>
      </c>
      <c r="N157" s="6" t="str">
        <f t="shared" si="9"/>
        <v/>
      </c>
    </row>
    <row r="158" spans="1:14">
      <c r="A158" s="13"/>
      <c r="B158" s="13"/>
      <c r="C158" s="13"/>
      <c r="D158" s="13"/>
      <c r="E158" s="13"/>
      <c r="F158" s="5"/>
      <c r="G158" s="5"/>
      <c r="H158" s="5"/>
      <c r="I158" s="5"/>
      <c r="J158" s="5"/>
      <c r="K158" s="5"/>
      <c r="L158" s="5"/>
      <c r="M158" s="6" t="str">
        <f t="shared" si="8"/>
        <v/>
      </c>
      <c r="N158" s="6" t="str">
        <f t="shared" si="9"/>
        <v/>
      </c>
    </row>
    <row r="159" spans="1:14">
      <c r="A159" s="13"/>
      <c r="B159" s="13"/>
      <c r="C159" s="13"/>
      <c r="D159" s="13"/>
      <c r="E159" s="13"/>
      <c r="F159" s="5"/>
      <c r="G159" s="5"/>
      <c r="H159" s="5"/>
      <c r="I159" s="5"/>
      <c r="J159" s="5"/>
      <c r="K159" s="5"/>
      <c r="L159" s="5"/>
      <c r="M159" s="6" t="str">
        <f t="shared" si="8"/>
        <v/>
      </c>
      <c r="N159" s="6" t="str">
        <f t="shared" si="9"/>
        <v/>
      </c>
    </row>
    <row r="160" spans="1:14">
      <c r="A160" s="13"/>
      <c r="B160" s="13"/>
      <c r="C160" s="13"/>
      <c r="D160" s="13"/>
      <c r="E160" s="13"/>
      <c r="F160" s="5"/>
      <c r="G160" s="5"/>
      <c r="H160" s="5"/>
      <c r="I160" s="5"/>
      <c r="J160" s="5"/>
      <c r="K160" s="5"/>
      <c r="L160" s="5"/>
      <c r="M160" s="6" t="str">
        <f t="shared" si="8"/>
        <v/>
      </c>
      <c r="N160" s="6" t="str">
        <f t="shared" si="9"/>
        <v/>
      </c>
    </row>
    <row r="161" spans="1:14">
      <c r="A161" s="13"/>
      <c r="B161" s="13"/>
      <c r="C161" s="13"/>
      <c r="D161" s="13"/>
      <c r="E161" s="13"/>
      <c r="F161" s="5"/>
      <c r="G161" s="5"/>
      <c r="H161" s="5"/>
      <c r="I161" s="5"/>
      <c r="J161" s="5"/>
      <c r="K161" s="5"/>
      <c r="L161" s="5"/>
      <c r="M161" s="6" t="str">
        <f t="shared" si="8"/>
        <v/>
      </c>
      <c r="N161" s="6" t="str">
        <f t="shared" si="9"/>
        <v/>
      </c>
    </row>
    <row r="162" spans="1:14">
      <c r="A162" s="13"/>
      <c r="B162" s="13"/>
      <c r="C162" s="13"/>
      <c r="D162" s="13"/>
      <c r="E162" s="13"/>
      <c r="F162" s="5"/>
      <c r="G162" s="5"/>
      <c r="H162" s="5"/>
      <c r="I162" s="5"/>
      <c r="J162" s="5"/>
      <c r="K162" s="5"/>
      <c r="L162" s="5"/>
      <c r="M162" s="6" t="str">
        <f t="shared" si="8"/>
        <v/>
      </c>
      <c r="N162" s="6" t="str">
        <f t="shared" si="9"/>
        <v/>
      </c>
    </row>
    <row r="163" spans="1:14">
      <c r="A163" s="13"/>
      <c r="B163" s="13"/>
      <c r="C163" s="13"/>
      <c r="D163" s="13"/>
      <c r="E163" s="13"/>
      <c r="F163" s="5"/>
      <c r="G163" s="5"/>
      <c r="H163" s="5"/>
      <c r="I163" s="5"/>
      <c r="J163" s="5"/>
      <c r="K163" s="5"/>
      <c r="L163" s="5"/>
      <c r="M163" s="6" t="str">
        <f t="shared" si="8"/>
        <v/>
      </c>
      <c r="N163" s="6" t="str">
        <f t="shared" si="9"/>
        <v/>
      </c>
    </row>
    <row r="164" spans="1:14">
      <c r="A164" s="13"/>
      <c r="B164" s="13"/>
      <c r="C164" s="13"/>
      <c r="D164" s="13"/>
      <c r="E164" s="13"/>
      <c r="F164" s="5"/>
      <c r="G164" s="5"/>
      <c r="H164" s="5"/>
      <c r="I164" s="5"/>
      <c r="J164" s="5"/>
      <c r="K164" s="5"/>
      <c r="L164" s="5"/>
      <c r="M164" s="6" t="str">
        <f t="shared" si="8"/>
        <v/>
      </c>
      <c r="N164" s="6" t="str">
        <f t="shared" si="9"/>
        <v/>
      </c>
    </row>
    <row r="165" spans="1:14">
      <c r="A165" s="13"/>
      <c r="B165" s="13"/>
      <c r="C165" s="13"/>
      <c r="D165" s="13"/>
      <c r="E165" s="13"/>
      <c r="F165" s="5"/>
      <c r="G165" s="5"/>
      <c r="H165" s="5"/>
      <c r="I165" s="5"/>
      <c r="J165" s="5"/>
      <c r="K165" s="5"/>
      <c r="L165" s="5"/>
      <c r="M165" s="6" t="str">
        <f t="shared" ref="M165:M196" si="10">IF(A165="","",IF(N165="","HỢP LỆ","CẦN SỬA"))</f>
        <v/>
      </c>
      <c r="N165" s="6" t="str">
        <f t="shared" ref="N165:N196" si="11">IF(A165="","",IF(B165="","Thiếu NodeId",IF(D165="","Thiếu NodeType",IF(COUNTIF($B$5:$B$204,B165)&gt;1,"NodeId bị trùng",IF(COUNTIF($A$5:$A$204,A165)&gt;1,"NodeOrder bị trùng",IF(AND(D165="scene",OR(C165="",F165="",G165="")),"scene cần ActNo, Background, SceneName",IF(AND(D165="say",OR(H165="",J165="")),"say cần SpeakerKey và Text",IF(AND(D165="choice",OR(E165="",H165="",I165="",J165="")),"choice cần ChoiceMode, SpeakerKey, Mood, Question",IF(AND(D165="act",K165=""),"act cần số La Mã",IF(AND(D165="end",COUNTIF($D$5:$D$204,"end")&lt;&gt;1),"Phải có đúng 1 node end",""))))))))))</f>
        <v/>
      </c>
    </row>
    <row r="166" spans="1:14">
      <c r="A166" s="13"/>
      <c r="B166" s="13"/>
      <c r="C166" s="13"/>
      <c r="D166" s="13"/>
      <c r="E166" s="13"/>
      <c r="F166" s="5"/>
      <c r="G166" s="5"/>
      <c r="H166" s="5"/>
      <c r="I166" s="5"/>
      <c r="J166" s="5"/>
      <c r="K166" s="5"/>
      <c r="L166" s="5"/>
      <c r="M166" s="6" t="str">
        <f t="shared" si="10"/>
        <v/>
      </c>
      <c r="N166" s="6" t="str">
        <f t="shared" si="11"/>
        <v/>
      </c>
    </row>
    <row r="167" spans="1:14">
      <c r="A167" s="13"/>
      <c r="B167" s="13"/>
      <c r="C167" s="13"/>
      <c r="D167" s="13"/>
      <c r="E167" s="13"/>
      <c r="F167" s="5"/>
      <c r="G167" s="5"/>
      <c r="H167" s="5"/>
      <c r="I167" s="5"/>
      <c r="J167" s="5"/>
      <c r="K167" s="5"/>
      <c r="L167" s="5"/>
      <c r="M167" s="6" t="str">
        <f t="shared" si="10"/>
        <v/>
      </c>
      <c r="N167" s="6" t="str">
        <f t="shared" si="11"/>
        <v/>
      </c>
    </row>
    <row r="168" spans="1:14">
      <c r="A168" s="13"/>
      <c r="B168" s="13"/>
      <c r="C168" s="13"/>
      <c r="D168" s="13"/>
      <c r="E168" s="13"/>
      <c r="F168" s="5"/>
      <c r="G168" s="5"/>
      <c r="H168" s="5"/>
      <c r="I168" s="5"/>
      <c r="J168" s="5"/>
      <c r="K168" s="5"/>
      <c r="L168" s="5"/>
      <c r="M168" s="6" t="str">
        <f t="shared" si="10"/>
        <v/>
      </c>
      <c r="N168" s="6" t="str">
        <f t="shared" si="11"/>
        <v/>
      </c>
    </row>
    <row r="169" spans="1:14">
      <c r="A169" s="13"/>
      <c r="B169" s="13"/>
      <c r="C169" s="13"/>
      <c r="D169" s="13"/>
      <c r="E169" s="13"/>
      <c r="F169" s="5"/>
      <c r="G169" s="5"/>
      <c r="H169" s="5"/>
      <c r="I169" s="5"/>
      <c r="J169" s="5"/>
      <c r="K169" s="5"/>
      <c r="L169" s="5"/>
      <c r="M169" s="6" t="str">
        <f t="shared" si="10"/>
        <v/>
      </c>
      <c r="N169" s="6" t="str">
        <f t="shared" si="11"/>
        <v/>
      </c>
    </row>
    <row r="170" spans="1:14">
      <c r="A170" s="13"/>
      <c r="B170" s="13"/>
      <c r="C170" s="13"/>
      <c r="D170" s="13"/>
      <c r="E170" s="13"/>
      <c r="F170" s="5"/>
      <c r="G170" s="5"/>
      <c r="H170" s="5"/>
      <c r="I170" s="5"/>
      <c r="J170" s="5"/>
      <c r="K170" s="5"/>
      <c r="L170" s="5"/>
      <c r="M170" s="6" t="str">
        <f t="shared" si="10"/>
        <v/>
      </c>
      <c r="N170" s="6" t="str">
        <f t="shared" si="11"/>
        <v/>
      </c>
    </row>
    <row r="171" spans="1:14">
      <c r="A171" s="13"/>
      <c r="B171" s="13"/>
      <c r="C171" s="13"/>
      <c r="D171" s="13"/>
      <c r="E171" s="13"/>
      <c r="F171" s="5"/>
      <c r="G171" s="5"/>
      <c r="H171" s="5"/>
      <c r="I171" s="5"/>
      <c r="J171" s="5"/>
      <c r="K171" s="5"/>
      <c r="L171" s="5"/>
      <c r="M171" s="6" t="str">
        <f t="shared" si="10"/>
        <v/>
      </c>
      <c r="N171" s="6" t="str">
        <f t="shared" si="11"/>
        <v/>
      </c>
    </row>
    <row r="172" spans="1:14">
      <c r="A172" s="13"/>
      <c r="B172" s="13"/>
      <c r="C172" s="13"/>
      <c r="D172" s="13"/>
      <c r="E172" s="13"/>
      <c r="F172" s="5"/>
      <c r="G172" s="5"/>
      <c r="H172" s="5"/>
      <c r="I172" s="5"/>
      <c r="J172" s="5"/>
      <c r="K172" s="5"/>
      <c r="L172" s="5"/>
      <c r="M172" s="6" t="str">
        <f t="shared" si="10"/>
        <v/>
      </c>
      <c r="N172" s="6" t="str">
        <f t="shared" si="11"/>
        <v/>
      </c>
    </row>
    <row r="173" spans="1:14">
      <c r="A173" s="13"/>
      <c r="B173" s="13"/>
      <c r="C173" s="13"/>
      <c r="D173" s="13"/>
      <c r="E173" s="13"/>
      <c r="F173" s="5"/>
      <c r="G173" s="5"/>
      <c r="H173" s="5"/>
      <c r="I173" s="5"/>
      <c r="J173" s="5"/>
      <c r="K173" s="5"/>
      <c r="L173" s="5"/>
      <c r="M173" s="6" t="str">
        <f t="shared" si="10"/>
        <v/>
      </c>
      <c r="N173" s="6" t="str">
        <f t="shared" si="11"/>
        <v/>
      </c>
    </row>
    <row r="174" spans="1:14">
      <c r="A174" s="13"/>
      <c r="B174" s="13"/>
      <c r="C174" s="13"/>
      <c r="D174" s="13"/>
      <c r="E174" s="13"/>
      <c r="F174" s="5"/>
      <c r="G174" s="5"/>
      <c r="H174" s="5"/>
      <c r="I174" s="5"/>
      <c r="J174" s="5"/>
      <c r="K174" s="5"/>
      <c r="L174" s="5"/>
      <c r="M174" s="6" t="str">
        <f t="shared" si="10"/>
        <v/>
      </c>
      <c r="N174" s="6" t="str">
        <f t="shared" si="11"/>
        <v/>
      </c>
    </row>
    <row r="175" spans="1:14">
      <c r="A175" s="13"/>
      <c r="B175" s="13"/>
      <c r="C175" s="13"/>
      <c r="D175" s="13"/>
      <c r="E175" s="13"/>
      <c r="F175" s="5"/>
      <c r="G175" s="5"/>
      <c r="H175" s="5"/>
      <c r="I175" s="5"/>
      <c r="J175" s="5"/>
      <c r="K175" s="5"/>
      <c r="L175" s="5"/>
      <c r="M175" s="6" t="str">
        <f t="shared" si="10"/>
        <v/>
      </c>
      <c r="N175" s="6" t="str">
        <f t="shared" si="11"/>
        <v/>
      </c>
    </row>
    <row r="176" spans="1:14">
      <c r="A176" s="13"/>
      <c r="B176" s="13"/>
      <c r="C176" s="13"/>
      <c r="D176" s="13"/>
      <c r="E176" s="13"/>
      <c r="F176" s="5"/>
      <c r="G176" s="5"/>
      <c r="H176" s="5"/>
      <c r="I176" s="5"/>
      <c r="J176" s="5"/>
      <c r="K176" s="5"/>
      <c r="L176" s="5"/>
      <c r="M176" s="6" t="str">
        <f t="shared" si="10"/>
        <v/>
      </c>
      <c r="N176" s="6" t="str">
        <f t="shared" si="11"/>
        <v/>
      </c>
    </row>
    <row r="177" spans="1:14">
      <c r="A177" s="13"/>
      <c r="B177" s="13"/>
      <c r="C177" s="13"/>
      <c r="D177" s="13"/>
      <c r="E177" s="13"/>
      <c r="F177" s="5"/>
      <c r="G177" s="5"/>
      <c r="H177" s="5"/>
      <c r="I177" s="5"/>
      <c r="J177" s="5"/>
      <c r="K177" s="5"/>
      <c r="L177" s="5"/>
      <c r="M177" s="6" t="str">
        <f t="shared" si="10"/>
        <v/>
      </c>
      <c r="N177" s="6" t="str">
        <f t="shared" si="11"/>
        <v/>
      </c>
    </row>
    <row r="178" spans="1:14">
      <c r="A178" s="13"/>
      <c r="B178" s="13"/>
      <c r="C178" s="13"/>
      <c r="D178" s="13"/>
      <c r="E178" s="13"/>
      <c r="F178" s="5"/>
      <c r="G178" s="5"/>
      <c r="H178" s="5"/>
      <c r="I178" s="5"/>
      <c r="J178" s="5"/>
      <c r="K178" s="5"/>
      <c r="L178" s="5"/>
      <c r="M178" s="6" t="str">
        <f t="shared" si="10"/>
        <v/>
      </c>
      <c r="N178" s="6" t="str">
        <f t="shared" si="11"/>
        <v/>
      </c>
    </row>
    <row r="179" spans="1:14">
      <c r="A179" s="13"/>
      <c r="B179" s="13"/>
      <c r="C179" s="13"/>
      <c r="D179" s="13"/>
      <c r="E179" s="13"/>
      <c r="F179" s="5"/>
      <c r="G179" s="5"/>
      <c r="H179" s="5"/>
      <c r="I179" s="5"/>
      <c r="J179" s="5"/>
      <c r="K179" s="5"/>
      <c r="L179" s="5"/>
      <c r="M179" s="6" t="str">
        <f t="shared" si="10"/>
        <v/>
      </c>
      <c r="N179" s="6" t="str">
        <f t="shared" si="11"/>
        <v/>
      </c>
    </row>
    <row r="180" spans="1:14">
      <c r="A180" s="13"/>
      <c r="B180" s="13"/>
      <c r="C180" s="13"/>
      <c r="D180" s="13"/>
      <c r="E180" s="13"/>
      <c r="F180" s="5"/>
      <c r="G180" s="5"/>
      <c r="H180" s="5"/>
      <c r="I180" s="5"/>
      <c r="J180" s="5"/>
      <c r="K180" s="5"/>
      <c r="L180" s="5"/>
      <c r="M180" s="6" t="str">
        <f t="shared" si="10"/>
        <v/>
      </c>
      <c r="N180" s="6" t="str">
        <f t="shared" si="11"/>
        <v/>
      </c>
    </row>
    <row r="181" spans="1:14">
      <c r="A181" s="13"/>
      <c r="B181" s="13"/>
      <c r="C181" s="13"/>
      <c r="D181" s="13"/>
      <c r="E181" s="13"/>
      <c r="F181" s="5"/>
      <c r="G181" s="5"/>
      <c r="H181" s="5"/>
      <c r="I181" s="5"/>
      <c r="J181" s="5"/>
      <c r="K181" s="5"/>
      <c r="L181" s="5"/>
      <c r="M181" s="6" t="str">
        <f t="shared" si="10"/>
        <v/>
      </c>
      <c r="N181" s="6" t="str">
        <f t="shared" si="11"/>
        <v/>
      </c>
    </row>
    <row r="182" spans="1:14">
      <c r="A182" s="13"/>
      <c r="B182" s="13"/>
      <c r="C182" s="13"/>
      <c r="D182" s="13"/>
      <c r="E182" s="13"/>
      <c r="F182" s="5"/>
      <c r="G182" s="5"/>
      <c r="H182" s="5"/>
      <c r="I182" s="5"/>
      <c r="J182" s="5"/>
      <c r="K182" s="5"/>
      <c r="L182" s="5"/>
      <c r="M182" s="6" t="str">
        <f t="shared" si="10"/>
        <v/>
      </c>
      <c r="N182" s="6" t="str">
        <f t="shared" si="11"/>
        <v/>
      </c>
    </row>
    <row r="183" spans="1:14">
      <c r="A183" s="13"/>
      <c r="B183" s="13"/>
      <c r="C183" s="13"/>
      <c r="D183" s="13"/>
      <c r="E183" s="13"/>
      <c r="F183" s="5"/>
      <c r="G183" s="5"/>
      <c r="H183" s="5"/>
      <c r="I183" s="5"/>
      <c r="J183" s="5"/>
      <c r="K183" s="5"/>
      <c r="L183" s="5"/>
      <c r="M183" s="6" t="str">
        <f t="shared" si="10"/>
        <v/>
      </c>
      <c r="N183" s="6" t="str">
        <f t="shared" si="11"/>
        <v/>
      </c>
    </row>
    <row r="184" spans="1:14">
      <c r="A184" s="13"/>
      <c r="B184" s="13"/>
      <c r="C184" s="13"/>
      <c r="D184" s="13"/>
      <c r="E184" s="13"/>
      <c r="F184" s="5"/>
      <c r="G184" s="5"/>
      <c r="H184" s="5"/>
      <c r="I184" s="5"/>
      <c r="J184" s="5"/>
      <c r="K184" s="5"/>
      <c r="L184" s="5"/>
      <c r="M184" s="6" t="str">
        <f t="shared" si="10"/>
        <v/>
      </c>
      <c r="N184" s="6" t="str">
        <f t="shared" si="11"/>
        <v/>
      </c>
    </row>
    <row r="185" spans="1:14">
      <c r="A185" s="13"/>
      <c r="B185" s="13"/>
      <c r="C185" s="13"/>
      <c r="D185" s="13"/>
      <c r="E185" s="13"/>
      <c r="F185" s="5"/>
      <c r="G185" s="5"/>
      <c r="H185" s="5"/>
      <c r="I185" s="5"/>
      <c r="J185" s="5"/>
      <c r="K185" s="5"/>
      <c r="L185" s="5"/>
      <c r="M185" s="6" t="str">
        <f t="shared" si="10"/>
        <v/>
      </c>
      <c r="N185" s="6" t="str">
        <f t="shared" si="11"/>
        <v/>
      </c>
    </row>
    <row r="186" spans="1:14">
      <c r="A186" s="13"/>
      <c r="B186" s="13"/>
      <c r="C186" s="13"/>
      <c r="D186" s="13"/>
      <c r="E186" s="13"/>
      <c r="F186" s="5"/>
      <c r="G186" s="5"/>
      <c r="H186" s="5"/>
      <c r="I186" s="5"/>
      <c r="J186" s="5"/>
      <c r="K186" s="5"/>
      <c r="L186" s="5"/>
      <c r="M186" s="6" t="str">
        <f t="shared" si="10"/>
        <v/>
      </c>
      <c r="N186" s="6" t="str">
        <f t="shared" si="11"/>
        <v/>
      </c>
    </row>
    <row r="187" spans="1:14">
      <c r="A187" s="13"/>
      <c r="B187" s="13"/>
      <c r="C187" s="13"/>
      <c r="D187" s="13"/>
      <c r="E187" s="13"/>
      <c r="F187" s="5"/>
      <c r="G187" s="5"/>
      <c r="H187" s="5"/>
      <c r="I187" s="5"/>
      <c r="J187" s="5"/>
      <c r="K187" s="5"/>
      <c r="L187" s="5"/>
      <c r="M187" s="6" t="str">
        <f t="shared" si="10"/>
        <v/>
      </c>
      <c r="N187" s="6" t="str">
        <f t="shared" si="11"/>
        <v/>
      </c>
    </row>
    <row r="188" spans="1:14">
      <c r="A188" s="13"/>
      <c r="B188" s="13"/>
      <c r="C188" s="13"/>
      <c r="D188" s="13"/>
      <c r="E188" s="13"/>
      <c r="F188" s="5"/>
      <c r="G188" s="5"/>
      <c r="H188" s="5"/>
      <c r="I188" s="5"/>
      <c r="J188" s="5"/>
      <c r="K188" s="5"/>
      <c r="L188" s="5"/>
      <c r="M188" s="6" t="str">
        <f t="shared" si="10"/>
        <v/>
      </c>
      <c r="N188" s="6" t="str">
        <f t="shared" si="11"/>
        <v/>
      </c>
    </row>
    <row r="189" spans="1:14">
      <c r="A189" s="13"/>
      <c r="B189" s="13"/>
      <c r="C189" s="13"/>
      <c r="D189" s="13"/>
      <c r="E189" s="13"/>
      <c r="F189" s="5"/>
      <c r="G189" s="5"/>
      <c r="H189" s="5"/>
      <c r="I189" s="5"/>
      <c r="J189" s="5"/>
      <c r="K189" s="5"/>
      <c r="L189" s="5"/>
      <c r="M189" s="6" t="str">
        <f t="shared" si="10"/>
        <v/>
      </c>
      <c r="N189" s="6" t="str">
        <f t="shared" si="11"/>
        <v/>
      </c>
    </row>
    <row r="190" spans="1:14">
      <c r="A190" s="13"/>
      <c r="B190" s="13"/>
      <c r="C190" s="13"/>
      <c r="D190" s="13"/>
      <c r="E190" s="13"/>
      <c r="F190" s="5"/>
      <c r="G190" s="5"/>
      <c r="H190" s="5"/>
      <c r="I190" s="5"/>
      <c r="J190" s="5"/>
      <c r="K190" s="5"/>
      <c r="L190" s="5"/>
      <c r="M190" s="6" t="str">
        <f t="shared" si="10"/>
        <v/>
      </c>
      <c r="N190" s="6" t="str">
        <f t="shared" si="11"/>
        <v/>
      </c>
    </row>
    <row r="191" spans="1:14">
      <c r="A191" s="13"/>
      <c r="B191" s="13"/>
      <c r="C191" s="13"/>
      <c r="D191" s="13"/>
      <c r="E191" s="13"/>
      <c r="F191" s="5"/>
      <c r="G191" s="5"/>
      <c r="H191" s="5"/>
      <c r="I191" s="5"/>
      <c r="J191" s="5"/>
      <c r="K191" s="5"/>
      <c r="L191" s="5"/>
      <c r="M191" s="6" t="str">
        <f t="shared" si="10"/>
        <v/>
      </c>
      <c r="N191" s="6" t="str">
        <f t="shared" si="11"/>
        <v/>
      </c>
    </row>
    <row r="192" spans="1:14">
      <c r="A192" s="13"/>
      <c r="B192" s="13"/>
      <c r="C192" s="13"/>
      <c r="D192" s="13"/>
      <c r="E192" s="13"/>
      <c r="F192" s="5"/>
      <c r="G192" s="5"/>
      <c r="H192" s="5"/>
      <c r="I192" s="5"/>
      <c r="J192" s="5"/>
      <c r="K192" s="5"/>
      <c r="L192" s="5"/>
      <c r="M192" s="6" t="str">
        <f t="shared" si="10"/>
        <v/>
      </c>
      <c r="N192" s="6" t="str">
        <f t="shared" si="11"/>
        <v/>
      </c>
    </row>
    <row r="193" spans="1:14">
      <c r="A193" s="13"/>
      <c r="B193" s="13"/>
      <c r="C193" s="13"/>
      <c r="D193" s="13"/>
      <c r="E193" s="13"/>
      <c r="F193" s="5"/>
      <c r="G193" s="5"/>
      <c r="H193" s="5"/>
      <c r="I193" s="5"/>
      <c r="J193" s="5"/>
      <c r="K193" s="5"/>
      <c r="L193" s="5"/>
      <c r="M193" s="6" t="str">
        <f t="shared" si="10"/>
        <v/>
      </c>
      <c r="N193" s="6" t="str">
        <f t="shared" si="11"/>
        <v/>
      </c>
    </row>
    <row r="194" spans="1:14">
      <c r="A194" s="13"/>
      <c r="B194" s="13"/>
      <c r="C194" s="13"/>
      <c r="D194" s="13"/>
      <c r="E194" s="13"/>
      <c r="F194" s="5"/>
      <c r="G194" s="5"/>
      <c r="H194" s="5"/>
      <c r="I194" s="5"/>
      <c r="J194" s="5"/>
      <c r="K194" s="5"/>
      <c r="L194" s="5"/>
      <c r="M194" s="6" t="str">
        <f t="shared" si="10"/>
        <v/>
      </c>
      <c r="N194" s="6" t="str">
        <f t="shared" si="11"/>
        <v/>
      </c>
    </row>
    <row r="195" spans="1:14">
      <c r="A195" s="13"/>
      <c r="B195" s="13"/>
      <c r="C195" s="13"/>
      <c r="D195" s="13"/>
      <c r="E195" s="13"/>
      <c r="F195" s="5"/>
      <c r="G195" s="5"/>
      <c r="H195" s="5"/>
      <c r="I195" s="5"/>
      <c r="J195" s="5"/>
      <c r="K195" s="5"/>
      <c r="L195" s="5"/>
      <c r="M195" s="6" t="str">
        <f t="shared" si="10"/>
        <v/>
      </c>
      <c r="N195" s="6" t="str">
        <f t="shared" si="11"/>
        <v/>
      </c>
    </row>
    <row r="196" spans="1:14">
      <c r="A196" s="13"/>
      <c r="B196" s="13"/>
      <c r="C196" s="13"/>
      <c r="D196" s="13"/>
      <c r="E196" s="13"/>
      <c r="F196" s="5"/>
      <c r="G196" s="5"/>
      <c r="H196" s="5"/>
      <c r="I196" s="5"/>
      <c r="J196" s="5"/>
      <c r="K196" s="5"/>
      <c r="L196" s="5"/>
      <c r="M196" s="6" t="str">
        <f t="shared" si="10"/>
        <v/>
      </c>
      <c r="N196" s="6" t="str">
        <f t="shared" si="11"/>
        <v/>
      </c>
    </row>
    <row r="197" spans="1:14">
      <c r="A197" s="13"/>
      <c r="B197" s="13"/>
      <c r="C197" s="13"/>
      <c r="D197" s="13"/>
      <c r="E197" s="13"/>
      <c r="F197" s="5"/>
      <c r="G197" s="5"/>
      <c r="H197" s="5"/>
      <c r="I197" s="5"/>
      <c r="J197" s="5"/>
      <c r="K197" s="5"/>
      <c r="L197" s="5"/>
      <c r="M197" s="6" t="str">
        <f t="shared" ref="M197:M228" si="12">IF(A197="","",IF(N197="","HỢP LỆ","CẦN SỬA"))</f>
        <v/>
      </c>
      <c r="N197" s="6" t="str">
        <f t="shared" ref="N197:N204" si="13">IF(A197="","",IF(B197="","Thiếu NodeId",IF(D197="","Thiếu NodeType",IF(COUNTIF($B$5:$B$204,B197)&gt;1,"NodeId bị trùng",IF(COUNTIF($A$5:$A$204,A197)&gt;1,"NodeOrder bị trùng",IF(AND(D197="scene",OR(C197="",F197="",G197="")),"scene cần ActNo, Background, SceneName",IF(AND(D197="say",OR(H197="",J197="")),"say cần SpeakerKey và Text",IF(AND(D197="choice",OR(E197="",H197="",I197="",J197="")),"choice cần ChoiceMode, SpeakerKey, Mood, Question",IF(AND(D197="act",K197=""),"act cần số La Mã",IF(AND(D197="end",COUNTIF($D$5:$D$204,"end")&lt;&gt;1),"Phải có đúng 1 node end",""))))))))))</f>
        <v/>
      </c>
    </row>
    <row r="198" spans="1:14">
      <c r="A198" s="13"/>
      <c r="B198" s="13"/>
      <c r="C198" s="13"/>
      <c r="D198" s="13"/>
      <c r="E198" s="13"/>
      <c r="F198" s="5"/>
      <c r="G198" s="5"/>
      <c r="H198" s="5"/>
      <c r="I198" s="5"/>
      <c r="J198" s="5"/>
      <c r="K198" s="5"/>
      <c r="L198" s="5"/>
      <c r="M198" s="6" t="str">
        <f t="shared" si="12"/>
        <v/>
      </c>
      <c r="N198" s="6" t="str">
        <f t="shared" si="13"/>
        <v/>
      </c>
    </row>
    <row r="199" spans="1:14">
      <c r="A199" s="13"/>
      <c r="B199" s="13"/>
      <c r="C199" s="13"/>
      <c r="D199" s="13"/>
      <c r="E199" s="13"/>
      <c r="F199" s="5"/>
      <c r="G199" s="5"/>
      <c r="H199" s="5"/>
      <c r="I199" s="5"/>
      <c r="J199" s="5"/>
      <c r="K199" s="5"/>
      <c r="L199" s="5"/>
      <c r="M199" s="6" t="str">
        <f t="shared" si="12"/>
        <v/>
      </c>
      <c r="N199" s="6" t="str">
        <f t="shared" si="13"/>
        <v/>
      </c>
    </row>
    <row r="200" spans="1:14">
      <c r="A200" s="13"/>
      <c r="B200" s="13"/>
      <c r="C200" s="13"/>
      <c r="D200" s="13"/>
      <c r="E200" s="13"/>
      <c r="F200" s="5"/>
      <c r="G200" s="5"/>
      <c r="H200" s="5"/>
      <c r="I200" s="5"/>
      <c r="J200" s="5"/>
      <c r="K200" s="5"/>
      <c r="L200" s="5"/>
      <c r="M200" s="6" t="str">
        <f t="shared" si="12"/>
        <v/>
      </c>
      <c r="N200" s="6" t="str">
        <f t="shared" si="13"/>
        <v/>
      </c>
    </row>
    <row r="201" spans="1:14">
      <c r="A201" s="13"/>
      <c r="B201" s="13"/>
      <c r="C201" s="13"/>
      <c r="D201" s="13"/>
      <c r="E201" s="13"/>
      <c r="F201" s="5"/>
      <c r="G201" s="5"/>
      <c r="H201" s="5"/>
      <c r="I201" s="5"/>
      <c r="J201" s="5"/>
      <c r="K201" s="5"/>
      <c r="L201" s="5"/>
      <c r="M201" s="6" t="str">
        <f t="shared" si="12"/>
        <v/>
      </c>
      <c r="N201" s="6" t="str">
        <f t="shared" si="13"/>
        <v/>
      </c>
    </row>
    <row r="202" spans="1:14">
      <c r="A202" s="13"/>
      <c r="B202" s="13"/>
      <c r="C202" s="13"/>
      <c r="D202" s="13"/>
      <c r="E202" s="13"/>
      <c r="F202" s="5"/>
      <c r="G202" s="5"/>
      <c r="H202" s="5"/>
      <c r="I202" s="5"/>
      <c r="J202" s="5"/>
      <c r="K202" s="5"/>
      <c r="L202" s="5"/>
      <c r="M202" s="6" t="str">
        <f t="shared" si="12"/>
        <v/>
      </c>
      <c r="N202" s="6" t="str">
        <f t="shared" si="13"/>
        <v/>
      </c>
    </row>
    <row r="203" spans="1:14">
      <c r="A203" s="13"/>
      <c r="B203" s="13"/>
      <c r="C203" s="13"/>
      <c r="D203" s="13"/>
      <c r="E203" s="13"/>
      <c r="F203" s="5"/>
      <c r="G203" s="5"/>
      <c r="H203" s="5"/>
      <c r="I203" s="5"/>
      <c r="J203" s="5"/>
      <c r="K203" s="5"/>
      <c r="L203" s="5"/>
      <c r="M203" s="6" t="str">
        <f t="shared" si="12"/>
        <v/>
      </c>
      <c r="N203" s="6" t="str">
        <f t="shared" si="13"/>
        <v/>
      </c>
    </row>
    <row r="204" spans="1:14">
      <c r="A204" s="13"/>
      <c r="B204" s="13"/>
      <c r="C204" s="13"/>
      <c r="D204" s="13"/>
      <c r="E204" s="13"/>
      <c r="F204" s="5"/>
      <c r="G204" s="5"/>
      <c r="H204" s="5"/>
      <c r="I204" s="5"/>
      <c r="J204" s="5"/>
      <c r="K204" s="5"/>
      <c r="L204" s="5"/>
      <c r="M204" s="6" t="str">
        <f t="shared" si="12"/>
        <v/>
      </c>
      <c r="N204" s="6" t="str">
        <f t="shared" si="13"/>
        <v/>
      </c>
    </row>
  </sheetData>
  <mergeCells count="2">
    <mergeCell ref="A1:N1"/>
    <mergeCell ref="A2:N2"/>
  </mergeCells>
  <conditionalFormatting sqref="D5:D204">
    <cfRule type="expression" dxfId="19" priority="4">
      <formula>D5="scene"</formula>
    </cfRule>
    <cfRule type="expression" dxfId="18" priority="5">
      <formula>D5="choice"</formula>
    </cfRule>
    <cfRule type="expression" dxfId="17" priority="6">
      <formula>D5="end"</formula>
    </cfRule>
  </conditionalFormatting>
  <conditionalFormatting sqref="E5:E204">
    <cfRule type="expression" dxfId="16" priority="7">
      <formula>E5="Tương tác"</formula>
    </cfRule>
  </conditionalFormatting>
  <conditionalFormatting sqref="M5:M204">
    <cfRule type="expression" dxfId="15" priority="1">
      <formula>M5="HỢP LỆ"</formula>
    </cfRule>
    <cfRule type="expression" dxfId="14" priority="2">
      <formula>M5="CẦN SỬA"</formula>
    </cfRule>
  </conditionalFormatting>
  <conditionalFormatting sqref="N5:N204">
    <cfRule type="expression" dxfId="13" priority="3">
      <formula>N5&lt;&gt;""</formula>
    </cfRule>
  </conditionalFormatting>
  <dataValidations count="2">
    <dataValidation type="list" sqref="E5:E204" xr:uid="{00000000-0002-0000-0200-000000000000}">
      <formula1>"Kiến thức,Tương tác"</formula1>
    </dataValidation>
    <dataValidation type="list" sqref="K5:K204" xr:uid="{00000000-0002-0000-0200-000001000000}">
      <formula1>"I,II,III,IV,V,VI,VII,VIII,IX,X"</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4"/>
  <sheetViews>
    <sheetView workbookViewId="0"/>
  </sheetViews>
  <sheetFormatPr defaultRowHeight="14.25"/>
  <cols>
    <col min="1" max="1" width="16" customWidth="1"/>
    <col min="2" max="2" width="13" customWidth="1"/>
    <col min="3" max="3" width="55" customWidth="1"/>
    <col min="4" max="4" width="12" customWidth="1"/>
    <col min="5" max="5" width="9" customWidth="1"/>
    <col min="6" max="6" width="16" customWidth="1"/>
    <col min="7" max="7" width="13" customWidth="1"/>
    <col min="8" max="8" width="62" customWidth="1"/>
    <col min="9" max="9" width="22" customWidth="1"/>
    <col min="10" max="10" width="13" customWidth="1"/>
    <col min="11" max="11" width="31" customWidth="1"/>
  </cols>
  <sheetData>
    <row r="1" spans="1:11" ht="30" customHeight="1">
      <c r="A1" s="19" t="s">
        <v>156</v>
      </c>
      <c r="B1" s="19"/>
      <c r="C1" s="19"/>
      <c r="D1" s="19"/>
      <c r="E1" s="19"/>
      <c r="F1" s="19"/>
      <c r="G1" s="19"/>
      <c r="H1" s="19"/>
      <c r="I1" s="19"/>
      <c r="J1" s="19"/>
      <c r="K1" s="19"/>
    </row>
    <row r="2" spans="1:11" ht="36" customHeight="1">
      <c r="A2" s="20" t="s">
        <v>157</v>
      </c>
      <c r="B2" s="20"/>
      <c r="C2" s="20"/>
      <c r="D2" s="20"/>
      <c r="E2" s="20"/>
      <c r="F2" s="20"/>
      <c r="G2" s="20"/>
      <c r="H2" s="20"/>
      <c r="I2" s="20"/>
      <c r="J2" s="20"/>
      <c r="K2" s="20"/>
    </row>
    <row r="4" spans="1:11" ht="39.950000000000003" customHeight="1">
      <c r="A4" s="1" t="s">
        <v>158</v>
      </c>
      <c r="B4" s="1" t="s">
        <v>159</v>
      </c>
      <c r="C4" s="1" t="s">
        <v>160</v>
      </c>
      <c r="D4" s="1" t="s">
        <v>161</v>
      </c>
      <c r="E4" s="1" t="s">
        <v>162</v>
      </c>
      <c r="F4" s="1" t="s">
        <v>163</v>
      </c>
      <c r="G4" s="1" t="s">
        <v>164</v>
      </c>
      <c r="H4" s="1" t="s">
        <v>165</v>
      </c>
      <c r="I4" s="1" t="s">
        <v>139</v>
      </c>
      <c r="J4" s="1" t="s">
        <v>135</v>
      </c>
      <c r="K4" s="1" t="s">
        <v>155</v>
      </c>
    </row>
    <row r="5" spans="1:11" ht="26.45" customHeight="1">
      <c r="A5" s="16" t="s">
        <v>389</v>
      </c>
      <c r="B5" s="16">
        <v>1</v>
      </c>
      <c r="C5" s="15" t="s">
        <v>471</v>
      </c>
      <c r="D5" s="16" t="s">
        <v>127</v>
      </c>
      <c r="E5" s="16">
        <v>8</v>
      </c>
      <c r="F5" s="16" t="s">
        <v>201</v>
      </c>
      <c r="G5" s="16" t="s">
        <v>196</v>
      </c>
      <c r="H5" s="15" t="s">
        <v>472</v>
      </c>
      <c r="I5" s="15" t="s">
        <v>54</v>
      </c>
      <c r="J5" s="17" t="str">
        <f t="shared" ref="J5:J68" si="0">IF(A5="","",IF(K5="","HỢP LỆ","CẦN SỬA"))</f>
        <v>HỢP LỆ</v>
      </c>
      <c r="K5" s="17" t="str">
        <f>IF(A5="","",IF(COUNTIFS('02_KICH_BAN_NODES'!$B$5:$B$204,A5,'02_KICH_BAN_NODES'!$D$5:$D$204,"choice")=0,"ChoiceNodeId không tồn tại hoặc không phải choice",IF(COUNTIFS($A$5:$A$404,A5,$B$5:$B$404,B5)&gt;1,"Trùng OptionOrder trong cùng choice",IF(OR(B5="",C5="",D5="",F5="",H5=""),"Thiếu trường bắt buộc",IF(OR(COUNTIF($A$5:$A$404,A5)&lt;2,COUNTIF($A$5:$A$404,A5)&gt;4),"Mỗi choice cần 2–4 option",IF(COUNTIFS('02_KICH_BAN_NODES'!$B$5:$B$204,A5,'02_KICH_BAN_NODES'!$E$5:$E$204,"Kiến thức")=1,IF(COUNTIFS($A$5:$A$404,A5,$D$5:$D$404,"Có")&lt;&gt;1,"Choice kiến thức cần đúng 1 đáp án đúng",""),IF(COUNTIFS('02_KICH_BAN_NODES'!$B$5:$B$204,A5,'02_KICH_BAN_NODES'!$E$5:$E$204,"Tương tác")=1,IF(COUNTIFS($A$5:$A$404,A5,$D$5:$D$404,"Có")&lt;&gt;0,"Choice tương tác không được đánh dấu đáp án đúng",""),"Choice chưa chọn loại")))))))</f>
        <v/>
      </c>
    </row>
    <row r="6" spans="1:11" ht="15" customHeight="1">
      <c r="A6" s="16" t="s">
        <v>389</v>
      </c>
      <c r="B6" s="16">
        <v>2</v>
      </c>
      <c r="C6" s="15" t="s">
        <v>473</v>
      </c>
      <c r="D6" s="16" t="s">
        <v>127</v>
      </c>
      <c r="E6" s="16">
        <v>4</v>
      </c>
      <c r="F6" s="16" t="s">
        <v>201</v>
      </c>
      <c r="G6" s="16" t="s">
        <v>186</v>
      </c>
      <c r="H6" s="15" t="s">
        <v>474</v>
      </c>
      <c r="I6" s="15" t="s">
        <v>54</v>
      </c>
      <c r="J6" s="17" t="str">
        <f t="shared" si="0"/>
        <v>HỢP LỆ</v>
      </c>
      <c r="K6" s="17" t="str">
        <f>IF(A6="","",IF(COUNTIFS('02_KICH_BAN_NODES'!$B$5:$B$204,A6,'02_KICH_BAN_NODES'!$D$5:$D$204,"choice")=0,"ChoiceNodeId không tồn tại hoặc không phải choice",IF(COUNTIFS($A$5:$A$404,A6,$B$5:$B$404,B6)&gt;1,"Trùng OptionOrder trong cùng choice",IF(OR(B6="",C6="",D6="",F6="",H6=""),"Thiếu trường bắt buộc",IF(OR(COUNTIF($A$5:$A$404,A6)&lt;2,COUNTIF($A$5:$A$404,A6)&gt;4),"Mỗi choice cần 2–4 option",IF(COUNTIFS('02_KICH_BAN_NODES'!$B$5:$B$204,A6,'02_KICH_BAN_NODES'!$E$5:$E$204,"Kiến thức")=1,IF(COUNTIFS($A$5:$A$404,A6,$D$5:$D$404,"Có")&lt;&gt;1,"Choice kiến thức cần đúng 1 đáp án đúng",""),IF(COUNTIFS('02_KICH_BAN_NODES'!$B$5:$B$204,A6,'02_KICH_BAN_NODES'!$E$5:$E$204,"Tương tác")=1,IF(COUNTIFS($A$5:$A$404,A6,$D$5:$D$404,"Có")&lt;&gt;0,"Choice tương tác không được đánh dấu đáp án đúng",""),"Choice chưa chọn loại")))))))</f>
        <v/>
      </c>
    </row>
    <row r="7" spans="1:11" ht="39.6" customHeight="1">
      <c r="A7" s="16" t="s">
        <v>393</v>
      </c>
      <c r="B7" s="16">
        <v>1</v>
      </c>
      <c r="C7" s="15" t="s">
        <v>475</v>
      </c>
      <c r="D7" s="16" t="s">
        <v>96</v>
      </c>
      <c r="E7" s="16"/>
      <c r="F7" s="16" t="s">
        <v>211</v>
      </c>
      <c r="G7" s="16" t="s">
        <v>196</v>
      </c>
      <c r="H7" s="15" t="s">
        <v>476</v>
      </c>
      <c r="I7" s="15" t="s">
        <v>477</v>
      </c>
      <c r="J7" s="17" t="str">
        <f t="shared" si="0"/>
        <v>HỢP LỆ</v>
      </c>
      <c r="K7" s="17" t="str">
        <f>IF(A7="","",IF(COUNTIFS('02_KICH_BAN_NODES'!$B$5:$B$204,A7,'02_KICH_BAN_NODES'!$D$5:$D$204,"choice")=0,"ChoiceNodeId không tồn tại hoặc không phải choice",IF(COUNTIFS($A$5:$A$404,A7,$B$5:$B$404,B7)&gt;1,"Trùng OptionOrder trong cùng choice",IF(OR(B7="",C7="",D7="",F7="",H7=""),"Thiếu trường bắt buộc",IF(OR(COUNTIF($A$5:$A$404,A7)&lt;2,COUNTIF($A$5:$A$404,A7)&gt;4),"Mỗi choice cần 2–4 option",IF(COUNTIFS('02_KICH_BAN_NODES'!$B$5:$B$204,A7,'02_KICH_BAN_NODES'!$E$5:$E$204,"Kiến thức")=1,IF(COUNTIFS($A$5:$A$404,A7,$D$5:$D$404,"Có")&lt;&gt;1,"Choice kiến thức cần đúng 1 đáp án đúng",""),IF(COUNTIFS('02_KICH_BAN_NODES'!$B$5:$B$204,A7,'02_KICH_BAN_NODES'!$E$5:$E$204,"Tương tác")=1,IF(COUNTIFS($A$5:$A$404,A7,$D$5:$D$404,"Có")&lt;&gt;0,"Choice tương tác không được đánh dấu đáp án đúng",""),"Choice chưa chọn loại")))))))</f>
        <v/>
      </c>
    </row>
    <row r="8" spans="1:11" ht="26.45" customHeight="1">
      <c r="A8" s="16" t="s">
        <v>393</v>
      </c>
      <c r="B8" s="16">
        <v>2</v>
      </c>
      <c r="C8" s="15" t="s">
        <v>478</v>
      </c>
      <c r="D8" s="16" t="s">
        <v>127</v>
      </c>
      <c r="E8" s="16"/>
      <c r="F8" s="16" t="s">
        <v>211</v>
      </c>
      <c r="G8" s="16" t="s">
        <v>206</v>
      </c>
      <c r="H8" s="15" t="s">
        <v>479</v>
      </c>
      <c r="I8" s="15" t="s">
        <v>480</v>
      </c>
      <c r="J8" s="17" t="str">
        <f t="shared" si="0"/>
        <v>HỢP LỆ</v>
      </c>
      <c r="K8" s="17" t="str">
        <f>IF(A8="","",IF(COUNTIFS('02_KICH_BAN_NODES'!$B$5:$B$204,A8,'02_KICH_BAN_NODES'!$D$5:$D$204,"choice")=0,"ChoiceNodeId không tồn tại hoặc không phải choice",IF(COUNTIFS($A$5:$A$404,A8,$B$5:$B$404,B8)&gt;1,"Trùng OptionOrder trong cùng choice",IF(OR(B8="",C8="",D8="",F8="",H8=""),"Thiếu trường bắt buộc",IF(OR(COUNTIF($A$5:$A$404,A8)&lt;2,COUNTIF($A$5:$A$404,A8)&gt;4),"Mỗi choice cần 2–4 option",IF(COUNTIFS('02_KICH_BAN_NODES'!$B$5:$B$204,A8,'02_KICH_BAN_NODES'!$E$5:$E$204,"Kiến thức")=1,IF(COUNTIFS($A$5:$A$404,A8,$D$5:$D$404,"Có")&lt;&gt;1,"Choice kiến thức cần đúng 1 đáp án đúng",""),IF(COUNTIFS('02_KICH_BAN_NODES'!$B$5:$B$204,A8,'02_KICH_BAN_NODES'!$E$5:$E$204,"Tương tác")=1,IF(COUNTIFS($A$5:$A$404,A8,$D$5:$D$404,"Có")&lt;&gt;0,"Choice tương tác không được đánh dấu đáp án đúng",""),"Choice chưa chọn loại")))))))</f>
        <v/>
      </c>
    </row>
    <row r="9" spans="1:11" ht="26.45" customHeight="1">
      <c r="A9" s="16" t="s">
        <v>393</v>
      </c>
      <c r="B9" s="16">
        <v>3</v>
      </c>
      <c r="C9" s="15" t="s">
        <v>481</v>
      </c>
      <c r="D9" s="16" t="s">
        <v>127</v>
      </c>
      <c r="E9" s="16"/>
      <c r="F9" s="16" t="s">
        <v>211</v>
      </c>
      <c r="G9" s="16" t="s">
        <v>206</v>
      </c>
      <c r="H9" s="15" t="s">
        <v>479</v>
      </c>
      <c r="I9" s="15" t="s">
        <v>480</v>
      </c>
      <c r="J9" s="17" t="str">
        <f t="shared" si="0"/>
        <v>HỢP LỆ</v>
      </c>
      <c r="K9" s="17" t="str">
        <f>IF(A9="","",IF(COUNTIFS('02_KICH_BAN_NODES'!$B$5:$B$204,A9,'02_KICH_BAN_NODES'!$D$5:$D$204,"choice")=0,"ChoiceNodeId không tồn tại hoặc không phải choice",IF(COUNTIFS($A$5:$A$404,A9,$B$5:$B$404,B9)&gt;1,"Trùng OptionOrder trong cùng choice",IF(OR(B9="",C9="",D9="",F9="",H9=""),"Thiếu trường bắt buộc",IF(OR(COUNTIF($A$5:$A$404,A9)&lt;2,COUNTIF($A$5:$A$404,A9)&gt;4),"Mỗi choice cần 2–4 option",IF(COUNTIFS('02_KICH_BAN_NODES'!$B$5:$B$204,A9,'02_KICH_BAN_NODES'!$E$5:$E$204,"Kiến thức")=1,IF(COUNTIFS($A$5:$A$404,A9,$D$5:$D$404,"Có")&lt;&gt;1,"Choice kiến thức cần đúng 1 đáp án đúng",""),IF(COUNTIFS('02_KICH_BAN_NODES'!$B$5:$B$204,A9,'02_KICH_BAN_NODES'!$E$5:$E$204,"Tương tác")=1,IF(COUNTIFS($A$5:$A$404,A9,$D$5:$D$404,"Có")&lt;&gt;0,"Choice tương tác không được đánh dấu đáp án đúng",""),"Choice chưa chọn loại")))))))</f>
        <v/>
      </c>
    </row>
    <row r="10" spans="1:11" ht="26.45" customHeight="1">
      <c r="A10" s="16" t="s">
        <v>396</v>
      </c>
      <c r="B10" s="16">
        <v>1</v>
      </c>
      <c r="C10" s="15" t="s">
        <v>482</v>
      </c>
      <c r="D10" s="16" t="s">
        <v>96</v>
      </c>
      <c r="E10" s="16"/>
      <c r="F10" s="16" t="s">
        <v>201</v>
      </c>
      <c r="G10" s="16" t="s">
        <v>196</v>
      </c>
      <c r="H10" s="15" t="s">
        <v>483</v>
      </c>
      <c r="I10" s="15" t="s">
        <v>477</v>
      </c>
      <c r="J10" s="17" t="str">
        <f t="shared" si="0"/>
        <v>HỢP LỆ</v>
      </c>
      <c r="K10" s="17" t="str">
        <f>IF(A10="","",IF(COUNTIFS('02_KICH_BAN_NODES'!$B$5:$B$204,A10,'02_KICH_BAN_NODES'!$D$5:$D$204,"choice")=0,"ChoiceNodeId không tồn tại hoặc không phải choice",IF(COUNTIFS($A$5:$A$404,A10,$B$5:$B$404,B10)&gt;1,"Trùng OptionOrder trong cùng choice",IF(OR(B10="",C10="",D10="",F10="",H10=""),"Thiếu trường bắt buộc",IF(OR(COUNTIF($A$5:$A$404,A10)&lt;2,COUNTIF($A$5:$A$404,A10)&gt;4),"Mỗi choice cần 2–4 option",IF(COUNTIFS('02_KICH_BAN_NODES'!$B$5:$B$204,A10,'02_KICH_BAN_NODES'!$E$5:$E$204,"Kiến thức")=1,IF(COUNTIFS($A$5:$A$404,A10,$D$5:$D$404,"Có")&lt;&gt;1,"Choice kiến thức cần đúng 1 đáp án đúng",""),IF(COUNTIFS('02_KICH_BAN_NODES'!$B$5:$B$204,A10,'02_KICH_BAN_NODES'!$E$5:$E$204,"Tương tác")=1,IF(COUNTIFS($A$5:$A$404,A10,$D$5:$D$404,"Có")&lt;&gt;0,"Choice tương tác không được đánh dấu đáp án đúng",""),"Choice chưa chọn loại")))))))</f>
        <v/>
      </c>
    </row>
    <row r="11" spans="1:11" ht="15" customHeight="1">
      <c r="A11" s="16" t="s">
        <v>396</v>
      </c>
      <c r="B11" s="16">
        <v>2</v>
      </c>
      <c r="C11" s="15" t="s">
        <v>484</v>
      </c>
      <c r="D11" s="16" t="s">
        <v>127</v>
      </c>
      <c r="E11" s="16"/>
      <c r="F11" s="16" t="s">
        <v>201</v>
      </c>
      <c r="G11" s="16" t="s">
        <v>206</v>
      </c>
      <c r="H11" s="15" t="s">
        <v>485</v>
      </c>
      <c r="I11" s="15" t="s">
        <v>480</v>
      </c>
      <c r="J11" s="17" t="str">
        <f t="shared" si="0"/>
        <v>HỢP LỆ</v>
      </c>
      <c r="K11" s="17" t="str">
        <f>IF(A11="","",IF(COUNTIFS('02_KICH_BAN_NODES'!$B$5:$B$204,A11,'02_KICH_BAN_NODES'!$D$5:$D$204,"choice")=0,"ChoiceNodeId không tồn tại hoặc không phải choice",IF(COUNTIFS($A$5:$A$404,A11,$B$5:$B$404,B11)&gt;1,"Trùng OptionOrder trong cùng choice",IF(OR(B11="",C11="",D11="",F11="",H11=""),"Thiếu trường bắt buộc",IF(OR(COUNTIF($A$5:$A$404,A11)&lt;2,COUNTIF($A$5:$A$404,A11)&gt;4),"Mỗi choice cần 2–4 option",IF(COUNTIFS('02_KICH_BAN_NODES'!$B$5:$B$204,A11,'02_KICH_BAN_NODES'!$E$5:$E$204,"Kiến thức")=1,IF(COUNTIFS($A$5:$A$404,A11,$D$5:$D$404,"Có")&lt;&gt;1,"Choice kiến thức cần đúng 1 đáp án đúng",""),IF(COUNTIFS('02_KICH_BAN_NODES'!$B$5:$B$204,A11,'02_KICH_BAN_NODES'!$E$5:$E$204,"Tương tác")=1,IF(COUNTIFS($A$5:$A$404,A11,$D$5:$D$404,"Có")&lt;&gt;0,"Choice tương tác không được đánh dấu đáp án đúng",""),"Choice chưa chọn loại")))))))</f>
        <v/>
      </c>
    </row>
    <row r="12" spans="1:11" ht="15" customHeight="1">
      <c r="A12" s="16" t="s">
        <v>396</v>
      </c>
      <c r="B12" s="16">
        <v>3</v>
      </c>
      <c r="C12" s="15" t="s">
        <v>486</v>
      </c>
      <c r="D12" s="16" t="s">
        <v>127</v>
      </c>
      <c r="E12" s="16"/>
      <c r="F12" s="16" t="s">
        <v>201</v>
      </c>
      <c r="G12" s="16" t="s">
        <v>206</v>
      </c>
      <c r="H12" s="15" t="s">
        <v>485</v>
      </c>
      <c r="I12" s="15" t="s">
        <v>480</v>
      </c>
      <c r="J12" s="17" t="str">
        <f t="shared" si="0"/>
        <v>HỢP LỆ</v>
      </c>
      <c r="K12" s="17" t="str">
        <f>IF(A12="","",IF(COUNTIFS('02_KICH_BAN_NODES'!$B$5:$B$204,A12,'02_KICH_BAN_NODES'!$D$5:$D$204,"choice")=0,"ChoiceNodeId không tồn tại hoặc không phải choice",IF(COUNTIFS($A$5:$A$404,A12,$B$5:$B$404,B12)&gt;1,"Trùng OptionOrder trong cùng choice",IF(OR(B12="",C12="",D12="",F12="",H12=""),"Thiếu trường bắt buộc",IF(OR(COUNTIF($A$5:$A$404,A12)&lt;2,COUNTIF($A$5:$A$404,A12)&gt;4),"Mỗi choice cần 2–4 option",IF(COUNTIFS('02_KICH_BAN_NODES'!$B$5:$B$204,A12,'02_KICH_BAN_NODES'!$E$5:$E$204,"Kiến thức")=1,IF(COUNTIFS($A$5:$A$404,A12,$D$5:$D$404,"Có")&lt;&gt;1,"Choice kiến thức cần đúng 1 đáp án đúng",""),IF(COUNTIFS('02_KICH_BAN_NODES'!$B$5:$B$204,A12,'02_KICH_BAN_NODES'!$E$5:$E$204,"Tương tác")=1,IF(COUNTIFS($A$5:$A$404,A12,$D$5:$D$404,"Có")&lt;&gt;0,"Choice tương tác không được đánh dấu đáp án đúng",""),"Choice chưa chọn loại")))))))</f>
        <v/>
      </c>
    </row>
    <row r="13" spans="1:11" ht="26.45" customHeight="1">
      <c r="A13" s="16" t="s">
        <v>398</v>
      </c>
      <c r="B13" s="16">
        <v>1</v>
      </c>
      <c r="C13" s="15" t="s">
        <v>487</v>
      </c>
      <c r="D13" s="16" t="s">
        <v>96</v>
      </c>
      <c r="E13" s="16"/>
      <c r="F13" s="16" t="s">
        <v>218</v>
      </c>
      <c r="G13" s="16" t="s">
        <v>186</v>
      </c>
      <c r="H13" s="15" t="s">
        <v>488</v>
      </c>
      <c r="I13" s="15" t="s">
        <v>477</v>
      </c>
      <c r="J13" s="17" t="str">
        <f t="shared" si="0"/>
        <v>HỢP LỆ</v>
      </c>
      <c r="K13" s="17" t="str">
        <f>IF(A13="","",IF(COUNTIFS('02_KICH_BAN_NODES'!$B$5:$B$204,A13,'02_KICH_BAN_NODES'!$D$5:$D$204,"choice")=0,"ChoiceNodeId không tồn tại hoặc không phải choice",IF(COUNTIFS($A$5:$A$404,A13,$B$5:$B$404,B13)&gt;1,"Trùng OptionOrder trong cùng choice",IF(OR(B13="",C13="",D13="",F13="",H13=""),"Thiếu trường bắt buộc",IF(OR(COUNTIF($A$5:$A$404,A13)&lt;2,COUNTIF($A$5:$A$404,A13)&gt;4),"Mỗi choice cần 2–4 option",IF(COUNTIFS('02_KICH_BAN_NODES'!$B$5:$B$204,A13,'02_KICH_BAN_NODES'!$E$5:$E$204,"Kiến thức")=1,IF(COUNTIFS($A$5:$A$404,A13,$D$5:$D$404,"Có")&lt;&gt;1,"Choice kiến thức cần đúng 1 đáp án đúng",""),IF(COUNTIFS('02_KICH_BAN_NODES'!$B$5:$B$204,A13,'02_KICH_BAN_NODES'!$E$5:$E$204,"Tương tác")=1,IF(COUNTIFS($A$5:$A$404,A13,$D$5:$D$404,"Có")&lt;&gt;0,"Choice tương tác không được đánh dấu đáp án đúng",""),"Choice chưa chọn loại")))))))</f>
        <v/>
      </c>
    </row>
    <row r="14" spans="1:11" ht="26.45" customHeight="1">
      <c r="A14" s="16" t="s">
        <v>398</v>
      </c>
      <c r="B14" s="16">
        <v>2</v>
      </c>
      <c r="C14" s="15" t="s">
        <v>489</v>
      </c>
      <c r="D14" s="16" t="s">
        <v>127</v>
      </c>
      <c r="E14" s="16"/>
      <c r="F14" s="16" t="s">
        <v>218</v>
      </c>
      <c r="G14" s="16" t="s">
        <v>214</v>
      </c>
      <c r="H14" s="15" t="s">
        <v>490</v>
      </c>
      <c r="I14" s="15" t="s">
        <v>480</v>
      </c>
      <c r="J14" s="17" t="str">
        <f t="shared" si="0"/>
        <v>HỢP LỆ</v>
      </c>
      <c r="K14" s="17" t="str">
        <f>IF(A14="","",IF(COUNTIFS('02_KICH_BAN_NODES'!$B$5:$B$204,A14,'02_KICH_BAN_NODES'!$D$5:$D$204,"choice")=0,"ChoiceNodeId không tồn tại hoặc không phải choice",IF(COUNTIFS($A$5:$A$404,A14,$B$5:$B$404,B14)&gt;1,"Trùng OptionOrder trong cùng choice",IF(OR(B14="",C14="",D14="",F14="",H14=""),"Thiếu trường bắt buộc",IF(OR(COUNTIF($A$5:$A$404,A14)&lt;2,COUNTIF($A$5:$A$404,A14)&gt;4),"Mỗi choice cần 2–4 option",IF(COUNTIFS('02_KICH_BAN_NODES'!$B$5:$B$204,A14,'02_KICH_BAN_NODES'!$E$5:$E$204,"Kiến thức")=1,IF(COUNTIFS($A$5:$A$404,A14,$D$5:$D$404,"Có")&lt;&gt;1,"Choice kiến thức cần đúng 1 đáp án đúng",""),IF(COUNTIFS('02_KICH_BAN_NODES'!$B$5:$B$204,A14,'02_KICH_BAN_NODES'!$E$5:$E$204,"Tương tác")=1,IF(COUNTIFS($A$5:$A$404,A14,$D$5:$D$404,"Có")&lt;&gt;0,"Choice tương tác không được đánh dấu đáp án đúng",""),"Choice chưa chọn loại")))))))</f>
        <v/>
      </c>
    </row>
    <row r="15" spans="1:11" ht="26.45" customHeight="1">
      <c r="A15" s="16" t="s">
        <v>398</v>
      </c>
      <c r="B15" s="16">
        <v>3</v>
      </c>
      <c r="C15" s="15" t="s">
        <v>491</v>
      </c>
      <c r="D15" s="16" t="s">
        <v>127</v>
      </c>
      <c r="E15" s="16"/>
      <c r="F15" s="16" t="s">
        <v>218</v>
      </c>
      <c r="G15" s="16" t="s">
        <v>214</v>
      </c>
      <c r="H15" s="15" t="s">
        <v>490</v>
      </c>
      <c r="I15" s="15" t="s">
        <v>480</v>
      </c>
      <c r="J15" s="17" t="str">
        <f t="shared" si="0"/>
        <v>HỢP LỆ</v>
      </c>
      <c r="K15" s="17" t="str">
        <f>IF(A15="","",IF(COUNTIFS('02_KICH_BAN_NODES'!$B$5:$B$204,A15,'02_KICH_BAN_NODES'!$D$5:$D$204,"choice")=0,"ChoiceNodeId không tồn tại hoặc không phải choice",IF(COUNTIFS($A$5:$A$404,A15,$B$5:$B$404,B15)&gt;1,"Trùng OptionOrder trong cùng choice",IF(OR(B15="",C15="",D15="",F15="",H15=""),"Thiếu trường bắt buộc",IF(OR(COUNTIF($A$5:$A$404,A15)&lt;2,COUNTIF($A$5:$A$404,A15)&gt;4),"Mỗi choice cần 2–4 option",IF(COUNTIFS('02_KICH_BAN_NODES'!$B$5:$B$204,A15,'02_KICH_BAN_NODES'!$E$5:$E$204,"Kiến thức")=1,IF(COUNTIFS($A$5:$A$404,A15,$D$5:$D$404,"Có")&lt;&gt;1,"Choice kiến thức cần đúng 1 đáp án đúng",""),IF(COUNTIFS('02_KICH_BAN_NODES'!$B$5:$B$204,A15,'02_KICH_BAN_NODES'!$E$5:$E$204,"Tương tác")=1,IF(COUNTIFS($A$5:$A$404,A15,$D$5:$D$404,"Có")&lt;&gt;0,"Choice tương tác không được đánh dấu đáp án đúng",""),"Choice chưa chọn loại")))))))</f>
        <v/>
      </c>
    </row>
    <row r="16" spans="1:11" ht="26.45" customHeight="1">
      <c r="A16" s="16" t="s">
        <v>400</v>
      </c>
      <c r="B16" s="16">
        <v>1</v>
      </c>
      <c r="C16" s="15" t="s">
        <v>492</v>
      </c>
      <c r="D16" s="16" t="s">
        <v>96</v>
      </c>
      <c r="E16" s="16"/>
      <c r="F16" s="16" t="s">
        <v>211</v>
      </c>
      <c r="G16" s="16" t="s">
        <v>196</v>
      </c>
      <c r="H16" s="15" t="s">
        <v>493</v>
      </c>
      <c r="I16" s="15" t="s">
        <v>477</v>
      </c>
      <c r="J16" s="17" t="str">
        <f t="shared" si="0"/>
        <v>HỢP LỆ</v>
      </c>
      <c r="K16" s="17" t="str">
        <f>IF(A16="","",IF(COUNTIFS('02_KICH_BAN_NODES'!$B$5:$B$204,A16,'02_KICH_BAN_NODES'!$D$5:$D$204,"choice")=0,"ChoiceNodeId không tồn tại hoặc không phải choice",IF(COUNTIFS($A$5:$A$404,A16,$B$5:$B$404,B16)&gt;1,"Trùng OptionOrder trong cùng choice",IF(OR(B16="",C16="",D16="",F16="",H16=""),"Thiếu trường bắt buộc",IF(OR(COUNTIF($A$5:$A$404,A16)&lt;2,COUNTIF($A$5:$A$404,A16)&gt;4),"Mỗi choice cần 2–4 option",IF(COUNTIFS('02_KICH_BAN_NODES'!$B$5:$B$204,A16,'02_KICH_BAN_NODES'!$E$5:$E$204,"Kiến thức")=1,IF(COUNTIFS($A$5:$A$404,A16,$D$5:$D$404,"Có")&lt;&gt;1,"Choice kiến thức cần đúng 1 đáp án đúng",""),IF(COUNTIFS('02_KICH_BAN_NODES'!$B$5:$B$204,A16,'02_KICH_BAN_NODES'!$E$5:$E$204,"Tương tác")=1,IF(COUNTIFS($A$5:$A$404,A16,$D$5:$D$404,"Có")&lt;&gt;0,"Choice tương tác không được đánh dấu đáp án đúng",""),"Choice chưa chọn loại")))))))</f>
        <v/>
      </c>
    </row>
    <row r="17" spans="1:11" ht="26.45" customHeight="1">
      <c r="A17" s="16" t="s">
        <v>400</v>
      </c>
      <c r="B17" s="16">
        <v>2</v>
      </c>
      <c r="C17" s="15" t="s">
        <v>494</v>
      </c>
      <c r="D17" s="16" t="s">
        <v>127</v>
      </c>
      <c r="E17" s="16"/>
      <c r="F17" s="16" t="s">
        <v>211</v>
      </c>
      <c r="G17" s="16" t="s">
        <v>206</v>
      </c>
      <c r="H17" s="15" t="s">
        <v>495</v>
      </c>
      <c r="I17" s="15" t="s">
        <v>480</v>
      </c>
      <c r="J17" s="17" t="str">
        <f t="shared" si="0"/>
        <v>HỢP LỆ</v>
      </c>
      <c r="K17" s="17" t="str">
        <f>IF(A17="","",IF(COUNTIFS('02_KICH_BAN_NODES'!$B$5:$B$204,A17,'02_KICH_BAN_NODES'!$D$5:$D$204,"choice")=0,"ChoiceNodeId không tồn tại hoặc không phải choice",IF(COUNTIFS($A$5:$A$404,A17,$B$5:$B$404,B17)&gt;1,"Trùng OptionOrder trong cùng choice",IF(OR(B17="",C17="",D17="",F17="",H17=""),"Thiếu trường bắt buộc",IF(OR(COUNTIF($A$5:$A$404,A17)&lt;2,COUNTIF($A$5:$A$404,A17)&gt;4),"Mỗi choice cần 2–4 option",IF(COUNTIFS('02_KICH_BAN_NODES'!$B$5:$B$204,A17,'02_KICH_BAN_NODES'!$E$5:$E$204,"Kiến thức")=1,IF(COUNTIFS($A$5:$A$404,A17,$D$5:$D$404,"Có")&lt;&gt;1,"Choice kiến thức cần đúng 1 đáp án đúng",""),IF(COUNTIFS('02_KICH_BAN_NODES'!$B$5:$B$204,A17,'02_KICH_BAN_NODES'!$E$5:$E$204,"Tương tác")=1,IF(COUNTIFS($A$5:$A$404,A17,$D$5:$D$404,"Có")&lt;&gt;0,"Choice tương tác không được đánh dấu đáp án đúng",""),"Choice chưa chọn loại")))))))</f>
        <v/>
      </c>
    </row>
    <row r="18" spans="1:11" ht="26.45" customHeight="1">
      <c r="A18" s="16" t="s">
        <v>400</v>
      </c>
      <c r="B18" s="16">
        <v>3</v>
      </c>
      <c r="C18" s="15" t="s">
        <v>496</v>
      </c>
      <c r="D18" s="16" t="s">
        <v>127</v>
      </c>
      <c r="E18" s="16"/>
      <c r="F18" s="16" t="s">
        <v>211</v>
      </c>
      <c r="G18" s="16" t="s">
        <v>206</v>
      </c>
      <c r="H18" s="15" t="s">
        <v>495</v>
      </c>
      <c r="I18" s="15" t="s">
        <v>480</v>
      </c>
      <c r="J18" s="17" t="str">
        <f t="shared" si="0"/>
        <v>HỢP LỆ</v>
      </c>
      <c r="K18" s="17" t="str">
        <f>IF(A18="","",IF(COUNTIFS('02_KICH_BAN_NODES'!$B$5:$B$204,A18,'02_KICH_BAN_NODES'!$D$5:$D$204,"choice")=0,"ChoiceNodeId không tồn tại hoặc không phải choice",IF(COUNTIFS($A$5:$A$404,A18,$B$5:$B$404,B18)&gt;1,"Trùng OptionOrder trong cùng choice",IF(OR(B18="",C18="",D18="",F18="",H18=""),"Thiếu trường bắt buộc",IF(OR(COUNTIF($A$5:$A$404,A18)&lt;2,COUNTIF($A$5:$A$404,A18)&gt;4),"Mỗi choice cần 2–4 option",IF(COUNTIFS('02_KICH_BAN_NODES'!$B$5:$B$204,A18,'02_KICH_BAN_NODES'!$E$5:$E$204,"Kiến thức")=1,IF(COUNTIFS($A$5:$A$404,A18,$D$5:$D$404,"Có")&lt;&gt;1,"Choice kiến thức cần đúng 1 đáp án đúng",""),IF(COUNTIFS('02_KICH_BAN_NODES'!$B$5:$B$204,A18,'02_KICH_BAN_NODES'!$E$5:$E$204,"Tương tác")=1,IF(COUNTIFS($A$5:$A$404,A18,$D$5:$D$404,"Có")&lt;&gt;0,"Choice tương tác không được đánh dấu đáp án đúng",""),"Choice chưa chọn loại")))))))</f>
        <v/>
      </c>
    </row>
    <row r="19" spans="1:11" ht="26.45" customHeight="1">
      <c r="A19" s="16" t="s">
        <v>402</v>
      </c>
      <c r="B19" s="16">
        <v>1</v>
      </c>
      <c r="C19" s="15" t="s">
        <v>497</v>
      </c>
      <c r="D19" s="16" t="s">
        <v>96</v>
      </c>
      <c r="E19" s="16"/>
      <c r="F19" s="16" t="s">
        <v>201</v>
      </c>
      <c r="G19" s="16" t="s">
        <v>196</v>
      </c>
      <c r="H19" s="15" t="s">
        <v>498</v>
      </c>
      <c r="I19" s="15" t="s">
        <v>477</v>
      </c>
      <c r="J19" s="17" t="str">
        <f t="shared" si="0"/>
        <v>HỢP LỆ</v>
      </c>
      <c r="K19" s="17" t="str">
        <f>IF(A19="","",IF(COUNTIFS('02_KICH_BAN_NODES'!$B$5:$B$204,A19,'02_KICH_BAN_NODES'!$D$5:$D$204,"choice")=0,"ChoiceNodeId không tồn tại hoặc không phải choice",IF(COUNTIFS($A$5:$A$404,A19,$B$5:$B$404,B19)&gt;1,"Trùng OptionOrder trong cùng choice",IF(OR(B19="",C19="",D19="",F19="",H19=""),"Thiếu trường bắt buộc",IF(OR(COUNTIF($A$5:$A$404,A19)&lt;2,COUNTIF($A$5:$A$404,A19)&gt;4),"Mỗi choice cần 2–4 option",IF(COUNTIFS('02_KICH_BAN_NODES'!$B$5:$B$204,A19,'02_KICH_BAN_NODES'!$E$5:$E$204,"Kiến thức")=1,IF(COUNTIFS($A$5:$A$404,A19,$D$5:$D$404,"Có")&lt;&gt;1,"Choice kiến thức cần đúng 1 đáp án đúng",""),IF(COUNTIFS('02_KICH_BAN_NODES'!$B$5:$B$204,A19,'02_KICH_BAN_NODES'!$E$5:$E$204,"Tương tác")=1,IF(COUNTIFS($A$5:$A$404,A19,$D$5:$D$404,"Có")&lt;&gt;0,"Choice tương tác không được đánh dấu đáp án đúng",""),"Choice chưa chọn loại")))))))</f>
        <v/>
      </c>
    </row>
    <row r="20" spans="1:11" ht="26.45" customHeight="1">
      <c r="A20" s="16" t="s">
        <v>402</v>
      </c>
      <c r="B20" s="16">
        <v>2</v>
      </c>
      <c r="C20" s="15" t="s">
        <v>499</v>
      </c>
      <c r="D20" s="16" t="s">
        <v>127</v>
      </c>
      <c r="E20" s="16"/>
      <c r="F20" s="16" t="s">
        <v>201</v>
      </c>
      <c r="G20" s="16" t="s">
        <v>206</v>
      </c>
      <c r="H20" s="15" t="s">
        <v>500</v>
      </c>
      <c r="I20" s="15" t="s">
        <v>480</v>
      </c>
      <c r="J20" s="17" t="str">
        <f t="shared" si="0"/>
        <v>HỢP LỆ</v>
      </c>
      <c r="K20" s="17" t="str">
        <f>IF(A20="","",IF(COUNTIFS('02_KICH_BAN_NODES'!$B$5:$B$204,A20,'02_KICH_BAN_NODES'!$D$5:$D$204,"choice")=0,"ChoiceNodeId không tồn tại hoặc không phải choice",IF(COUNTIFS($A$5:$A$404,A20,$B$5:$B$404,B20)&gt;1,"Trùng OptionOrder trong cùng choice",IF(OR(B20="",C20="",D20="",F20="",H20=""),"Thiếu trường bắt buộc",IF(OR(COUNTIF($A$5:$A$404,A20)&lt;2,COUNTIF($A$5:$A$404,A20)&gt;4),"Mỗi choice cần 2–4 option",IF(COUNTIFS('02_KICH_BAN_NODES'!$B$5:$B$204,A20,'02_KICH_BAN_NODES'!$E$5:$E$204,"Kiến thức")=1,IF(COUNTIFS($A$5:$A$404,A20,$D$5:$D$404,"Có")&lt;&gt;1,"Choice kiến thức cần đúng 1 đáp án đúng",""),IF(COUNTIFS('02_KICH_BAN_NODES'!$B$5:$B$204,A20,'02_KICH_BAN_NODES'!$E$5:$E$204,"Tương tác")=1,IF(COUNTIFS($A$5:$A$404,A20,$D$5:$D$404,"Có")&lt;&gt;0,"Choice tương tác không được đánh dấu đáp án đúng",""),"Choice chưa chọn loại")))))))</f>
        <v/>
      </c>
    </row>
    <row r="21" spans="1:11" ht="26.45" customHeight="1">
      <c r="A21" s="16" t="s">
        <v>402</v>
      </c>
      <c r="B21" s="16">
        <v>3</v>
      </c>
      <c r="C21" s="15" t="s">
        <v>501</v>
      </c>
      <c r="D21" s="16" t="s">
        <v>127</v>
      </c>
      <c r="E21" s="16"/>
      <c r="F21" s="16" t="s">
        <v>201</v>
      </c>
      <c r="G21" s="16" t="s">
        <v>206</v>
      </c>
      <c r="H21" s="15" t="s">
        <v>500</v>
      </c>
      <c r="I21" s="15" t="s">
        <v>480</v>
      </c>
      <c r="J21" s="17" t="str">
        <f t="shared" si="0"/>
        <v>HỢP LỆ</v>
      </c>
      <c r="K21" s="17" t="str">
        <f>IF(A21="","",IF(COUNTIFS('02_KICH_BAN_NODES'!$B$5:$B$204,A21,'02_KICH_BAN_NODES'!$D$5:$D$204,"choice")=0,"ChoiceNodeId không tồn tại hoặc không phải choice",IF(COUNTIFS($A$5:$A$404,A21,$B$5:$B$404,B21)&gt;1,"Trùng OptionOrder trong cùng choice",IF(OR(B21="",C21="",D21="",F21="",H21=""),"Thiếu trường bắt buộc",IF(OR(COUNTIF($A$5:$A$404,A21)&lt;2,COUNTIF($A$5:$A$404,A21)&gt;4),"Mỗi choice cần 2–4 option",IF(COUNTIFS('02_KICH_BAN_NODES'!$B$5:$B$204,A21,'02_KICH_BAN_NODES'!$E$5:$E$204,"Kiến thức")=1,IF(COUNTIFS($A$5:$A$404,A21,$D$5:$D$404,"Có")&lt;&gt;1,"Choice kiến thức cần đúng 1 đáp án đúng",""),IF(COUNTIFS('02_KICH_BAN_NODES'!$B$5:$B$204,A21,'02_KICH_BAN_NODES'!$E$5:$E$204,"Tương tác")=1,IF(COUNTIFS($A$5:$A$404,A21,$D$5:$D$404,"Có")&lt;&gt;0,"Choice tương tác không được đánh dấu đáp án đúng",""),"Choice chưa chọn loại")))))))</f>
        <v/>
      </c>
    </row>
    <row r="22" spans="1:11" ht="26.45" customHeight="1">
      <c r="A22" s="16" t="s">
        <v>404</v>
      </c>
      <c r="B22" s="16">
        <v>1</v>
      </c>
      <c r="C22" s="15" t="s">
        <v>502</v>
      </c>
      <c r="D22" s="16" t="s">
        <v>96</v>
      </c>
      <c r="E22" s="16"/>
      <c r="F22" s="16" t="s">
        <v>218</v>
      </c>
      <c r="G22" s="16" t="s">
        <v>186</v>
      </c>
      <c r="H22" s="15" t="s">
        <v>503</v>
      </c>
      <c r="I22" s="15" t="s">
        <v>477</v>
      </c>
      <c r="J22" s="17" t="str">
        <f t="shared" si="0"/>
        <v>HỢP LỆ</v>
      </c>
      <c r="K22" s="17" t="str">
        <f>IF(A22="","",IF(COUNTIFS('02_KICH_BAN_NODES'!$B$5:$B$204,A22,'02_KICH_BAN_NODES'!$D$5:$D$204,"choice")=0,"ChoiceNodeId không tồn tại hoặc không phải choice",IF(COUNTIFS($A$5:$A$404,A22,$B$5:$B$404,B22)&gt;1,"Trùng OptionOrder trong cùng choice",IF(OR(B22="",C22="",D22="",F22="",H22=""),"Thiếu trường bắt buộc",IF(OR(COUNTIF($A$5:$A$404,A22)&lt;2,COUNTIF($A$5:$A$404,A22)&gt;4),"Mỗi choice cần 2–4 option",IF(COUNTIFS('02_KICH_BAN_NODES'!$B$5:$B$204,A22,'02_KICH_BAN_NODES'!$E$5:$E$204,"Kiến thức")=1,IF(COUNTIFS($A$5:$A$404,A22,$D$5:$D$404,"Có")&lt;&gt;1,"Choice kiến thức cần đúng 1 đáp án đúng",""),IF(COUNTIFS('02_KICH_BAN_NODES'!$B$5:$B$204,A22,'02_KICH_BAN_NODES'!$E$5:$E$204,"Tương tác")=1,IF(COUNTIFS($A$5:$A$404,A22,$D$5:$D$404,"Có")&lt;&gt;0,"Choice tương tác không được đánh dấu đáp án đúng",""),"Choice chưa chọn loại")))))))</f>
        <v/>
      </c>
    </row>
    <row r="23" spans="1:11" ht="26.45" customHeight="1">
      <c r="A23" s="16" t="s">
        <v>404</v>
      </c>
      <c r="B23" s="16">
        <v>2</v>
      </c>
      <c r="C23" s="15" t="s">
        <v>504</v>
      </c>
      <c r="D23" s="16" t="s">
        <v>127</v>
      </c>
      <c r="E23" s="16"/>
      <c r="F23" s="16" t="s">
        <v>218</v>
      </c>
      <c r="G23" s="16" t="s">
        <v>214</v>
      </c>
      <c r="H23" s="15" t="s">
        <v>505</v>
      </c>
      <c r="I23" s="15" t="s">
        <v>480</v>
      </c>
      <c r="J23" s="17" t="str">
        <f t="shared" si="0"/>
        <v>HỢP LỆ</v>
      </c>
      <c r="K23" s="17" t="str">
        <f>IF(A23="","",IF(COUNTIFS('02_KICH_BAN_NODES'!$B$5:$B$204,A23,'02_KICH_BAN_NODES'!$D$5:$D$204,"choice")=0,"ChoiceNodeId không tồn tại hoặc không phải choice",IF(COUNTIFS($A$5:$A$404,A23,$B$5:$B$404,B23)&gt;1,"Trùng OptionOrder trong cùng choice",IF(OR(B23="",C23="",D23="",F23="",H23=""),"Thiếu trường bắt buộc",IF(OR(COUNTIF($A$5:$A$404,A23)&lt;2,COUNTIF($A$5:$A$404,A23)&gt;4),"Mỗi choice cần 2–4 option",IF(COUNTIFS('02_KICH_BAN_NODES'!$B$5:$B$204,A23,'02_KICH_BAN_NODES'!$E$5:$E$204,"Kiến thức")=1,IF(COUNTIFS($A$5:$A$404,A23,$D$5:$D$404,"Có")&lt;&gt;1,"Choice kiến thức cần đúng 1 đáp án đúng",""),IF(COUNTIFS('02_KICH_BAN_NODES'!$B$5:$B$204,A23,'02_KICH_BAN_NODES'!$E$5:$E$204,"Tương tác")=1,IF(COUNTIFS($A$5:$A$404,A23,$D$5:$D$404,"Có")&lt;&gt;0,"Choice tương tác không được đánh dấu đáp án đúng",""),"Choice chưa chọn loại")))))))</f>
        <v/>
      </c>
    </row>
    <row r="24" spans="1:11" ht="26.45" customHeight="1">
      <c r="A24" s="16" t="s">
        <v>404</v>
      </c>
      <c r="B24" s="16">
        <v>3</v>
      </c>
      <c r="C24" s="15" t="s">
        <v>506</v>
      </c>
      <c r="D24" s="16" t="s">
        <v>127</v>
      </c>
      <c r="E24" s="16"/>
      <c r="F24" s="16" t="s">
        <v>218</v>
      </c>
      <c r="G24" s="16" t="s">
        <v>214</v>
      </c>
      <c r="H24" s="15" t="s">
        <v>505</v>
      </c>
      <c r="I24" s="15" t="s">
        <v>480</v>
      </c>
      <c r="J24" s="17" t="str">
        <f t="shared" si="0"/>
        <v>HỢP LỆ</v>
      </c>
      <c r="K24" s="17" t="str">
        <f>IF(A24="","",IF(COUNTIFS('02_KICH_BAN_NODES'!$B$5:$B$204,A24,'02_KICH_BAN_NODES'!$D$5:$D$204,"choice")=0,"ChoiceNodeId không tồn tại hoặc không phải choice",IF(COUNTIFS($A$5:$A$404,A24,$B$5:$B$404,B24)&gt;1,"Trùng OptionOrder trong cùng choice",IF(OR(B24="",C24="",D24="",F24="",H24=""),"Thiếu trường bắt buộc",IF(OR(COUNTIF($A$5:$A$404,A24)&lt;2,COUNTIF($A$5:$A$404,A24)&gt;4),"Mỗi choice cần 2–4 option",IF(COUNTIFS('02_KICH_BAN_NODES'!$B$5:$B$204,A24,'02_KICH_BAN_NODES'!$E$5:$E$204,"Kiến thức")=1,IF(COUNTIFS($A$5:$A$404,A24,$D$5:$D$404,"Có")&lt;&gt;1,"Choice kiến thức cần đúng 1 đáp án đúng",""),IF(COUNTIFS('02_KICH_BAN_NODES'!$B$5:$B$204,A24,'02_KICH_BAN_NODES'!$E$5:$E$204,"Tương tác")=1,IF(COUNTIFS($A$5:$A$404,A24,$D$5:$D$404,"Có")&lt;&gt;0,"Choice tương tác không được đánh dấu đáp án đúng",""),"Choice chưa chọn loại")))))))</f>
        <v/>
      </c>
    </row>
    <row r="25" spans="1:11" ht="39.6" customHeight="1">
      <c r="A25" s="16" t="s">
        <v>416</v>
      </c>
      <c r="B25" s="16">
        <v>1</v>
      </c>
      <c r="C25" s="15" t="s">
        <v>507</v>
      </c>
      <c r="D25" s="16" t="s">
        <v>96</v>
      </c>
      <c r="E25" s="16"/>
      <c r="F25" s="16" t="s">
        <v>218</v>
      </c>
      <c r="G25" s="16" t="s">
        <v>186</v>
      </c>
      <c r="H25" s="15" t="s">
        <v>508</v>
      </c>
      <c r="I25" s="15" t="s">
        <v>477</v>
      </c>
      <c r="J25" s="17" t="str">
        <f t="shared" si="0"/>
        <v>HỢP LỆ</v>
      </c>
      <c r="K25" s="17" t="str">
        <f>IF(A25="","",IF(COUNTIFS('02_KICH_BAN_NODES'!$B$5:$B$204,A25,'02_KICH_BAN_NODES'!$D$5:$D$204,"choice")=0,"ChoiceNodeId không tồn tại hoặc không phải choice",IF(COUNTIFS($A$5:$A$404,A25,$B$5:$B$404,B25)&gt;1,"Trùng OptionOrder trong cùng choice",IF(OR(B25="",C25="",D25="",F25="",H25=""),"Thiếu trường bắt buộc",IF(OR(COUNTIF($A$5:$A$404,A25)&lt;2,COUNTIF($A$5:$A$404,A25)&gt;4),"Mỗi choice cần 2–4 option",IF(COUNTIFS('02_KICH_BAN_NODES'!$B$5:$B$204,A25,'02_KICH_BAN_NODES'!$E$5:$E$204,"Kiến thức")=1,IF(COUNTIFS($A$5:$A$404,A25,$D$5:$D$404,"Có")&lt;&gt;1,"Choice kiến thức cần đúng 1 đáp án đúng",""),IF(COUNTIFS('02_KICH_BAN_NODES'!$B$5:$B$204,A25,'02_KICH_BAN_NODES'!$E$5:$E$204,"Tương tác")=1,IF(COUNTIFS($A$5:$A$404,A25,$D$5:$D$404,"Có")&lt;&gt;0,"Choice tương tác không được đánh dấu đáp án đúng",""),"Choice chưa chọn loại")))))))</f>
        <v/>
      </c>
    </row>
    <row r="26" spans="1:11" ht="26.45" customHeight="1">
      <c r="A26" s="16" t="s">
        <v>416</v>
      </c>
      <c r="B26" s="16">
        <v>2</v>
      </c>
      <c r="C26" s="15" t="s">
        <v>509</v>
      </c>
      <c r="D26" s="16" t="s">
        <v>127</v>
      </c>
      <c r="E26" s="16"/>
      <c r="F26" s="16" t="s">
        <v>218</v>
      </c>
      <c r="G26" s="16" t="s">
        <v>214</v>
      </c>
      <c r="H26" s="15" t="s">
        <v>510</v>
      </c>
      <c r="I26" s="15" t="s">
        <v>480</v>
      </c>
      <c r="J26" s="17" t="str">
        <f t="shared" si="0"/>
        <v>HỢP LỆ</v>
      </c>
      <c r="K26" s="17" t="str">
        <f>IF(A26="","",IF(COUNTIFS('02_KICH_BAN_NODES'!$B$5:$B$204,A26,'02_KICH_BAN_NODES'!$D$5:$D$204,"choice")=0,"ChoiceNodeId không tồn tại hoặc không phải choice",IF(COUNTIFS($A$5:$A$404,A26,$B$5:$B$404,B26)&gt;1,"Trùng OptionOrder trong cùng choice",IF(OR(B26="",C26="",D26="",F26="",H26=""),"Thiếu trường bắt buộc",IF(OR(COUNTIF($A$5:$A$404,A26)&lt;2,COUNTIF($A$5:$A$404,A26)&gt;4),"Mỗi choice cần 2–4 option",IF(COUNTIFS('02_KICH_BAN_NODES'!$B$5:$B$204,A26,'02_KICH_BAN_NODES'!$E$5:$E$204,"Kiến thức")=1,IF(COUNTIFS($A$5:$A$404,A26,$D$5:$D$404,"Có")&lt;&gt;1,"Choice kiến thức cần đúng 1 đáp án đúng",""),IF(COUNTIFS('02_KICH_BAN_NODES'!$B$5:$B$204,A26,'02_KICH_BAN_NODES'!$E$5:$E$204,"Tương tác")=1,IF(COUNTIFS($A$5:$A$404,A26,$D$5:$D$404,"Có")&lt;&gt;0,"Choice tương tác không được đánh dấu đáp án đúng",""),"Choice chưa chọn loại")))))))</f>
        <v/>
      </c>
    </row>
    <row r="27" spans="1:11" ht="26.45" customHeight="1">
      <c r="A27" s="16" t="s">
        <v>416</v>
      </c>
      <c r="B27" s="16">
        <v>3</v>
      </c>
      <c r="C27" s="15" t="s">
        <v>511</v>
      </c>
      <c r="D27" s="16" t="s">
        <v>127</v>
      </c>
      <c r="E27" s="16"/>
      <c r="F27" s="16" t="s">
        <v>218</v>
      </c>
      <c r="G27" s="16" t="s">
        <v>214</v>
      </c>
      <c r="H27" s="15" t="s">
        <v>510</v>
      </c>
      <c r="I27" s="15" t="s">
        <v>480</v>
      </c>
      <c r="J27" s="17" t="str">
        <f t="shared" si="0"/>
        <v>HỢP LỆ</v>
      </c>
      <c r="K27" s="17" t="str">
        <f>IF(A27="","",IF(COUNTIFS('02_KICH_BAN_NODES'!$B$5:$B$204,A27,'02_KICH_BAN_NODES'!$D$5:$D$204,"choice")=0,"ChoiceNodeId không tồn tại hoặc không phải choice",IF(COUNTIFS($A$5:$A$404,A27,$B$5:$B$404,B27)&gt;1,"Trùng OptionOrder trong cùng choice",IF(OR(B27="",C27="",D27="",F27="",H27=""),"Thiếu trường bắt buộc",IF(OR(COUNTIF($A$5:$A$404,A27)&lt;2,COUNTIF($A$5:$A$404,A27)&gt;4),"Mỗi choice cần 2–4 option",IF(COUNTIFS('02_KICH_BAN_NODES'!$B$5:$B$204,A27,'02_KICH_BAN_NODES'!$E$5:$E$204,"Kiến thức")=1,IF(COUNTIFS($A$5:$A$404,A27,$D$5:$D$404,"Có")&lt;&gt;1,"Choice kiến thức cần đúng 1 đáp án đúng",""),IF(COUNTIFS('02_KICH_BAN_NODES'!$B$5:$B$204,A27,'02_KICH_BAN_NODES'!$E$5:$E$204,"Tương tác")=1,IF(COUNTIFS($A$5:$A$404,A27,$D$5:$D$404,"Có")&lt;&gt;0,"Choice tương tác không được đánh dấu đáp án đúng",""),"Choice chưa chọn loại")))))))</f>
        <v/>
      </c>
    </row>
    <row r="28" spans="1:11" ht="26.45" customHeight="1">
      <c r="A28" s="16" t="s">
        <v>418</v>
      </c>
      <c r="B28" s="16">
        <v>1</v>
      </c>
      <c r="C28" s="15" t="s">
        <v>512</v>
      </c>
      <c r="D28" s="16" t="s">
        <v>96</v>
      </c>
      <c r="E28" s="16"/>
      <c r="F28" s="16" t="s">
        <v>211</v>
      </c>
      <c r="G28" s="16" t="s">
        <v>196</v>
      </c>
      <c r="H28" s="15" t="s">
        <v>513</v>
      </c>
      <c r="I28" s="15" t="s">
        <v>477</v>
      </c>
      <c r="J28" s="17" t="str">
        <f t="shared" si="0"/>
        <v>HỢP LỆ</v>
      </c>
      <c r="K28" s="17" t="str">
        <f>IF(A28="","",IF(COUNTIFS('02_KICH_BAN_NODES'!$B$5:$B$204,A28,'02_KICH_BAN_NODES'!$D$5:$D$204,"choice")=0,"ChoiceNodeId không tồn tại hoặc không phải choice",IF(COUNTIFS($A$5:$A$404,A28,$B$5:$B$404,B28)&gt;1,"Trùng OptionOrder trong cùng choice",IF(OR(B28="",C28="",D28="",F28="",H28=""),"Thiếu trường bắt buộc",IF(OR(COUNTIF($A$5:$A$404,A28)&lt;2,COUNTIF($A$5:$A$404,A28)&gt;4),"Mỗi choice cần 2–4 option",IF(COUNTIFS('02_KICH_BAN_NODES'!$B$5:$B$204,A28,'02_KICH_BAN_NODES'!$E$5:$E$204,"Kiến thức")=1,IF(COUNTIFS($A$5:$A$404,A28,$D$5:$D$404,"Có")&lt;&gt;1,"Choice kiến thức cần đúng 1 đáp án đúng",""),IF(COUNTIFS('02_KICH_BAN_NODES'!$B$5:$B$204,A28,'02_KICH_BAN_NODES'!$E$5:$E$204,"Tương tác")=1,IF(COUNTIFS($A$5:$A$404,A28,$D$5:$D$404,"Có")&lt;&gt;0,"Choice tương tác không được đánh dấu đáp án đúng",""),"Choice chưa chọn loại")))))))</f>
        <v/>
      </c>
    </row>
    <row r="29" spans="1:11" ht="15" customHeight="1">
      <c r="A29" s="16" t="s">
        <v>418</v>
      </c>
      <c r="B29" s="16">
        <v>2</v>
      </c>
      <c r="C29" s="15" t="s">
        <v>514</v>
      </c>
      <c r="D29" s="16" t="s">
        <v>127</v>
      </c>
      <c r="E29" s="16"/>
      <c r="F29" s="16" t="s">
        <v>211</v>
      </c>
      <c r="G29" s="16" t="s">
        <v>206</v>
      </c>
      <c r="H29" s="15" t="s">
        <v>515</v>
      </c>
      <c r="I29" s="15" t="s">
        <v>480</v>
      </c>
      <c r="J29" s="17" t="str">
        <f t="shared" si="0"/>
        <v>HỢP LỆ</v>
      </c>
      <c r="K29" s="17" t="str">
        <f>IF(A29="","",IF(COUNTIFS('02_KICH_BAN_NODES'!$B$5:$B$204,A29,'02_KICH_BAN_NODES'!$D$5:$D$204,"choice")=0,"ChoiceNodeId không tồn tại hoặc không phải choice",IF(COUNTIFS($A$5:$A$404,A29,$B$5:$B$404,B29)&gt;1,"Trùng OptionOrder trong cùng choice",IF(OR(B29="",C29="",D29="",F29="",H29=""),"Thiếu trường bắt buộc",IF(OR(COUNTIF($A$5:$A$404,A29)&lt;2,COUNTIF($A$5:$A$404,A29)&gt;4),"Mỗi choice cần 2–4 option",IF(COUNTIFS('02_KICH_BAN_NODES'!$B$5:$B$204,A29,'02_KICH_BAN_NODES'!$E$5:$E$204,"Kiến thức")=1,IF(COUNTIFS($A$5:$A$404,A29,$D$5:$D$404,"Có")&lt;&gt;1,"Choice kiến thức cần đúng 1 đáp án đúng",""),IF(COUNTIFS('02_KICH_BAN_NODES'!$B$5:$B$204,A29,'02_KICH_BAN_NODES'!$E$5:$E$204,"Tương tác")=1,IF(COUNTIFS($A$5:$A$404,A29,$D$5:$D$404,"Có")&lt;&gt;0,"Choice tương tác không được đánh dấu đáp án đúng",""),"Choice chưa chọn loại")))))))</f>
        <v/>
      </c>
    </row>
    <row r="30" spans="1:11" ht="26.45" customHeight="1">
      <c r="A30" s="16" t="s">
        <v>418</v>
      </c>
      <c r="B30" s="16">
        <v>3</v>
      </c>
      <c r="C30" s="15" t="s">
        <v>516</v>
      </c>
      <c r="D30" s="16" t="s">
        <v>127</v>
      </c>
      <c r="E30" s="16"/>
      <c r="F30" s="16" t="s">
        <v>211</v>
      </c>
      <c r="G30" s="16" t="s">
        <v>206</v>
      </c>
      <c r="H30" s="15" t="s">
        <v>515</v>
      </c>
      <c r="I30" s="15" t="s">
        <v>480</v>
      </c>
      <c r="J30" s="17" t="str">
        <f t="shared" si="0"/>
        <v>HỢP LỆ</v>
      </c>
      <c r="K30" s="17" t="str">
        <f>IF(A30="","",IF(COUNTIFS('02_KICH_BAN_NODES'!$B$5:$B$204,A30,'02_KICH_BAN_NODES'!$D$5:$D$204,"choice")=0,"ChoiceNodeId không tồn tại hoặc không phải choice",IF(COUNTIFS($A$5:$A$404,A30,$B$5:$B$404,B30)&gt;1,"Trùng OptionOrder trong cùng choice",IF(OR(B30="",C30="",D30="",F30="",H30=""),"Thiếu trường bắt buộc",IF(OR(COUNTIF($A$5:$A$404,A30)&lt;2,COUNTIF($A$5:$A$404,A30)&gt;4),"Mỗi choice cần 2–4 option",IF(COUNTIFS('02_KICH_BAN_NODES'!$B$5:$B$204,A30,'02_KICH_BAN_NODES'!$E$5:$E$204,"Kiến thức")=1,IF(COUNTIFS($A$5:$A$404,A30,$D$5:$D$404,"Có")&lt;&gt;1,"Choice kiến thức cần đúng 1 đáp án đúng",""),IF(COUNTIFS('02_KICH_BAN_NODES'!$B$5:$B$204,A30,'02_KICH_BAN_NODES'!$E$5:$E$204,"Tương tác")=1,IF(COUNTIFS($A$5:$A$404,A30,$D$5:$D$404,"Có")&lt;&gt;0,"Choice tương tác không được đánh dấu đáp án đúng",""),"Choice chưa chọn loại")))))))</f>
        <v/>
      </c>
    </row>
    <row r="31" spans="1:11" ht="26.45" customHeight="1">
      <c r="A31" s="16" t="s">
        <v>420</v>
      </c>
      <c r="B31" s="16">
        <v>1</v>
      </c>
      <c r="C31" s="15" t="s">
        <v>517</v>
      </c>
      <c r="D31" s="16" t="s">
        <v>96</v>
      </c>
      <c r="E31" s="16"/>
      <c r="F31" s="16" t="s">
        <v>201</v>
      </c>
      <c r="G31" s="16" t="s">
        <v>196</v>
      </c>
      <c r="H31" s="15" t="s">
        <v>518</v>
      </c>
      <c r="I31" s="15" t="s">
        <v>477</v>
      </c>
      <c r="J31" s="17" t="str">
        <f t="shared" si="0"/>
        <v>HỢP LỆ</v>
      </c>
      <c r="K31" s="17" t="str">
        <f>IF(A31="","",IF(COUNTIFS('02_KICH_BAN_NODES'!$B$5:$B$204,A31,'02_KICH_BAN_NODES'!$D$5:$D$204,"choice")=0,"ChoiceNodeId không tồn tại hoặc không phải choice",IF(COUNTIFS($A$5:$A$404,A31,$B$5:$B$404,B31)&gt;1,"Trùng OptionOrder trong cùng choice",IF(OR(B31="",C31="",D31="",F31="",H31=""),"Thiếu trường bắt buộc",IF(OR(COUNTIF($A$5:$A$404,A31)&lt;2,COUNTIF($A$5:$A$404,A31)&gt;4),"Mỗi choice cần 2–4 option",IF(COUNTIFS('02_KICH_BAN_NODES'!$B$5:$B$204,A31,'02_KICH_BAN_NODES'!$E$5:$E$204,"Kiến thức")=1,IF(COUNTIFS($A$5:$A$404,A31,$D$5:$D$404,"Có")&lt;&gt;1,"Choice kiến thức cần đúng 1 đáp án đúng",""),IF(COUNTIFS('02_KICH_BAN_NODES'!$B$5:$B$204,A31,'02_KICH_BAN_NODES'!$E$5:$E$204,"Tương tác")=1,IF(COUNTIFS($A$5:$A$404,A31,$D$5:$D$404,"Có")&lt;&gt;0,"Choice tương tác không được đánh dấu đáp án đúng",""),"Choice chưa chọn loại")))))))</f>
        <v/>
      </c>
    </row>
    <row r="32" spans="1:11" ht="26.45" customHeight="1">
      <c r="A32" s="16" t="s">
        <v>420</v>
      </c>
      <c r="B32" s="16">
        <v>2</v>
      </c>
      <c r="C32" s="15" t="s">
        <v>519</v>
      </c>
      <c r="D32" s="16" t="s">
        <v>127</v>
      </c>
      <c r="E32" s="16"/>
      <c r="F32" s="16" t="s">
        <v>201</v>
      </c>
      <c r="G32" s="16" t="s">
        <v>206</v>
      </c>
      <c r="H32" s="15" t="s">
        <v>520</v>
      </c>
      <c r="I32" s="15" t="s">
        <v>480</v>
      </c>
      <c r="J32" s="17" t="str">
        <f t="shared" si="0"/>
        <v>HỢP LỆ</v>
      </c>
      <c r="K32" s="17" t="str">
        <f>IF(A32="","",IF(COUNTIFS('02_KICH_BAN_NODES'!$B$5:$B$204,A32,'02_KICH_BAN_NODES'!$D$5:$D$204,"choice")=0,"ChoiceNodeId không tồn tại hoặc không phải choice",IF(COUNTIFS($A$5:$A$404,A32,$B$5:$B$404,B32)&gt;1,"Trùng OptionOrder trong cùng choice",IF(OR(B32="",C32="",D32="",F32="",H32=""),"Thiếu trường bắt buộc",IF(OR(COUNTIF($A$5:$A$404,A32)&lt;2,COUNTIF($A$5:$A$404,A32)&gt;4),"Mỗi choice cần 2–4 option",IF(COUNTIFS('02_KICH_BAN_NODES'!$B$5:$B$204,A32,'02_KICH_BAN_NODES'!$E$5:$E$204,"Kiến thức")=1,IF(COUNTIFS($A$5:$A$404,A32,$D$5:$D$404,"Có")&lt;&gt;1,"Choice kiến thức cần đúng 1 đáp án đúng",""),IF(COUNTIFS('02_KICH_BAN_NODES'!$B$5:$B$204,A32,'02_KICH_BAN_NODES'!$E$5:$E$204,"Tương tác")=1,IF(COUNTIFS($A$5:$A$404,A32,$D$5:$D$404,"Có")&lt;&gt;0,"Choice tương tác không được đánh dấu đáp án đúng",""),"Choice chưa chọn loại")))))))</f>
        <v/>
      </c>
    </row>
    <row r="33" spans="1:11" ht="26.45" customHeight="1">
      <c r="A33" s="16" t="s">
        <v>420</v>
      </c>
      <c r="B33" s="16">
        <v>3</v>
      </c>
      <c r="C33" s="15" t="s">
        <v>521</v>
      </c>
      <c r="D33" s="16" t="s">
        <v>127</v>
      </c>
      <c r="E33" s="16"/>
      <c r="F33" s="16" t="s">
        <v>201</v>
      </c>
      <c r="G33" s="16" t="s">
        <v>206</v>
      </c>
      <c r="H33" s="15" t="s">
        <v>520</v>
      </c>
      <c r="I33" s="15" t="s">
        <v>480</v>
      </c>
      <c r="J33" s="17" t="str">
        <f t="shared" si="0"/>
        <v>HỢP LỆ</v>
      </c>
      <c r="K33" s="17" t="str">
        <f>IF(A33="","",IF(COUNTIFS('02_KICH_BAN_NODES'!$B$5:$B$204,A33,'02_KICH_BAN_NODES'!$D$5:$D$204,"choice")=0,"ChoiceNodeId không tồn tại hoặc không phải choice",IF(COUNTIFS($A$5:$A$404,A33,$B$5:$B$404,B33)&gt;1,"Trùng OptionOrder trong cùng choice",IF(OR(B33="",C33="",D33="",F33="",H33=""),"Thiếu trường bắt buộc",IF(OR(COUNTIF($A$5:$A$404,A33)&lt;2,COUNTIF($A$5:$A$404,A33)&gt;4),"Mỗi choice cần 2–4 option",IF(COUNTIFS('02_KICH_BAN_NODES'!$B$5:$B$204,A33,'02_KICH_BAN_NODES'!$E$5:$E$204,"Kiến thức")=1,IF(COUNTIFS($A$5:$A$404,A33,$D$5:$D$404,"Có")&lt;&gt;1,"Choice kiến thức cần đúng 1 đáp án đúng",""),IF(COUNTIFS('02_KICH_BAN_NODES'!$B$5:$B$204,A33,'02_KICH_BAN_NODES'!$E$5:$E$204,"Tương tác")=1,IF(COUNTIFS($A$5:$A$404,A33,$D$5:$D$404,"Có")&lt;&gt;0,"Choice tương tác không được đánh dấu đáp án đúng",""),"Choice chưa chọn loại")))))))</f>
        <v/>
      </c>
    </row>
    <row r="34" spans="1:11" ht="39.6" customHeight="1">
      <c r="A34" s="16" t="s">
        <v>422</v>
      </c>
      <c r="B34" s="16">
        <v>1</v>
      </c>
      <c r="C34" s="15" t="s">
        <v>522</v>
      </c>
      <c r="D34" s="16" t="s">
        <v>96</v>
      </c>
      <c r="E34" s="16"/>
      <c r="F34" s="16" t="s">
        <v>211</v>
      </c>
      <c r="G34" s="16" t="s">
        <v>196</v>
      </c>
      <c r="H34" s="15" t="s">
        <v>523</v>
      </c>
      <c r="I34" s="15" t="s">
        <v>477</v>
      </c>
      <c r="J34" s="17" t="str">
        <f t="shared" si="0"/>
        <v>HỢP LỆ</v>
      </c>
      <c r="K34" s="17" t="str">
        <f>IF(A34="","",IF(COUNTIFS('02_KICH_BAN_NODES'!$B$5:$B$204,A34,'02_KICH_BAN_NODES'!$D$5:$D$204,"choice")=0,"ChoiceNodeId không tồn tại hoặc không phải choice",IF(COUNTIFS($A$5:$A$404,A34,$B$5:$B$404,B34)&gt;1,"Trùng OptionOrder trong cùng choice",IF(OR(B34="",C34="",D34="",F34="",H34=""),"Thiếu trường bắt buộc",IF(OR(COUNTIF($A$5:$A$404,A34)&lt;2,COUNTIF($A$5:$A$404,A34)&gt;4),"Mỗi choice cần 2–4 option",IF(COUNTIFS('02_KICH_BAN_NODES'!$B$5:$B$204,A34,'02_KICH_BAN_NODES'!$E$5:$E$204,"Kiến thức")=1,IF(COUNTIFS($A$5:$A$404,A34,$D$5:$D$404,"Có")&lt;&gt;1,"Choice kiến thức cần đúng 1 đáp án đúng",""),IF(COUNTIFS('02_KICH_BAN_NODES'!$B$5:$B$204,A34,'02_KICH_BAN_NODES'!$E$5:$E$204,"Tương tác")=1,IF(COUNTIFS($A$5:$A$404,A34,$D$5:$D$404,"Có")&lt;&gt;0,"Choice tương tác không được đánh dấu đáp án đúng",""),"Choice chưa chọn loại")))))))</f>
        <v/>
      </c>
    </row>
    <row r="35" spans="1:11" ht="26.45" customHeight="1">
      <c r="A35" s="16" t="s">
        <v>422</v>
      </c>
      <c r="B35" s="16">
        <v>2</v>
      </c>
      <c r="C35" s="15" t="s">
        <v>524</v>
      </c>
      <c r="D35" s="16" t="s">
        <v>127</v>
      </c>
      <c r="E35" s="16"/>
      <c r="F35" s="16" t="s">
        <v>211</v>
      </c>
      <c r="G35" s="16" t="s">
        <v>206</v>
      </c>
      <c r="H35" s="15" t="s">
        <v>525</v>
      </c>
      <c r="I35" s="15" t="s">
        <v>480</v>
      </c>
      <c r="J35" s="17" t="str">
        <f t="shared" si="0"/>
        <v>HỢP LỆ</v>
      </c>
      <c r="K35" s="17" t="str">
        <f>IF(A35="","",IF(COUNTIFS('02_KICH_BAN_NODES'!$B$5:$B$204,A35,'02_KICH_BAN_NODES'!$D$5:$D$204,"choice")=0,"ChoiceNodeId không tồn tại hoặc không phải choice",IF(COUNTIFS($A$5:$A$404,A35,$B$5:$B$404,B35)&gt;1,"Trùng OptionOrder trong cùng choice",IF(OR(B35="",C35="",D35="",F35="",H35=""),"Thiếu trường bắt buộc",IF(OR(COUNTIF($A$5:$A$404,A35)&lt;2,COUNTIF($A$5:$A$404,A35)&gt;4),"Mỗi choice cần 2–4 option",IF(COUNTIFS('02_KICH_BAN_NODES'!$B$5:$B$204,A35,'02_KICH_BAN_NODES'!$E$5:$E$204,"Kiến thức")=1,IF(COUNTIFS($A$5:$A$404,A35,$D$5:$D$404,"Có")&lt;&gt;1,"Choice kiến thức cần đúng 1 đáp án đúng",""),IF(COUNTIFS('02_KICH_BAN_NODES'!$B$5:$B$204,A35,'02_KICH_BAN_NODES'!$E$5:$E$204,"Tương tác")=1,IF(COUNTIFS($A$5:$A$404,A35,$D$5:$D$404,"Có")&lt;&gt;0,"Choice tương tác không được đánh dấu đáp án đúng",""),"Choice chưa chọn loại")))))))</f>
        <v/>
      </c>
    </row>
    <row r="36" spans="1:11" ht="26.45" customHeight="1">
      <c r="A36" s="16" t="s">
        <v>422</v>
      </c>
      <c r="B36" s="16">
        <v>3</v>
      </c>
      <c r="C36" s="15" t="s">
        <v>526</v>
      </c>
      <c r="D36" s="16" t="s">
        <v>127</v>
      </c>
      <c r="E36" s="16"/>
      <c r="F36" s="16" t="s">
        <v>211</v>
      </c>
      <c r="G36" s="16" t="s">
        <v>206</v>
      </c>
      <c r="H36" s="15" t="s">
        <v>525</v>
      </c>
      <c r="I36" s="15" t="s">
        <v>480</v>
      </c>
      <c r="J36" s="17" t="str">
        <f t="shared" si="0"/>
        <v>HỢP LỆ</v>
      </c>
      <c r="K36" s="17" t="str">
        <f>IF(A36="","",IF(COUNTIFS('02_KICH_BAN_NODES'!$B$5:$B$204,A36,'02_KICH_BAN_NODES'!$D$5:$D$204,"choice")=0,"ChoiceNodeId không tồn tại hoặc không phải choice",IF(COUNTIFS($A$5:$A$404,A36,$B$5:$B$404,B36)&gt;1,"Trùng OptionOrder trong cùng choice",IF(OR(B36="",C36="",D36="",F36="",H36=""),"Thiếu trường bắt buộc",IF(OR(COUNTIF($A$5:$A$404,A36)&lt;2,COUNTIF($A$5:$A$404,A36)&gt;4),"Mỗi choice cần 2–4 option",IF(COUNTIFS('02_KICH_BAN_NODES'!$B$5:$B$204,A36,'02_KICH_BAN_NODES'!$E$5:$E$204,"Kiến thức")=1,IF(COUNTIFS($A$5:$A$404,A36,$D$5:$D$404,"Có")&lt;&gt;1,"Choice kiến thức cần đúng 1 đáp án đúng",""),IF(COUNTIFS('02_KICH_BAN_NODES'!$B$5:$B$204,A36,'02_KICH_BAN_NODES'!$E$5:$E$204,"Tương tác")=1,IF(COUNTIFS($A$5:$A$404,A36,$D$5:$D$404,"Có")&lt;&gt;0,"Choice tương tác không được đánh dấu đáp án đúng",""),"Choice chưa chọn loại")))))))</f>
        <v/>
      </c>
    </row>
    <row r="37" spans="1:11" ht="39.6" customHeight="1">
      <c r="A37" s="16" t="s">
        <v>424</v>
      </c>
      <c r="B37" s="16">
        <v>1</v>
      </c>
      <c r="C37" s="15" t="s">
        <v>527</v>
      </c>
      <c r="D37" s="16" t="s">
        <v>96</v>
      </c>
      <c r="E37" s="16"/>
      <c r="F37" s="16" t="s">
        <v>218</v>
      </c>
      <c r="G37" s="16" t="s">
        <v>186</v>
      </c>
      <c r="H37" s="15" t="s">
        <v>528</v>
      </c>
      <c r="I37" s="15" t="s">
        <v>477</v>
      </c>
      <c r="J37" s="17" t="str">
        <f t="shared" si="0"/>
        <v>HỢP LỆ</v>
      </c>
      <c r="K37" s="17" t="str">
        <f>IF(A37="","",IF(COUNTIFS('02_KICH_BAN_NODES'!$B$5:$B$204,A37,'02_KICH_BAN_NODES'!$D$5:$D$204,"choice")=0,"ChoiceNodeId không tồn tại hoặc không phải choice",IF(COUNTIFS($A$5:$A$404,A37,$B$5:$B$404,B37)&gt;1,"Trùng OptionOrder trong cùng choice",IF(OR(B37="",C37="",D37="",F37="",H37=""),"Thiếu trường bắt buộc",IF(OR(COUNTIF($A$5:$A$404,A37)&lt;2,COUNTIF($A$5:$A$404,A37)&gt;4),"Mỗi choice cần 2–4 option",IF(COUNTIFS('02_KICH_BAN_NODES'!$B$5:$B$204,A37,'02_KICH_BAN_NODES'!$E$5:$E$204,"Kiến thức")=1,IF(COUNTIFS($A$5:$A$404,A37,$D$5:$D$404,"Có")&lt;&gt;1,"Choice kiến thức cần đúng 1 đáp án đúng",""),IF(COUNTIFS('02_KICH_BAN_NODES'!$B$5:$B$204,A37,'02_KICH_BAN_NODES'!$E$5:$E$204,"Tương tác")=1,IF(COUNTIFS($A$5:$A$404,A37,$D$5:$D$404,"Có")&lt;&gt;0,"Choice tương tác không được đánh dấu đáp án đúng",""),"Choice chưa chọn loại")))))))</f>
        <v/>
      </c>
    </row>
    <row r="38" spans="1:11" ht="26.45" customHeight="1">
      <c r="A38" s="16" t="s">
        <v>424</v>
      </c>
      <c r="B38" s="16">
        <v>2</v>
      </c>
      <c r="C38" s="15" t="s">
        <v>529</v>
      </c>
      <c r="D38" s="16" t="s">
        <v>127</v>
      </c>
      <c r="E38" s="16"/>
      <c r="F38" s="16" t="s">
        <v>218</v>
      </c>
      <c r="G38" s="16" t="s">
        <v>214</v>
      </c>
      <c r="H38" s="15" t="s">
        <v>530</v>
      </c>
      <c r="I38" s="15" t="s">
        <v>480</v>
      </c>
      <c r="J38" s="17" t="str">
        <f t="shared" si="0"/>
        <v>HỢP LỆ</v>
      </c>
      <c r="K38" s="17" t="str">
        <f>IF(A38="","",IF(COUNTIFS('02_KICH_BAN_NODES'!$B$5:$B$204,A38,'02_KICH_BAN_NODES'!$D$5:$D$204,"choice")=0,"ChoiceNodeId không tồn tại hoặc không phải choice",IF(COUNTIFS($A$5:$A$404,A38,$B$5:$B$404,B38)&gt;1,"Trùng OptionOrder trong cùng choice",IF(OR(B38="",C38="",D38="",F38="",H38=""),"Thiếu trường bắt buộc",IF(OR(COUNTIF($A$5:$A$404,A38)&lt;2,COUNTIF($A$5:$A$404,A38)&gt;4),"Mỗi choice cần 2–4 option",IF(COUNTIFS('02_KICH_BAN_NODES'!$B$5:$B$204,A38,'02_KICH_BAN_NODES'!$E$5:$E$204,"Kiến thức")=1,IF(COUNTIFS($A$5:$A$404,A38,$D$5:$D$404,"Có")&lt;&gt;1,"Choice kiến thức cần đúng 1 đáp án đúng",""),IF(COUNTIFS('02_KICH_BAN_NODES'!$B$5:$B$204,A38,'02_KICH_BAN_NODES'!$E$5:$E$204,"Tương tác")=1,IF(COUNTIFS($A$5:$A$404,A38,$D$5:$D$404,"Có")&lt;&gt;0,"Choice tương tác không được đánh dấu đáp án đúng",""),"Choice chưa chọn loại")))))))</f>
        <v/>
      </c>
    </row>
    <row r="39" spans="1:11" ht="26.45" customHeight="1">
      <c r="A39" s="16" t="s">
        <v>424</v>
      </c>
      <c r="B39" s="16">
        <v>3</v>
      </c>
      <c r="C39" s="15" t="s">
        <v>531</v>
      </c>
      <c r="D39" s="16" t="s">
        <v>127</v>
      </c>
      <c r="E39" s="16"/>
      <c r="F39" s="16" t="s">
        <v>218</v>
      </c>
      <c r="G39" s="16" t="s">
        <v>214</v>
      </c>
      <c r="H39" s="15" t="s">
        <v>530</v>
      </c>
      <c r="I39" s="15" t="s">
        <v>480</v>
      </c>
      <c r="J39" s="17" t="str">
        <f t="shared" si="0"/>
        <v>HỢP LỆ</v>
      </c>
      <c r="K39" s="17" t="str">
        <f>IF(A39="","",IF(COUNTIFS('02_KICH_BAN_NODES'!$B$5:$B$204,A39,'02_KICH_BAN_NODES'!$D$5:$D$204,"choice")=0,"ChoiceNodeId không tồn tại hoặc không phải choice",IF(COUNTIFS($A$5:$A$404,A39,$B$5:$B$404,B39)&gt;1,"Trùng OptionOrder trong cùng choice",IF(OR(B39="",C39="",D39="",F39="",H39=""),"Thiếu trường bắt buộc",IF(OR(COUNTIF($A$5:$A$404,A39)&lt;2,COUNTIF($A$5:$A$404,A39)&gt;4),"Mỗi choice cần 2–4 option",IF(COUNTIFS('02_KICH_BAN_NODES'!$B$5:$B$204,A39,'02_KICH_BAN_NODES'!$E$5:$E$204,"Kiến thức")=1,IF(COUNTIFS($A$5:$A$404,A39,$D$5:$D$404,"Có")&lt;&gt;1,"Choice kiến thức cần đúng 1 đáp án đúng",""),IF(COUNTIFS('02_KICH_BAN_NODES'!$B$5:$B$204,A39,'02_KICH_BAN_NODES'!$E$5:$E$204,"Tương tác")=1,IF(COUNTIFS($A$5:$A$404,A39,$D$5:$D$404,"Có")&lt;&gt;0,"Choice tương tác không được đánh dấu đáp án đúng",""),"Choice chưa chọn loại")))))))</f>
        <v/>
      </c>
    </row>
    <row r="40" spans="1:11" ht="39.6" customHeight="1">
      <c r="A40" s="16" t="s">
        <v>436</v>
      </c>
      <c r="B40" s="16">
        <v>1</v>
      </c>
      <c r="C40" s="15" t="s">
        <v>532</v>
      </c>
      <c r="D40" s="16" t="s">
        <v>96</v>
      </c>
      <c r="E40" s="16"/>
      <c r="F40" s="16" t="s">
        <v>201</v>
      </c>
      <c r="G40" s="16" t="s">
        <v>196</v>
      </c>
      <c r="H40" s="15" t="s">
        <v>533</v>
      </c>
      <c r="I40" s="15" t="s">
        <v>477</v>
      </c>
      <c r="J40" s="17" t="str">
        <f t="shared" si="0"/>
        <v>HỢP LỆ</v>
      </c>
      <c r="K40" s="17" t="str">
        <f>IF(A40="","",IF(COUNTIFS('02_KICH_BAN_NODES'!$B$5:$B$204,A40,'02_KICH_BAN_NODES'!$D$5:$D$204,"choice")=0,"ChoiceNodeId không tồn tại hoặc không phải choice",IF(COUNTIFS($A$5:$A$404,A40,$B$5:$B$404,B40)&gt;1,"Trùng OptionOrder trong cùng choice",IF(OR(B40="",C40="",D40="",F40="",H40=""),"Thiếu trường bắt buộc",IF(OR(COUNTIF($A$5:$A$404,A40)&lt;2,COUNTIF($A$5:$A$404,A40)&gt;4),"Mỗi choice cần 2–4 option",IF(COUNTIFS('02_KICH_BAN_NODES'!$B$5:$B$204,A40,'02_KICH_BAN_NODES'!$E$5:$E$204,"Kiến thức")=1,IF(COUNTIFS($A$5:$A$404,A40,$D$5:$D$404,"Có")&lt;&gt;1,"Choice kiến thức cần đúng 1 đáp án đúng",""),IF(COUNTIFS('02_KICH_BAN_NODES'!$B$5:$B$204,A40,'02_KICH_BAN_NODES'!$E$5:$E$204,"Tương tác")=1,IF(COUNTIFS($A$5:$A$404,A40,$D$5:$D$404,"Có")&lt;&gt;0,"Choice tương tác không được đánh dấu đáp án đúng",""),"Choice chưa chọn loại")))))))</f>
        <v/>
      </c>
    </row>
    <row r="41" spans="1:11" ht="26.45" customHeight="1">
      <c r="A41" s="16" t="s">
        <v>436</v>
      </c>
      <c r="B41" s="16">
        <v>2</v>
      </c>
      <c r="C41" s="15" t="s">
        <v>534</v>
      </c>
      <c r="D41" s="16" t="s">
        <v>127</v>
      </c>
      <c r="E41" s="16"/>
      <c r="F41" s="16" t="s">
        <v>201</v>
      </c>
      <c r="G41" s="16" t="s">
        <v>206</v>
      </c>
      <c r="H41" s="15" t="s">
        <v>535</v>
      </c>
      <c r="I41" s="15" t="s">
        <v>480</v>
      </c>
      <c r="J41" s="17" t="str">
        <f t="shared" si="0"/>
        <v>HỢP LỆ</v>
      </c>
      <c r="K41" s="17" t="str">
        <f>IF(A41="","",IF(COUNTIFS('02_KICH_BAN_NODES'!$B$5:$B$204,A41,'02_KICH_BAN_NODES'!$D$5:$D$204,"choice")=0,"ChoiceNodeId không tồn tại hoặc không phải choice",IF(COUNTIFS($A$5:$A$404,A41,$B$5:$B$404,B41)&gt;1,"Trùng OptionOrder trong cùng choice",IF(OR(B41="",C41="",D41="",F41="",H41=""),"Thiếu trường bắt buộc",IF(OR(COUNTIF($A$5:$A$404,A41)&lt;2,COUNTIF($A$5:$A$404,A41)&gt;4),"Mỗi choice cần 2–4 option",IF(COUNTIFS('02_KICH_BAN_NODES'!$B$5:$B$204,A41,'02_KICH_BAN_NODES'!$E$5:$E$204,"Kiến thức")=1,IF(COUNTIFS($A$5:$A$404,A41,$D$5:$D$404,"Có")&lt;&gt;1,"Choice kiến thức cần đúng 1 đáp án đúng",""),IF(COUNTIFS('02_KICH_BAN_NODES'!$B$5:$B$204,A41,'02_KICH_BAN_NODES'!$E$5:$E$204,"Tương tác")=1,IF(COUNTIFS($A$5:$A$404,A41,$D$5:$D$404,"Có")&lt;&gt;0,"Choice tương tác không được đánh dấu đáp án đúng",""),"Choice chưa chọn loại")))))))</f>
        <v/>
      </c>
    </row>
    <row r="42" spans="1:11" ht="26.45" customHeight="1">
      <c r="A42" s="16" t="s">
        <v>436</v>
      </c>
      <c r="B42" s="16">
        <v>3</v>
      </c>
      <c r="C42" s="15" t="s">
        <v>536</v>
      </c>
      <c r="D42" s="16" t="s">
        <v>127</v>
      </c>
      <c r="E42" s="16"/>
      <c r="F42" s="16" t="s">
        <v>201</v>
      </c>
      <c r="G42" s="16" t="s">
        <v>206</v>
      </c>
      <c r="H42" s="15" t="s">
        <v>535</v>
      </c>
      <c r="I42" s="15" t="s">
        <v>480</v>
      </c>
      <c r="J42" s="17" t="str">
        <f t="shared" si="0"/>
        <v>HỢP LỆ</v>
      </c>
      <c r="K42" s="17" t="str">
        <f>IF(A42="","",IF(COUNTIFS('02_KICH_BAN_NODES'!$B$5:$B$204,A42,'02_KICH_BAN_NODES'!$D$5:$D$204,"choice")=0,"ChoiceNodeId không tồn tại hoặc không phải choice",IF(COUNTIFS($A$5:$A$404,A42,$B$5:$B$404,B42)&gt;1,"Trùng OptionOrder trong cùng choice",IF(OR(B42="",C42="",D42="",F42="",H42=""),"Thiếu trường bắt buộc",IF(OR(COUNTIF($A$5:$A$404,A42)&lt;2,COUNTIF($A$5:$A$404,A42)&gt;4),"Mỗi choice cần 2–4 option",IF(COUNTIFS('02_KICH_BAN_NODES'!$B$5:$B$204,A42,'02_KICH_BAN_NODES'!$E$5:$E$204,"Kiến thức")=1,IF(COUNTIFS($A$5:$A$404,A42,$D$5:$D$404,"Có")&lt;&gt;1,"Choice kiến thức cần đúng 1 đáp án đúng",""),IF(COUNTIFS('02_KICH_BAN_NODES'!$B$5:$B$204,A42,'02_KICH_BAN_NODES'!$E$5:$E$204,"Tương tác")=1,IF(COUNTIFS($A$5:$A$404,A42,$D$5:$D$404,"Có")&lt;&gt;0,"Choice tương tác không được đánh dấu đáp án đúng",""),"Choice chưa chọn loại")))))))</f>
        <v/>
      </c>
    </row>
    <row r="43" spans="1:11" ht="39.6" customHeight="1">
      <c r="A43" s="16" t="s">
        <v>438</v>
      </c>
      <c r="B43" s="16">
        <v>1</v>
      </c>
      <c r="C43" s="15" t="s">
        <v>537</v>
      </c>
      <c r="D43" s="16" t="s">
        <v>96</v>
      </c>
      <c r="E43" s="16"/>
      <c r="F43" s="16" t="s">
        <v>218</v>
      </c>
      <c r="G43" s="16" t="s">
        <v>186</v>
      </c>
      <c r="H43" s="15" t="s">
        <v>538</v>
      </c>
      <c r="I43" s="15" t="s">
        <v>477</v>
      </c>
      <c r="J43" s="17" t="str">
        <f t="shared" si="0"/>
        <v>HỢP LỆ</v>
      </c>
      <c r="K43" s="17" t="str">
        <f>IF(A43="","",IF(COUNTIFS('02_KICH_BAN_NODES'!$B$5:$B$204,A43,'02_KICH_BAN_NODES'!$D$5:$D$204,"choice")=0,"ChoiceNodeId không tồn tại hoặc không phải choice",IF(COUNTIFS($A$5:$A$404,A43,$B$5:$B$404,B43)&gt;1,"Trùng OptionOrder trong cùng choice",IF(OR(B43="",C43="",D43="",F43="",H43=""),"Thiếu trường bắt buộc",IF(OR(COUNTIF($A$5:$A$404,A43)&lt;2,COUNTIF($A$5:$A$404,A43)&gt;4),"Mỗi choice cần 2–4 option",IF(COUNTIFS('02_KICH_BAN_NODES'!$B$5:$B$204,A43,'02_KICH_BAN_NODES'!$E$5:$E$204,"Kiến thức")=1,IF(COUNTIFS($A$5:$A$404,A43,$D$5:$D$404,"Có")&lt;&gt;1,"Choice kiến thức cần đúng 1 đáp án đúng",""),IF(COUNTIFS('02_KICH_BAN_NODES'!$B$5:$B$204,A43,'02_KICH_BAN_NODES'!$E$5:$E$204,"Tương tác")=1,IF(COUNTIFS($A$5:$A$404,A43,$D$5:$D$404,"Có")&lt;&gt;0,"Choice tương tác không được đánh dấu đáp án đúng",""),"Choice chưa chọn loại")))))))</f>
        <v/>
      </c>
    </row>
    <row r="44" spans="1:11" ht="26.45" customHeight="1">
      <c r="A44" s="16" t="s">
        <v>438</v>
      </c>
      <c r="B44" s="16">
        <v>2</v>
      </c>
      <c r="C44" s="15" t="s">
        <v>539</v>
      </c>
      <c r="D44" s="16" t="s">
        <v>127</v>
      </c>
      <c r="E44" s="16"/>
      <c r="F44" s="16" t="s">
        <v>218</v>
      </c>
      <c r="G44" s="16" t="s">
        <v>214</v>
      </c>
      <c r="H44" s="15" t="s">
        <v>540</v>
      </c>
      <c r="I44" s="15" t="s">
        <v>480</v>
      </c>
      <c r="J44" s="17" t="str">
        <f t="shared" si="0"/>
        <v>HỢP LỆ</v>
      </c>
      <c r="K44" s="17" t="str">
        <f>IF(A44="","",IF(COUNTIFS('02_KICH_BAN_NODES'!$B$5:$B$204,A44,'02_KICH_BAN_NODES'!$D$5:$D$204,"choice")=0,"ChoiceNodeId không tồn tại hoặc không phải choice",IF(COUNTIFS($A$5:$A$404,A44,$B$5:$B$404,B44)&gt;1,"Trùng OptionOrder trong cùng choice",IF(OR(B44="",C44="",D44="",F44="",H44=""),"Thiếu trường bắt buộc",IF(OR(COUNTIF($A$5:$A$404,A44)&lt;2,COUNTIF($A$5:$A$404,A44)&gt;4),"Mỗi choice cần 2–4 option",IF(COUNTIFS('02_KICH_BAN_NODES'!$B$5:$B$204,A44,'02_KICH_BAN_NODES'!$E$5:$E$204,"Kiến thức")=1,IF(COUNTIFS($A$5:$A$404,A44,$D$5:$D$404,"Có")&lt;&gt;1,"Choice kiến thức cần đúng 1 đáp án đúng",""),IF(COUNTIFS('02_KICH_BAN_NODES'!$B$5:$B$204,A44,'02_KICH_BAN_NODES'!$E$5:$E$204,"Tương tác")=1,IF(COUNTIFS($A$5:$A$404,A44,$D$5:$D$404,"Có")&lt;&gt;0,"Choice tương tác không được đánh dấu đáp án đúng",""),"Choice chưa chọn loại")))))))</f>
        <v/>
      </c>
    </row>
    <row r="45" spans="1:11" ht="26.45" customHeight="1">
      <c r="A45" s="16" t="s">
        <v>438</v>
      </c>
      <c r="B45" s="16">
        <v>3</v>
      </c>
      <c r="C45" s="15" t="s">
        <v>541</v>
      </c>
      <c r="D45" s="16" t="s">
        <v>127</v>
      </c>
      <c r="E45" s="16"/>
      <c r="F45" s="16" t="s">
        <v>218</v>
      </c>
      <c r="G45" s="16" t="s">
        <v>214</v>
      </c>
      <c r="H45" s="15" t="s">
        <v>540</v>
      </c>
      <c r="I45" s="15" t="s">
        <v>480</v>
      </c>
      <c r="J45" s="17" t="str">
        <f t="shared" si="0"/>
        <v>HỢP LỆ</v>
      </c>
      <c r="K45" s="17" t="str">
        <f>IF(A45="","",IF(COUNTIFS('02_KICH_BAN_NODES'!$B$5:$B$204,A45,'02_KICH_BAN_NODES'!$D$5:$D$204,"choice")=0,"ChoiceNodeId không tồn tại hoặc không phải choice",IF(COUNTIFS($A$5:$A$404,A45,$B$5:$B$404,B45)&gt;1,"Trùng OptionOrder trong cùng choice",IF(OR(B45="",C45="",D45="",F45="",H45=""),"Thiếu trường bắt buộc",IF(OR(COUNTIF($A$5:$A$404,A45)&lt;2,COUNTIF($A$5:$A$404,A45)&gt;4),"Mỗi choice cần 2–4 option",IF(COUNTIFS('02_KICH_BAN_NODES'!$B$5:$B$204,A45,'02_KICH_BAN_NODES'!$E$5:$E$204,"Kiến thức")=1,IF(COUNTIFS($A$5:$A$404,A45,$D$5:$D$404,"Có")&lt;&gt;1,"Choice kiến thức cần đúng 1 đáp án đúng",""),IF(COUNTIFS('02_KICH_BAN_NODES'!$B$5:$B$204,A45,'02_KICH_BAN_NODES'!$E$5:$E$204,"Tương tác")=1,IF(COUNTIFS($A$5:$A$404,A45,$D$5:$D$404,"Có")&lt;&gt;0,"Choice tương tác không được đánh dấu đáp án đúng",""),"Choice chưa chọn loại")))))))</f>
        <v/>
      </c>
    </row>
    <row r="46" spans="1:11" ht="26.45" customHeight="1">
      <c r="A46" s="16" t="s">
        <v>440</v>
      </c>
      <c r="B46" s="16">
        <v>1</v>
      </c>
      <c r="C46" s="15" t="s">
        <v>542</v>
      </c>
      <c r="D46" s="16" t="s">
        <v>96</v>
      </c>
      <c r="E46" s="16"/>
      <c r="F46" s="16" t="s">
        <v>211</v>
      </c>
      <c r="G46" s="16" t="s">
        <v>196</v>
      </c>
      <c r="H46" s="15" t="s">
        <v>543</v>
      </c>
      <c r="I46" s="15" t="s">
        <v>477</v>
      </c>
      <c r="J46" s="17" t="str">
        <f t="shared" si="0"/>
        <v>HỢP LỆ</v>
      </c>
      <c r="K46" s="17" t="str">
        <f>IF(A46="","",IF(COUNTIFS('02_KICH_BAN_NODES'!$B$5:$B$204,A46,'02_KICH_BAN_NODES'!$D$5:$D$204,"choice")=0,"ChoiceNodeId không tồn tại hoặc không phải choice",IF(COUNTIFS($A$5:$A$404,A46,$B$5:$B$404,B46)&gt;1,"Trùng OptionOrder trong cùng choice",IF(OR(B46="",C46="",D46="",F46="",H46=""),"Thiếu trường bắt buộc",IF(OR(COUNTIF($A$5:$A$404,A46)&lt;2,COUNTIF($A$5:$A$404,A46)&gt;4),"Mỗi choice cần 2–4 option",IF(COUNTIFS('02_KICH_BAN_NODES'!$B$5:$B$204,A46,'02_KICH_BAN_NODES'!$E$5:$E$204,"Kiến thức")=1,IF(COUNTIFS($A$5:$A$404,A46,$D$5:$D$404,"Có")&lt;&gt;1,"Choice kiến thức cần đúng 1 đáp án đúng",""),IF(COUNTIFS('02_KICH_BAN_NODES'!$B$5:$B$204,A46,'02_KICH_BAN_NODES'!$E$5:$E$204,"Tương tác")=1,IF(COUNTIFS($A$5:$A$404,A46,$D$5:$D$404,"Có")&lt;&gt;0,"Choice tương tác không được đánh dấu đáp án đúng",""),"Choice chưa chọn loại")))))))</f>
        <v/>
      </c>
    </row>
    <row r="47" spans="1:11" ht="26.45" customHeight="1">
      <c r="A47" s="16" t="s">
        <v>440</v>
      </c>
      <c r="B47" s="16">
        <v>2</v>
      </c>
      <c r="C47" s="15" t="s">
        <v>544</v>
      </c>
      <c r="D47" s="16" t="s">
        <v>127</v>
      </c>
      <c r="E47" s="16"/>
      <c r="F47" s="16" t="s">
        <v>211</v>
      </c>
      <c r="G47" s="16" t="s">
        <v>206</v>
      </c>
      <c r="H47" s="15" t="s">
        <v>545</v>
      </c>
      <c r="I47" s="15" t="s">
        <v>480</v>
      </c>
      <c r="J47" s="17" t="str">
        <f t="shared" si="0"/>
        <v>HỢP LỆ</v>
      </c>
      <c r="K47" s="17" t="str">
        <f>IF(A47="","",IF(COUNTIFS('02_KICH_BAN_NODES'!$B$5:$B$204,A47,'02_KICH_BAN_NODES'!$D$5:$D$204,"choice")=0,"ChoiceNodeId không tồn tại hoặc không phải choice",IF(COUNTIFS($A$5:$A$404,A47,$B$5:$B$404,B47)&gt;1,"Trùng OptionOrder trong cùng choice",IF(OR(B47="",C47="",D47="",F47="",H47=""),"Thiếu trường bắt buộc",IF(OR(COUNTIF($A$5:$A$404,A47)&lt;2,COUNTIF($A$5:$A$404,A47)&gt;4),"Mỗi choice cần 2–4 option",IF(COUNTIFS('02_KICH_BAN_NODES'!$B$5:$B$204,A47,'02_KICH_BAN_NODES'!$E$5:$E$204,"Kiến thức")=1,IF(COUNTIFS($A$5:$A$404,A47,$D$5:$D$404,"Có")&lt;&gt;1,"Choice kiến thức cần đúng 1 đáp án đúng",""),IF(COUNTIFS('02_KICH_BAN_NODES'!$B$5:$B$204,A47,'02_KICH_BAN_NODES'!$E$5:$E$204,"Tương tác")=1,IF(COUNTIFS($A$5:$A$404,A47,$D$5:$D$404,"Có")&lt;&gt;0,"Choice tương tác không được đánh dấu đáp án đúng",""),"Choice chưa chọn loại")))))))</f>
        <v/>
      </c>
    </row>
    <row r="48" spans="1:11" ht="26.45" customHeight="1">
      <c r="A48" s="16" t="s">
        <v>440</v>
      </c>
      <c r="B48" s="16">
        <v>3</v>
      </c>
      <c r="C48" s="15" t="s">
        <v>546</v>
      </c>
      <c r="D48" s="16" t="s">
        <v>127</v>
      </c>
      <c r="E48" s="16"/>
      <c r="F48" s="16" t="s">
        <v>211</v>
      </c>
      <c r="G48" s="16" t="s">
        <v>206</v>
      </c>
      <c r="H48" s="15" t="s">
        <v>545</v>
      </c>
      <c r="I48" s="15" t="s">
        <v>480</v>
      </c>
      <c r="J48" s="17" t="str">
        <f t="shared" si="0"/>
        <v>HỢP LỆ</v>
      </c>
      <c r="K48" s="17" t="str">
        <f>IF(A48="","",IF(COUNTIFS('02_KICH_BAN_NODES'!$B$5:$B$204,A48,'02_KICH_BAN_NODES'!$D$5:$D$204,"choice")=0,"ChoiceNodeId không tồn tại hoặc không phải choice",IF(COUNTIFS($A$5:$A$404,A48,$B$5:$B$404,B48)&gt;1,"Trùng OptionOrder trong cùng choice",IF(OR(B48="",C48="",D48="",F48="",H48=""),"Thiếu trường bắt buộc",IF(OR(COUNTIF($A$5:$A$404,A48)&lt;2,COUNTIF($A$5:$A$404,A48)&gt;4),"Mỗi choice cần 2–4 option",IF(COUNTIFS('02_KICH_BAN_NODES'!$B$5:$B$204,A48,'02_KICH_BAN_NODES'!$E$5:$E$204,"Kiến thức")=1,IF(COUNTIFS($A$5:$A$404,A48,$D$5:$D$404,"Có")&lt;&gt;1,"Choice kiến thức cần đúng 1 đáp án đúng",""),IF(COUNTIFS('02_KICH_BAN_NODES'!$B$5:$B$204,A48,'02_KICH_BAN_NODES'!$E$5:$E$204,"Tương tác")=1,IF(COUNTIFS($A$5:$A$404,A48,$D$5:$D$404,"Có")&lt;&gt;0,"Choice tương tác không được đánh dấu đáp án đúng",""),"Choice chưa chọn loại")))))))</f>
        <v/>
      </c>
    </row>
    <row r="49" spans="1:11" ht="39.6" customHeight="1">
      <c r="A49" s="16" t="s">
        <v>442</v>
      </c>
      <c r="B49" s="16">
        <v>1</v>
      </c>
      <c r="C49" s="15" t="s">
        <v>547</v>
      </c>
      <c r="D49" s="16" t="s">
        <v>96</v>
      </c>
      <c r="E49" s="16"/>
      <c r="F49" s="16" t="s">
        <v>201</v>
      </c>
      <c r="G49" s="16" t="s">
        <v>196</v>
      </c>
      <c r="H49" s="15" t="s">
        <v>548</v>
      </c>
      <c r="I49" s="15" t="s">
        <v>477</v>
      </c>
      <c r="J49" s="17" t="str">
        <f t="shared" si="0"/>
        <v>HỢP LỆ</v>
      </c>
      <c r="K49" s="17" t="str">
        <f>IF(A49="","",IF(COUNTIFS('02_KICH_BAN_NODES'!$B$5:$B$204,A49,'02_KICH_BAN_NODES'!$D$5:$D$204,"choice")=0,"ChoiceNodeId không tồn tại hoặc không phải choice",IF(COUNTIFS($A$5:$A$404,A49,$B$5:$B$404,B49)&gt;1,"Trùng OptionOrder trong cùng choice",IF(OR(B49="",C49="",D49="",F49="",H49=""),"Thiếu trường bắt buộc",IF(OR(COUNTIF($A$5:$A$404,A49)&lt;2,COUNTIF($A$5:$A$404,A49)&gt;4),"Mỗi choice cần 2–4 option",IF(COUNTIFS('02_KICH_BAN_NODES'!$B$5:$B$204,A49,'02_KICH_BAN_NODES'!$E$5:$E$204,"Kiến thức")=1,IF(COUNTIFS($A$5:$A$404,A49,$D$5:$D$404,"Có")&lt;&gt;1,"Choice kiến thức cần đúng 1 đáp án đúng",""),IF(COUNTIFS('02_KICH_BAN_NODES'!$B$5:$B$204,A49,'02_KICH_BAN_NODES'!$E$5:$E$204,"Tương tác")=1,IF(COUNTIFS($A$5:$A$404,A49,$D$5:$D$404,"Có")&lt;&gt;0,"Choice tương tác không được đánh dấu đáp án đúng",""),"Choice chưa chọn loại")))))))</f>
        <v/>
      </c>
    </row>
    <row r="50" spans="1:11" ht="26.45" customHeight="1">
      <c r="A50" s="16" t="s">
        <v>442</v>
      </c>
      <c r="B50" s="16">
        <v>2</v>
      </c>
      <c r="C50" s="15" t="s">
        <v>549</v>
      </c>
      <c r="D50" s="16" t="s">
        <v>127</v>
      </c>
      <c r="E50" s="16"/>
      <c r="F50" s="16" t="s">
        <v>201</v>
      </c>
      <c r="G50" s="16" t="s">
        <v>206</v>
      </c>
      <c r="H50" s="15" t="s">
        <v>550</v>
      </c>
      <c r="I50" s="15" t="s">
        <v>480</v>
      </c>
      <c r="J50" s="17" t="str">
        <f t="shared" si="0"/>
        <v>HỢP LỆ</v>
      </c>
      <c r="K50" s="17" t="str">
        <f>IF(A50="","",IF(COUNTIFS('02_KICH_BAN_NODES'!$B$5:$B$204,A50,'02_KICH_BAN_NODES'!$D$5:$D$204,"choice")=0,"ChoiceNodeId không tồn tại hoặc không phải choice",IF(COUNTIFS($A$5:$A$404,A50,$B$5:$B$404,B50)&gt;1,"Trùng OptionOrder trong cùng choice",IF(OR(B50="",C50="",D50="",F50="",H50=""),"Thiếu trường bắt buộc",IF(OR(COUNTIF($A$5:$A$404,A50)&lt;2,COUNTIF($A$5:$A$404,A50)&gt;4),"Mỗi choice cần 2–4 option",IF(COUNTIFS('02_KICH_BAN_NODES'!$B$5:$B$204,A50,'02_KICH_BAN_NODES'!$E$5:$E$204,"Kiến thức")=1,IF(COUNTIFS($A$5:$A$404,A50,$D$5:$D$404,"Có")&lt;&gt;1,"Choice kiến thức cần đúng 1 đáp án đúng",""),IF(COUNTIFS('02_KICH_BAN_NODES'!$B$5:$B$204,A50,'02_KICH_BAN_NODES'!$E$5:$E$204,"Tương tác")=1,IF(COUNTIFS($A$5:$A$404,A50,$D$5:$D$404,"Có")&lt;&gt;0,"Choice tương tác không được đánh dấu đáp án đúng",""),"Choice chưa chọn loại")))))))</f>
        <v/>
      </c>
    </row>
    <row r="51" spans="1:11" ht="26.45" customHeight="1">
      <c r="A51" s="16" t="s">
        <v>442</v>
      </c>
      <c r="B51" s="16">
        <v>3</v>
      </c>
      <c r="C51" s="15" t="s">
        <v>551</v>
      </c>
      <c r="D51" s="16" t="s">
        <v>127</v>
      </c>
      <c r="E51" s="16"/>
      <c r="F51" s="16" t="s">
        <v>201</v>
      </c>
      <c r="G51" s="16" t="s">
        <v>206</v>
      </c>
      <c r="H51" s="15" t="s">
        <v>550</v>
      </c>
      <c r="I51" s="15" t="s">
        <v>480</v>
      </c>
      <c r="J51" s="17" t="str">
        <f t="shared" si="0"/>
        <v>HỢP LỆ</v>
      </c>
      <c r="K51" s="17" t="str">
        <f>IF(A51="","",IF(COUNTIFS('02_KICH_BAN_NODES'!$B$5:$B$204,A51,'02_KICH_BAN_NODES'!$D$5:$D$204,"choice")=0,"ChoiceNodeId không tồn tại hoặc không phải choice",IF(COUNTIFS($A$5:$A$404,A51,$B$5:$B$404,B51)&gt;1,"Trùng OptionOrder trong cùng choice",IF(OR(B51="",C51="",D51="",F51="",H51=""),"Thiếu trường bắt buộc",IF(OR(COUNTIF($A$5:$A$404,A51)&lt;2,COUNTIF($A$5:$A$404,A51)&gt;4),"Mỗi choice cần 2–4 option",IF(COUNTIFS('02_KICH_BAN_NODES'!$B$5:$B$204,A51,'02_KICH_BAN_NODES'!$E$5:$E$204,"Kiến thức")=1,IF(COUNTIFS($A$5:$A$404,A51,$D$5:$D$404,"Có")&lt;&gt;1,"Choice kiến thức cần đúng 1 đáp án đúng",""),IF(COUNTIFS('02_KICH_BAN_NODES'!$B$5:$B$204,A51,'02_KICH_BAN_NODES'!$E$5:$E$204,"Tương tác")=1,IF(COUNTIFS($A$5:$A$404,A51,$D$5:$D$404,"Có")&lt;&gt;0,"Choice tương tác không được đánh dấu đáp án đúng",""),"Choice chưa chọn loại")))))))</f>
        <v/>
      </c>
    </row>
    <row r="52" spans="1:11" ht="26.45" customHeight="1">
      <c r="A52" s="16" t="s">
        <v>444</v>
      </c>
      <c r="B52" s="16">
        <v>1</v>
      </c>
      <c r="C52" s="15" t="s">
        <v>552</v>
      </c>
      <c r="D52" s="16" t="s">
        <v>96</v>
      </c>
      <c r="E52" s="16"/>
      <c r="F52" s="16" t="s">
        <v>224</v>
      </c>
      <c r="G52" s="16" t="s">
        <v>196</v>
      </c>
      <c r="H52" s="15" t="s">
        <v>553</v>
      </c>
      <c r="I52" s="15" t="s">
        <v>477</v>
      </c>
      <c r="J52" s="17" t="str">
        <f t="shared" si="0"/>
        <v>HỢP LỆ</v>
      </c>
      <c r="K52" s="17" t="str">
        <f>IF(A52="","",IF(COUNTIFS('02_KICH_BAN_NODES'!$B$5:$B$204,A52,'02_KICH_BAN_NODES'!$D$5:$D$204,"choice")=0,"ChoiceNodeId không tồn tại hoặc không phải choice",IF(COUNTIFS($A$5:$A$404,A52,$B$5:$B$404,B52)&gt;1,"Trùng OptionOrder trong cùng choice",IF(OR(B52="",C52="",D52="",F52="",H52=""),"Thiếu trường bắt buộc",IF(OR(COUNTIF($A$5:$A$404,A52)&lt;2,COUNTIF($A$5:$A$404,A52)&gt;4),"Mỗi choice cần 2–4 option",IF(COUNTIFS('02_KICH_BAN_NODES'!$B$5:$B$204,A52,'02_KICH_BAN_NODES'!$E$5:$E$204,"Kiến thức")=1,IF(COUNTIFS($A$5:$A$404,A52,$D$5:$D$404,"Có")&lt;&gt;1,"Choice kiến thức cần đúng 1 đáp án đúng",""),IF(COUNTIFS('02_KICH_BAN_NODES'!$B$5:$B$204,A52,'02_KICH_BAN_NODES'!$E$5:$E$204,"Tương tác")=1,IF(COUNTIFS($A$5:$A$404,A52,$D$5:$D$404,"Có")&lt;&gt;0,"Choice tương tác không được đánh dấu đáp án đúng",""),"Choice chưa chọn loại")))))))</f>
        <v/>
      </c>
    </row>
    <row r="53" spans="1:11" ht="26.45" customHeight="1">
      <c r="A53" s="16" t="s">
        <v>444</v>
      </c>
      <c r="B53" s="16">
        <v>2</v>
      </c>
      <c r="C53" s="15" t="s">
        <v>554</v>
      </c>
      <c r="D53" s="16" t="s">
        <v>127</v>
      </c>
      <c r="E53" s="16"/>
      <c r="F53" s="16" t="s">
        <v>224</v>
      </c>
      <c r="G53" s="16" t="s">
        <v>206</v>
      </c>
      <c r="H53" s="15" t="s">
        <v>555</v>
      </c>
      <c r="I53" s="15" t="s">
        <v>480</v>
      </c>
      <c r="J53" s="17" t="str">
        <f t="shared" si="0"/>
        <v>HỢP LỆ</v>
      </c>
      <c r="K53" s="17" t="str">
        <f>IF(A53="","",IF(COUNTIFS('02_KICH_BAN_NODES'!$B$5:$B$204,A53,'02_KICH_BAN_NODES'!$D$5:$D$204,"choice")=0,"ChoiceNodeId không tồn tại hoặc không phải choice",IF(COUNTIFS($A$5:$A$404,A53,$B$5:$B$404,B53)&gt;1,"Trùng OptionOrder trong cùng choice",IF(OR(B53="",C53="",D53="",F53="",H53=""),"Thiếu trường bắt buộc",IF(OR(COUNTIF($A$5:$A$404,A53)&lt;2,COUNTIF($A$5:$A$404,A53)&gt;4),"Mỗi choice cần 2–4 option",IF(COUNTIFS('02_KICH_BAN_NODES'!$B$5:$B$204,A53,'02_KICH_BAN_NODES'!$E$5:$E$204,"Kiến thức")=1,IF(COUNTIFS($A$5:$A$404,A53,$D$5:$D$404,"Có")&lt;&gt;1,"Choice kiến thức cần đúng 1 đáp án đúng",""),IF(COUNTIFS('02_KICH_BAN_NODES'!$B$5:$B$204,A53,'02_KICH_BAN_NODES'!$E$5:$E$204,"Tương tác")=1,IF(COUNTIFS($A$5:$A$404,A53,$D$5:$D$404,"Có")&lt;&gt;0,"Choice tương tác không được đánh dấu đáp án đúng",""),"Choice chưa chọn loại")))))))</f>
        <v/>
      </c>
    </row>
    <row r="54" spans="1:11" ht="26.45" customHeight="1">
      <c r="A54" s="16" t="s">
        <v>444</v>
      </c>
      <c r="B54" s="16">
        <v>3</v>
      </c>
      <c r="C54" s="15" t="s">
        <v>556</v>
      </c>
      <c r="D54" s="16" t="s">
        <v>127</v>
      </c>
      <c r="E54" s="16"/>
      <c r="F54" s="16" t="s">
        <v>224</v>
      </c>
      <c r="G54" s="16" t="s">
        <v>206</v>
      </c>
      <c r="H54" s="15" t="s">
        <v>555</v>
      </c>
      <c r="I54" s="15" t="s">
        <v>480</v>
      </c>
      <c r="J54" s="17" t="str">
        <f t="shared" si="0"/>
        <v>HỢP LỆ</v>
      </c>
      <c r="K54" s="17" t="str">
        <f>IF(A54="","",IF(COUNTIFS('02_KICH_BAN_NODES'!$B$5:$B$204,A54,'02_KICH_BAN_NODES'!$D$5:$D$204,"choice")=0,"ChoiceNodeId không tồn tại hoặc không phải choice",IF(COUNTIFS($A$5:$A$404,A54,$B$5:$B$404,B54)&gt;1,"Trùng OptionOrder trong cùng choice",IF(OR(B54="",C54="",D54="",F54="",H54=""),"Thiếu trường bắt buộc",IF(OR(COUNTIF($A$5:$A$404,A54)&lt;2,COUNTIF($A$5:$A$404,A54)&gt;4),"Mỗi choice cần 2–4 option",IF(COUNTIFS('02_KICH_BAN_NODES'!$B$5:$B$204,A54,'02_KICH_BAN_NODES'!$E$5:$E$204,"Kiến thức")=1,IF(COUNTIFS($A$5:$A$404,A54,$D$5:$D$404,"Có")&lt;&gt;1,"Choice kiến thức cần đúng 1 đáp án đúng",""),IF(COUNTIFS('02_KICH_BAN_NODES'!$B$5:$B$204,A54,'02_KICH_BAN_NODES'!$E$5:$E$204,"Tương tác")=1,IF(COUNTIFS($A$5:$A$404,A54,$D$5:$D$404,"Có")&lt;&gt;0,"Choice tương tác không được đánh dấu đáp án đúng",""),"Choice chưa chọn loại")))))))</f>
        <v/>
      </c>
    </row>
    <row r="55" spans="1:11" ht="26.45" customHeight="1">
      <c r="A55" s="16" t="s">
        <v>446</v>
      </c>
      <c r="B55" s="16">
        <v>1</v>
      </c>
      <c r="C55" s="15" t="s">
        <v>557</v>
      </c>
      <c r="D55" s="16" t="s">
        <v>96</v>
      </c>
      <c r="E55" s="16"/>
      <c r="F55" s="16" t="s">
        <v>218</v>
      </c>
      <c r="G55" s="16" t="s">
        <v>186</v>
      </c>
      <c r="H55" s="15" t="s">
        <v>558</v>
      </c>
      <c r="I55" s="15" t="s">
        <v>477</v>
      </c>
      <c r="J55" s="17" t="str">
        <f t="shared" si="0"/>
        <v>HỢP LỆ</v>
      </c>
      <c r="K55" s="17" t="str">
        <f>IF(A55="","",IF(COUNTIFS('02_KICH_BAN_NODES'!$B$5:$B$204,A55,'02_KICH_BAN_NODES'!$D$5:$D$204,"choice")=0,"ChoiceNodeId không tồn tại hoặc không phải choice",IF(COUNTIFS($A$5:$A$404,A55,$B$5:$B$404,B55)&gt;1,"Trùng OptionOrder trong cùng choice",IF(OR(B55="",C55="",D55="",F55="",H55=""),"Thiếu trường bắt buộc",IF(OR(COUNTIF($A$5:$A$404,A55)&lt;2,COUNTIF($A$5:$A$404,A55)&gt;4),"Mỗi choice cần 2–4 option",IF(COUNTIFS('02_KICH_BAN_NODES'!$B$5:$B$204,A55,'02_KICH_BAN_NODES'!$E$5:$E$204,"Kiến thức")=1,IF(COUNTIFS($A$5:$A$404,A55,$D$5:$D$404,"Có")&lt;&gt;1,"Choice kiến thức cần đúng 1 đáp án đúng",""),IF(COUNTIFS('02_KICH_BAN_NODES'!$B$5:$B$204,A55,'02_KICH_BAN_NODES'!$E$5:$E$204,"Tương tác")=1,IF(COUNTIFS($A$5:$A$404,A55,$D$5:$D$404,"Có")&lt;&gt;0,"Choice tương tác không được đánh dấu đáp án đúng",""),"Choice chưa chọn loại")))))))</f>
        <v/>
      </c>
    </row>
    <row r="56" spans="1:11" ht="26.45" customHeight="1">
      <c r="A56" s="16" t="s">
        <v>446</v>
      </c>
      <c r="B56" s="16">
        <v>2</v>
      </c>
      <c r="C56" s="15" t="s">
        <v>559</v>
      </c>
      <c r="D56" s="16" t="s">
        <v>127</v>
      </c>
      <c r="E56" s="16"/>
      <c r="F56" s="16" t="s">
        <v>218</v>
      </c>
      <c r="G56" s="16" t="s">
        <v>214</v>
      </c>
      <c r="H56" s="15" t="s">
        <v>560</v>
      </c>
      <c r="I56" s="15" t="s">
        <v>480</v>
      </c>
      <c r="J56" s="17" t="str">
        <f t="shared" si="0"/>
        <v>HỢP LỆ</v>
      </c>
      <c r="K56" s="17" t="str">
        <f>IF(A56="","",IF(COUNTIFS('02_KICH_BAN_NODES'!$B$5:$B$204,A56,'02_KICH_BAN_NODES'!$D$5:$D$204,"choice")=0,"ChoiceNodeId không tồn tại hoặc không phải choice",IF(COUNTIFS($A$5:$A$404,A56,$B$5:$B$404,B56)&gt;1,"Trùng OptionOrder trong cùng choice",IF(OR(B56="",C56="",D56="",F56="",H56=""),"Thiếu trường bắt buộc",IF(OR(COUNTIF($A$5:$A$404,A56)&lt;2,COUNTIF($A$5:$A$404,A56)&gt;4),"Mỗi choice cần 2–4 option",IF(COUNTIFS('02_KICH_BAN_NODES'!$B$5:$B$204,A56,'02_KICH_BAN_NODES'!$E$5:$E$204,"Kiến thức")=1,IF(COUNTIFS($A$5:$A$404,A56,$D$5:$D$404,"Có")&lt;&gt;1,"Choice kiến thức cần đúng 1 đáp án đúng",""),IF(COUNTIFS('02_KICH_BAN_NODES'!$B$5:$B$204,A56,'02_KICH_BAN_NODES'!$E$5:$E$204,"Tương tác")=1,IF(COUNTIFS($A$5:$A$404,A56,$D$5:$D$404,"Có")&lt;&gt;0,"Choice tương tác không được đánh dấu đáp án đúng",""),"Choice chưa chọn loại")))))))</f>
        <v/>
      </c>
    </row>
    <row r="57" spans="1:11" ht="26.45" customHeight="1">
      <c r="A57" s="16" t="s">
        <v>446</v>
      </c>
      <c r="B57" s="16">
        <v>3</v>
      </c>
      <c r="C57" s="15" t="s">
        <v>561</v>
      </c>
      <c r="D57" s="16" t="s">
        <v>127</v>
      </c>
      <c r="E57" s="16"/>
      <c r="F57" s="16" t="s">
        <v>218</v>
      </c>
      <c r="G57" s="16" t="s">
        <v>214</v>
      </c>
      <c r="H57" s="15" t="s">
        <v>560</v>
      </c>
      <c r="I57" s="15" t="s">
        <v>480</v>
      </c>
      <c r="J57" s="17" t="str">
        <f t="shared" si="0"/>
        <v>HỢP LỆ</v>
      </c>
      <c r="K57" s="17" t="str">
        <f>IF(A57="","",IF(COUNTIFS('02_KICH_BAN_NODES'!$B$5:$B$204,A57,'02_KICH_BAN_NODES'!$D$5:$D$204,"choice")=0,"ChoiceNodeId không tồn tại hoặc không phải choice",IF(COUNTIFS($A$5:$A$404,A57,$B$5:$B$404,B57)&gt;1,"Trùng OptionOrder trong cùng choice",IF(OR(B57="",C57="",D57="",F57="",H57=""),"Thiếu trường bắt buộc",IF(OR(COUNTIF($A$5:$A$404,A57)&lt;2,COUNTIF($A$5:$A$404,A57)&gt;4),"Mỗi choice cần 2–4 option",IF(COUNTIFS('02_KICH_BAN_NODES'!$B$5:$B$204,A57,'02_KICH_BAN_NODES'!$E$5:$E$204,"Kiến thức")=1,IF(COUNTIFS($A$5:$A$404,A57,$D$5:$D$404,"Có")&lt;&gt;1,"Choice kiến thức cần đúng 1 đáp án đúng",""),IF(COUNTIFS('02_KICH_BAN_NODES'!$B$5:$B$204,A57,'02_KICH_BAN_NODES'!$E$5:$E$204,"Tương tác")=1,IF(COUNTIFS($A$5:$A$404,A57,$D$5:$D$404,"Có")&lt;&gt;0,"Choice tương tác không được đánh dấu đáp án đúng",""),"Choice chưa chọn loại")))))))</f>
        <v/>
      </c>
    </row>
    <row r="58" spans="1:11" ht="39.6" customHeight="1">
      <c r="A58" s="16" t="s">
        <v>458</v>
      </c>
      <c r="B58" s="16">
        <v>1</v>
      </c>
      <c r="C58" s="15" t="s">
        <v>562</v>
      </c>
      <c r="D58" s="16" t="s">
        <v>96</v>
      </c>
      <c r="E58" s="16"/>
      <c r="F58" s="16" t="s">
        <v>218</v>
      </c>
      <c r="G58" s="16" t="s">
        <v>186</v>
      </c>
      <c r="H58" s="15" t="s">
        <v>563</v>
      </c>
      <c r="I58" s="15" t="s">
        <v>477</v>
      </c>
      <c r="J58" s="17" t="str">
        <f t="shared" si="0"/>
        <v>HỢP LỆ</v>
      </c>
      <c r="K58" s="17" t="str">
        <f>IF(A58="","",IF(COUNTIFS('02_KICH_BAN_NODES'!$B$5:$B$204,A58,'02_KICH_BAN_NODES'!$D$5:$D$204,"choice")=0,"ChoiceNodeId không tồn tại hoặc không phải choice",IF(COUNTIFS($A$5:$A$404,A58,$B$5:$B$404,B58)&gt;1,"Trùng OptionOrder trong cùng choice",IF(OR(B58="",C58="",D58="",F58="",H58=""),"Thiếu trường bắt buộc",IF(OR(COUNTIF($A$5:$A$404,A58)&lt;2,COUNTIF($A$5:$A$404,A58)&gt;4),"Mỗi choice cần 2–4 option",IF(COUNTIFS('02_KICH_BAN_NODES'!$B$5:$B$204,A58,'02_KICH_BAN_NODES'!$E$5:$E$204,"Kiến thức")=1,IF(COUNTIFS($A$5:$A$404,A58,$D$5:$D$404,"Có")&lt;&gt;1,"Choice kiến thức cần đúng 1 đáp án đúng",""),IF(COUNTIFS('02_KICH_BAN_NODES'!$B$5:$B$204,A58,'02_KICH_BAN_NODES'!$E$5:$E$204,"Tương tác")=1,IF(COUNTIFS($A$5:$A$404,A58,$D$5:$D$404,"Có")&lt;&gt;0,"Choice tương tác không được đánh dấu đáp án đúng",""),"Choice chưa chọn loại")))))))</f>
        <v/>
      </c>
    </row>
    <row r="59" spans="1:11" ht="26.45" customHeight="1">
      <c r="A59" s="16" t="s">
        <v>458</v>
      </c>
      <c r="B59" s="16">
        <v>2</v>
      </c>
      <c r="C59" s="15" t="s">
        <v>564</v>
      </c>
      <c r="D59" s="16" t="s">
        <v>127</v>
      </c>
      <c r="E59" s="16"/>
      <c r="F59" s="16" t="s">
        <v>218</v>
      </c>
      <c r="G59" s="16" t="s">
        <v>214</v>
      </c>
      <c r="H59" s="15" t="s">
        <v>565</v>
      </c>
      <c r="I59" s="15" t="s">
        <v>480</v>
      </c>
      <c r="J59" s="17" t="str">
        <f t="shared" si="0"/>
        <v>HỢP LỆ</v>
      </c>
      <c r="K59" s="17" t="str">
        <f>IF(A59="","",IF(COUNTIFS('02_KICH_BAN_NODES'!$B$5:$B$204,A59,'02_KICH_BAN_NODES'!$D$5:$D$204,"choice")=0,"ChoiceNodeId không tồn tại hoặc không phải choice",IF(COUNTIFS($A$5:$A$404,A59,$B$5:$B$404,B59)&gt;1,"Trùng OptionOrder trong cùng choice",IF(OR(B59="",C59="",D59="",F59="",H59=""),"Thiếu trường bắt buộc",IF(OR(COUNTIF($A$5:$A$404,A59)&lt;2,COUNTIF($A$5:$A$404,A59)&gt;4),"Mỗi choice cần 2–4 option",IF(COUNTIFS('02_KICH_BAN_NODES'!$B$5:$B$204,A59,'02_KICH_BAN_NODES'!$E$5:$E$204,"Kiến thức")=1,IF(COUNTIFS($A$5:$A$404,A59,$D$5:$D$404,"Có")&lt;&gt;1,"Choice kiến thức cần đúng 1 đáp án đúng",""),IF(COUNTIFS('02_KICH_BAN_NODES'!$B$5:$B$204,A59,'02_KICH_BAN_NODES'!$E$5:$E$204,"Tương tác")=1,IF(COUNTIFS($A$5:$A$404,A59,$D$5:$D$404,"Có")&lt;&gt;0,"Choice tương tác không được đánh dấu đáp án đúng",""),"Choice chưa chọn loại")))))))</f>
        <v/>
      </c>
    </row>
    <row r="60" spans="1:11" ht="26.45" customHeight="1">
      <c r="A60" s="16" t="s">
        <v>458</v>
      </c>
      <c r="B60" s="16">
        <v>3</v>
      </c>
      <c r="C60" s="15" t="s">
        <v>566</v>
      </c>
      <c r="D60" s="16" t="s">
        <v>127</v>
      </c>
      <c r="E60" s="16"/>
      <c r="F60" s="16" t="s">
        <v>218</v>
      </c>
      <c r="G60" s="16" t="s">
        <v>214</v>
      </c>
      <c r="H60" s="15" t="s">
        <v>565</v>
      </c>
      <c r="I60" s="15" t="s">
        <v>480</v>
      </c>
      <c r="J60" s="17" t="str">
        <f t="shared" si="0"/>
        <v>HỢP LỆ</v>
      </c>
      <c r="K60" s="17" t="str">
        <f>IF(A60="","",IF(COUNTIFS('02_KICH_BAN_NODES'!$B$5:$B$204,A60,'02_KICH_BAN_NODES'!$D$5:$D$204,"choice")=0,"ChoiceNodeId không tồn tại hoặc không phải choice",IF(COUNTIFS($A$5:$A$404,A60,$B$5:$B$404,B60)&gt;1,"Trùng OptionOrder trong cùng choice",IF(OR(B60="",C60="",D60="",F60="",H60=""),"Thiếu trường bắt buộc",IF(OR(COUNTIF($A$5:$A$404,A60)&lt;2,COUNTIF($A$5:$A$404,A60)&gt;4),"Mỗi choice cần 2–4 option",IF(COUNTIFS('02_KICH_BAN_NODES'!$B$5:$B$204,A60,'02_KICH_BAN_NODES'!$E$5:$E$204,"Kiến thức")=1,IF(COUNTIFS($A$5:$A$404,A60,$D$5:$D$404,"Có")&lt;&gt;1,"Choice kiến thức cần đúng 1 đáp án đúng",""),IF(COUNTIFS('02_KICH_BAN_NODES'!$B$5:$B$204,A60,'02_KICH_BAN_NODES'!$E$5:$E$204,"Tương tác")=1,IF(COUNTIFS($A$5:$A$404,A60,$D$5:$D$404,"Có")&lt;&gt;0,"Choice tương tác không được đánh dấu đáp án đúng",""),"Choice chưa chọn loại")))))))</f>
        <v/>
      </c>
    </row>
    <row r="61" spans="1:11" ht="39.6" customHeight="1">
      <c r="A61" s="16" t="s">
        <v>460</v>
      </c>
      <c r="B61" s="16">
        <v>1</v>
      </c>
      <c r="C61" s="15" t="s">
        <v>567</v>
      </c>
      <c r="D61" s="16" t="s">
        <v>96</v>
      </c>
      <c r="E61" s="16"/>
      <c r="F61" s="16" t="s">
        <v>201</v>
      </c>
      <c r="G61" s="16" t="s">
        <v>196</v>
      </c>
      <c r="H61" s="15" t="s">
        <v>568</v>
      </c>
      <c r="I61" s="15" t="s">
        <v>477</v>
      </c>
      <c r="J61" s="17" t="str">
        <f t="shared" si="0"/>
        <v>HỢP LỆ</v>
      </c>
      <c r="K61" s="17" t="str">
        <f>IF(A61="","",IF(COUNTIFS('02_KICH_BAN_NODES'!$B$5:$B$204,A61,'02_KICH_BAN_NODES'!$D$5:$D$204,"choice")=0,"ChoiceNodeId không tồn tại hoặc không phải choice",IF(COUNTIFS($A$5:$A$404,A61,$B$5:$B$404,B61)&gt;1,"Trùng OptionOrder trong cùng choice",IF(OR(B61="",C61="",D61="",F61="",H61=""),"Thiếu trường bắt buộc",IF(OR(COUNTIF($A$5:$A$404,A61)&lt;2,COUNTIF($A$5:$A$404,A61)&gt;4),"Mỗi choice cần 2–4 option",IF(COUNTIFS('02_KICH_BAN_NODES'!$B$5:$B$204,A61,'02_KICH_BAN_NODES'!$E$5:$E$204,"Kiến thức")=1,IF(COUNTIFS($A$5:$A$404,A61,$D$5:$D$404,"Có")&lt;&gt;1,"Choice kiến thức cần đúng 1 đáp án đúng",""),IF(COUNTIFS('02_KICH_BAN_NODES'!$B$5:$B$204,A61,'02_KICH_BAN_NODES'!$E$5:$E$204,"Tương tác")=1,IF(COUNTIFS($A$5:$A$404,A61,$D$5:$D$404,"Có")&lt;&gt;0,"Choice tương tác không được đánh dấu đáp án đúng",""),"Choice chưa chọn loại")))))))</f>
        <v/>
      </c>
    </row>
    <row r="62" spans="1:11" ht="26.45" customHeight="1">
      <c r="A62" s="16" t="s">
        <v>460</v>
      </c>
      <c r="B62" s="16">
        <v>2</v>
      </c>
      <c r="C62" s="15" t="s">
        <v>569</v>
      </c>
      <c r="D62" s="16" t="s">
        <v>127</v>
      </c>
      <c r="E62" s="16"/>
      <c r="F62" s="16" t="s">
        <v>201</v>
      </c>
      <c r="G62" s="16" t="s">
        <v>206</v>
      </c>
      <c r="H62" s="15" t="s">
        <v>570</v>
      </c>
      <c r="I62" s="15" t="s">
        <v>480</v>
      </c>
      <c r="J62" s="17" t="str">
        <f t="shared" si="0"/>
        <v>HỢP LỆ</v>
      </c>
      <c r="K62" s="17" t="str">
        <f>IF(A62="","",IF(COUNTIFS('02_KICH_BAN_NODES'!$B$5:$B$204,A62,'02_KICH_BAN_NODES'!$D$5:$D$204,"choice")=0,"ChoiceNodeId không tồn tại hoặc không phải choice",IF(COUNTIFS($A$5:$A$404,A62,$B$5:$B$404,B62)&gt;1,"Trùng OptionOrder trong cùng choice",IF(OR(B62="",C62="",D62="",F62="",H62=""),"Thiếu trường bắt buộc",IF(OR(COUNTIF($A$5:$A$404,A62)&lt;2,COUNTIF($A$5:$A$404,A62)&gt;4),"Mỗi choice cần 2–4 option",IF(COUNTIFS('02_KICH_BAN_NODES'!$B$5:$B$204,A62,'02_KICH_BAN_NODES'!$E$5:$E$204,"Kiến thức")=1,IF(COUNTIFS($A$5:$A$404,A62,$D$5:$D$404,"Có")&lt;&gt;1,"Choice kiến thức cần đúng 1 đáp án đúng",""),IF(COUNTIFS('02_KICH_BAN_NODES'!$B$5:$B$204,A62,'02_KICH_BAN_NODES'!$E$5:$E$204,"Tương tác")=1,IF(COUNTIFS($A$5:$A$404,A62,$D$5:$D$404,"Có")&lt;&gt;0,"Choice tương tác không được đánh dấu đáp án đúng",""),"Choice chưa chọn loại")))))))</f>
        <v/>
      </c>
    </row>
    <row r="63" spans="1:11" ht="26.45" customHeight="1">
      <c r="A63" s="16" t="s">
        <v>460</v>
      </c>
      <c r="B63" s="16">
        <v>3</v>
      </c>
      <c r="C63" s="15" t="s">
        <v>571</v>
      </c>
      <c r="D63" s="16" t="s">
        <v>127</v>
      </c>
      <c r="E63" s="16"/>
      <c r="F63" s="16" t="s">
        <v>201</v>
      </c>
      <c r="G63" s="16" t="s">
        <v>206</v>
      </c>
      <c r="H63" s="15" t="s">
        <v>570</v>
      </c>
      <c r="I63" s="15" t="s">
        <v>480</v>
      </c>
      <c r="J63" s="17" t="str">
        <f t="shared" si="0"/>
        <v>HỢP LỆ</v>
      </c>
      <c r="K63" s="17" t="str">
        <f>IF(A63="","",IF(COUNTIFS('02_KICH_BAN_NODES'!$B$5:$B$204,A63,'02_KICH_BAN_NODES'!$D$5:$D$204,"choice")=0,"ChoiceNodeId không tồn tại hoặc không phải choice",IF(COUNTIFS($A$5:$A$404,A63,$B$5:$B$404,B63)&gt;1,"Trùng OptionOrder trong cùng choice",IF(OR(B63="",C63="",D63="",F63="",H63=""),"Thiếu trường bắt buộc",IF(OR(COUNTIF($A$5:$A$404,A63)&lt;2,COUNTIF($A$5:$A$404,A63)&gt;4),"Mỗi choice cần 2–4 option",IF(COUNTIFS('02_KICH_BAN_NODES'!$B$5:$B$204,A63,'02_KICH_BAN_NODES'!$E$5:$E$204,"Kiến thức")=1,IF(COUNTIFS($A$5:$A$404,A63,$D$5:$D$404,"Có")&lt;&gt;1,"Choice kiến thức cần đúng 1 đáp án đúng",""),IF(COUNTIFS('02_KICH_BAN_NODES'!$B$5:$B$204,A63,'02_KICH_BAN_NODES'!$E$5:$E$204,"Tương tác")=1,IF(COUNTIFS($A$5:$A$404,A63,$D$5:$D$404,"Có")&lt;&gt;0,"Choice tương tác không được đánh dấu đáp án đúng",""),"Choice chưa chọn loại")))))))</f>
        <v/>
      </c>
    </row>
    <row r="64" spans="1:11" ht="26.45" customHeight="1">
      <c r="A64" s="16" t="s">
        <v>462</v>
      </c>
      <c r="B64" s="16">
        <v>1</v>
      </c>
      <c r="C64" s="15" t="s">
        <v>572</v>
      </c>
      <c r="D64" s="16" t="s">
        <v>96</v>
      </c>
      <c r="E64" s="16"/>
      <c r="F64" s="16" t="s">
        <v>224</v>
      </c>
      <c r="G64" s="16" t="s">
        <v>196</v>
      </c>
      <c r="H64" s="15" t="s">
        <v>573</v>
      </c>
      <c r="I64" s="15" t="s">
        <v>477</v>
      </c>
      <c r="J64" s="17" t="str">
        <f t="shared" si="0"/>
        <v>HỢP LỆ</v>
      </c>
      <c r="K64" s="17" t="str">
        <f>IF(A64="","",IF(COUNTIFS('02_KICH_BAN_NODES'!$B$5:$B$204,A64,'02_KICH_BAN_NODES'!$D$5:$D$204,"choice")=0,"ChoiceNodeId không tồn tại hoặc không phải choice",IF(COUNTIFS($A$5:$A$404,A64,$B$5:$B$404,B64)&gt;1,"Trùng OptionOrder trong cùng choice",IF(OR(B64="",C64="",D64="",F64="",H64=""),"Thiếu trường bắt buộc",IF(OR(COUNTIF($A$5:$A$404,A64)&lt;2,COUNTIF($A$5:$A$404,A64)&gt;4),"Mỗi choice cần 2–4 option",IF(COUNTIFS('02_KICH_BAN_NODES'!$B$5:$B$204,A64,'02_KICH_BAN_NODES'!$E$5:$E$204,"Kiến thức")=1,IF(COUNTIFS($A$5:$A$404,A64,$D$5:$D$404,"Có")&lt;&gt;1,"Choice kiến thức cần đúng 1 đáp án đúng",""),IF(COUNTIFS('02_KICH_BAN_NODES'!$B$5:$B$204,A64,'02_KICH_BAN_NODES'!$E$5:$E$204,"Tương tác")=1,IF(COUNTIFS($A$5:$A$404,A64,$D$5:$D$404,"Có")&lt;&gt;0,"Choice tương tác không được đánh dấu đáp án đúng",""),"Choice chưa chọn loại")))))))</f>
        <v/>
      </c>
    </row>
    <row r="65" spans="1:11" ht="26.45" customHeight="1">
      <c r="A65" s="16" t="s">
        <v>462</v>
      </c>
      <c r="B65" s="16">
        <v>2</v>
      </c>
      <c r="C65" s="15" t="s">
        <v>574</v>
      </c>
      <c r="D65" s="16" t="s">
        <v>127</v>
      </c>
      <c r="E65" s="16"/>
      <c r="F65" s="16" t="s">
        <v>224</v>
      </c>
      <c r="G65" s="16" t="s">
        <v>206</v>
      </c>
      <c r="H65" s="15" t="s">
        <v>575</v>
      </c>
      <c r="I65" s="15" t="s">
        <v>480</v>
      </c>
      <c r="J65" s="17" t="str">
        <f t="shared" si="0"/>
        <v>HỢP LỆ</v>
      </c>
      <c r="K65" s="17" t="str">
        <f>IF(A65="","",IF(COUNTIFS('02_KICH_BAN_NODES'!$B$5:$B$204,A65,'02_KICH_BAN_NODES'!$D$5:$D$204,"choice")=0,"ChoiceNodeId không tồn tại hoặc không phải choice",IF(COUNTIFS($A$5:$A$404,A65,$B$5:$B$404,B65)&gt;1,"Trùng OptionOrder trong cùng choice",IF(OR(B65="",C65="",D65="",F65="",H65=""),"Thiếu trường bắt buộc",IF(OR(COUNTIF($A$5:$A$404,A65)&lt;2,COUNTIF($A$5:$A$404,A65)&gt;4),"Mỗi choice cần 2–4 option",IF(COUNTIFS('02_KICH_BAN_NODES'!$B$5:$B$204,A65,'02_KICH_BAN_NODES'!$E$5:$E$204,"Kiến thức")=1,IF(COUNTIFS($A$5:$A$404,A65,$D$5:$D$404,"Có")&lt;&gt;1,"Choice kiến thức cần đúng 1 đáp án đúng",""),IF(COUNTIFS('02_KICH_BAN_NODES'!$B$5:$B$204,A65,'02_KICH_BAN_NODES'!$E$5:$E$204,"Tương tác")=1,IF(COUNTIFS($A$5:$A$404,A65,$D$5:$D$404,"Có")&lt;&gt;0,"Choice tương tác không được đánh dấu đáp án đúng",""),"Choice chưa chọn loại")))))))</f>
        <v/>
      </c>
    </row>
    <row r="66" spans="1:11" ht="26.45" customHeight="1">
      <c r="A66" s="16" t="s">
        <v>462</v>
      </c>
      <c r="B66" s="16">
        <v>3</v>
      </c>
      <c r="C66" s="15" t="s">
        <v>576</v>
      </c>
      <c r="D66" s="16" t="s">
        <v>127</v>
      </c>
      <c r="E66" s="16"/>
      <c r="F66" s="16" t="s">
        <v>224</v>
      </c>
      <c r="G66" s="16" t="s">
        <v>206</v>
      </c>
      <c r="H66" s="15" t="s">
        <v>575</v>
      </c>
      <c r="I66" s="15" t="s">
        <v>480</v>
      </c>
      <c r="J66" s="17" t="str">
        <f t="shared" si="0"/>
        <v>HỢP LỆ</v>
      </c>
      <c r="K66" s="17" t="str">
        <f>IF(A66="","",IF(COUNTIFS('02_KICH_BAN_NODES'!$B$5:$B$204,A66,'02_KICH_BAN_NODES'!$D$5:$D$204,"choice")=0,"ChoiceNodeId không tồn tại hoặc không phải choice",IF(COUNTIFS($A$5:$A$404,A66,$B$5:$B$404,B66)&gt;1,"Trùng OptionOrder trong cùng choice",IF(OR(B66="",C66="",D66="",F66="",H66=""),"Thiếu trường bắt buộc",IF(OR(COUNTIF($A$5:$A$404,A66)&lt;2,COUNTIF($A$5:$A$404,A66)&gt;4),"Mỗi choice cần 2–4 option",IF(COUNTIFS('02_KICH_BAN_NODES'!$B$5:$B$204,A66,'02_KICH_BAN_NODES'!$E$5:$E$204,"Kiến thức")=1,IF(COUNTIFS($A$5:$A$404,A66,$D$5:$D$404,"Có")&lt;&gt;1,"Choice kiến thức cần đúng 1 đáp án đúng",""),IF(COUNTIFS('02_KICH_BAN_NODES'!$B$5:$B$204,A66,'02_KICH_BAN_NODES'!$E$5:$E$204,"Tương tác")=1,IF(COUNTIFS($A$5:$A$404,A66,$D$5:$D$404,"Có")&lt;&gt;0,"Choice tương tác không được đánh dấu đáp án đúng",""),"Choice chưa chọn loại")))))))</f>
        <v/>
      </c>
    </row>
    <row r="67" spans="1:11">
      <c r="A67" s="13"/>
      <c r="B67" s="13"/>
      <c r="C67" s="5"/>
      <c r="D67" s="13"/>
      <c r="E67" s="13"/>
      <c r="F67" s="13"/>
      <c r="G67" s="13"/>
      <c r="H67" s="5"/>
      <c r="I67" s="5"/>
      <c r="J67" s="6" t="str">
        <f t="shared" si="0"/>
        <v/>
      </c>
      <c r="K67" s="6" t="str">
        <f>IF(A67="","",IF(COUNTIFS('02_KICH_BAN_NODES'!$B$5:$B$204,A67,'02_KICH_BAN_NODES'!$D$5:$D$204,"choice")=0,"ChoiceNodeId không tồn tại hoặc không phải choice",IF(COUNTIFS($A$5:$A$404,A67,$B$5:$B$404,B67)&gt;1,"Trùng OptionOrder trong cùng choice",IF(OR(B67="",C67="",D67="",F67="",H67=""),"Thiếu trường bắt buộc",IF(OR(COUNTIF($A$5:$A$404,A67)&lt;2,COUNTIF($A$5:$A$404,A67)&gt;4),"Mỗi choice cần 2–4 option",IF(COUNTIFS('02_KICH_BAN_NODES'!$B$5:$B$204,A67,'02_KICH_BAN_NODES'!$E$5:$E$204,"Kiến thức")=1,IF(COUNTIFS($A$5:$A$404,A67,$D$5:$D$404,"Có")&lt;&gt;1,"Choice kiến thức cần đúng 1 đáp án đúng",""),IF(COUNTIFS('02_KICH_BAN_NODES'!$B$5:$B$204,A67,'02_KICH_BAN_NODES'!$E$5:$E$204,"Tương tác")=1,IF(COUNTIFS($A$5:$A$404,A67,$D$5:$D$404,"Có")&lt;&gt;0,"Choice tương tác không được đánh dấu đáp án đúng",""),"Choice chưa chọn loại")))))))</f>
        <v/>
      </c>
    </row>
    <row r="68" spans="1:11">
      <c r="A68" s="13"/>
      <c r="B68" s="13"/>
      <c r="C68" s="5"/>
      <c r="D68" s="13"/>
      <c r="E68" s="13"/>
      <c r="F68" s="13"/>
      <c r="G68" s="13"/>
      <c r="H68" s="5"/>
      <c r="I68" s="5"/>
      <c r="J68" s="6" t="str">
        <f t="shared" si="0"/>
        <v/>
      </c>
      <c r="K68" s="6" t="str">
        <f>IF(A68="","",IF(COUNTIFS('02_KICH_BAN_NODES'!$B$5:$B$204,A68,'02_KICH_BAN_NODES'!$D$5:$D$204,"choice")=0,"ChoiceNodeId không tồn tại hoặc không phải choice",IF(COUNTIFS($A$5:$A$404,A68,$B$5:$B$404,B68)&gt;1,"Trùng OptionOrder trong cùng choice",IF(OR(B68="",C68="",D68="",F68="",H68=""),"Thiếu trường bắt buộc",IF(OR(COUNTIF($A$5:$A$404,A68)&lt;2,COUNTIF($A$5:$A$404,A68)&gt;4),"Mỗi choice cần 2–4 option",IF(COUNTIFS('02_KICH_BAN_NODES'!$B$5:$B$204,A68,'02_KICH_BAN_NODES'!$E$5:$E$204,"Kiến thức")=1,IF(COUNTIFS($A$5:$A$404,A68,$D$5:$D$404,"Có")&lt;&gt;1,"Choice kiến thức cần đúng 1 đáp án đúng",""),IF(COUNTIFS('02_KICH_BAN_NODES'!$B$5:$B$204,A68,'02_KICH_BAN_NODES'!$E$5:$E$204,"Tương tác")=1,IF(COUNTIFS($A$5:$A$404,A68,$D$5:$D$404,"Có")&lt;&gt;0,"Choice tương tác không được đánh dấu đáp án đúng",""),"Choice chưa chọn loại")))))))</f>
        <v/>
      </c>
    </row>
    <row r="69" spans="1:11">
      <c r="A69" s="13"/>
      <c r="B69" s="13"/>
      <c r="C69" s="5"/>
      <c r="D69" s="13"/>
      <c r="E69" s="13"/>
      <c r="F69" s="13"/>
      <c r="G69" s="13"/>
      <c r="H69" s="5"/>
      <c r="I69" s="5"/>
      <c r="J69" s="6" t="str">
        <f t="shared" ref="J69:J132" si="1">IF(A69="","",IF(K69="","HỢP LỆ","CẦN SỬA"))</f>
        <v/>
      </c>
      <c r="K69" s="6" t="str">
        <f>IF(A69="","",IF(COUNTIFS('02_KICH_BAN_NODES'!$B$5:$B$204,A69,'02_KICH_BAN_NODES'!$D$5:$D$204,"choice")=0,"ChoiceNodeId không tồn tại hoặc không phải choice",IF(COUNTIFS($A$5:$A$404,A69,$B$5:$B$404,B69)&gt;1,"Trùng OptionOrder trong cùng choice",IF(OR(B69="",C69="",D69="",F69="",H69=""),"Thiếu trường bắt buộc",IF(OR(COUNTIF($A$5:$A$404,A69)&lt;2,COUNTIF($A$5:$A$404,A69)&gt;4),"Mỗi choice cần 2–4 option",IF(COUNTIFS('02_KICH_BAN_NODES'!$B$5:$B$204,A69,'02_KICH_BAN_NODES'!$E$5:$E$204,"Kiến thức")=1,IF(COUNTIFS($A$5:$A$404,A69,$D$5:$D$404,"Có")&lt;&gt;1,"Choice kiến thức cần đúng 1 đáp án đúng",""),IF(COUNTIFS('02_KICH_BAN_NODES'!$B$5:$B$204,A69,'02_KICH_BAN_NODES'!$E$5:$E$204,"Tương tác")=1,IF(COUNTIFS($A$5:$A$404,A69,$D$5:$D$404,"Có")&lt;&gt;0,"Choice tương tác không được đánh dấu đáp án đúng",""),"Choice chưa chọn loại")))))))</f>
        <v/>
      </c>
    </row>
    <row r="70" spans="1:11">
      <c r="A70" s="13"/>
      <c r="B70" s="13"/>
      <c r="C70" s="5"/>
      <c r="D70" s="13"/>
      <c r="E70" s="13"/>
      <c r="F70" s="13"/>
      <c r="G70" s="13"/>
      <c r="H70" s="5"/>
      <c r="I70" s="5"/>
      <c r="J70" s="6" t="str">
        <f t="shared" si="1"/>
        <v/>
      </c>
      <c r="K70" s="6" t="str">
        <f>IF(A70="","",IF(COUNTIFS('02_KICH_BAN_NODES'!$B$5:$B$204,A70,'02_KICH_BAN_NODES'!$D$5:$D$204,"choice")=0,"ChoiceNodeId không tồn tại hoặc không phải choice",IF(COUNTIFS($A$5:$A$404,A70,$B$5:$B$404,B70)&gt;1,"Trùng OptionOrder trong cùng choice",IF(OR(B70="",C70="",D70="",F70="",H70=""),"Thiếu trường bắt buộc",IF(OR(COUNTIF($A$5:$A$404,A70)&lt;2,COUNTIF($A$5:$A$404,A70)&gt;4),"Mỗi choice cần 2–4 option",IF(COUNTIFS('02_KICH_BAN_NODES'!$B$5:$B$204,A70,'02_KICH_BAN_NODES'!$E$5:$E$204,"Kiến thức")=1,IF(COUNTIFS($A$5:$A$404,A70,$D$5:$D$404,"Có")&lt;&gt;1,"Choice kiến thức cần đúng 1 đáp án đúng",""),IF(COUNTIFS('02_KICH_BAN_NODES'!$B$5:$B$204,A70,'02_KICH_BAN_NODES'!$E$5:$E$204,"Tương tác")=1,IF(COUNTIFS($A$5:$A$404,A70,$D$5:$D$404,"Có")&lt;&gt;0,"Choice tương tác không được đánh dấu đáp án đúng",""),"Choice chưa chọn loại")))))))</f>
        <v/>
      </c>
    </row>
    <row r="71" spans="1:11">
      <c r="A71" s="13"/>
      <c r="B71" s="13"/>
      <c r="C71" s="5"/>
      <c r="D71" s="13"/>
      <c r="E71" s="13"/>
      <c r="F71" s="13"/>
      <c r="G71" s="13"/>
      <c r="H71" s="5"/>
      <c r="I71" s="5"/>
      <c r="J71" s="6" t="str">
        <f t="shared" si="1"/>
        <v/>
      </c>
      <c r="K71" s="6" t="str">
        <f>IF(A71="","",IF(COUNTIFS('02_KICH_BAN_NODES'!$B$5:$B$204,A71,'02_KICH_BAN_NODES'!$D$5:$D$204,"choice")=0,"ChoiceNodeId không tồn tại hoặc không phải choice",IF(COUNTIFS($A$5:$A$404,A71,$B$5:$B$404,B71)&gt;1,"Trùng OptionOrder trong cùng choice",IF(OR(B71="",C71="",D71="",F71="",H71=""),"Thiếu trường bắt buộc",IF(OR(COUNTIF($A$5:$A$404,A71)&lt;2,COUNTIF($A$5:$A$404,A71)&gt;4),"Mỗi choice cần 2–4 option",IF(COUNTIFS('02_KICH_BAN_NODES'!$B$5:$B$204,A71,'02_KICH_BAN_NODES'!$E$5:$E$204,"Kiến thức")=1,IF(COUNTIFS($A$5:$A$404,A71,$D$5:$D$404,"Có")&lt;&gt;1,"Choice kiến thức cần đúng 1 đáp án đúng",""),IF(COUNTIFS('02_KICH_BAN_NODES'!$B$5:$B$204,A71,'02_KICH_BAN_NODES'!$E$5:$E$204,"Tương tác")=1,IF(COUNTIFS($A$5:$A$404,A71,$D$5:$D$404,"Có")&lt;&gt;0,"Choice tương tác không được đánh dấu đáp án đúng",""),"Choice chưa chọn loại")))))))</f>
        <v/>
      </c>
    </row>
    <row r="72" spans="1:11">
      <c r="A72" s="13"/>
      <c r="B72" s="13"/>
      <c r="C72" s="5"/>
      <c r="D72" s="13"/>
      <c r="E72" s="13"/>
      <c r="F72" s="13"/>
      <c r="G72" s="13"/>
      <c r="H72" s="5"/>
      <c r="I72" s="5"/>
      <c r="J72" s="6" t="str">
        <f t="shared" si="1"/>
        <v/>
      </c>
      <c r="K72" s="6" t="str">
        <f>IF(A72="","",IF(COUNTIFS('02_KICH_BAN_NODES'!$B$5:$B$204,A72,'02_KICH_BAN_NODES'!$D$5:$D$204,"choice")=0,"ChoiceNodeId không tồn tại hoặc không phải choice",IF(COUNTIFS($A$5:$A$404,A72,$B$5:$B$404,B72)&gt;1,"Trùng OptionOrder trong cùng choice",IF(OR(B72="",C72="",D72="",F72="",H72=""),"Thiếu trường bắt buộc",IF(OR(COUNTIF($A$5:$A$404,A72)&lt;2,COUNTIF($A$5:$A$404,A72)&gt;4),"Mỗi choice cần 2–4 option",IF(COUNTIFS('02_KICH_BAN_NODES'!$B$5:$B$204,A72,'02_KICH_BAN_NODES'!$E$5:$E$204,"Kiến thức")=1,IF(COUNTIFS($A$5:$A$404,A72,$D$5:$D$404,"Có")&lt;&gt;1,"Choice kiến thức cần đúng 1 đáp án đúng",""),IF(COUNTIFS('02_KICH_BAN_NODES'!$B$5:$B$204,A72,'02_KICH_BAN_NODES'!$E$5:$E$204,"Tương tác")=1,IF(COUNTIFS($A$5:$A$404,A72,$D$5:$D$404,"Có")&lt;&gt;0,"Choice tương tác không được đánh dấu đáp án đúng",""),"Choice chưa chọn loại")))))))</f>
        <v/>
      </c>
    </row>
    <row r="73" spans="1:11">
      <c r="A73" s="13"/>
      <c r="B73" s="13"/>
      <c r="C73" s="5"/>
      <c r="D73" s="13"/>
      <c r="E73" s="13"/>
      <c r="F73" s="13"/>
      <c r="G73" s="13"/>
      <c r="H73" s="5"/>
      <c r="I73" s="5"/>
      <c r="J73" s="6" t="str">
        <f t="shared" si="1"/>
        <v/>
      </c>
      <c r="K73" s="6" t="str">
        <f>IF(A73="","",IF(COUNTIFS('02_KICH_BAN_NODES'!$B$5:$B$204,A73,'02_KICH_BAN_NODES'!$D$5:$D$204,"choice")=0,"ChoiceNodeId không tồn tại hoặc không phải choice",IF(COUNTIFS($A$5:$A$404,A73,$B$5:$B$404,B73)&gt;1,"Trùng OptionOrder trong cùng choice",IF(OR(B73="",C73="",D73="",F73="",H73=""),"Thiếu trường bắt buộc",IF(OR(COUNTIF($A$5:$A$404,A73)&lt;2,COUNTIF($A$5:$A$404,A73)&gt;4),"Mỗi choice cần 2–4 option",IF(COUNTIFS('02_KICH_BAN_NODES'!$B$5:$B$204,A73,'02_KICH_BAN_NODES'!$E$5:$E$204,"Kiến thức")=1,IF(COUNTIFS($A$5:$A$404,A73,$D$5:$D$404,"Có")&lt;&gt;1,"Choice kiến thức cần đúng 1 đáp án đúng",""),IF(COUNTIFS('02_KICH_BAN_NODES'!$B$5:$B$204,A73,'02_KICH_BAN_NODES'!$E$5:$E$204,"Tương tác")=1,IF(COUNTIFS($A$5:$A$404,A73,$D$5:$D$404,"Có")&lt;&gt;0,"Choice tương tác không được đánh dấu đáp án đúng",""),"Choice chưa chọn loại")))))))</f>
        <v/>
      </c>
    </row>
    <row r="74" spans="1:11">
      <c r="A74" s="13"/>
      <c r="B74" s="13"/>
      <c r="C74" s="5"/>
      <c r="D74" s="13"/>
      <c r="E74" s="13"/>
      <c r="F74" s="13"/>
      <c r="G74" s="13"/>
      <c r="H74" s="5"/>
      <c r="I74" s="5"/>
      <c r="J74" s="6" t="str">
        <f t="shared" si="1"/>
        <v/>
      </c>
      <c r="K74" s="6" t="str">
        <f>IF(A74="","",IF(COUNTIFS('02_KICH_BAN_NODES'!$B$5:$B$204,A74,'02_KICH_BAN_NODES'!$D$5:$D$204,"choice")=0,"ChoiceNodeId không tồn tại hoặc không phải choice",IF(COUNTIFS($A$5:$A$404,A74,$B$5:$B$404,B74)&gt;1,"Trùng OptionOrder trong cùng choice",IF(OR(B74="",C74="",D74="",F74="",H74=""),"Thiếu trường bắt buộc",IF(OR(COUNTIF($A$5:$A$404,A74)&lt;2,COUNTIF($A$5:$A$404,A74)&gt;4),"Mỗi choice cần 2–4 option",IF(COUNTIFS('02_KICH_BAN_NODES'!$B$5:$B$204,A74,'02_KICH_BAN_NODES'!$E$5:$E$204,"Kiến thức")=1,IF(COUNTIFS($A$5:$A$404,A74,$D$5:$D$404,"Có")&lt;&gt;1,"Choice kiến thức cần đúng 1 đáp án đúng",""),IF(COUNTIFS('02_KICH_BAN_NODES'!$B$5:$B$204,A74,'02_KICH_BAN_NODES'!$E$5:$E$204,"Tương tác")=1,IF(COUNTIFS($A$5:$A$404,A74,$D$5:$D$404,"Có")&lt;&gt;0,"Choice tương tác không được đánh dấu đáp án đúng",""),"Choice chưa chọn loại")))))))</f>
        <v/>
      </c>
    </row>
    <row r="75" spans="1:11">
      <c r="A75" s="13"/>
      <c r="B75" s="13"/>
      <c r="C75" s="5"/>
      <c r="D75" s="13"/>
      <c r="E75" s="13"/>
      <c r="F75" s="13"/>
      <c r="G75" s="13"/>
      <c r="H75" s="5"/>
      <c r="I75" s="5"/>
      <c r="J75" s="6" t="str">
        <f t="shared" si="1"/>
        <v/>
      </c>
      <c r="K75" s="6" t="str">
        <f>IF(A75="","",IF(COUNTIFS('02_KICH_BAN_NODES'!$B$5:$B$204,A75,'02_KICH_BAN_NODES'!$D$5:$D$204,"choice")=0,"ChoiceNodeId không tồn tại hoặc không phải choice",IF(COUNTIFS($A$5:$A$404,A75,$B$5:$B$404,B75)&gt;1,"Trùng OptionOrder trong cùng choice",IF(OR(B75="",C75="",D75="",F75="",H75=""),"Thiếu trường bắt buộc",IF(OR(COUNTIF($A$5:$A$404,A75)&lt;2,COUNTIF($A$5:$A$404,A75)&gt;4),"Mỗi choice cần 2–4 option",IF(COUNTIFS('02_KICH_BAN_NODES'!$B$5:$B$204,A75,'02_KICH_BAN_NODES'!$E$5:$E$204,"Kiến thức")=1,IF(COUNTIFS($A$5:$A$404,A75,$D$5:$D$404,"Có")&lt;&gt;1,"Choice kiến thức cần đúng 1 đáp án đúng",""),IF(COUNTIFS('02_KICH_BAN_NODES'!$B$5:$B$204,A75,'02_KICH_BAN_NODES'!$E$5:$E$204,"Tương tác")=1,IF(COUNTIFS($A$5:$A$404,A75,$D$5:$D$404,"Có")&lt;&gt;0,"Choice tương tác không được đánh dấu đáp án đúng",""),"Choice chưa chọn loại")))))))</f>
        <v/>
      </c>
    </row>
    <row r="76" spans="1:11">
      <c r="A76" s="13"/>
      <c r="B76" s="13"/>
      <c r="C76" s="5"/>
      <c r="D76" s="13"/>
      <c r="E76" s="13"/>
      <c r="F76" s="13"/>
      <c r="G76" s="13"/>
      <c r="H76" s="5"/>
      <c r="I76" s="5"/>
      <c r="J76" s="6" t="str">
        <f t="shared" si="1"/>
        <v/>
      </c>
      <c r="K76" s="6" t="str">
        <f>IF(A76="","",IF(COUNTIFS('02_KICH_BAN_NODES'!$B$5:$B$204,A76,'02_KICH_BAN_NODES'!$D$5:$D$204,"choice")=0,"ChoiceNodeId không tồn tại hoặc không phải choice",IF(COUNTIFS($A$5:$A$404,A76,$B$5:$B$404,B76)&gt;1,"Trùng OptionOrder trong cùng choice",IF(OR(B76="",C76="",D76="",F76="",H76=""),"Thiếu trường bắt buộc",IF(OR(COUNTIF($A$5:$A$404,A76)&lt;2,COUNTIF($A$5:$A$404,A76)&gt;4),"Mỗi choice cần 2–4 option",IF(COUNTIFS('02_KICH_BAN_NODES'!$B$5:$B$204,A76,'02_KICH_BAN_NODES'!$E$5:$E$204,"Kiến thức")=1,IF(COUNTIFS($A$5:$A$404,A76,$D$5:$D$404,"Có")&lt;&gt;1,"Choice kiến thức cần đúng 1 đáp án đúng",""),IF(COUNTIFS('02_KICH_BAN_NODES'!$B$5:$B$204,A76,'02_KICH_BAN_NODES'!$E$5:$E$204,"Tương tác")=1,IF(COUNTIFS($A$5:$A$404,A76,$D$5:$D$404,"Có")&lt;&gt;0,"Choice tương tác không được đánh dấu đáp án đúng",""),"Choice chưa chọn loại")))))))</f>
        <v/>
      </c>
    </row>
    <row r="77" spans="1:11">
      <c r="A77" s="13"/>
      <c r="B77" s="13"/>
      <c r="C77" s="5"/>
      <c r="D77" s="13"/>
      <c r="E77" s="13"/>
      <c r="F77" s="13"/>
      <c r="G77" s="13"/>
      <c r="H77" s="5"/>
      <c r="I77" s="5"/>
      <c r="J77" s="6" t="str">
        <f t="shared" si="1"/>
        <v/>
      </c>
      <c r="K77" s="6" t="str">
        <f>IF(A77="","",IF(COUNTIFS('02_KICH_BAN_NODES'!$B$5:$B$204,A77,'02_KICH_BAN_NODES'!$D$5:$D$204,"choice")=0,"ChoiceNodeId không tồn tại hoặc không phải choice",IF(COUNTIFS($A$5:$A$404,A77,$B$5:$B$404,B77)&gt;1,"Trùng OptionOrder trong cùng choice",IF(OR(B77="",C77="",D77="",F77="",H77=""),"Thiếu trường bắt buộc",IF(OR(COUNTIF($A$5:$A$404,A77)&lt;2,COUNTIF($A$5:$A$404,A77)&gt;4),"Mỗi choice cần 2–4 option",IF(COUNTIFS('02_KICH_BAN_NODES'!$B$5:$B$204,A77,'02_KICH_BAN_NODES'!$E$5:$E$204,"Kiến thức")=1,IF(COUNTIFS($A$5:$A$404,A77,$D$5:$D$404,"Có")&lt;&gt;1,"Choice kiến thức cần đúng 1 đáp án đúng",""),IF(COUNTIFS('02_KICH_BAN_NODES'!$B$5:$B$204,A77,'02_KICH_BAN_NODES'!$E$5:$E$204,"Tương tác")=1,IF(COUNTIFS($A$5:$A$404,A77,$D$5:$D$404,"Có")&lt;&gt;0,"Choice tương tác không được đánh dấu đáp án đúng",""),"Choice chưa chọn loại")))))))</f>
        <v/>
      </c>
    </row>
    <row r="78" spans="1:11">
      <c r="A78" s="13"/>
      <c r="B78" s="13"/>
      <c r="C78" s="5"/>
      <c r="D78" s="13"/>
      <c r="E78" s="13"/>
      <c r="F78" s="13"/>
      <c r="G78" s="13"/>
      <c r="H78" s="5"/>
      <c r="I78" s="5"/>
      <c r="J78" s="6" t="str">
        <f t="shared" si="1"/>
        <v/>
      </c>
      <c r="K78" s="6" t="str">
        <f>IF(A78="","",IF(COUNTIFS('02_KICH_BAN_NODES'!$B$5:$B$204,A78,'02_KICH_BAN_NODES'!$D$5:$D$204,"choice")=0,"ChoiceNodeId không tồn tại hoặc không phải choice",IF(COUNTIFS($A$5:$A$404,A78,$B$5:$B$404,B78)&gt;1,"Trùng OptionOrder trong cùng choice",IF(OR(B78="",C78="",D78="",F78="",H78=""),"Thiếu trường bắt buộc",IF(OR(COUNTIF($A$5:$A$404,A78)&lt;2,COUNTIF($A$5:$A$404,A78)&gt;4),"Mỗi choice cần 2–4 option",IF(COUNTIFS('02_KICH_BAN_NODES'!$B$5:$B$204,A78,'02_KICH_BAN_NODES'!$E$5:$E$204,"Kiến thức")=1,IF(COUNTIFS($A$5:$A$404,A78,$D$5:$D$404,"Có")&lt;&gt;1,"Choice kiến thức cần đúng 1 đáp án đúng",""),IF(COUNTIFS('02_KICH_BAN_NODES'!$B$5:$B$204,A78,'02_KICH_BAN_NODES'!$E$5:$E$204,"Tương tác")=1,IF(COUNTIFS($A$5:$A$404,A78,$D$5:$D$404,"Có")&lt;&gt;0,"Choice tương tác không được đánh dấu đáp án đúng",""),"Choice chưa chọn loại")))))))</f>
        <v/>
      </c>
    </row>
    <row r="79" spans="1:11">
      <c r="A79" s="13"/>
      <c r="B79" s="13"/>
      <c r="C79" s="5"/>
      <c r="D79" s="13"/>
      <c r="E79" s="13"/>
      <c r="F79" s="13"/>
      <c r="G79" s="13"/>
      <c r="H79" s="5"/>
      <c r="I79" s="5"/>
      <c r="J79" s="6" t="str">
        <f t="shared" si="1"/>
        <v/>
      </c>
      <c r="K79" s="6" t="str">
        <f>IF(A79="","",IF(COUNTIFS('02_KICH_BAN_NODES'!$B$5:$B$204,A79,'02_KICH_BAN_NODES'!$D$5:$D$204,"choice")=0,"ChoiceNodeId không tồn tại hoặc không phải choice",IF(COUNTIFS($A$5:$A$404,A79,$B$5:$B$404,B79)&gt;1,"Trùng OptionOrder trong cùng choice",IF(OR(B79="",C79="",D79="",F79="",H79=""),"Thiếu trường bắt buộc",IF(OR(COUNTIF($A$5:$A$404,A79)&lt;2,COUNTIF($A$5:$A$404,A79)&gt;4),"Mỗi choice cần 2–4 option",IF(COUNTIFS('02_KICH_BAN_NODES'!$B$5:$B$204,A79,'02_KICH_BAN_NODES'!$E$5:$E$204,"Kiến thức")=1,IF(COUNTIFS($A$5:$A$404,A79,$D$5:$D$404,"Có")&lt;&gt;1,"Choice kiến thức cần đúng 1 đáp án đúng",""),IF(COUNTIFS('02_KICH_BAN_NODES'!$B$5:$B$204,A79,'02_KICH_BAN_NODES'!$E$5:$E$204,"Tương tác")=1,IF(COUNTIFS($A$5:$A$404,A79,$D$5:$D$404,"Có")&lt;&gt;0,"Choice tương tác không được đánh dấu đáp án đúng",""),"Choice chưa chọn loại")))))))</f>
        <v/>
      </c>
    </row>
    <row r="80" spans="1:11">
      <c r="A80" s="13"/>
      <c r="B80" s="13"/>
      <c r="C80" s="5"/>
      <c r="D80" s="13"/>
      <c r="E80" s="13"/>
      <c r="F80" s="13"/>
      <c r="G80" s="13"/>
      <c r="H80" s="5"/>
      <c r="I80" s="5"/>
      <c r="J80" s="6" t="str">
        <f t="shared" si="1"/>
        <v/>
      </c>
      <c r="K80" s="6" t="str">
        <f>IF(A80="","",IF(COUNTIFS('02_KICH_BAN_NODES'!$B$5:$B$204,A80,'02_KICH_BAN_NODES'!$D$5:$D$204,"choice")=0,"ChoiceNodeId không tồn tại hoặc không phải choice",IF(COUNTIFS($A$5:$A$404,A80,$B$5:$B$404,B80)&gt;1,"Trùng OptionOrder trong cùng choice",IF(OR(B80="",C80="",D80="",F80="",H80=""),"Thiếu trường bắt buộc",IF(OR(COUNTIF($A$5:$A$404,A80)&lt;2,COUNTIF($A$5:$A$404,A80)&gt;4),"Mỗi choice cần 2–4 option",IF(COUNTIFS('02_KICH_BAN_NODES'!$B$5:$B$204,A80,'02_KICH_BAN_NODES'!$E$5:$E$204,"Kiến thức")=1,IF(COUNTIFS($A$5:$A$404,A80,$D$5:$D$404,"Có")&lt;&gt;1,"Choice kiến thức cần đúng 1 đáp án đúng",""),IF(COUNTIFS('02_KICH_BAN_NODES'!$B$5:$B$204,A80,'02_KICH_BAN_NODES'!$E$5:$E$204,"Tương tác")=1,IF(COUNTIFS($A$5:$A$404,A80,$D$5:$D$404,"Có")&lt;&gt;0,"Choice tương tác không được đánh dấu đáp án đúng",""),"Choice chưa chọn loại")))))))</f>
        <v/>
      </c>
    </row>
    <row r="81" spans="1:11">
      <c r="A81" s="13"/>
      <c r="B81" s="13"/>
      <c r="C81" s="5"/>
      <c r="D81" s="13"/>
      <c r="E81" s="13"/>
      <c r="F81" s="13"/>
      <c r="G81" s="13"/>
      <c r="H81" s="5"/>
      <c r="I81" s="5"/>
      <c r="J81" s="6" t="str">
        <f t="shared" si="1"/>
        <v/>
      </c>
      <c r="K81" s="6" t="str">
        <f>IF(A81="","",IF(COUNTIFS('02_KICH_BAN_NODES'!$B$5:$B$204,A81,'02_KICH_BAN_NODES'!$D$5:$D$204,"choice")=0,"ChoiceNodeId không tồn tại hoặc không phải choice",IF(COUNTIFS($A$5:$A$404,A81,$B$5:$B$404,B81)&gt;1,"Trùng OptionOrder trong cùng choice",IF(OR(B81="",C81="",D81="",F81="",H81=""),"Thiếu trường bắt buộc",IF(OR(COUNTIF($A$5:$A$404,A81)&lt;2,COUNTIF($A$5:$A$404,A81)&gt;4),"Mỗi choice cần 2–4 option",IF(COUNTIFS('02_KICH_BAN_NODES'!$B$5:$B$204,A81,'02_KICH_BAN_NODES'!$E$5:$E$204,"Kiến thức")=1,IF(COUNTIFS($A$5:$A$404,A81,$D$5:$D$404,"Có")&lt;&gt;1,"Choice kiến thức cần đúng 1 đáp án đúng",""),IF(COUNTIFS('02_KICH_BAN_NODES'!$B$5:$B$204,A81,'02_KICH_BAN_NODES'!$E$5:$E$204,"Tương tác")=1,IF(COUNTIFS($A$5:$A$404,A81,$D$5:$D$404,"Có")&lt;&gt;0,"Choice tương tác không được đánh dấu đáp án đúng",""),"Choice chưa chọn loại")))))))</f>
        <v/>
      </c>
    </row>
    <row r="82" spans="1:11">
      <c r="A82" s="13"/>
      <c r="B82" s="13"/>
      <c r="C82" s="5"/>
      <c r="D82" s="13"/>
      <c r="E82" s="13"/>
      <c r="F82" s="13"/>
      <c r="G82" s="13"/>
      <c r="H82" s="5"/>
      <c r="I82" s="5"/>
      <c r="J82" s="6" t="str">
        <f t="shared" si="1"/>
        <v/>
      </c>
      <c r="K82" s="6" t="str">
        <f>IF(A82="","",IF(COUNTIFS('02_KICH_BAN_NODES'!$B$5:$B$204,A82,'02_KICH_BAN_NODES'!$D$5:$D$204,"choice")=0,"ChoiceNodeId không tồn tại hoặc không phải choice",IF(COUNTIFS($A$5:$A$404,A82,$B$5:$B$404,B82)&gt;1,"Trùng OptionOrder trong cùng choice",IF(OR(B82="",C82="",D82="",F82="",H82=""),"Thiếu trường bắt buộc",IF(OR(COUNTIF($A$5:$A$404,A82)&lt;2,COUNTIF($A$5:$A$404,A82)&gt;4),"Mỗi choice cần 2–4 option",IF(COUNTIFS('02_KICH_BAN_NODES'!$B$5:$B$204,A82,'02_KICH_BAN_NODES'!$E$5:$E$204,"Kiến thức")=1,IF(COUNTIFS($A$5:$A$404,A82,$D$5:$D$404,"Có")&lt;&gt;1,"Choice kiến thức cần đúng 1 đáp án đúng",""),IF(COUNTIFS('02_KICH_BAN_NODES'!$B$5:$B$204,A82,'02_KICH_BAN_NODES'!$E$5:$E$204,"Tương tác")=1,IF(COUNTIFS($A$5:$A$404,A82,$D$5:$D$404,"Có")&lt;&gt;0,"Choice tương tác không được đánh dấu đáp án đúng",""),"Choice chưa chọn loại")))))))</f>
        <v/>
      </c>
    </row>
    <row r="83" spans="1:11">
      <c r="A83" s="13"/>
      <c r="B83" s="13"/>
      <c r="C83" s="5"/>
      <c r="D83" s="13"/>
      <c r="E83" s="13"/>
      <c r="F83" s="13"/>
      <c r="G83" s="13"/>
      <c r="H83" s="5"/>
      <c r="I83" s="5"/>
      <c r="J83" s="6" t="str">
        <f t="shared" si="1"/>
        <v/>
      </c>
      <c r="K83" s="6" t="str">
        <f>IF(A83="","",IF(COUNTIFS('02_KICH_BAN_NODES'!$B$5:$B$204,A83,'02_KICH_BAN_NODES'!$D$5:$D$204,"choice")=0,"ChoiceNodeId không tồn tại hoặc không phải choice",IF(COUNTIFS($A$5:$A$404,A83,$B$5:$B$404,B83)&gt;1,"Trùng OptionOrder trong cùng choice",IF(OR(B83="",C83="",D83="",F83="",H83=""),"Thiếu trường bắt buộc",IF(OR(COUNTIF($A$5:$A$404,A83)&lt;2,COUNTIF($A$5:$A$404,A83)&gt;4),"Mỗi choice cần 2–4 option",IF(COUNTIFS('02_KICH_BAN_NODES'!$B$5:$B$204,A83,'02_KICH_BAN_NODES'!$E$5:$E$204,"Kiến thức")=1,IF(COUNTIFS($A$5:$A$404,A83,$D$5:$D$404,"Có")&lt;&gt;1,"Choice kiến thức cần đúng 1 đáp án đúng",""),IF(COUNTIFS('02_KICH_BAN_NODES'!$B$5:$B$204,A83,'02_KICH_BAN_NODES'!$E$5:$E$204,"Tương tác")=1,IF(COUNTIFS($A$5:$A$404,A83,$D$5:$D$404,"Có")&lt;&gt;0,"Choice tương tác không được đánh dấu đáp án đúng",""),"Choice chưa chọn loại")))))))</f>
        <v/>
      </c>
    </row>
    <row r="84" spans="1:11">
      <c r="A84" s="13"/>
      <c r="B84" s="13"/>
      <c r="C84" s="5"/>
      <c r="D84" s="13"/>
      <c r="E84" s="13"/>
      <c r="F84" s="13"/>
      <c r="G84" s="13"/>
      <c r="H84" s="5"/>
      <c r="I84" s="5"/>
      <c r="J84" s="6" t="str">
        <f t="shared" si="1"/>
        <v/>
      </c>
      <c r="K84" s="6" t="str">
        <f>IF(A84="","",IF(COUNTIFS('02_KICH_BAN_NODES'!$B$5:$B$204,A84,'02_KICH_BAN_NODES'!$D$5:$D$204,"choice")=0,"ChoiceNodeId không tồn tại hoặc không phải choice",IF(COUNTIFS($A$5:$A$404,A84,$B$5:$B$404,B84)&gt;1,"Trùng OptionOrder trong cùng choice",IF(OR(B84="",C84="",D84="",F84="",H84=""),"Thiếu trường bắt buộc",IF(OR(COUNTIF($A$5:$A$404,A84)&lt;2,COUNTIF($A$5:$A$404,A84)&gt;4),"Mỗi choice cần 2–4 option",IF(COUNTIFS('02_KICH_BAN_NODES'!$B$5:$B$204,A84,'02_KICH_BAN_NODES'!$E$5:$E$204,"Kiến thức")=1,IF(COUNTIFS($A$5:$A$404,A84,$D$5:$D$404,"Có")&lt;&gt;1,"Choice kiến thức cần đúng 1 đáp án đúng",""),IF(COUNTIFS('02_KICH_BAN_NODES'!$B$5:$B$204,A84,'02_KICH_BAN_NODES'!$E$5:$E$204,"Tương tác")=1,IF(COUNTIFS($A$5:$A$404,A84,$D$5:$D$404,"Có")&lt;&gt;0,"Choice tương tác không được đánh dấu đáp án đúng",""),"Choice chưa chọn loại")))))))</f>
        <v/>
      </c>
    </row>
    <row r="85" spans="1:11">
      <c r="A85" s="13"/>
      <c r="B85" s="13"/>
      <c r="C85" s="5"/>
      <c r="D85" s="13"/>
      <c r="E85" s="13"/>
      <c r="F85" s="13"/>
      <c r="G85" s="13"/>
      <c r="H85" s="5"/>
      <c r="I85" s="5"/>
      <c r="J85" s="6" t="str">
        <f t="shared" si="1"/>
        <v/>
      </c>
      <c r="K85" s="6" t="str">
        <f>IF(A85="","",IF(COUNTIFS('02_KICH_BAN_NODES'!$B$5:$B$204,A85,'02_KICH_BAN_NODES'!$D$5:$D$204,"choice")=0,"ChoiceNodeId không tồn tại hoặc không phải choice",IF(COUNTIFS($A$5:$A$404,A85,$B$5:$B$404,B85)&gt;1,"Trùng OptionOrder trong cùng choice",IF(OR(B85="",C85="",D85="",F85="",H85=""),"Thiếu trường bắt buộc",IF(OR(COUNTIF($A$5:$A$404,A85)&lt;2,COUNTIF($A$5:$A$404,A85)&gt;4),"Mỗi choice cần 2–4 option",IF(COUNTIFS('02_KICH_BAN_NODES'!$B$5:$B$204,A85,'02_KICH_BAN_NODES'!$E$5:$E$204,"Kiến thức")=1,IF(COUNTIFS($A$5:$A$404,A85,$D$5:$D$404,"Có")&lt;&gt;1,"Choice kiến thức cần đúng 1 đáp án đúng",""),IF(COUNTIFS('02_KICH_BAN_NODES'!$B$5:$B$204,A85,'02_KICH_BAN_NODES'!$E$5:$E$204,"Tương tác")=1,IF(COUNTIFS($A$5:$A$404,A85,$D$5:$D$404,"Có")&lt;&gt;0,"Choice tương tác không được đánh dấu đáp án đúng",""),"Choice chưa chọn loại")))))))</f>
        <v/>
      </c>
    </row>
    <row r="86" spans="1:11">
      <c r="A86" s="13"/>
      <c r="B86" s="13"/>
      <c r="C86" s="5"/>
      <c r="D86" s="13"/>
      <c r="E86" s="13"/>
      <c r="F86" s="13"/>
      <c r="G86" s="13"/>
      <c r="H86" s="5"/>
      <c r="I86" s="5"/>
      <c r="J86" s="6" t="str">
        <f t="shared" si="1"/>
        <v/>
      </c>
      <c r="K86" s="6" t="str">
        <f>IF(A86="","",IF(COUNTIFS('02_KICH_BAN_NODES'!$B$5:$B$204,A86,'02_KICH_BAN_NODES'!$D$5:$D$204,"choice")=0,"ChoiceNodeId không tồn tại hoặc không phải choice",IF(COUNTIFS($A$5:$A$404,A86,$B$5:$B$404,B86)&gt;1,"Trùng OptionOrder trong cùng choice",IF(OR(B86="",C86="",D86="",F86="",H86=""),"Thiếu trường bắt buộc",IF(OR(COUNTIF($A$5:$A$404,A86)&lt;2,COUNTIF($A$5:$A$404,A86)&gt;4),"Mỗi choice cần 2–4 option",IF(COUNTIFS('02_KICH_BAN_NODES'!$B$5:$B$204,A86,'02_KICH_BAN_NODES'!$E$5:$E$204,"Kiến thức")=1,IF(COUNTIFS($A$5:$A$404,A86,$D$5:$D$404,"Có")&lt;&gt;1,"Choice kiến thức cần đúng 1 đáp án đúng",""),IF(COUNTIFS('02_KICH_BAN_NODES'!$B$5:$B$204,A86,'02_KICH_BAN_NODES'!$E$5:$E$204,"Tương tác")=1,IF(COUNTIFS($A$5:$A$404,A86,$D$5:$D$404,"Có")&lt;&gt;0,"Choice tương tác không được đánh dấu đáp án đúng",""),"Choice chưa chọn loại")))))))</f>
        <v/>
      </c>
    </row>
    <row r="87" spans="1:11">
      <c r="A87" s="13"/>
      <c r="B87" s="13"/>
      <c r="C87" s="5"/>
      <c r="D87" s="13"/>
      <c r="E87" s="13"/>
      <c r="F87" s="13"/>
      <c r="G87" s="13"/>
      <c r="H87" s="5"/>
      <c r="I87" s="5"/>
      <c r="J87" s="6" t="str">
        <f t="shared" si="1"/>
        <v/>
      </c>
      <c r="K87" s="6" t="str">
        <f>IF(A87="","",IF(COUNTIFS('02_KICH_BAN_NODES'!$B$5:$B$204,A87,'02_KICH_BAN_NODES'!$D$5:$D$204,"choice")=0,"ChoiceNodeId không tồn tại hoặc không phải choice",IF(COUNTIFS($A$5:$A$404,A87,$B$5:$B$404,B87)&gt;1,"Trùng OptionOrder trong cùng choice",IF(OR(B87="",C87="",D87="",F87="",H87=""),"Thiếu trường bắt buộc",IF(OR(COUNTIF($A$5:$A$404,A87)&lt;2,COUNTIF($A$5:$A$404,A87)&gt;4),"Mỗi choice cần 2–4 option",IF(COUNTIFS('02_KICH_BAN_NODES'!$B$5:$B$204,A87,'02_KICH_BAN_NODES'!$E$5:$E$204,"Kiến thức")=1,IF(COUNTIFS($A$5:$A$404,A87,$D$5:$D$404,"Có")&lt;&gt;1,"Choice kiến thức cần đúng 1 đáp án đúng",""),IF(COUNTIFS('02_KICH_BAN_NODES'!$B$5:$B$204,A87,'02_KICH_BAN_NODES'!$E$5:$E$204,"Tương tác")=1,IF(COUNTIFS($A$5:$A$404,A87,$D$5:$D$404,"Có")&lt;&gt;0,"Choice tương tác không được đánh dấu đáp án đúng",""),"Choice chưa chọn loại")))))))</f>
        <v/>
      </c>
    </row>
    <row r="88" spans="1:11">
      <c r="A88" s="13"/>
      <c r="B88" s="13"/>
      <c r="C88" s="5"/>
      <c r="D88" s="13"/>
      <c r="E88" s="13"/>
      <c r="F88" s="13"/>
      <c r="G88" s="13"/>
      <c r="H88" s="5"/>
      <c r="I88" s="5"/>
      <c r="J88" s="6" t="str">
        <f t="shared" si="1"/>
        <v/>
      </c>
      <c r="K88" s="6" t="str">
        <f>IF(A88="","",IF(COUNTIFS('02_KICH_BAN_NODES'!$B$5:$B$204,A88,'02_KICH_BAN_NODES'!$D$5:$D$204,"choice")=0,"ChoiceNodeId không tồn tại hoặc không phải choice",IF(COUNTIFS($A$5:$A$404,A88,$B$5:$B$404,B88)&gt;1,"Trùng OptionOrder trong cùng choice",IF(OR(B88="",C88="",D88="",F88="",H88=""),"Thiếu trường bắt buộc",IF(OR(COUNTIF($A$5:$A$404,A88)&lt;2,COUNTIF($A$5:$A$404,A88)&gt;4),"Mỗi choice cần 2–4 option",IF(COUNTIFS('02_KICH_BAN_NODES'!$B$5:$B$204,A88,'02_KICH_BAN_NODES'!$E$5:$E$204,"Kiến thức")=1,IF(COUNTIFS($A$5:$A$404,A88,$D$5:$D$404,"Có")&lt;&gt;1,"Choice kiến thức cần đúng 1 đáp án đúng",""),IF(COUNTIFS('02_KICH_BAN_NODES'!$B$5:$B$204,A88,'02_KICH_BAN_NODES'!$E$5:$E$204,"Tương tác")=1,IF(COUNTIFS($A$5:$A$404,A88,$D$5:$D$404,"Có")&lt;&gt;0,"Choice tương tác không được đánh dấu đáp án đúng",""),"Choice chưa chọn loại")))))))</f>
        <v/>
      </c>
    </row>
    <row r="89" spans="1:11">
      <c r="A89" s="13"/>
      <c r="B89" s="13"/>
      <c r="C89" s="5"/>
      <c r="D89" s="13"/>
      <c r="E89" s="13"/>
      <c r="F89" s="13"/>
      <c r="G89" s="13"/>
      <c r="H89" s="5"/>
      <c r="I89" s="5"/>
      <c r="J89" s="6" t="str">
        <f t="shared" si="1"/>
        <v/>
      </c>
      <c r="K89" s="6" t="str">
        <f>IF(A89="","",IF(COUNTIFS('02_KICH_BAN_NODES'!$B$5:$B$204,A89,'02_KICH_BAN_NODES'!$D$5:$D$204,"choice")=0,"ChoiceNodeId không tồn tại hoặc không phải choice",IF(COUNTIFS($A$5:$A$404,A89,$B$5:$B$404,B89)&gt;1,"Trùng OptionOrder trong cùng choice",IF(OR(B89="",C89="",D89="",F89="",H89=""),"Thiếu trường bắt buộc",IF(OR(COUNTIF($A$5:$A$404,A89)&lt;2,COUNTIF($A$5:$A$404,A89)&gt;4),"Mỗi choice cần 2–4 option",IF(COUNTIFS('02_KICH_BAN_NODES'!$B$5:$B$204,A89,'02_KICH_BAN_NODES'!$E$5:$E$204,"Kiến thức")=1,IF(COUNTIFS($A$5:$A$404,A89,$D$5:$D$404,"Có")&lt;&gt;1,"Choice kiến thức cần đúng 1 đáp án đúng",""),IF(COUNTIFS('02_KICH_BAN_NODES'!$B$5:$B$204,A89,'02_KICH_BAN_NODES'!$E$5:$E$204,"Tương tác")=1,IF(COUNTIFS($A$5:$A$404,A89,$D$5:$D$404,"Có")&lt;&gt;0,"Choice tương tác không được đánh dấu đáp án đúng",""),"Choice chưa chọn loại")))))))</f>
        <v/>
      </c>
    </row>
    <row r="90" spans="1:11">
      <c r="A90" s="13"/>
      <c r="B90" s="13"/>
      <c r="C90" s="5"/>
      <c r="D90" s="13"/>
      <c r="E90" s="13"/>
      <c r="F90" s="13"/>
      <c r="G90" s="13"/>
      <c r="H90" s="5"/>
      <c r="I90" s="5"/>
      <c r="J90" s="6" t="str">
        <f t="shared" si="1"/>
        <v/>
      </c>
      <c r="K90" s="6" t="str">
        <f>IF(A90="","",IF(COUNTIFS('02_KICH_BAN_NODES'!$B$5:$B$204,A90,'02_KICH_BAN_NODES'!$D$5:$D$204,"choice")=0,"ChoiceNodeId không tồn tại hoặc không phải choice",IF(COUNTIFS($A$5:$A$404,A90,$B$5:$B$404,B90)&gt;1,"Trùng OptionOrder trong cùng choice",IF(OR(B90="",C90="",D90="",F90="",H90=""),"Thiếu trường bắt buộc",IF(OR(COUNTIF($A$5:$A$404,A90)&lt;2,COUNTIF($A$5:$A$404,A90)&gt;4),"Mỗi choice cần 2–4 option",IF(COUNTIFS('02_KICH_BAN_NODES'!$B$5:$B$204,A90,'02_KICH_BAN_NODES'!$E$5:$E$204,"Kiến thức")=1,IF(COUNTIFS($A$5:$A$404,A90,$D$5:$D$404,"Có")&lt;&gt;1,"Choice kiến thức cần đúng 1 đáp án đúng",""),IF(COUNTIFS('02_KICH_BAN_NODES'!$B$5:$B$204,A90,'02_KICH_BAN_NODES'!$E$5:$E$204,"Tương tác")=1,IF(COUNTIFS($A$5:$A$404,A90,$D$5:$D$404,"Có")&lt;&gt;0,"Choice tương tác không được đánh dấu đáp án đúng",""),"Choice chưa chọn loại")))))))</f>
        <v/>
      </c>
    </row>
    <row r="91" spans="1:11">
      <c r="A91" s="13"/>
      <c r="B91" s="13"/>
      <c r="C91" s="5"/>
      <c r="D91" s="13"/>
      <c r="E91" s="13"/>
      <c r="F91" s="13"/>
      <c r="G91" s="13"/>
      <c r="H91" s="5"/>
      <c r="I91" s="5"/>
      <c r="J91" s="6" t="str">
        <f t="shared" si="1"/>
        <v/>
      </c>
      <c r="K91" s="6" t="str">
        <f>IF(A91="","",IF(COUNTIFS('02_KICH_BAN_NODES'!$B$5:$B$204,A91,'02_KICH_BAN_NODES'!$D$5:$D$204,"choice")=0,"ChoiceNodeId không tồn tại hoặc không phải choice",IF(COUNTIFS($A$5:$A$404,A91,$B$5:$B$404,B91)&gt;1,"Trùng OptionOrder trong cùng choice",IF(OR(B91="",C91="",D91="",F91="",H91=""),"Thiếu trường bắt buộc",IF(OR(COUNTIF($A$5:$A$404,A91)&lt;2,COUNTIF($A$5:$A$404,A91)&gt;4),"Mỗi choice cần 2–4 option",IF(COUNTIFS('02_KICH_BAN_NODES'!$B$5:$B$204,A91,'02_KICH_BAN_NODES'!$E$5:$E$204,"Kiến thức")=1,IF(COUNTIFS($A$5:$A$404,A91,$D$5:$D$404,"Có")&lt;&gt;1,"Choice kiến thức cần đúng 1 đáp án đúng",""),IF(COUNTIFS('02_KICH_BAN_NODES'!$B$5:$B$204,A91,'02_KICH_BAN_NODES'!$E$5:$E$204,"Tương tác")=1,IF(COUNTIFS($A$5:$A$404,A91,$D$5:$D$404,"Có")&lt;&gt;0,"Choice tương tác không được đánh dấu đáp án đúng",""),"Choice chưa chọn loại")))))))</f>
        <v/>
      </c>
    </row>
    <row r="92" spans="1:11">
      <c r="A92" s="13"/>
      <c r="B92" s="13"/>
      <c r="C92" s="5"/>
      <c r="D92" s="13"/>
      <c r="E92" s="13"/>
      <c r="F92" s="13"/>
      <c r="G92" s="13"/>
      <c r="H92" s="5"/>
      <c r="I92" s="5"/>
      <c r="J92" s="6" t="str">
        <f t="shared" si="1"/>
        <v/>
      </c>
      <c r="K92" s="6" t="str">
        <f>IF(A92="","",IF(COUNTIFS('02_KICH_BAN_NODES'!$B$5:$B$204,A92,'02_KICH_BAN_NODES'!$D$5:$D$204,"choice")=0,"ChoiceNodeId không tồn tại hoặc không phải choice",IF(COUNTIFS($A$5:$A$404,A92,$B$5:$B$404,B92)&gt;1,"Trùng OptionOrder trong cùng choice",IF(OR(B92="",C92="",D92="",F92="",H92=""),"Thiếu trường bắt buộc",IF(OR(COUNTIF($A$5:$A$404,A92)&lt;2,COUNTIF($A$5:$A$404,A92)&gt;4),"Mỗi choice cần 2–4 option",IF(COUNTIFS('02_KICH_BAN_NODES'!$B$5:$B$204,A92,'02_KICH_BAN_NODES'!$E$5:$E$204,"Kiến thức")=1,IF(COUNTIFS($A$5:$A$404,A92,$D$5:$D$404,"Có")&lt;&gt;1,"Choice kiến thức cần đúng 1 đáp án đúng",""),IF(COUNTIFS('02_KICH_BAN_NODES'!$B$5:$B$204,A92,'02_KICH_BAN_NODES'!$E$5:$E$204,"Tương tác")=1,IF(COUNTIFS($A$5:$A$404,A92,$D$5:$D$404,"Có")&lt;&gt;0,"Choice tương tác không được đánh dấu đáp án đúng",""),"Choice chưa chọn loại")))))))</f>
        <v/>
      </c>
    </row>
    <row r="93" spans="1:11">
      <c r="A93" s="13"/>
      <c r="B93" s="13"/>
      <c r="C93" s="5"/>
      <c r="D93" s="13"/>
      <c r="E93" s="13"/>
      <c r="F93" s="13"/>
      <c r="G93" s="13"/>
      <c r="H93" s="5"/>
      <c r="I93" s="5"/>
      <c r="J93" s="6" t="str">
        <f t="shared" si="1"/>
        <v/>
      </c>
      <c r="K93" s="6" t="str">
        <f>IF(A93="","",IF(COUNTIFS('02_KICH_BAN_NODES'!$B$5:$B$204,A93,'02_KICH_BAN_NODES'!$D$5:$D$204,"choice")=0,"ChoiceNodeId không tồn tại hoặc không phải choice",IF(COUNTIFS($A$5:$A$404,A93,$B$5:$B$404,B93)&gt;1,"Trùng OptionOrder trong cùng choice",IF(OR(B93="",C93="",D93="",F93="",H93=""),"Thiếu trường bắt buộc",IF(OR(COUNTIF($A$5:$A$404,A93)&lt;2,COUNTIF($A$5:$A$404,A93)&gt;4),"Mỗi choice cần 2–4 option",IF(COUNTIFS('02_KICH_BAN_NODES'!$B$5:$B$204,A93,'02_KICH_BAN_NODES'!$E$5:$E$204,"Kiến thức")=1,IF(COUNTIFS($A$5:$A$404,A93,$D$5:$D$404,"Có")&lt;&gt;1,"Choice kiến thức cần đúng 1 đáp án đúng",""),IF(COUNTIFS('02_KICH_BAN_NODES'!$B$5:$B$204,A93,'02_KICH_BAN_NODES'!$E$5:$E$204,"Tương tác")=1,IF(COUNTIFS($A$5:$A$404,A93,$D$5:$D$404,"Có")&lt;&gt;0,"Choice tương tác không được đánh dấu đáp án đúng",""),"Choice chưa chọn loại")))))))</f>
        <v/>
      </c>
    </row>
    <row r="94" spans="1:11">
      <c r="A94" s="13"/>
      <c r="B94" s="13"/>
      <c r="C94" s="5"/>
      <c r="D94" s="13"/>
      <c r="E94" s="13"/>
      <c r="F94" s="13"/>
      <c r="G94" s="13"/>
      <c r="H94" s="5"/>
      <c r="I94" s="5"/>
      <c r="J94" s="6" t="str">
        <f t="shared" si="1"/>
        <v/>
      </c>
      <c r="K94" s="6" t="str">
        <f>IF(A94="","",IF(COUNTIFS('02_KICH_BAN_NODES'!$B$5:$B$204,A94,'02_KICH_BAN_NODES'!$D$5:$D$204,"choice")=0,"ChoiceNodeId không tồn tại hoặc không phải choice",IF(COUNTIFS($A$5:$A$404,A94,$B$5:$B$404,B94)&gt;1,"Trùng OptionOrder trong cùng choice",IF(OR(B94="",C94="",D94="",F94="",H94=""),"Thiếu trường bắt buộc",IF(OR(COUNTIF($A$5:$A$404,A94)&lt;2,COUNTIF($A$5:$A$404,A94)&gt;4),"Mỗi choice cần 2–4 option",IF(COUNTIFS('02_KICH_BAN_NODES'!$B$5:$B$204,A94,'02_KICH_BAN_NODES'!$E$5:$E$204,"Kiến thức")=1,IF(COUNTIFS($A$5:$A$404,A94,$D$5:$D$404,"Có")&lt;&gt;1,"Choice kiến thức cần đúng 1 đáp án đúng",""),IF(COUNTIFS('02_KICH_BAN_NODES'!$B$5:$B$204,A94,'02_KICH_BAN_NODES'!$E$5:$E$204,"Tương tác")=1,IF(COUNTIFS($A$5:$A$404,A94,$D$5:$D$404,"Có")&lt;&gt;0,"Choice tương tác không được đánh dấu đáp án đúng",""),"Choice chưa chọn loại")))))))</f>
        <v/>
      </c>
    </row>
    <row r="95" spans="1:11">
      <c r="A95" s="13"/>
      <c r="B95" s="13"/>
      <c r="C95" s="5"/>
      <c r="D95" s="13"/>
      <c r="E95" s="13"/>
      <c r="F95" s="13"/>
      <c r="G95" s="13"/>
      <c r="H95" s="5"/>
      <c r="I95" s="5"/>
      <c r="J95" s="6" t="str">
        <f t="shared" si="1"/>
        <v/>
      </c>
      <c r="K95" s="6" t="str">
        <f>IF(A95="","",IF(COUNTIFS('02_KICH_BAN_NODES'!$B$5:$B$204,A95,'02_KICH_BAN_NODES'!$D$5:$D$204,"choice")=0,"ChoiceNodeId không tồn tại hoặc không phải choice",IF(COUNTIFS($A$5:$A$404,A95,$B$5:$B$404,B95)&gt;1,"Trùng OptionOrder trong cùng choice",IF(OR(B95="",C95="",D95="",F95="",H95=""),"Thiếu trường bắt buộc",IF(OR(COUNTIF($A$5:$A$404,A95)&lt;2,COUNTIF($A$5:$A$404,A95)&gt;4),"Mỗi choice cần 2–4 option",IF(COUNTIFS('02_KICH_BAN_NODES'!$B$5:$B$204,A95,'02_KICH_BAN_NODES'!$E$5:$E$204,"Kiến thức")=1,IF(COUNTIFS($A$5:$A$404,A95,$D$5:$D$404,"Có")&lt;&gt;1,"Choice kiến thức cần đúng 1 đáp án đúng",""),IF(COUNTIFS('02_KICH_BAN_NODES'!$B$5:$B$204,A95,'02_KICH_BAN_NODES'!$E$5:$E$204,"Tương tác")=1,IF(COUNTIFS($A$5:$A$404,A95,$D$5:$D$404,"Có")&lt;&gt;0,"Choice tương tác không được đánh dấu đáp án đúng",""),"Choice chưa chọn loại")))))))</f>
        <v/>
      </c>
    </row>
    <row r="96" spans="1:11">
      <c r="A96" s="13"/>
      <c r="B96" s="13"/>
      <c r="C96" s="5"/>
      <c r="D96" s="13"/>
      <c r="E96" s="13"/>
      <c r="F96" s="13"/>
      <c r="G96" s="13"/>
      <c r="H96" s="5"/>
      <c r="I96" s="5"/>
      <c r="J96" s="6" t="str">
        <f t="shared" si="1"/>
        <v/>
      </c>
      <c r="K96" s="6" t="str">
        <f>IF(A96="","",IF(COUNTIFS('02_KICH_BAN_NODES'!$B$5:$B$204,A96,'02_KICH_BAN_NODES'!$D$5:$D$204,"choice")=0,"ChoiceNodeId không tồn tại hoặc không phải choice",IF(COUNTIFS($A$5:$A$404,A96,$B$5:$B$404,B96)&gt;1,"Trùng OptionOrder trong cùng choice",IF(OR(B96="",C96="",D96="",F96="",H96=""),"Thiếu trường bắt buộc",IF(OR(COUNTIF($A$5:$A$404,A96)&lt;2,COUNTIF($A$5:$A$404,A96)&gt;4),"Mỗi choice cần 2–4 option",IF(COUNTIFS('02_KICH_BAN_NODES'!$B$5:$B$204,A96,'02_KICH_BAN_NODES'!$E$5:$E$204,"Kiến thức")=1,IF(COUNTIFS($A$5:$A$404,A96,$D$5:$D$404,"Có")&lt;&gt;1,"Choice kiến thức cần đúng 1 đáp án đúng",""),IF(COUNTIFS('02_KICH_BAN_NODES'!$B$5:$B$204,A96,'02_KICH_BAN_NODES'!$E$5:$E$204,"Tương tác")=1,IF(COUNTIFS($A$5:$A$404,A96,$D$5:$D$404,"Có")&lt;&gt;0,"Choice tương tác không được đánh dấu đáp án đúng",""),"Choice chưa chọn loại")))))))</f>
        <v/>
      </c>
    </row>
    <row r="97" spans="1:11">
      <c r="A97" s="13"/>
      <c r="B97" s="13"/>
      <c r="C97" s="5"/>
      <c r="D97" s="13"/>
      <c r="E97" s="13"/>
      <c r="F97" s="13"/>
      <c r="G97" s="13"/>
      <c r="H97" s="5"/>
      <c r="I97" s="5"/>
      <c r="J97" s="6" t="str">
        <f t="shared" si="1"/>
        <v/>
      </c>
      <c r="K97" s="6" t="str">
        <f>IF(A97="","",IF(COUNTIFS('02_KICH_BAN_NODES'!$B$5:$B$204,A97,'02_KICH_BAN_NODES'!$D$5:$D$204,"choice")=0,"ChoiceNodeId không tồn tại hoặc không phải choice",IF(COUNTIFS($A$5:$A$404,A97,$B$5:$B$404,B97)&gt;1,"Trùng OptionOrder trong cùng choice",IF(OR(B97="",C97="",D97="",F97="",H97=""),"Thiếu trường bắt buộc",IF(OR(COUNTIF($A$5:$A$404,A97)&lt;2,COUNTIF($A$5:$A$404,A97)&gt;4),"Mỗi choice cần 2–4 option",IF(COUNTIFS('02_KICH_BAN_NODES'!$B$5:$B$204,A97,'02_KICH_BAN_NODES'!$E$5:$E$204,"Kiến thức")=1,IF(COUNTIFS($A$5:$A$404,A97,$D$5:$D$404,"Có")&lt;&gt;1,"Choice kiến thức cần đúng 1 đáp án đúng",""),IF(COUNTIFS('02_KICH_BAN_NODES'!$B$5:$B$204,A97,'02_KICH_BAN_NODES'!$E$5:$E$204,"Tương tác")=1,IF(COUNTIFS($A$5:$A$404,A97,$D$5:$D$404,"Có")&lt;&gt;0,"Choice tương tác không được đánh dấu đáp án đúng",""),"Choice chưa chọn loại")))))))</f>
        <v/>
      </c>
    </row>
    <row r="98" spans="1:11">
      <c r="A98" s="13"/>
      <c r="B98" s="13"/>
      <c r="C98" s="5"/>
      <c r="D98" s="13"/>
      <c r="E98" s="13"/>
      <c r="F98" s="13"/>
      <c r="G98" s="13"/>
      <c r="H98" s="5"/>
      <c r="I98" s="5"/>
      <c r="J98" s="6" t="str">
        <f t="shared" si="1"/>
        <v/>
      </c>
      <c r="K98" s="6" t="str">
        <f>IF(A98="","",IF(COUNTIFS('02_KICH_BAN_NODES'!$B$5:$B$204,A98,'02_KICH_BAN_NODES'!$D$5:$D$204,"choice")=0,"ChoiceNodeId không tồn tại hoặc không phải choice",IF(COUNTIFS($A$5:$A$404,A98,$B$5:$B$404,B98)&gt;1,"Trùng OptionOrder trong cùng choice",IF(OR(B98="",C98="",D98="",F98="",H98=""),"Thiếu trường bắt buộc",IF(OR(COUNTIF($A$5:$A$404,A98)&lt;2,COUNTIF($A$5:$A$404,A98)&gt;4),"Mỗi choice cần 2–4 option",IF(COUNTIFS('02_KICH_BAN_NODES'!$B$5:$B$204,A98,'02_KICH_BAN_NODES'!$E$5:$E$204,"Kiến thức")=1,IF(COUNTIFS($A$5:$A$404,A98,$D$5:$D$404,"Có")&lt;&gt;1,"Choice kiến thức cần đúng 1 đáp án đúng",""),IF(COUNTIFS('02_KICH_BAN_NODES'!$B$5:$B$204,A98,'02_KICH_BAN_NODES'!$E$5:$E$204,"Tương tác")=1,IF(COUNTIFS($A$5:$A$404,A98,$D$5:$D$404,"Có")&lt;&gt;0,"Choice tương tác không được đánh dấu đáp án đúng",""),"Choice chưa chọn loại")))))))</f>
        <v/>
      </c>
    </row>
    <row r="99" spans="1:11">
      <c r="A99" s="13"/>
      <c r="B99" s="13"/>
      <c r="C99" s="5"/>
      <c r="D99" s="13"/>
      <c r="E99" s="13"/>
      <c r="F99" s="13"/>
      <c r="G99" s="13"/>
      <c r="H99" s="5"/>
      <c r="I99" s="5"/>
      <c r="J99" s="6" t="str">
        <f t="shared" si="1"/>
        <v/>
      </c>
      <c r="K99" s="6" t="str">
        <f>IF(A99="","",IF(COUNTIFS('02_KICH_BAN_NODES'!$B$5:$B$204,A99,'02_KICH_BAN_NODES'!$D$5:$D$204,"choice")=0,"ChoiceNodeId không tồn tại hoặc không phải choice",IF(COUNTIFS($A$5:$A$404,A99,$B$5:$B$404,B99)&gt;1,"Trùng OptionOrder trong cùng choice",IF(OR(B99="",C99="",D99="",F99="",H99=""),"Thiếu trường bắt buộc",IF(OR(COUNTIF($A$5:$A$404,A99)&lt;2,COUNTIF($A$5:$A$404,A99)&gt;4),"Mỗi choice cần 2–4 option",IF(COUNTIFS('02_KICH_BAN_NODES'!$B$5:$B$204,A99,'02_KICH_BAN_NODES'!$E$5:$E$204,"Kiến thức")=1,IF(COUNTIFS($A$5:$A$404,A99,$D$5:$D$404,"Có")&lt;&gt;1,"Choice kiến thức cần đúng 1 đáp án đúng",""),IF(COUNTIFS('02_KICH_BAN_NODES'!$B$5:$B$204,A99,'02_KICH_BAN_NODES'!$E$5:$E$204,"Tương tác")=1,IF(COUNTIFS($A$5:$A$404,A99,$D$5:$D$404,"Có")&lt;&gt;0,"Choice tương tác không được đánh dấu đáp án đúng",""),"Choice chưa chọn loại")))))))</f>
        <v/>
      </c>
    </row>
    <row r="100" spans="1:11">
      <c r="A100" s="13"/>
      <c r="B100" s="13"/>
      <c r="C100" s="5"/>
      <c r="D100" s="13"/>
      <c r="E100" s="13"/>
      <c r="F100" s="13"/>
      <c r="G100" s="13"/>
      <c r="H100" s="5"/>
      <c r="I100" s="5"/>
      <c r="J100" s="6" t="str">
        <f t="shared" si="1"/>
        <v/>
      </c>
      <c r="K100" s="6" t="str">
        <f>IF(A100="","",IF(COUNTIFS('02_KICH_BAN_NODES'!$B$5:$B$204,A100,'02_KICH_BAN_NODES'!$D$5:$D$204,"choice")=0,"ChoiceNodeId không tồn tại hoặc không phải choice",IF(COUNTIFS($A$5:$A$404,A100,$B$5:$B$404,B100)&gt;1,"Trùng OptionOrder trong cùng choice",IF(OR(B100="",C100="",D100="",F100="",H100=""),"Thiếu trường bắt buộc",IF(OR(COUNTIF($A$5:$A$404,A100)&lt;2,COUNTIF($A$5:$A$404,A100)&gt;4),"Mỗi choice cần 2–4 option",IF(COUNTIFS('02_KICH_BAN_NODES'!$B$5:$B$204,A100,'02_KICH_BAN_NODES'!$E$5:$E$204,"Kiến thức")=1,IF(COUNTIFS($A$5:$A$404,A100,$D$5:$D$404,"Có")&lt;&gt;1,"Choice kiến thức cần đúng 1 đáp án đúng",""),IF(COUNTIFS('02_KICH_BAN_NODES'!$B$5:$B$204,A100,'02_KICH_BAN_NODES'!$E$5:$E$204,"Tương tác")=1,IF(COUNTIFS($A$5:$A$404,A100,$D$5:$D$404,"Có")&lt;&gt;0,"Choice tương tác không được đánh dấu đáp án đúng",""),"Choice chưa chọn loại")))))))</f>
        <v/>
      </c>
    </row>
    <row r="101" spans="1:11">
      <c r="A101" s="13"/>
      <c r="B101" s="13"/>
      <c r="C101" s="5"/>
      <c r="D101" s="13"/>
      <c r="E101" s="13"/>
      <c r="F101" s="13"/>
      <c r="G101" s="13"/>
      <c r="H101" s="5"/>
      <c r="I101" s="5"/>
      <c r="J101" s="6" t="str">
        <f t="shared" si="1"/>
        <v/>
      </c>
      <c r="K101" s="6" t="str">
        <f>IF(A101="","",IF(COUNTIFS('02_KICH_BAN_NODES'!$B$5:$B$204,A101,'02_KICH_BAN_NODES'!$D$5:$D$204,"choice")=0,"ChoiceNodeId không tồn tại hoặc không phải choice",IF(COUNTIFS($A$5:$A$404,A101,$B$5:$B$404,B101)&gt;1,"Trùng OptionOrder trong cùng choice",IF(OR(B101="",C101="",D101="",F101="",H101=""),"Thiếu trường bắt buộc",IF(OR(COUNTIF($A$5:$A$404,A101)&lt;2,COUNTIF($A$5:$A$404,A101)&gt;4),"Mỗi choice cần 2–4 option",IF(COUNTIFS('02_KICH_BAN_NODES'!$B$5:$B$204,A101,'02_KICH_BAN_NODES'!$E$5:$E$204,"Kiến thức")=1,IF(COUNTIFS($A$5:$A$404,A101,$D$5:$D$404,"Có")&lt;&gt;1,"Choice kiến thức cần đúng 1 đáp án đúng",""),IF(COUNTIFS('02_KICH_BAN_NODES'!$B$5:$B$204,A101,'02_KICH_BAN_NODES'!$E$5:$E$204,"Tương tác")=1,IF(COUNTIFS($A$5:$A$404,A101,$D$5:$D$404,"Có")&lt;&gt;0,"Choice tương tác không được đánh dấu đáp án đúng",""),"Choice chưa chọn loại")))))))</f>
        <v/>
      </c>
    </row>
    <row r="102" spans="1:11">
      <c r="A102" s="13"/>
      <c r="B102" s="13"/>
      <c r="C102" s="5"/>
      <c r="D102" s="13"/>
      <c r="E102" s="13"/>
      <c r="F102" s="13"/>
      <c r="G102" s="13"/>
      <c r="H102" s="5"/>
      <c r="I102" s="5"/>
      <c r="J102" s="6" t="str">
        <f t="shared" si="1"/>
        <v/>
      </c>
      <c r="K102" s="6" t="str">
        <f>IF(A102="","",IF(COUNTIFS('02_KICH_BAN_NODES'!$B$5:$B$204,A102,'02_KICH_BAN_NODES'!$D$5:$D$204,"choice")=0,"ChoiceNodeId không tồn tại hoặc không phải choice",IF(COUNTIFS($A$5:$A$404,A102,$B$5:$B$404,B102)&gt;1,"Trùng OptionOrder trong cùng choice",IF(OR(B102="",C102="",D102="",F102="",H102=""),"Thiếu trường bắt buộc",IF(OR(COUNTIF($A$5:$A$404,A102)&lt;2,COUNTIF($A$5:$A$404,A102)&gt;4),"Mỗi choice cần 2–4 option",IF(COUNTIFS('02_KICH_BAN_NODES'!$B$5:$B$204,A102,'02_KICH_BAN_NODES'!$E$5:$E$204,"Kiến thức")=1,IF(COUNTIFS($A$5:$A$404,A102,$D$5:$D$404,"Có")&lt;&gt;1,"Choice kiến thức cần đúng 1 đáp án đúng",""),IF(COUNTIFS('02_KICH_BAN_NODES'!$B$5:$B$204,A102,'02_KICH_BAN_NODES'!$E$5:$E$204,"Tương tác")=1,IF(COUNTIFS($A$5:$A$404,A102,$D$5:$D$404,"Có")&lt;&gt;0,"Choice tương tác không được đánh dấu đáp án đúng",""),"Choice chưa chọn loại")))))))</f>
        <v/>
      </c>
    </row>
    <row r="103" spans="1:11">
      <c r="A103" s="13"/>
      <c r="B103" s="13"/>
      <c r="C103" s="5"/>
      <c r="D103" s="13"/>
      <c r="E103" s="13"/>
      <c r="F103" s="13"/>
      <c r="G103" s="13"/>
      <c r="H103" s="5"/>
      <c r="I103" s="5"/>
      <c r="J103" s="6" t="str">
        <f t="shared" si="1"/>
        <v/>
      </c>
      <c r="K103" s="6" t="str">
        <f>IF(A103="","",IF(COUNTIFS('02_KICH_BAN_NODES'!$B$5:$B$204,A103,'02_KICH_BAN_NODES'!$D$5:$D$204,"choice")=0,"ChoiceNodeId không tồn tại hoặc không phải choice",IF(COUNTIFS($A$5:$A$404,A103,$B$5:$B$404,B103)&gt;1,"Trùng OptionOrder trong cùng choice",IF(OR(B103="",C103="",D103="",F103="",H103=""),"Thiếu trường bắt buộc",IF(OR(COUNTIF($A$5:$A$404,A103)&lt;2,COUNTIF($A$5:$A$404,A103)&gt;4),"Mỗi choice cần 2–4 option",IF(COUNTIFS('02_KICH_BAN_NODES'!$B$5:$B$204,A103,'02_KICH_BAN_NODES'!$E$5:$E$204,"Kiến thức")=1,IF(COUNTIFS($A$5:$A$404,A103,$D$5:$D$404,"Có")&lt;&gt;1,"Choice kiến thức cần đúng 1 đáp án đúng",""),IF(COUNTIFS('02_KICH_BAN_NODES'!$B$5:$B$204,A103,'02_KICH_BAN_NODES'!$E$5:$E$204,"Tương tác")=1,IF(COUNTIFS($A$5:$A$404,A103,$D$5:$D$404,"Có")&lt;&gt;0,"Choice tương tác không được đánh dấu đáp án đúng",""),"Choice chưa chọn loại")))))))</f>
        <v/>
      </c>
    </row>
    <row r="104" spans="1:11">
      <c r="A104" s="13"/>
      <c r="B104" s="13"/>
      <c r="C104" s="5"/>
      <c r="D104" s="13"/>
      <c r="E104" s="13"/>
      <c r="F104" s="13"/>
      <c r="G104" s="13"/>
      <c r="H104" s="5"/>
      <c r="I104" s="5"/>
      <c r="J104" s="6" t="str">
        <f t="shared" si="1"/>
        <v/>
      </c>
      <c r="K104" s="6" t="str">
        <f>IF(A104="","",IF(COUNTIFS('02_KICH_BAN_NODES'!$B$5:$B$204,A104,'02_KICH_BAN_NODES'!$D$5:$D$204,"choice")=0,"ChoiceNodeId không tồn tại hoặc không phải choice",IF(COUNTIFS($A$5:$A$404,A104,$B$5:$B$404,B104)&gt;1,"Trùng OptionOrder trong cùng choice",IF(OR(B104="",C104="",D104="",F104="",H104=""),"Thiếu trường bắt buộc",IF(OR(COUNTIF($A$5:$A$404,A104)&lt;2,COUNTIF($A$5:$A$404,A104)&gt;4),"Mỗi choice cần 2–4 option",IF(COUNTIFS('02_KICH_BAN_NODES'!$B$5:$B$204,A104,'02_KICH_BAN_NODES'!$E$5:$E$204,"Kiến thức")=1,IF(COUNTIFS($A$5:$A$404,A104,$D$5:$D$404,"Có")&lt;&gt;1,"Choice kiến thức cần đúng 1 đáp án đúng",""),IF(COUNTIFS('02_KICH_BAN_NODES'!$B$5:$B$204,A104,'02_KICH_BAN_NODES'!$E$5:$E$204,"Tương tác")=1,IF(COUNTIFS($A$5:$A$404,A104,$D$5:$D$404,"Có")&lt;&gt;0,"Choice tương tác không được đánh dấu đáp án đúng",""),"Choice chưa chọn loại")))))))</f>
        <v/>
      </c>
    </row>
    <row r="105" spans="1:11">
      <c r="A105" s="13"/>
      <c r="B105" s="13"/>
      <c r="C105" s="5"/>
      <c r="D105" s="13"/>
      <c r="E105" s="13"/>
      <c r="F105" s="13"/>
      <c r="G105" s="13"/>
      <c r="H105" s="5"/>
      <c r="I105" s="5"/>
      <c r="J105" s="6" t="str">
        <f t="shared" si="1"/>
        <v/>
      </c>
      <c r="K105" s="6" t="str">
        <f>IF(A105="","",IF(COUNTIFS('02_KICH_BAN_NODES'!$B$5:$B$204,A105,'02_KICH_BAN_NODES'!$D$5:$D$204,"choice")=0,"ChoiceNodeId không tồn tại hoặc không phải choice",IF(COUNTIFS($A$5:$A$404,A105,$B$5:$B$404,B105)&gt;1,"Trùng OptionOrder trong cùng choice",IF(OR(B105="",C105="",D105="",F105="",H105=""),"Thiếu trường bắt buộc",IF(OR(COUNTIF($A$5:$A$404,A105)&lt;2,COUNTIF($A$5:$A$404,A105)&gt;4),"Mỗi choice cần 2–4 option",IF(COUNTIFS('02_KICH_BAN_NODES'!$B$5:$B$204,A105,'02_KICH_BAN_NODES'!$E$5:$E$204,"Kiến thức")=1,IF(COUNTIFS($A$5:$A$404,A105,$D$5:$D$404,"Có")&lt;&gt;1,"Choice kiến thức cần đúng 1 đáp án đúng",""),IF(COUNTIFS('02_KICH_BAN_NODES'!$B$5:$B$204,A105,'02_KICH_BAN_NODES'!$E$5:$E$204,"Tương tác")=1,IF(COUNTIFS($A$5:$A$404,A105,$D$5:$D$404,"Có")&lt;&gt;0,"Choice tương tác không được đánh dấu đáp án đúng",""),"Choice chưa chọn loại")))))))</f>
        <v/>
      </c>
    </row>
    <row r="106" spans="1:11">
      <c r="A106" s="13"/>
      <c r="B106" s="13"/>
      <c r="C106" s="5"/>
      <c r="D106" s="13"/>
      <c r="E106" s="13"/>
      <c r="F106" s="13"/>
      <c r="G106" s="13"/>
      <c r="H106" s="5"/>
      <c r="I106" s="5"/>
      <c r="J106" s="6" t="str">
        <f t="shared" si="1"/>
        <v/>
      </c>
      <c r="K106" s="6" t="str">
        <f>IF(A106="","",IF(COUNTIFS('02_KICH_BAN_NODES'!$B$5:$B$204,A106,'02_KICH_BAN_NODES'!$D$5:$D$204,"choice")=0,"ChoiceNodeId không tồn tại hoặc không phải choice",IF(COUNTIFS($A$5:$A$404,A106,$B$5:$B$404,B106)&gt;1,"Trùng OptionOrder trong cùng choice",IF(OR(B106="",C106="",D106="",F106="",H106=""),"Thiếu trường bắt buộc",IF(OR(COUNTIF($A$5:$A$404,A106)&lt;2,COUNTIF($A$5:$A$404,A106)&gt;4),"Mỗi choice cần 2–4 option",IF(COUNTIFS('02_KICH_BAN_NODES'!$B$5:$B$204,A106,'02_KICH_BAN_NODES'!$E$5:$E$204,"Kiến thức")=1,IF(COUNTIFS($A$5:$A$404,A106,$D$5:$D$404,"Có")&lt;&gt;1,"Choice kiến thức cần đúng 1 đáp án đúng",""),IF(COUNTIFS('02_KICH_BAN_NODES'!$B$5:$B$204,A106,'02_KICH_BAN_NODES'!$E$5:$E$204,"Tương tác")=1,IF(COUNTIFS($A$5:$A$404,A106,$D$5:$D$404,"Có")&lt;&gt;0,"Choice tương tác không được đánh dấu đáp án đúng",""),"Choice chưa chọn loại")))))))</f>
        <v/>
      </c>
    </row>
    <row r="107" spans="1:11">
      <c r="A107" s="13"/>
      <c r="B107" s="13"/>
      <c r="C107" s="5"/>
      <c r="D107" s="13"/>
      <c r="E107" s="13"/>
      <c r="F107" s="13"/>
      <c r="G107" s="13"/>
      <c r="H107" s="5"/>
      <c r="I107" s="5"/>
      <c r="J107" s="6" t="str">
        <f t="shared" si="1"/>
        <v/>
      </c>
      <c r="K107" s="6" t="str">
        <f>IF(A107="","",IF(COUNTIFS('02_KICH_BAN_NODES'!$B$5:$B$204,A107,'02_KICH_BAN_NODES'!$D$5:$D$204,"choice")=0,"ChoiceNodeId không tồn tại hoặc không phải choice",IF(COUNTIFS($A$5:$A$404,A107,$B$5:$B$404,B107)&gt;1,"Trùng OptionOrder trong cùng choice",IF(OR(B107="",C107="",D107="",F107="",H107=""),"Thiếu trường bắt buộc",IF(OR(COUNTIF($A$5:$A$404,A107)&lt;2,COUNTIF($A$5:$A$404,A107)&gt;4),"Mỗi choice cần 2–4 option",IF(COUNTIFS('02_KICH_BAN_NODES'!$B$5:$B$204,A107,'02_KICH_BAN_NODES'!$E$5:$E$204,"Kiến thức")=1,IF(COUNTIFS($A$5:$A$404,A107,$D$5:$D$404,"Có")&lt;&gt;1,"Choice kiến thức cần đúng 1 đáp án đúng",""),IF(COUNTIFS('02_KICH_BAN_NODES'!$B$5:$B$204,A107,'02_KICH_BAN_NODES'!$E$5:$E$204,"Tương tác")=1,IF(COUNTIFS($A$5:$A$404,A107,$D$5:$D$404,"Có")&lt;&gt;0,"Choice tương tác không được đánh dấu đáp án đúng",""),"Choice chưa chọn loại")))))))</f>
        <v/>
      </c>
    </row>
    <row r="108" spans="1:11">
      <c r="A108" s="13"/>
      <c r="B108" s="13"/>
      <c r="C108" s="5"/>
      <c r="D108" s="13"/>
      <c r="E108" s="13"/>
      <c r="F108" s="13"/>
      <c r="G108" s="13"/>
      <c r="H108" s="5"/>
      <c r="I108" s="5"/>
      <c r="J108" s="6" t="str">
        <f t="shared" si="1"/>
        <v/>
      </c>
      <c r="K108" s="6" t="str">
        <f>IF(A108="","",IF(COUNTIFS('02_KICH_BAN_NODES'!$B$5:$B$204,A108,'02_KICH_BAN_NODES'!$D$5:$D$204,"choice")=0,"ChoiceNodeId không tồn tại hoặc không phải choice",IF(COUNTIFS($A$5:$A$404,A108,$B$5:$B$404,B108)&gt;1,"Trùng OptionOrder trong cùng choice",IF(OR(B108="",C108="",D108="",F108="",H108=""),"Thiếu trường bắt buộc",IF(OR(COUNTIF($A$5:$A$404,A108)&lt;2,COUNTIF($A$5:$A$404,A108)&gt;4),"Mỗi choice cần 2–4 option",IF(COUNTIFS('02_KICH_BAN_NODES'!$B$5:$B$204,A108,'02_KICH_BAN_NODES'!$E$5:$E$204,"Kiến thức")=1,IF(COUNTIFS($A$5:$A$404,A108,$D$5:$D$404,"Có")&lt;&gt;1,"Choice kiến thức cần đúng 1 đáp án đúng",""),IF(COUNTIFS('02_KICH_BAN_NODES'!$B$5:$B$204,A108,'02_KICH_BAN_NODES'!$E$5:$E$204,"Tương tác")=1,IF(COUNTIFS($A$5:$A$404,A108,$D$5:$D$404,"Có")&lt;&gt;0,"Choice tương tác không được đánh dấu đáp án đúng",""),"Choice chưa chọn loại")))))))</f>
        <v/>
      </c>
    </row>
    <row r="109" spans="1:11">
      <c r="A109" s="13"/>
      <c r="B109" s="13"/>
      <c r="C109" s="5"/>
      <c r="D109" s="13"/>
      <c r="E109" s="13"/>
      <c r="F109" s="13"/>
      <c r="G109" s="13"/>
      <c r="H109" s="5"/>
      <c r="I109" s="5"/>
      <c r="J109" s="6" t="str">
        <f t="shared" si="1"/>
        <v/>
      </c>
      <c r="K109" s="6" t="str">
        <f>IF(A109="","",IF(COUNTIFS('02_KICH_BAN_NODES'!$B$5:$B$204,A109,'02_KICH_BAN_NODES'!$D$5:$D$204,"choice")=0,"ChoiceNodeId không tồn tại hoặc không phải choice",IF(COUNTIFS($A$5:$A$404,A109,$B$5:$B$404,B109)&gt;1,"Trùng OptionOrder trong cùng choice",IF(OR(B109="",C109="",D109="",F109="",H109=""),"Thiếu trường bắt buộc",IF(OR(COUNTIF($A$5:$A$404,A109)&lt;2,COUNTIF($A$5:$A$404,A109)&gt;4),"Mỗi choice cần 2–4 option",IF(COUNTIFS('02_KICH_BAN_NODES'!$B$5:$B$204,A109,'02_KICH_BAN_NODES'!$E$5:$E$204,"Kiến thức")=1,IF(COUNTIFS($A$5:$A$404,A109,$D$5:$D$404,"Có")&lt;&gt;1,"Choice kiến thức cần đúng 1 đáp án đúng",""),IF(COUNTIFS('02_KICH_BAN_NODES'!$B$5:$B$204,A109,'02_KICH_BAN_NODES'!$E$5:$E$204,"Tương tác")=1,IF(COUNTIFS($A$5:$A$404,A109,$D$5:$D$404,"Có")&lt;&gt;0,"Choice tương tác không được đánh dấu đáp án đúng",""),"Choice chưa chọn loại")))))))</f>
        <v/>
      </c>
    </row>
    <row r="110" spans="1:11">
      <c r="A110" s="13"/>
      <c r="B110" s="13"/>
      <c r="C110" s="5"/>
      <c r="D110" s="13"/>
      <c r="E110" s="13"/>
      <c r="F110" s="13"/>
      <c r="G110" s="13"/>
      <c r="H110" s="5"/>
      <c r="I110" s="5"/>
      <c r="J110" s="6" t="str">
        <f t="shared" si="1"/>
        <v/>
      </c>
      <c r="K110" s="6" t="str">
        <f>IF(A110="","",IF(COUNTIFS('02_KICH_BAN_NODES'!$B$5:$B$204,A110,'02_KICH_BAN_NODES'!$D$5:$D$204,"choice")=0,"ChoiceNodeId không tồn tại hoặc không phải choice",IF(COUNTIFS($A$5:$A$404,A110,$B$5:$B$404,B110)&gt;1,"Trùng OptionOrder trong cùng choice",IF(OR(B110="",C110="",D110="",F110="",H110=""),"Thiếu trường bắt buộc",IF(OR(COUNTIF($A$5:$A$404,A110)&lt;2,COUNTIF($A$5:$A$404,A110)&gt;4),"Mỗi choice cần 2–4 option",IF(COUNTIFS('02_KICH_BAN_NODES'!$B$5:$B$204,A110,'02_KICH_BAN_NODES'!$E$5:$E$204,"Kiến thức")=1,IF(COUNTIFS($A$5:$A$404,A110,$D$5:$D$404,"Có")&lt;&gt;1,"Choice kiến thức cần đúng 1 đáp án đúng",""),IF(COUNTIFS('02_KICH_BAN_NODES'!$B$5:$B$204,A110,'02_KICH_BAN_NODES'!$E$5:$E$204,"Tương tác")=1,IF(COUNTIFS($A$5:$A$404,A110,$D$5:$D$404,"Có")&lt;&gt;0,"Choice tương tác không được đánh dấu đáp án đúng",""),"Choice chưa chọn loại")))))))</f>
        <v/>
      </c>
    </row>
    <row r="111" spans="1:11">
      <c r="A111" s="13"/>
      <c r="B111" s="13"/>
      <c r="C111" s="5"/>
      <c r="D111" s="13"/>
      <c r="E111" s="13"/>
      <c r="F111" s="13"/>
      <c r="G111" s="13"/>
      <c r="H111" s="5"/>
      <c r="I111" s="5"/>
      <c r="J111" s="6" t="str">
        <f t="shared" si="1"/>
        <v/>
      </c>
      <c r="K111" s="6" t="str">
        <f>IF(A111="","",IF(COUNTIFS('02_KICH_BAN_NODES'!$B$5:$B$204,A111,'02_KICH_BAN_NODES'!$D$5:$D$204,"choice")=0,"ChoiceNodeId không tồn tại hoặc không phải choice",IF(COUNTIFS($A$5:$A$404,A111,$B$5:$B$404,B111)&gt;1,"Trùng OptionOrder trong cùng choice",IF(OR(B111="",C111="",D111="",F111="",H111=""),"Thiếu trường bắt buộc",IF(OR(COUNTIF($A$5:$A$404,A111)&lt;2,COUNTIF($A$5:$A$404,A111)&gt;4),"Mỗi choice cần 2–4 option",IF(COUNTIFS('02_KICH_BAN_NODES'!$B$5:$B$204,A111,'02_KICH_BAN_NODES'!$E$5:$E$204,"Kiến thức")=1,IF(COUNTIFS($A$5:$A$404,A111,$D$5:$D$404,"Có")&lt;&gt;1,"Choice kiến thức cần đúng 1 đáp án đúng",""),IF(COUNTIFS('02_KICH_BAN_NODES'!$B$5:$B$204,A111,'02_KICH_BAN_NODES'!$E$5:$E$204,"Tương tác")=1,IF(COUNTIFS($A$5:$A$404,A111,$D$5:$D$404,"Có")&lt;&gt;0,"Choice tương tác không được đánh dấu đáp án đúng",""),"Choice chưa chọn loại")))))))</f>
        <v/>
      </c>
    </row>
    <row r="112" spans="1:11">
      <c r="A112" s="13"/>
      <c r="B112" s="13"/>
      <c r="C112" s="5"/>
      <c r="D112" s="13"/>
      <c r="E112" s="13"/>
      <c r="F112" s="13"/>
      <c r="G112" s="13"/>
      <c r="H112" s="5"/>
      <c r="I112" s="5"/>
      <c r="J112" s="6" t="str">
        <f t="shared" si="1"/>
        <v/>
      </c>
      <c r="K112" s="6" t="str">
        <f>IF(A112="","",IF(COUNTIFS('02_KICH_BAN_NODES'!$B$5:$B$204,A112,'02_KICH_BAN_NODES'!$D$5:$D$204,"choice")=0,"ChoiceNodeId không tồn tại hoặc không phải choice",IF(COUNTIFS($A$5:$A$404,A112,$B$5:$B$404,B112)&gt;1,"Trùng OptionOrder trong cùng choice",IF(OR(B112="",C112="",D112="",F112="",H112=""),"Thiếu trường bắt buộc",IF(OR(COUNTIF($A$5:$A$404,A112)&lt;2,COUNTIF($A$5:$A$404,A112)&gt;4),"Mỗi choice cần 2–4 option",IF(COUNTIFS('02_KICH_BAN_NODES'!$B$5:$B$204,A112,'02_KICH_BAN_NODES'!$E$5:$E$204,"Kiến thức")=1,IF(COUNTIFS($A$5:$A$404,A112,$D$5:$D$404,"Có")&lt;&gt;1,"Choice kiến thức cần đúng 1 đáp án đúng",""),IF(COUNTIFS('02_KICH_BAN_NODES'!$B$5:$B$204,A112,'02_KICH_BAN_NODES'!$E$5:$E$204,"Tương tác")=1,IF(COUNTIFS($A$5:$A$404,A112,$D$5:$D$404,"Có")&lt;&gt;0,"Choice tương tác không được đánh dấu đáp án đúng",""),"Choice chưa chọn loại")))))))</f>
        <v/>
      </c>
    </row>
    <row r="113" spans="1:11">
      <c r="A113" s="13"/>
      <c r="B113" s="13"/>
      <c r="C113" s="5"/>
      <c r="D113" s="13"/>
      <c r="E113" s="13"/>
      <c r="F113" s="13"/>
      <c r="G113" s="13"/>
      <c r="H113" s="5"/>
      <c r="I113" s="5"/>
      <c r="J113" s="6" t="str">
        <f t="shared" si="1"/>
        <v/>
      </c>
      <c r="K113" s="6" t="str">
        <f>IF(A113="","",IF(COUNTIFS('02_KICH_BAN_NODES'!$B$5:$B$204,A113,'02_KICH_BAN_NODES'!$D$5:$D$204,"choice")=0,"ChoiceNodeId không tồn tại hoặc không phải choice",IF(COUNTIFS($A$5:$A$404,A113,$B$5:$B$404,B113)&gt;1,"Trùng OptionOrder trong cùng choice",IF(OR(B113="",C113="",D113="",F113="",H113=""),"Thiếu trường bắt buộc",IF(OR(COUNTIF($A$5:$A$404,A113)&lt;2,COUNTIF($A$5:$A$404,A113)&gt;4),"Mỗi choice cần 2–4 option",IF(COUNTIFS('02_KICH_BAN_NODES'!$B$5:$B$204,A113,'02_KICH_BAN_NODES'!$E$5:$E$204,"Kiến thức")=1,IF(COUNTIFS($A$5:$A$404,A113,$D$5:$D$404,"Có")&lt;&gt;1,"Choice kiến thức cần đúng 1 đáp án đúng",""),IF(COUNTIFS('02_KICH_BAN_NODES'!$B$5:$B$204,A113,'02_KICH_BAN_NODES'!$E$5:$E$204,"Tương tác")=1,IF(COUNTIFS($A$5:$A$404,A113,$D$5:$D$404,"Có")&lt;&gt;0,"Choice tương tác không được đánh dấu đáp án đúng",""),"Choice chưa chọn loại")))))))</f>
        <v/>
      </c>
    </row>
    <row r="114" spans="1:11">
      <c r="A114" s="13"/>
      <c r="B114" s="13"/>
      <c r="C114" s="5"/>
      <c r="D114" s="13"/>
      <c r="E114" s="13"/>
      <c r="F114" s="13"/>
      <c r="G114" s="13"/>
      <c r="H114" s="5"/>
      <c r="I114" s="5"/>
      <c r="J114" s="6" t="str">
        <f t="shared" si="1"/>
        <v/>
      </c>
      <c r="K114" s="6" t="str">
        <f>IF(A114="","",IF(COUNTIFS('02_KICH_BAN_NODES'!$B$5:$B$204,A114,'02_KICH_BAN_NODES'!$D$5:$D$204,"choice")=0,"ChoiceNodeId không tồn tại hoặc không phải choice",IF(COUNTIFS($A$5:$A$404,A114,$B$5:$B$404,B114)&gt;1,"Trùng OptionOrder trong cùng choice",IF(OR(B114="",C114="",D114="",F114="",H114=""),"Thiếu trường bắt buộc",IF(OR(COUNTIF($A$5:$A$404,A114)&lt;2,COUNTIF($A$5:$A$404,A114)&gt;4),"Mỗi choice cần 2–4 option",IF(COUNTIFS('02_KICH_BAN_NODES'!$B$5:$B$204,A114,'02_KICH_BAN_NODES'!$E$5:$E$204,"Kiến thức")=1,IF(COUNTIFS($A$5:$A$404,A114,$D$5:$D$404,"Có")&lt;&gt;1,"Choice kiến thức cần đúng 1 đáp án đúng",""),IF(COUNTIFS('02_KICH_BAN_NODES'!$B$5:$B$204,A114,'02_KICH_BAN_NODES'!$E$5:$E$204,"Tương tác")=1,IF(COUNTIFS($A$5:$A$404,A114,$D$5:$D$404,"Có")&lt;&gt;0,"Choice tương tác không được đánh dấu đáp án đúng",""),"Choice chưa chọn loại")))))))</f>
        <v/>
      </c>
    </row>
    <row r="115" spans="1:11">
      <c r="A115" s="13"/>
      <c r="B115" s="13"/>
      <c r="C115" s="5"/>
      <c r="D115" s="13"/>
      <c r="E115" s="13"/>
      <c r="F115" s="13"/>
      <c r="G115" s="13"/>
      <c r="H115" s="5"/>
      <c r="I115" s="5"/>
      <c r="J115" s="6" t="str">
        <f t="shared" si="1"/>
        <v/>
      </c>
      <c r="K115" s="6" t="str">
        <f>IF(A115="","",IF(COUNTIFS('02_KICH_BAN_NODES'!$B$5:$B$204,A115,'02_KICH_BAN_NODES'!$D$5:$D$204,"choice")=0,"ChoiceNodeId không tồn tại hoặc không phải choice",IF(COUNTIFS($A$5:$A$404,A115,$B$5:$B$404,B115)&gt;1,"Trùng OptionOrder trong cùng choice",IF(OR(B115="",C115="",D115="",F115="",H115=""),"Thiếu trường bắt buộc",IF(OR(COUNTIF($A$5:$A$404,A115)&lt;2,COUNTIF($A$5:$A$404,A115)&gt;4),"Mỗi choice cần 2–4 option",IF(COUNTIFS('02_KICH_BAN_NODES'!$B$5:$B$204,A115,'02_KICH_BAN_NODES'!$E$5:$E$204,"Kiến thức")=1,IF(COUNTIFS($A$5:$A$404,A115,$D$5:$D$404,"Có")&lt;&gt;1,"Choice kiến thức cần đúng 1 đáp án đúng",""),IF(COUNTIFS('02_KICH_BAN_NODES'!$B$5:$B$204,A115,'02_KICH_BAN_NODES'!$E$5:$E$204,"Tương tác")=1,IF(COUNTIFS($A$5:$A$404,A115,$D$5:$D$404,"Có")&lt;&gt;0,"Choice tương tác không được đánh dấu đáp án đúng",""),"Choice chưa chọn loại")))))))</f>
        <v/>
      </c>
    </row>
    <row r="116" spans="1:11">
      <c r="A116" s="13"/>
      <c r="B116" s="13"/>
      <c r="C116" s="5"/>
      <c r="D116" s="13"/>
      <c r="E116" s="13"/>
      <c r="F116" s="13"/>
      <c r="G116" s="13"/>
      <c r="H116" s="5"/>
      <c r="I116" s="5"/>
      <c r="J116" s="6" t="str">
        <f t="shared" si="1"/>
        <v/>
      </c>
      <c r="K116" s="6" t="str">
        <f>IF(A116="","",IF(COUNTIFS('02_KICH_BAN_NODES'!$B$5:$B$204,A116,'02_KICH_BAN_NODES'!$D$5:$D$204,"choice")=0,"ChoiceNodeId không tồn tại hoặc không phải choice",IF(COUNTIFS($A$5:$A$404,A116,$B$5:$B$404,B116)&gt;1,"Trùng OptionOrder trong cùng choice",IF(OR(B116="",C116="",D116="",F116="",H116=""),"Thiếu trường bắt buộc",IF(OR(COUNTIF($A$5:$A$404,A116)&lt;2,COUNTIF($A$5:$A$404,A116)&gt;4),"Mỗi choice cần 2–4 option",IF(COUNTIFS('02_KICH_BAN_NODES'!$B$5:$B$204,A116,'02_KICH_BAN_NODES'!$E$5:$E$204,"Kiến thức")=1,IF(COUNTIFS($A$5:$A$404,A116,$D$5:$D$404,"Có")&lt;&gt;1,"Choice kiến thức cần đúng 1 đáp án đúng",""),IF(COUNTIFS('02_KICH_BAN_NODES'!$B$5:$B$204,A116,'02_KICH_BAN_NODES'!$E$5:$E$204,"Tương tác")=1,IF(COUNTIFS($A$5:$A$404,A116,$D$5:$D$404,"Có")&lt;&gt;0,"Choice tương tác không được đánh dấu đáp án đúng",""),"Choice chưa chọn loại")))))))</f>
        <v/>
      </c>
    </row>
    <row r="117" spans="1:11">
      <c r="A117" s="13"/>
      <c r="B117" s="13"/>
      <c r="C117" s="5"/>
      <c r="D117" s="13"/>
      <c r="E117" s="13"/>
      <c r="F117" s="13"/>
      <c r="G117" s="13"/>
      <c r="H117" s="5"/>
      <c r="I117" s="5"/>
      <c r="J117" s="6" t="str">
        <f t="shared" si="1"/>
        <v/>
      </c>
      <c r="K117" s="6" t="str">
        <f>IF(A117="","",IF(COUNTIFS('02_KICH_BAN_NODES'!$B$5:$B$204,A117,'02_KICH_BAN_NODES'!$D$5:$D$204,"choice")=0,"ChoiceNodeId không tồn tại hoặc không phải choice",IF(COUNTIFS($A$5:$A$404,A117,$B$5:$B$404,B117)&gt;1,"Trùng OptionOrder trong cùng choice",IF(OR(B117="",C117="",D117="",F117="",H117=""),"Thiếu trường bắt buộc",IF(OR(COUNTIF($A$5:$A$404,A117)&lt;2,COUNTIF($A$5:$A$404,A117)&gt;4),"Mỗi choice cần 2–4 option",IF(COUNTIFS('02_KICH_BAN_NODES'!$B$5:$B$204,A117,'02_KICH_BAN_NODES'!$E$5:$E$204,"Kiến thức")=1,IF(COUNTIFS($A$5:$A$404,A117,$D$5:$D$404,"Có")&lt;&gt;1,"Choice kiến thức cần đúng 1 đáp án đúng",""),IF(COUNTIFS('02_KICH_BAN_NODES'!$B$5:$B$204,A117,'02_KICH_BAN_NODES'!$E$5:$E$204,"Tương tác")=1,IF(COUNTIFS($A$5:$A$404,A117,$D$5:$D$404,"Có")&lt;&gt;0,"Choice tương tác không được đánh dấu đáp án đúng",""),"Choice chưa chọn loại")))))))</f>
        <v/>
      </c>
    </row>
    <row r="118" spans="1:11">
      <c r="A118" s="13"/>
      <c r="B118" s="13"/>
      <c r="C118" s="5"/>
      <c r="D118" s="13"/>
      <c r="E118" s="13"/>
      <c r="F118" s="13"/>
      <c r="G118" s="13"/>
      <c r="H118" s="5"/>
      <c r="I118" s="5"/>
      <c r="J118" s="6" t="str">
        <f t="shared" si="1"/>
        <v/>
      </c>
      <c r="K118" s="6" t="str">
        <f>IF(A118="","",IF(COUNTIFS('02_KICH_BAN_NODES'!$B$5:$B$204,A118,'02_KICH_BAN_NODES'!$D$5:$D$204,"choice")=0,"ChoiceNodeId không tồn tại hoặc không phải choice",IF(COUNTIFS($A$5:$A$404,A118,$B$5:$B$404,B118)&gt;1,"Trùng OptionOrder trong cùng choice",IF(OR(B118="",C118="",D118="",F118="",H118=""),"Thiếu trường bắt buộc",IF(OR(COUNTIF($A$5:$A$404,A118)&lt;2,COUNTIF($A$5:$A$404,A118)&gt;4),"Mỗi choice cần 2–4 option",IF(COUNTIFS('02_KICH_BAN_NODES'!$B$5:$B$204,A118,'02_KICH_BAN_NODES'!$E$5:$E$204,"Kiến thức")=1,IF(COUNTIFS($A$5:$A$404,A118,$D$5:$D$404,"Có")&lt;&gt;1,"Choice kiến thức cần đúng 1 đáp án đúng",""),IF(COUNTIFS('02_KICH_BAN_NODES'!$B$5:$B$204,A118,'02_KICH_BAN_NODES'!$E$5:$E$204,"Tương tác")=1,IF(COUNTIFS($A$5:$A$404,A118,$D$5:$D$404,"Có")&lt;&gt;0,"Choice tương tác không được đánh dấu đáp án đúng",""),"Choice chưa chọn loại")))))))</f>
        <v/>
      </c>
    </row>
    <row r="119" spans="1:11">
      <c r="A119" s="13"/>
      <c r="B119" s="13"/>
      <c r="C119" s="5"/>
      <c r="D119" s="13"/>
      <c r="E119" s="13"/>
      <c r="F119" s="13"/>
      <c r="G119" s="13"/>
      <c r="H119" s="5"/>
      <c r="I119" s="5"/>
      <c r="J119" s="6" t="str">
        <f t="shared" si="1"/>
        <v/>
      </c>
      <c r="K119" s="6" t="str">
        <f>IF(A119="","",IF(COUNTIFS('02_KICH_BAN_NODES'!$B$5:$B$204,A119,'02_KICH_BAN_NODES'!$D$5:$D$204,"choice")=0,"ChoiceNodeId không tồn tại hoặc không phải choice",IF(COUNTIFS($A$5:$A$404,A119,$B$5:$B$404,B119)&gt;1,"Trùng OptionOrder trong cùng choice",IF(OR(B119="",C119="",D119="",F119="",H119=""),"Thiếu trường bắt buộc",IF(OR(COUNTIF($A$5:$A$404,A119)&lt;2,COUNTIF($A$5:$A$404,A119)&gt;4),"Mỗi choice cần 2–4 option",IF(COUNTIFS('02_KICH_BAN_NODES'!$B$5:$B$204,A119,'02_KICH_BAN_NODES'!$E$5:$E$204,"Kiến thức")=1,IF(COUNTIFS($A$5:$A$404,A119,$D$5:$D$404,"Có")&lt;&gt;1,"Choice kiến thức cần đúng 1 đáp án đúng",""),IF(COUNTIFS('02_KICH_BAN_NODES'!$B$5:$B$204,A119,'02_KICH_BAN_NODES'!$E$5:$E$204,"Tương tác")=1,IF(COUNTIFS($A$5:$A$404,A119,$D$5:$D$404,"Có")&lt;&gt;0,"Choice tương tác không được đánh dấu đáp án đúng",""),"Choice chưa chọn loại")))))))</f>
        <v/>
      </c>
    </row>
    <row r="120" spans="1:11">
      <c r="A120" s="13"/>
      <c r="B120" s="13"/>
      <c r="C120" s="5"/>
      <c r="D120" s="13"/>
      <c r="E120" s="13"/>
      <c r="F120" s="13"/>
      <c r="G120" s="13"/>
      <c r="H120" s="5"/>
      <c r="I120" s="5"/>
      <c r="J120" s="6" t="str">
        <f t="shared" si="1"/>
        <v/>
      </c>
      <c r="K120" s="6" t="str">
        <f>IF(A120="","",IF(COUNTIFS('02_KICH_BAN_NODES'!$B$5:$B$204,A120,'02_KICH_BAN_NODES'!$D$5:$D$204,"choice")=0,"ChoiceNodeId không tồn tại hoặc không phải choice",IF(COUNTIFS($A$5:$A$404,A120,$B$5:$B$404,B120)&gt;1,"Trùng OptionOrder trong cùng choice",IF(OR(B120="",C120="",D120="",F120="",H120=""),"Thiếu trường bắt buộc",IF(OR(COUNTIF($A$5:$A$404,A120)&lt;2,COUNTIF($A$5:$A$404,A120)&gt;4),"Mỗi choice cần 2–4 option",IF(COUNTIFS('02_KICH_BAN_NODES'!$B$5:$B$204,A120,'02_KICH_BAN_NODES'!$E$5:$E$204,"Kiến thức")=1,IF(COUNTIFS($A$5:$A$404,A120,$D$5:$D$404,"Có")&lt;&gt;1,"Choice kiến thức cần đúng 1 đáp án đúng",""),IF(COUNTIFS('02_KICH_BAN_NODES'!$B$5:$B$204,A120,'02_KICH_BAN_NODES'!$E$5:$E$204,"Tương tác")=1,IF(COUNTIFS($A$5:$A$404,A120,$D$5:$D$404,"Có")&lt;&gt;0,"Choice tương tác không được đánh dấu đáp án đúng",""),"Choice chưa chọn loại")))))))</f>
        <v/>
      </c>
    </row>
    <row r="121" spans="1:11">
      <c r="A121" s="13"/>
      <c r="B121" s="13"/>
      <c r="C121" s="5"/>
      <c r="D121" s="13"/>
      <c r="E121" s="13"/>
      <c r="F121" s="13"/>
      <c r="G121" s="13"/>
      <c r="H121" s="5"/>
      <c r="I121" s="5"/>
      <c r="J121" s="6" t="str">
        <f t="shared" si="1"/>
        <v/>
      </c>
      <c r="K121" s="6" t="str">
        <f>IF(A121="","",IF(COUNTIFS('02_KICH_BAN_NODES'!$B$5:$B$204,A121,'02_KICH_BAN_NODES'!$D$5:$D$204,"choice")=0,"ChoiceNodeId không tồn tại hoặc không phải choice",IF(COUNTIFS($A$5:$A$404,A121,$B$5:$B$404,B121)&gt;1,"Trùng OptionOrder trong cùng choice",IF(OR(B121="",C121="",D121="",F121="",H121=""),"Thiếu trường bắt buộc",IF(OR(COUNTIF($A$5:$A$404,A121)&lt;2,COUNTIF($A$5:$A$404,A121)&gt;4),"Mỗi choice cần 2–4 option",IF(COUNTIFS('02_KICH_BAN_NODES'!$B$5:$B$204,A121,'02_KICH_BAN_NODES'!$E$5:$E$204,"Kiến thức")=1,IF(COUNTIFS($A$5:$A$404,A121,$D$5:$D$404,"Có")&lt;&gt;1,"Choice kiến thức cần đúng 1 đáp án đúng",""),IF(COUNTIFS('02_KICH_BAN_NODES'!$B$5:$B$204,A121,'02_KICH_BAN_NODES'!$E$5:$E$204,"Tương tác")=1,IF(COUNTIFS($A$5:$A$404,A121,$D$5:$D$404,"Có")&lt;&gt;0,"Choice tương tác không được đánh dấu đáp án đúng",""),"Choice chưa chọn loại")))))))</f>
        <v/>
      </c>
    </row>
    <row r="122" spans="1:11">
      <c r="A122" s="13"/>
      <c r="B122" s="13"/>
      <c r="C122" s="5"/>
      <c r="D122" s="13"/>
      <c r="E122" s="13"/>
      <c r="F122" s="13"/>
      <c r="G122" s="13"/>
      <c r="H122" s="5"/>
      <c r="I122" s="5"/>
      <c r="J122" s="6" t="str">
        <f t="shared" si="1"/>
        <v/>
      </c>
      <c r="K122" s="6" t="str">
        <f>IF(A122="","",IF(COUNTIFS('02_KICH_BAN_NODES'!$B$5:$B$204,A122,'02_KICH_BAN_NODES'!$D$5:$D$204,"choice")=0,"ChoiceNodeId không tồn tại hoặc không phải choice",IF(COUNTIFS($A$5:$A$404,A122,$B$5:$B$404,B122)&gt;1,"Trùng OptionOrder trong cùng choice",IF(OR(B122="",C122="",D122="",F122="",H122=""),"Thiếu trường bắt buộc",IF(OR(COUNTIF($A$5:$A$404,A122)&lt;2,COUNTIF($A$5:$A$404,A122)&gt;4),"Mỗi choice cần 2–4 option",IF(COUNTIFS('02_KICH_BAN_NODES'!$B$5:$B$204,A122,'02_KICH_BAN_NODES'!$E$5:$E$204,"Kiến thức")=1,IF(COUNTIFS($A$5:$A$404,A122,$D$5:$D$404,"Có")&lt;&gt;1,"Choice kiến thức cần đúng 1 đáp án đúng",""),IF(COUNTIFS('02_KICH_BAN_NODES'!$B$5:$B$204,A122,'02_KICH_BAN_NODES'!$E$5:$E$204,"Tương tác")=1,IF(COUNTIFS($A$5:$A$404,A122,$D$5:$D$404,"Có")&lt;&gt;0,"Choice tương tác không được đánh dấu đáp án đúng",""),"Choice chưa chọn loại")))))))</f>
        <v/>
      </c>
    </row>
    <row r="123" spans="1:11">
      <c r="A123" s="13"/>
      <c r="B123" s="13"/>
      <c r="C123" s="5"/>
      <c r="D123" s="13"/>
      <c r="E123" s="13"/>
      <c r="F123" s="13"/>
      <c r="G123" s="13"/>
      <c r="H123" s="5"/>
      <c r="I123" s="5"/>
      <c r="J123" s="6" t="str">
        <f t="shared" si="1"/>
        <v/>
      </c>
      <c r="K123" s="6" t="str">
        <f>IF(A123="","",IF(COUNTIFS('02_KICH_BAN_NODES'!$B$5:$B$204,A123,'02_KICH_BAN_NODES'!$D$5:$D$204,"choice")=0,"ChoiceNodeId không tồn tại hoặc không phải choice",IF(COUNTIFS($A$5:$A$404,A123,$B$5:$B$404,B123)&gt;1,"Trùng OptionOrder trong cùng choice",IF(OR(B123="",C123="",D123="",F123="",H123=""),"Thiếu trường bắt buộc",IF(OR(COUNTIF($A$5:$A$404,A123)&lt;2,COUNTIF($A$5:$A$404,A123)&gt;4),"Mỗi choice cần 2–4 option",IF(COUNTIFS('02_KICH_BAN_NODES'!$B$5:$B$204,A123,'02_KICH_BAN_NODES'!$E$5:$E$204,"Kiến thức")=1,IF(COUNTIFS($A$5:$A$404,A123,$D$5:$D$404,"Có")&lt;&gt;1,"Choice kiến thức cần đúng 1 đáp án đúng",""),IF(COUNTIFS('02_KICH_BAN_NODES'!$B$5:$B$204,A123,'02_KICH_BAN_NODES'!$E$5:$E$204,"Tương tác")=1,IF(COUNTIFS($A$5:$A$404,A123,$D$5:$D$404,"Có")&lt;&gt;0,"Choice tương tác không được đánh dấu đáp án đúng",""),"Choice chưa chọn loại")))))))</f>
        <v/>
      </c>
    </row>
    <row r="124" spans="1:11">
      <c r="A124" s="13"/>
      <c r="B124" s="13"/>
      <c r="C124" s="5"/>
      <c r="D124" s="13"/>
      <c r="E124" s="13"/>
      <c r="F124" s="13"/>
      <c r="G124" s="13"/>
      <c r="H124" s="5"/>
      <c r="I124" s="5"/>
      <c r="J124" s="6" t="str">
        <f t="shared" si="1"/>
        <v/>
      </c>
      <c r="K124" s="6" t="str">
        <f>IF(A124="","",IF(COUNTIFS('02_KICH_BAN_NODES'!$B$5:$B$204,A124,'02_KICH_BAN_NODES'!$D$5:$D$204,"choice")=0,"ChoiceNodeId không tồn tại hoặc không phải choice",IF(COUNTIFS($A$5:$A$404,A124,$B$5:$B$404,B124)&gt;1,"Trùng OptionOrder trong cùng choice",IF(OR(B124="",C124="",D124="",F124="",H124=""),"Thiếu trường bắt buộc",IF(OR(COUNTIF($A$5:$A$404,A124)&lt;2,COUNTIF($A$5:$A$404,A124)&gt;4),"Mỗi choice cần 2–4 option",IF(COUNTIFS('02_KICH_BAN_NODES'!$B$5:$B$204,A124,'02_KICH_BAN_NODES'!$E$5:$E$204,"Kiến thức")=1,IF(COUNTIFS($A$5:$A$404,A124,$D$5:$D$404,"Có")&lt;&gt;1,"Choice kiến thức cần đúng 1 đáp án đúng",""),IF(COUNTIFS('02_KICH_BAN_NODES'!$B$5:$B$204,A124,'02_KICH_BAN_NODES'!$E$5:$E$204,"Tương tác")=1,IF(COUNTIFS($A$5:$A$404,A124,$D$5:$D$404,"Có")&lt;&gt;0,"Choice tương tác không được đánh dấu đáp án đúng",""),"Choice chưa chọn loại")))))))</f>
        <v/>
      </c>
    </row>
    <row r="125" spans="1:11">
      <c r="A125" s="13"/>
      <c r="B125" s="13"/>
      <c r="C125" s="5"/>
      <c r="D125" s="13"/>
      <c r="E125" s="13"/>
      <c r="F125" s="13"/>
      <c r="G125" s="13"/>
      <c r="H125" s="5"/>
      <c r="I125" s="5"/>
      <c r="J125" s="6" t="str">
        <f t="shared" si="1"/>
        <v/>
      </c>
      <c r="K125" s="6" t="str">
        <f>IF(A125="","",IF(COUNTIFS('02_KICH_BAN_NODES'!$B$5:$B$204,A125,'02_KICH_BAN_NODES'!$D$5:$D$204,"choice")=0,"ChoiceNodeId không tồn tại hoặc không phải choice",IF(COUNTIFS($A$5:$A$404,A125,$B$5:$B$404,B125)&gt;1,"Trùng OptionOrder trong cùng choice",IF(OR(B125="",C125="",D125="",F125="",H125=""),"Thiếu trường bắt buộc",IF(OR(COUNTIF($A$5:$A$404,A125)&lt;2,COUNTIF($A$5:$A$404,A125)&gt;4),"Mỗi choice cần 2–4 option",IF(COUNTIFS('02_KICH_BAN_NODES'!$B$5:$B$204,A125,'02_KICH_BAN_NODES'!$E$5:$E$204,"Kiến thức")=1,IF(COUNTIFS($A$5:$A$404,A125,$D$5:$D$404,"Có")&lt;&gt;1,"Choice kiến thức cần đúng 1 đáp án đúng",""),IF(COUNTIFS('02_KICH_BAN_NODES'!$B$5:$B$204,A125,'02_KICH_BAN_NODES'!$E$5:$E$204,"Tương tác")=1,IF(COUNTIFS($A$5:$A$404,A125,$D$5:$D$404,"Có")&lt;&gt;0,"Choice tương tác không được đánh dấu đáp án đúng",""),"Choice chưa chọn loại")))))))</f>
        <v/>
      </c>
    </row>
    <row r="126" spans="1:11">
      <c r="A126" s="13"/>
      <c r="B126" s="13"/>
      <c r="C126" s="5"/>
      <c r="D126" s="13"/>
      <c r="E126" s="13"/>
      <c r="F126" s="13"/>
      <c r="G126" s="13"/>
      <c r="H126" s="5"/>
      <c r="I126" s="5"/>
      <c r="J126" s="6" t="str">
        <f t="shared" si="1"/>
        <v/>
      </c>
      <c r="K126" s="6" t="str">
        <f>IF(A126="","",IF(COUNTIFS('02_KICH_BAN_NODES'!$B$5:$B$204,A126,'02_KICH_BAN_NODES'!$D$5:$D$204,"choice")=0,"ChoiceNodeId không tồn tại hoặc không phải choice",IF(COUNTIFS($A$5:$A$404,A126,$B$5:$B$404,B126)&gt;1,"Trùng OptionOrder trong cùng choice",IF(OR(B126="",C126="",D126="",F126="",H126=""),"Thiếu trường bắt buộc",IF(OR(COUNTIF($A$5:$A$404,A126)&lt;2,COUNTIF($A$5:$A$404,A126)&gt;4),"Mỗi choice cần 2–4 option",IF(COUNTIFS('02_KICH_BAN_NODES'!$B$5:$B$204,A126,'02_KICH_BAN_NODES'!$E$5:$E$204,"Kiến thức")=1,IF(COUNTIFS($A$5:$A$404,A126,$D$5:$D$404,"Có")&lt;&gt;1,"Choice kiến thức cần đúng 1 đáp án đúng",""),IF(COUNTIFS('02_KICH_BAN_NODES'!$B$5:$B$204,A126,'02_KICH_BAN_NODES'!$E$5:$E$204,"Tương tác")=1,IF(COUNTIFS($A$5:$A$404,A126,$D$5:$D$404,"Có")&lt;&gt;0,"Choice tương tác không được đánh dấu đáp án đúng",""),"Choice chưa chọn loại")))))))</f>
        <v/>
      </c>
    </row>
    <row r="127" spans="1:11">
      <c r="A127" s="13"/>
      <c r="B127" s="13"/>
      <c r="C127" s="5"/>
      <c r="D127" s="13"/>
      <c r="E127" s="13"/>
      <c r="F127" s="13"/>
      <c r="G127" s="13"/>
      <c r="H127" s="5"/>
      <c r="I127" s="5"/>
      <c r="J127" s="6" t="str">
        <f t="shared" si="1"/>
        <v/>
      </c>
      <c r="K127" s="6" t="str">
        <f>IF(A127="","",IF(COUNTIFS('02_KICH_BAN_NODES'!$B$5:$B$204,A127,'02_KICH_BAN_NODES'!$D$5:$D$204,"choice")=0,"ChoiceNodeId không tồn tại hoặc không phải choice",IF(COUNTIFS($A$5:$A$404,A127,$B$5:$B$404,B127)&gt;1,"Trùng OptionOrder trong cùng choice",IF(OR(B127="",C127="",D127="",F127="",H127=""),"Thiếu trường bắt buộc",IF(OR(COUNTIF($A$5:$A$404,A127)&lt;2,COUNTIF($A$5:$A$404,A127)&gt;4),"Mỗi choice cần 2–4 option",IF(COUNTIFS('02_KICH_BAN_NODES'!$B$5:$B$204,A127,'02_KICH_BAN_NODES'!$E$5:$E$204,"Kiến thức")=1,IF(COUNTIFS($A$5:$A$404,A127,$D$5:$D$404,"Có")&lt;&gt;1,"Choice kiến thức cần đúng 1 đáp án đúng",""),IF(COUNTIFS('02_KICH_BAN_NODES'!$B$5:$B$204,A127,'02_KICH_BAN_NODES'!$E$5:$E$204,"Tương tác")=1,IF(COUNTIFS($A$5:$A$404,A127,$D$5:$D$404,"Có")&lt;&gt;0,"Choice tương tác không được đánh dấu đáp án đúng",""),"Choice chưa chọn loại")))))))</f>
        <v/>
      </c>
    </row>
    <row r="128" spans="1:11">
      <c r="A128" s="13"/>
      <c r="B128" s="13"/>
      <c r="C128" s="5"/>
      <c r="D128" s="13"/>
      <c r="E128" s="13"/>
      <c r="F128" s="13"/>
      <c r="G128" s="13"/>
      <c r="H128" s="5"/>
      <c r="I128" s="5"/>
      <c r="J128" s="6" t="str">
        <f t="shared" si="1"/>
        <v/>
      </c>
      <c r="K128" s="6" t="str">
        <f>IF(A128="","",IF(COUNTIFS('02_KICH_BAN_NODES'!$B$5:$B$204,A128,'02_KICH_BAN_NODES'!$D$5:$D$204,"choice")=0,"ChoiceNodeId không tồn tại hoặc không phải choice",IF(COUNTIFS($A$5:$A$404,A128,$B$5:$B$404,B128)&gt;1,"Trùng OptionOrder trong cùng choice",IF(OR(B128="",C128="",D128="",F128="",H128=""),"Thiếu trường bắt buộc",IF(OR(COUNTIF($A$5:$A$404,A128)&lt;2,COUNTIF($A$5:$A$404,A128)&gt;4),"Mỗi choice cần 2–4 option",IF(COUNTIFS('02_KICH_BAN_NODES'!$B$5:$B$204,A128,'02_KICH_BAN_NODES'!$E$5:$E$204,"Kiến thức")=1,IF(COUNTIFS($A$5:$A$404,A128,$D$5:$D$404,"Có")&lt;&gt;1,"Choice kiến thức cần đúng 1 đáp án đúng",""),IF(COUNTIFS('02_KICH_BAN_NODES'!$B$5:$B$204,A128,'02_KICH_BAN_NODES'!$E$5:$E$204,"Tương tác")=1,IF(COUNTIFS($A$5:$A$404,A128,$D$5:$D$404,"Có")&lt;&gt;0,"Choice tương tác không được đánh dấu đáp án đúng",""),"Choice chưa chọn loại")))))))</f>
        <v/>
      </c>
    </row>
    <row r="129" spans="1:11">
      <c r="A129" s="13"/>
      <c r="B129" s="13"/>
      <c r="C129" s="5"/>
      <c r="D129" s="13"/>
      <c r="E129" s="13"/>
      <c r="F129" s="13"/>
      <c r="G129" s="13"/>
      <c r="H129" s="5"/>
      <c r="I129" s="5"/>
      <c r="J129" s="6" t="str">
        <f t="shared" si="1"/>
        <v/>
      </c>
      <c r="K129" s="6" t="str">
        <f>IF(A129="","",IF(COUNTIFS('02_KICH_BAN_NODES'!$B$5:$B$204,A129,'02_KICH_BAN_NODES'!$D$5:$D$204,"choice")=0,"ChoiceNodeId không tồn tại hoặc không phải choice",IF(COUNTIFS($A$5:$A$404,A129,$B$5:$B$404,B129)&gt;1,"Trùng OptionOrder trong cùng choice",IF(OR(B129="",C129="",D129="",F129="",H129=""),"Thiếu trường bắt buộc",IF(OR(COUNTIF($A$5:$A$404,A129)&lt;2,COUNTIF($A$5:$A$404,A129)&gt;4),"Mỗi choice cần 2–4 option",IF(COUNTIFS('02_KICH_BAN_NODES'!$B$5:$B$204,A129,'02_KICH_BAN_NODES'!$E$5:$E$204,"Kiến thức")=1,IF(COUNTIFS($A$5:$A$404,A129,$D$5:$D$404,"Có")&lt;&gt;1,"Choice kiến thức cần đúng 1 đáp án đúng",""),IF(COUNTIFS('02_KICH_BAN_NODES'!$B$5:$B$204,A129,'02_KICH_BAN_NODES'!$E$5:$E$204,"Tương tác")=1,IF(COUNTIFS($A$5:$A$404,A129,$D$5:$D$404,"Có")&lt;&gt;0,"Choice tương tác không được đánh dấu đáp án đúng",""),"Choice chưa chọn loại")))))))</f>
        <v/>
      </c>
    </row>
    <row r="130" spans="1:11">
      <c r="A130" s="13"/>
      <c r="B130" s="13"/>
      <c r="C130" s="5"/>
      <c r="D130" s="13"/>
      <c r="E130" s="13"/>
      <c r="F130" s="13"/>
      <c r="G130" s="13"/>
      <c r="H130" s="5"/>
      <c r="I130" s="5"/>
      <c r="J130" s="6" t="str">
        <f t="shared" si="1"/>
        <v/>
      </c>
      <c r="K130" s="6" t="str">
        <f>IF(A130="","",IF(COUNTIFS('02_KICH_BAN_NODES'!$B$5:$B$204,A130,'02_KICH_BAN_NODES'!$D$5:$D$204,"choice")=0,"ChoiceNodeId không tồn tại hoặc không phải choice",IF(COUNTIFS($A$5:$A$404,A130,$B$5:$B$404,B130)&gt;1,"Trùng OptionOrder trong cùng choice",IF(OR(B130="",C130="",D130="",F130="",H130=""),"Thiếu trường bắt buộc",IF(OR(COUNTIF($A$5:$A$404,A130)&lt;2,COUNTIF($A$5:$A$404,A130)&gt;4),"Mỗi choice cần 2–4 option",IF(COUNTIFS('02_KICH_BAN_NODES'!$B$5:$B$204,A130,'02_KICH_BAN_NODES'!$E$5:$E$204,"Kiến thức")=1,IF(COUNTIFS($A$5:$A$404,A130,$D$5:$D$404,"Có")&lt;&gt;1,"Choice kiến thức cần đúng 1 đáp án đúng",""),IF(COUNTIFS('02_KICH_BAN_NODES'!$B$5:$B$204,A130,'02_KICH_BAN_NODES'!$E$5:$E$204,"Tương tác")=1,IF(COUNTIFS($A$5:$A$404,A130,$D$5:$D$404,"Có")&lt;&gt;0,"Choice tương tác không được đánh dấu đáp án đúng",""),"Choice chưa chọn loại")))))))</f>
        <v/>
      </c>
    </row>
    <row r="131" spans="1:11">
      <c r="A131" s="13"/>
      <c r="B131" s="13"/>
      <c r="C131" s="5"/>
      <c r="D131" s="13"/>
      <c r="E131" s="13"/>
      <c r="F131" s="13"/>
      <c r="G131" s="13"/>
      <c r="H131" s="5"/>
      <c r="I131" s="5"/>
      <c r="J131" s="6" t="str">
        <f t="shared" si="1"/>
        <v/>
      </c>
      <c r="K131" s="6" t="str">
        <f>IF(A131="","",IF(COUNTIFS('02_KICH_BAN_NODES'!$B$5:$B$204,A131,'02_KICH_BAN_NODES'!$D$5:$D$204,"choice")=0,"ChoiceNodeId không tồn tại hoặc không phải choice",IF(COUNTIFS($A$5:$A$404,A131,$B$5:$B$404,B131)&gt;1,"Trùng OptionOrder trong cùng choice",IF(OR(B131="",C131="",D131="",F131="",H131=""),"Thiếu trường bắt buộc",IF(OR(COUNTIF($A$5:$A$404,A131)&lt;2,COUNTIF($A$5:$A$404,A131)&gt;4),"Mỗi choice cần 2–4 option",IF(COUNTIFS('02_KICH_BAN_NODES'!$B$5:$B$204,A131,'02_KICH_BAN_NODES'!$E$5:$E$204,"Kiến thức")=1,IF(COUNTIFS($A$5:$A$404,A131,$D$5:$D$404,"Có")&lt;&gt;1,"Choice kiến thức cần đúng 1 đáp án đúng",""),IF(COUNTIFS('02_KICH_BAN_NODES'!$B$5:$B$204,A131,'02_KICH_BAN_NODES'!$E$5:$E$204,"Tương tác")=1,IF(COUNTIFS($A$5:$A$404,A131,$D$5:$D$404,"Có")&lt;&gt;0,"Choice tương tác không được đánh dấu đáp án đúng",""),"Choice chưa chọn loại")))))))</f>
        <v/>
      </c>
    </row>
    <row r="132" spans="1:11">
      <c r="A132" s="13"/>
      <c r="B132" s="13"/>
      <c r="C132" s="5"/>
      <c r="D132" s="13"/>
      <c r="E132" s="13"/>
      <c r="F132" s="13"/>
      <c r="G132" s="13"/>
      <c r="H132" s="5"/>
      <c r="I132" s="5"/>
      <c r="J132" s="6" t="str">
        <f t="shared" si="1"/>
        <v/>
      </c>
      <c r="K132" s="6" t="str">
        <f>IF(A132="","",IF(COUNTIFS('02_KICH_BAN_NODES'!$B$5:$B$204,A132,'02_KICH_BAN_NODES'!$D$5:$D$204,"choice")=0,"ChoiceNodeId không tồn tại hoặc không phải choice",IF(COUNTIFS($A$5:$A$404,A132,$B$5:$B$404,B132)&gt;1,"Trùng OptionOrder trong cùng choice",IF(OR(B132="",C132="",D132="",F132="",H132=""),"Thiếu trường bắt buộc",IF(OR(COUNTIF($A$5:$A$404,A132)&lt;2,COUNTIF($A$5:$A$404,A132)&gt;4),"Mỗi choice cần 2–4 option",IF(COUNTIFS('02_KICH_BAN_NODES'!$B$5:$B$204,A132,'02_KICH_BAN_NODES'!$E$5:$E$204,"Kiến thức")=1,IF(COUNTIFS($A$5:$A$404,A132,$D$5:$D$404,"Có")&lt;&gt;1,"Choice kiến thức cần đúng 1 đáp án đúng",""),IF(COUNTIFS('02_KICH_BAN_NODES'!$B$5:$B$204,A132,'02_KICH_BAN_NODES'!$E$5:$E$204,"Tương tác")=1,IF(COUNTIFS($A$5:$A$404,A132,$D$5:$D$404,"Có")&lt;&gt;0,"Choice tương tác không được đánh dấu đáp án đúng",""),"Choice chưa chọn loại")))))))</f>
        <v/>
      </c>
    </row>
    <row r="133" spans="1:11">
      <c r="A133" s="13"/>
      <c r="B133" s="13"/>
      <c r="C133" s="5"/>
      <c r="D133" s="13"/>
      <c r="E133" s="13"/>
      <c r="F133" s="13"/>
      <c r="G133" s="13"/>
      <c r="H133" s="5"/>
      <c r="I133" s="5"/>
      <c r="J133" s="6" t="str">
        <f t="shared" ref="J133:J196" si="2">IF(A133="","",IF(K133="","HỢP LỆ","CẦN SỬA"))</f>
        <v/>
      </c>
      <c r="K133" s="6" t="str">
        <f>IF(A133="","",IF(COUNTIFS('02_KICH_BAN_NODES'!$B$5:$B$204,A133,'02_KICH_BAN_NODES'!$D$5:$D$204,"choice")=0,"ChoiceNodeId không tồn tại hoặc không phải choice",IF(COUNTIFS($A$5:$A$404,A133,$B$5:$B$404,B133)&gt;1,"Trùng OptionOrder trong cùng choice",IF(OR(B133="",C133="",D133="",F133="",H133=""),"Thiếu trường bắt buộc",IF(OR(COUNTIF($A$5:$A$404,A133)&lt;2,COUNTIF($A$5:$A$404,A133)&gt;4),"Mỗi choice cần 2–4 option",IF(COUNTIFS('02_KICH_BAN_NODES'!$B$5:$B$204,A133,'02_KICH_BAN_NODES'!$E$5:$E$204,"Kiến thức")=1,IF(COUNTIFS($A$5:$A$404,A133,$D$5:$D$404,"Có")&lt;&gt;1,"Choice kiến thức cần đúng 1 đáp án đúng",""),IF(COUNTIFS('02_KICH_BAN_NODES'!$B$5:$B$204,A133,'02_KICH_BAN_NODES'!$E$5:$E$204,"Tương tác")=1,IF(COUNTIFS($A$5:$A$404,A133,$D$5:$D$404,"Có")&lt;&gt;0,"Choice tương tác không được đánh dấu đáp án đúng",""),"Choice chưa chọn loại")))))))</f>
        <v/>
      </c>
    </row>
    <row r="134" spans="1:11">
      <c r="A134" s="13"/>
      <c r="B134" s="13"/>
      <c r="C134" s="5"/>
      <c r="D134" s="13"/>
      <c r="E134" s="13"/>
      <c r="F134" s="13"/>
      <c r="G134" s="13"/>
      <c r="H134" s="5"/>
      <c r="I134" s="5"/>
      <c r="J134" s="6" t="str">
        <f t="shared" si="2"/>
        <v/>
      </c>
      <c r="K134" s="6" t="str">
        <f>IF(A134="","",IF(COUNTIFS('02_KICH_BAN_NODES'!$B$5:$B$204,A134,'02_KICH_BAN_NODES'!$D$5:$D$204,"choice")=0,"ChoiceNodeId không tồn tại hoặc không phải choice",IF(COUNTIFS($A$5:$A$404,A134,$B$5:$B$404,B134)&gt;1,"Trùng OptionOrder trong cùng choice",IF(OR(B134="",C134="",D134="",F134="",H134=""),"Thiếu trường bắt buộc",IF(OR(COUNTIF($A$5:$A$404,A134)&lt;2,COUNTIF($A$5:$A$404,A134)&gt;4),"Mỗi choice cần 2–4 option",IF(COUNTIFS('02_KICH_BAN_NODES'!$B$5:$B$204,A134,'02_KICH_BAN_NODES'!$E$5:$E$204,"Kiến thức")=1,IF(COUNTIFS($A$5:$A$404,A134,$D$5:$D$404,"Có")&lt;&gt;1,"Choice kiến thức cần đúng 1 đáp án đúng",""),IF(COUNTIFS('02_KICH_BAN_NODES'!$B$5:$B$204,A134,'02_KICH_BAN_NODES'!$E$5:$E$204,"Tương tác")=1,IF(COUNTIFS($A$5:$A$404,A134,$D$5:$D$404,"Có")&lt;&gt;0,"Choice tương tác không được đánh dấu đáp án đúng",""),"Choice chưa chọn loại")))))))</f>
        <v/>
      </c>
    </row>
    <row r="135" spans="1:11">
      <c r="A135" s="13"/>
      <c r="B135" s="13"/>
      <c r="C135" s="5"/>
      <c r="D135" s="13"/>
      <c r="E135" s="13"/>
      <c r="F135" s="13"/>
      <c r="G135" s="13"/>
      <c r="H135" s="5"/>
      <c r="I135" s="5"/>
      <c r="J135" s="6" t="str">
        <f t="shared" si="2"/>
        <v/>
      </c>
      <c r="K135" s="6" t="str">
        <f>IF(A135="","",IF(COUNTIFS('02_KICH_BAN_NODES'!$B$5:$B$204,A135,'02_KICH_BAN_NODES'!$D$5:$D$204,"choice")=0,"ChoiceNodeId không tồn tại hoặc không phải choice",IF(COUNTIFS($A$5:$A$404,A135,$B$5:$B$404,B135)&gt;1,"Trùng OptionOrder trong cùng choice",IF(OR(B135="",C135="",D135="",F135="",H135=""),"Thiếu trường bắt buộc",IF(OR(COUNTIF($A$5:$A$404,A135)&lt;2,COUNTIF($A$5:$A$404,A135)&gt;4),"Mỗi choice cần 2–4 option",IF(COUNTIFS('02_KICH_BAN_NODES'!$B$5:$B$204,A135,'02_KICH_BAN_NODES'!$E$5:$E$204,"Kiến thức")=1,IF(COUNTIFS($A$5:$A$404,A135,$D$5:$D$404,"Có")&lt;&gt;1,"Choice kiến thức cần đúng 1 đáp án đúng",""),IF(COUNTIFS('02_KICH_BAN_NODES'!$B$5:$B$204,A135,'02_KICH_BAN_NODES'!$E$5:$E$204,"Tương tác")=1,IF(COUNTIFS($A$5:$A$404,A135,$D$5:$D$404,"Có")&lt;&gt;0,"Choice tương tác không được đánh dấu đáp án đúng",""),"Choice chưa chọn loại")))))))</f>
        <v/>
      </c>
    </row>
    <row r="136" spans="1:11">
      <c r="A136" s="13"/>
      <c r="B136" s="13"/>
      <c r="C136" s="5"/>
      <c r="D136" s="13"/>
      <c r="E136" s="13"/>
      <c r="F136" s="13"/>
      <c r="G136" s="13"/>
      <c r="H136" s="5"/>
      <c r="I136" s="5"/>
      <c r="J136" s="6" t="str">
        <f t="shared" si="2"/>
        <v/>
      </c>
      <c r="K136" s="6" t="str">
        <f>IF(A136="","",IF(COUNTIFS('02_KICH_BAN_NODES'!$B$5:$B$204,A136,'02_KICH_BAN_NODES'!$D$5:$D$204,"choice")=0,"ChoiceNodeId không tồn tại hoặc không phải choice",IF(COUNTIFS($A$5:$A$404,A136,$B$5:$B$404,B136)&gt;1,"Trùng OptionOrder trong cùng choice",IF(OR(B136="",C136="",D136="",F136="",H136=""),"Thiếu trường bắt buộc",IF(OR(COUNTIF($A$5:$A$404,A136)&lt;2,COUNTIF($A$5:$A$404,A136)&gt;4),"Mỗi choice cần 2–4 option",IF(COUNTIFS('02_KICH_BAN_NODES'!$B$5:$B$204,A136,'02_KICH_BAN_NODES'!$E$5:$E$204,"Kiến thức")=1,IF(COUNTIFS($A$5:$A$404,A136,$D$5:$D$404,"Có")&lt;&gt;1,"Choice kiến thức cần đúng 1 đáp án đúng",""),IF(COUNTIFS('02_KICH_BAN_NODES'!$B$5:$B$204,A136,'02_KICH_BAN_NODES'!$E$5:$E$204,"Tương tác")=1,IF(COUNTIFS($A$5:$A$404,A136,$D$5:$D$404,"Có")&lt;&gt;0,"Choice tương tác không được đánh dấu đáp án đúng",""),"Choice chưa chọn loại")))))))</f>
        <v/>
      </c>
    </row>
    <row r="137" spans="1:11">
      <c r="A137" s="13"/>
      <c r="B137" s="13"/>
      <c r="C137" s="5"/>
      <c r="D137" s="13"/>
      <c r="E137" s="13"/>
      <c r="F137" s="13"/>
      <c r="G137" s="13"/>
      <c r="H137" s="5"/>
      <c r="I137" s="5"/>
      <c r="J137" s="6" t="str">
        <f t="shared" si="2"/>
        <v/>
      </c>
      <c r="K137" s="6" t="str">
        <f>IF(A137="","",IF(COUNTIFS('02_KICH_BAN_NODES'!$B$5:$B$204,A137,'02_KICH_BAN_NODES'!$D$5:$D$204,"choice")=0,"ChoiceNodeId không tồn tại hoặc không phải choice",IF(COUNTIFS($A$5:$A$404,A137,$B$5:$B$404,B137)&gt;1,"Trùng OptionOrder trong cùng choice",IF(OR(B137="",C137="",D137="",F137="",H137=""),"Thiếu trường bắt buộc",IF(OR(COUNTIF($A$5:$A$404,A137)&lt;2,COUNTIF($A$5:$A$404,A137)&gt;4),"Mỗi choice cần 2–4 option",IF(COUNTIFS('02_KICH_BAN_NODES'!$B$5:$B$204,A137,'02_KICH_BAN_NODES'!$E$5:$E$204,"Kiến thức")=1,IF(COUNTIFS($A$5:$A$404,A137,$D$5:$D$404,"Có")&lt;&gt;1,"Choice kiến thức cần đúng 1 đáp án đúng",""),IF(COUNTIFS('02_KICH_BAN_NODES'!$B$5:$B$204,A137,'02_KICH_BAN_NODES'!$E$5:$E$204,"Tương tác")=1,IF(COUNTIFS($A$5:$A$404,A137,$D$5:$D$404,"Có")&lt;&gt;0,"Choice tương tác không được đánh dấu đáp án đúng",""),"Choice chưa chọn loại")))))))</f>
        <v/>
      </c>
    </row>
    <row r="138" spans="1:11">
      <c r="A138" s="13"/>
      <c r="B138" s="13"/>
      <c r="C138" s="5"/>
      <c r="D138" s="13"/>
      <c r="E138" s="13"/>
      <c r="F138" s="13"/>
      <c r="G138" s="13"/>
      <c r="H138" s="5"/>
      <c r="I138" s="5"/>
      <c r="J138" s="6" t="str">
        <f t="shared" si="2"/>
        <v/>
      </c>
      <c r="K138" s="6" t="str">
        <f>IF(A138="","",IF(COUNTIFS('02_KICH_BAN_NODES'!$B$5:$B$204,A138,'02_KICH_BAN_NODES'!$D$5:$D$204,"choice")=0,"ChoiceNodeId không tồn tại hoặc không phải choice",IF(COUNTIFS($A$5:$A$404,A138,$B$5:$B$404,B138)&gt;1,"Trùng OptionOrder trong cùng choice",IF(OR(B138="",C138="",D138="",F138="",H138=""),"Thiếu trường bắt buộc",IF(OR(COUNTIF($A$5:$A$404,A138)&lt;2,COUNTIF($A$5:$A$404,A138)&gt;4),"Mỗi choice cần 2–4 option",IF(COUNTIFS('02_KICH_BAN_NODES'!$B$5:$B$204,A138,'02_KICH_BAN_NODES'!$E$5:$E$204,"Kiến thức")=1,IF(COUNTIFS($A$5:$A$404,A138,$D$5:$D$404,"Có")&lt;&gt;1,"Choice kiến thức cần đúng 1 đáp án đúng",""),IF(COUNTIFS('02_KICH_BAN_NODES'!$B$5:$B$204,A138,'02_KICH_BAN_NODES'!$E$5:$E$204,"Tương tác")=1,IF(COUNTIFS($A$5:$A$404,A138,$D$5:$D$404,"Có")&lt;&gt;0,"Choice tương tác không được đánh dấu đáp án đúng",""),"Choice chưa chọn loại")))))))</f>
        <v/>
      </c>
    </row>
    <row r="139" spans="1:11">
      <c r="A139" s="13"/>
      <c r="B139" s="13"/>
      <c r="C139" s="5"/>
      <c r="D139" s="13"/>
      <c r="E139" s="13"/>
      <c r="F139" s="13"/>
      <c r="G139" s="13"/>
      <c r="H139" s="5"/>
      <c r="I139" s="5"/>
      <c r="J139" s="6" t="str">
        <f t="shared" si="2"/>
        <v/>
      </c>
      <c r="K139" s="6" t="str">
        <f>IF(A139="","",IF(COUNTIFS('02_KICH_BAN_NODES'!$B$5:$B$204,A139,'02_KICH_BAN_NODES'!$D$5:$D$204,"choice")=0,"ChoiceNodeId không tồn tại hoặc không phải choice",IF(COUNTIFS($A$5:$A$404,A139,$B$5:$B$404,B139)&gt;1,"Trùng OptionOrder trong cùng choice",IF(OR(B139="",C139="",D139="",F139="",H139=""),"Thiếu trường bắt buộc",IF(OR(COUNTIF($A$5:$A$404,A139)&lt;2,COUNTIF($A$5:$A$404,A139)&gt;4),"Mỗi choice cần 2–4 option",IF(COUNTIFS('02_KICH_BAN_NODES'!$B$5:$B$204,A139,'02_KICH_BAN_NODES'!$E$5:$E$204,"Kiến thức")=1,IF(COUNTIFS($A$5:$A$404,A139,$D$5:$D$404,"Có")&lt;&gt;1,"Choice kiến thức cần đúng 1 đáp án đúng",""),IF(COUNTIFS('02_KICH_BAN_NODES'!$B$5:$B$204,A139,'02_KICH_BAN_NODES'!$E$5:$E$204,"Tương tác")=1,IF(COUNTIFS($A$5:$A$404,A139,$D$5:$D$404,"Có")&lt;&gt;0,"Choice tương tác không được đánh dấu đáp án đúng",""),"Choice chưa chọn loại")))))))</f>
        <v/>
      </c>
    </row>
    <row r="140" spans="1:11">
      <c r="A140" s="13"/>
      <c r="B140" s="13"/>
      <c r="C140" s="5"/>
      <c r="D140" s="13"/>
      <c r="E140" s="13"/>
      <c r="F140" s="13"/>
      <c r="G140" s="13"/>
      <c r="H140" s="5"/>
      <c r="I140" s="5"/>
      <c r="J140" s="6" t="str">
        <f t="shared" si="2"/>
        <v/>
      </c>
      <c r="K140" s="6" t="str">
        <f>IF(A140="","",IF(COUNTIFS('02_KICH_BAN_NODES'!$B$5:$B$204,A140,'02_KICH_BAN_NODES'!$D$5:$D$204,"choice")=0,"ChoiceNodeId không tồn tại hoặc không phải choice",IF(COUNTIFS($A$5:$A$404,A140,$B$5:$B$404,B140)&gt;1,"Trùng OptionOrder trong cùng choice",IF(OR(B140="",C140="",D140="",F140="",H140=""),"Thiếu trường bắt buộc",IF(OR(COUNTIF($A$5:$A$404,A140)&lt;2,COUNTIF($A$5:$A$404,A140)&gt;4),"Mỗi choice cần 2–4 option",IF(COUNTIFS('02_KICH_BAN_NODES'!$B$5:$B$204,A140,'02_KICH_BAN_NODES'!$E$5:$E$204,"Kiến thức")=1,IF(COUNTIFS($A$5:$A$404,A140,$D$5:$D$404,"Có")&lt;&gt;1,"Choice kiến thức cần đúng 1 đáp án đúng",""),IF(COUNTIFS('02_KICH_BAN_NODES'!$B$5:$B$204,A140,'02_KICH_BAN_NODES'!$E$5:$E$204,"Tương tác")=1,IF(COUNTIFS($A$5:$A$404,A140,$D$5:$D$404,"Có")&lt;&gt;0,"Choice tương tác không được đánh dấu đáp án đúng",""),"Choice chưa chọn loại")))))))</f>
        <v/>
      </c>
    </row>
    <row r="141" spans="1:11">
      <c r="A141" s="13"/>
      <c r="B141" s="13"/>
      <c r="C141" s="5"/>
      <c r="D141" s="13"/>
      <c r="E141" s="13"/>
      <c r="F141" s="13"/>
      <c r="G141" s="13"/>
      <c r="H141" s="5"/>
      <c r="I141" s="5"/>
      <c r="J141" s="6" t="str">
        <f t="shared" si="2"/>
        <v/>
      </c>
      <c r="K141" s="6" t="str">
        <f>IF(A141="","",IF(COUNTIFS('02_KICH_BAN_NODES'!$B$5:$B$204,A141,'02_KICH_BAN_NODES'!$D$5:$D$204,"choice")=0,"ChoiceNodeId không tồn tại hoặc không phải choice",IF(COUNTIFS($A$5:$A$404,A141,$B$5:$B$404,B141)&gt;1,"Trùng OptionOrder trong cùng choice",IF(OR(B141="",C141="",D141="",F141="",H141=""),"Thiếu trường bắt buộc",IF(OR(COUNTIF($A$5:$A$404,A141)&lt;2,COUNTIF($A$5:$A$404,A141)&gt;4),"Mỗi choice cần 2–4 option",IF(COUNTIFS('02_KICH_BAN_NODES'!$B$5:$B$204,A141,'02_KICH_BAN_NODES'!$E$5:$E$204,"Kiến thức")=1,IF(COUNTIFS($A$5:$A$404,A141,$D$5:$D$404,"Có")&lt;&gt;1,"Choice kiến thức cần đúng 1 đáp án đúng",""),IF(COUNTIFS('02_KICH_BAN_NODES'!$B$5:$B$204,A141,'02_KICH_BAN_NODES'!$E$5:$E$204,"Tương tác")=1,IF(COUNTIFS($A$5:$A$404,A141,$D$5:$D$404,"Có")&lt;&gt;0,"Choice tương tác không được đánh dấu đáp án đúng",""),"Choice chưa chọn loại")))))))</f>
        <v/>
      </c>
    </row>
    <row r="142" spans="1:11">
      <c r="A142" s="13"/>
      <c r="B142" s="13"/>
      <c r="C142" s="5"/>
      <c r="D142" s="13"/>
      <c r="E142" s="13"/>
      <c r="F142" s="13"/>
      <c r="G142" s="13"/>
      <c r="H142" s="5"/>
      <c r="I142" s="5"/>
      <c r="J142" s="6" t="str">
        <f t="shared" si="2"/>
        <v/>
      </c>
      <c r="K142" s="6" t="str">
        <f>IF(A142="","",IF(COUNTIFS('02_KICH_BAN_NODES'!$B$5:$B$204,A142,'02_KICH_BAN_NODES'!$D$5:$D$204,"choice")=0,"ChoiceNodeId không tồn tại hoặc không phải choice",IF(COUNTIFS($A$5:$A$404,A142,$B$5:$B$404,B142)&gt;1,"Trùng OptionOrder trong cùng choice",IF(OR(B142="",C142="",D142="",F142="",H142=""),"Thiếu trường bắt buộc",IF(OR(COUNTIF($A$5:$A$404,A142)&lt;2,COUNTIF($A$5:$A$404,A142)&gt;4),"Mỗi choice cần 2–4 option",IF(COUNTIFS('02_KICH_BAN_NODES'!$B$5:$B$204,A142,'02_KICH_BAN_NODES'!$E$5:$E$204,"Kiến thức")=1,IF(COUNTIFS($A$5:$A$404,A142,$D$5:$D$404,"Có")&lt;&gt;1,"Choice kiến thức cần đúng 1 đáp án đúng",""),IF(COUNTIFS('02_KICH_BAN_NODES'!$B$5:$B$204,A142,'02_KICH_BAN_NODES'!$E$5:$E$204,"Tương tác")=1,IF(COUNTIFS($A$5:$A$404,A142,$D$5:$D$404,"Có")&lt;&gt;0,"Choice tương tác không được đánh dấu đáp án đúng",""),"Choice chưa chọn loại")))))))</f>
        <v/>
      </c>
    </row>
    <row r="143" spans="1:11">
      <c r="A143" s="13"/>
      <c r="B143" s="13"/>
      <c r="C143" s="5"/>
      <c r="D143" s="13"/>
      <c r="E143" s="13"/>
      <c r="F143" s="13"/>
      <c r="G143" s="13"/>
      <c r="H143" s="5"/>
      <c r="I143" s="5"/>
      <c r="J143" s="6" t="str">
        <f t="shared" si="2"/>
        <v/>
      </c>
      <c r="K143" s="6" t="str">
        <f>IF(A143="","",IF(COUNTIFS('02_KICH_BAN_NODES'!$B$5:$B$204,A143,'02_KICH_BAN_NODES'!$D$5:$D$204,"choice")=0,"ChoiceNodeId không tồn tại hoặc không phải choice",IF(COUNTIFS($A$5:$A$404,A143,$B$5:$B$404,B143)&gt;1,"Trùng OptionOrder trong cùng choice",IF(OR(B143="",C143="",D143="",F143="",H143=""),"Thiếu trường bắt buộc",IF(OR(COUNTIF($A$5:$A$404,A143)&lt;2,COUNTIF($A$5:$A$404,A143)&gt;4),"Mỗi choice cần 2–4 option",IF(COUNTIFS('02_KICH_BAN_NODES'!$B$5:$B$204,A143,'02_KICH_BAN_NODES'!$E$5:$E$204,"Kiến thức")=1,IF(COUNTIFS($A$5:$A$404,A143,$D$5:$D$404,"Có")&lt;&gt;1,"Choice kiến thức cần đúng 1 đáp án đúng",""),IF(COUNTIFS('02_KICH_BAN_NODES'!$B$5:$B$204,A143,'02_KICH_BAN_NODES'!$E$5:$E$204,"Tương tác")=1,IF(COUNTIFS($A$5:$A$404,A143,$D$5:$D$404,"Có")&lt;&gt;0,"Choice tương tác không được đánh dấu đáp án đúng",""),"Choice chưa chọn loại")))))))</f>
        <v/>
      </c>
    </row>
    <row r="144" spans="1:11">
      <c r="A144" s="13"/>
      <c r="B144" s="13"/>
      <c r="C144" s="5"/>
      <c r="D144" s="13"/>
      <c r="E144" s="13"/>
      <c r="F144" s="13"/>
      <c r="G144" s="13"/>
      <c r="H144" s="5"/>
      <c r="I144" s="5"/>
      <c r="J144" s="6" t="str">
        <f t="shared" si="2"/>
        <v/>
      </c>
      <c r="K144" s="6" t="str">
        <f>IF(A144="","",IF(COUNTIFS('02_KICH_BAN_NODES'!$B$5:$B$204,A144,'02_KICH_BAN_NODES'!$D$5:$D$204,"choice")=0,"ChoiceNodeId không tồn tại hoặc không phải choice",IF(COUNTIFS($A$5:$A$404,A144,$B$5:$B$404,B144)&gt;1,"Trùng OptionOrder trong cùng choice",IF(OR(B144="",C144="",D144="",F144="",H144=""),"Thiếu trường bắt buộc",IF(OR(COUNTIF($A$5:$A$404,A144)&lt;2,COUNTIF($A$5:$A$404,A144)&gt;4),"Mỗi choice cần 2–4 option",IF(COUNTIFS('02_KICH_BAN_NODES'!$B$5:$B$204,A144,'02_KICH_BAN_NODES'!$E$5:$E$204,"Kiến thức")=1,IF(COUNTIFS($A$5:$A$404,A144,$D$5:$D$404,"Có")&lt;&gt;1,"Choice kiến thức cần đúng 1 đáp án đúng",""),IF(COUNTIFS('02_KICH_BAN_NODES'!$B$5:$B$204,A144,'02_KICH_BAN_NODES'!$E$5:$E$204,"Tương tác")=1,IF(COUNTIFS($A$5:$A$404,A144,$D$5:$D$404,"Có")&lt;&gt;0,"Choice tương tác không được đánh dấu đáp án đúng",""),"Choice chưa chọn loại")))))))</f>
        <v/>
      </c>
    </row>
    <row r="145" spans="1:11">
      <c r="A145" s="13"/>
      <c r="B145" s="13"/>
      <c r="C145" s="5"/>
      <c r="D145" s="13"/>
      <c r="E145" s="13"/>
      <c r="F145" s="13"/>
      <c r="G145" s="13"/>
      <c r="H145" s="5"/>
      <c r="I145" s="5"/>
      <c r="J145" s="6" t="str">
        <f t="shared" si="2"/>
        <v/>
      </c>
      <c r="K145" s="6" t="str">
        <f>IF(A145="","",IF(COUNTIFS('02_KICH_BAN_NODES'!$B$5:$B$204,A145,'02_KICH_BAN_NODES'!$D$5:$D$204,"choice")=0,"ChoiceNodeId không tồn tại hoặc không phải choice",IF(COUNTIFS($A$5:$A$404,A145,$B$5:$B$404,B145)&gt;1,"Trùng OptionOrder trong cùng choice",IF(OR(B145="",C145="",D145="",F145="",H145=""),"Thiếu trường bắt buộc",IF(OR(COUNTIF($A$5:$A$404,A145)&lt;2,COUNTIF($A$5:$A$404,A145)&gt;4),"Mỗi choice cần 2–4 option",IF(COUNTIFS('02_KICH_BAN_NODES'!$B$5:$B$204,A145,'02_KICH_BAN_NODES'!$E$5:$E$204,"Kiến thức")=1,IF(COUNTIFS($A$5:$A$404,A145,$D$5:$D$404,"Có")&lt;&gt;1,"Choice kiến thức cần đúng 1 đáp án đúng",""),IF(COUNTIFS('02_KICH_BAN_NODES'!$B$5:$B$204,A145,'02_KICH_BAN_NODES'!$E$5:$E$204,"Tương tác")=1,IF(COUNTIFS($A$5:$A$404,A145,$D$5:$D$404,"Có")&lt;&gt;0,"Choice tương tác không được đánh dấu đáp án đúng",""),"Choice chưa chọn loại")))))))</f>
        <v/>
      </c>
    </row>
    <row r="146" spans="1:11">
      <c r="A146" s="13"/>
      <c r="B146" s="13"/>
      <c r="C146" s="5"/>
      <c r="D146" s="13"/>
      <c r="E146" s="13"/>
      <c r="F146" s="13"/>
      <c r="G146" s="13"/>
      <c r="H146" s="5"/>
      <c r="I146" s="5"/>
      <c r="J146" s="6" t="str">
        <f t="shared" si="2"/>
        <v/>
      </c>
      <c r="K146" s="6" t="str">
        <f>IF(A146="","",IF(COUNTIFS('02_KICH_BAN_NODES'!$B$5:$B$204,A146,'02_KICH_BAN_NODES'!$D$5:$D$204,"choice")=0,"ChoiceNodeId không tồn tại hoặc không phải choice",IF(COUNTIFS($A$5:$A$404,A146,$B$5:$B$404,B146)&gt;1,"Trùng OptionOrder trong cùng choice",IF(OR(B146="",C146="",D146="",F146="",H146=""),"Thiếu trường bắt buộc",IF(OR(COUNTIF($A$5:$A$404,A146)&lt;2,COUNTIF($A$5:$A$404,A146)&gt;4),"Mỗi choice cần 2–4 option",IF(COUNTIFS('02_KICH_BAN_NODES'!$B$5:$B$204,A146,'02_KICH_BAN_NODES'!$E$5:$E$204,"Kiến thức")=1,IF(COUNTIFS($A$5:$A$404,A146,$D$5:$D$404,"Có")&lt;&gt;1,"Choice kiến thức cần đúng 1 đáp án đúng",""),IF(COUNTIFS('02_KICH_BAN_NODES'!$B$5:$B$204,A146,'02_KICH_BAN_NODES'!$E$5:$E$204,"Tương tác")=1,IF(COUNTIFS($A$5:$A$404,A146,$D$5:$D$404,"Có")&lt;&gt;0,"Choice tương tác không được đánh dấu đáp án đúng",""),"Choice chưa chọn loại")))))))</f>
        <v/>
      </c>
    </row>
    <row r="147" spans="1:11">
      <c r="A147" s="13"/>
      <c r="B147" s="13"/>
      <c r="C147" s="5"/>
      <c r="D147" s="13"/>
      <c r="E147" s="13"/>
      <c r="F147" s="13"/>
      <c r="G147" s="13"/>
      <c r="H147" s="5"/>
      <c r="I147" s="5"/>
      <c r="J147" s="6" t="str">
        <f t="shared" si="2"/>
        <v/>
      </c>
      <c r="K147" s="6" t="str">
        <f>IF(A147="","",IF(COUNTIFS('02_KICH_BAN_NODES'!$B$5:$B$204,A147,'02_KICH_BAN_NODES'!$D$5:$D$204,"choice")=0,"ChoiceNodeId không tồn tại hoặc không phải choice",IF(COUNTIFS($A$5:$A$404,A147,$B$5:$B$404,B147)&gt;1,"Trùng OptionOrder trong cùng choice",IF(OR(B147="",C147="",D147="",F147="",H147=""),"Thiếu trường bắt buộc",IF(OR(COUNTIF($A$5:$A$404,A147)&lt;2,COUNTIF($A$5:$A$404,A147)&gt;4),"Mỗi choice cần 2–4 option",IF(COUNTIFS('02_KICH_BAN_NODES'!$B$5:$B$204,A147,'02_KICH_BAN_NODES'!$E$5:$E$204,"Kiến thức")=1,IF(COUNTIFS($A$5:$A$404,A147,$D$5:$D$404,"Có")&lt;&gt;1,"Choice kiến thức cần đúng 1 đáp án đúng",""),IF(COUNTIFS('02_KICH_BAN_NODES'!$B$5:$B$204,A147,'02_KICH_BAN_NODES'!$E$5:$E$204,"Tương tác")=1,IF(COUNTIFS($A$5:$A$404,A147,$D$5:$D$404,"Có")&lt;&gt;0,"Choice tương tác không được đánh dấu đáp án đúng",""),"Choice chưa chọn loại")))))))</f>
        <v/>
      </c>
    </row>
    <row r="148" spans="1:11">
      <c r="A148" s="13"/>
      <c r="B148" s="13"/>
      <c r="C148" s="5"/>
      <c r="D148" s="13"/>
      <c r="E148" s="13"/>
      <c r="F148" s="13"/>
      <c r="G148" s="13"/>
      <c r="H148" s="5"/>
      <c r="I148" s="5"/>
      <c r="J148" s="6" t="str">
        <f t="shared" si="2"/>
        <v/>
      </c>
      <c r="K148" s="6" t="str">
        <f>IF(A148="","",IF(COUNTIFS('02_KICH_BAN_NODES'!$B$5:$B$204,A148,'02_KICH_BAN_NODES'!$D$5:$D$204,"choice")=0,"ChoiceNodeId không tồn tại hoặc không phải choice",IF(COUNTIFS($A$5:$A$404,A148,$B$5:$B$404,B148)&gt;1,"Trùng OptionOrder trong cùng choice",IF(OR(B148="",C148="",D148="",F148="",H148=""),"Thiếu trường bắt buộc",IF(OR(COUNTIF($A$5:$A$404,A148)&lt;2,COUNTIF($A$5:$A$404,A148)&gt;4),"Mỗi choice cần 2–4 option",IF(COUNTIFS('02_KICH_BAN_NODES'!$B$5:$B$204,A148,'02_KICH_BAN_NODES'!$E$5:$E$204,"Kiến thức")=1,IF(COUNTIFS($A$5:$A$404,A148,$D$5:$D$404,"Có")&lt;&gt;1,"Choice kiến thức cần đúng 1 đáp án đúng",""),IF(COUNTIFS('02_KICH_BAN_NODES'!$B$5:$B$204,A148,'02_KICH_BAN_NODES'!$E$5:$E$204,"Tương tác")=1,IF(COUNTIFS($A$5:$A$404,A148,$D$5:$D$404,"Có")&lt;&gt;0,"Choice tương tác không được đánh dấu đáp án đúng",""),"Choice chưa chọn loại")))))))</f>
        <v/>
      </c>
    </row>
    <row r="149" spans="1:11">
      <c r="A149" s="13"/>
      <c r="B149" s="13"/>
      <c r="C149" s="5"/>
      <c r="D149" s="13"/>
      <c r="E149" s="13"/>
      <c r="F149" s="13"/>
      <c r="G149" s="13"/>
      <c r="H149" s="5"/>
      <c r="I149" s="5"/>
      <c r="J149" s="6" t="str">
        <f t="shared" si="2"/>
        <v/>
      </c>
      <c r="K149" s="6" t="str">
        <f>IF(A149="","",IF(COUNTIFS('02_KICH_BAN_NODES'!$B$5:$B$204,A149,'02_KICH_BAN_NODES'!$D$5:$D$204,"choice")=0,"ChoiceNodeId không tồn tại hoặc không phải choice",IF(COUNTIFS($A$5:$A$404,A149,$B$5:$B$404,B149)&gt;1,"Trùng OptionOrder trong cùng choice",IF(OR(B149="",C149="",D149="",F149="",H149=""),"Thiếu trường bắt buộc",IF(OR(COUNTIF($A$5:$A$404,A149)&lt;2,COUNTIF($A$5:$A$404,A149)&gt;4),"Mỗi choice cần 2–4 option",IF(COUNTIFS('02_KICH_BAN_NODES'!$B$5:$B$204,A149,'02_KICH_BAN_NODES'!$E$5:$E$204,"Kiến thức")=1,IF(COUNTIFS($A$5:$A$404,A149,$D$5:$D$404,"Có")&lt;&gt;1,"Choice kiến thức cần đúng 1 đáp án đúng",""),IF(COUNTIFS('02_KICH_BAN_NODES'!$B$5:$B$204,A149,'02_KICH_BAN_NODES'!$E$5:$E$204,"Tương tác")=1,IF(COUNTIFS($A$5:$A$404,A149,$D$5:$D$404,"Có")&lt;&gt;0,"Choice tương tác không được đánh dấu đáp án đúng",""),"Choice chưa chọn loại")))))))</f>
        <v/>
      </c>
    </row>
    <row r="150" spans="1:11">
      <c r="A150" s="13"/>
      <c r="B150" s="13"/>
      <c r="C150" s="5"/>
      <c r="D150" s="13"/>
      <c r="E150" s="13"/>
      <c r="F150" s="13"/>
      <c r="G150" s="13"/>
      <c r="H150" s="5"/>
      <c r="I150" s="5"/>
      <c r="J150" s="6" t="str">
        <f t="shared" si="2"/>
        <v/>
      </c>
      <c r="K150" s="6" t="str">
        <f>IF(A150="","",IF(COUNTIFS('02_KICH_BAN_NODES'!$B$5:$B$204,A150,'02_KICH_BAN_NODES'!$D$5:$D$204,"choice")=0,"ChoiceNodeId không tồn tại hoặc không phải choice",IF(COUNTIFS($A$5:$A$404,A150,$B$5:$B$404,B150)&gt;1,"Trùng OptionOrder trong cùng choice",IF(OR(B150="",C150="",D150="",F150="",H150=""),"Thiếu trường bắt buộc",IF(OR(COUNTIF($A$5:$A$404,A150)&lt;2,COUNTIF($A$5:$A$404,A150)&gt;4),"Mỗi choice cần 2–4 option",IF(COUNTIFS('02_KICH_BAN_NODES'!$B$5:$B$204,A150,'02_KICH_BAN_NODES'!$E$5:$E$204,"Kiến thức")=1,IF(COUNTIFS($A$5:$A$404,A150,$D$5:$D$404,"Có")&lt;&gt;1,"Choice kiến thức cần đúng 1 đáp án đúng",""),IF(COUNTIFS('02_KICH_BAN_NODES'!$B$5:$B$204,A150,'02_KICH_BAN_NODES'!$E$5:$E$204,"Tương tác")=1,IF(COUNTIFS($A$5:$A$404,A150,$D$5:$D$404,"Có")&lt;&gt;0,"Choice tương tác không được đánh dấu đáp án đúng",""),"Choice chưa chọn loại")))))))</f>
        <v/>
      </c>
    </row>
    <row r="151" spans="1:11">
      <c r="A151" s="13"/>
      <c r="B151" s="13"/>
      <c r="C151" s="5"/>
      <c r="D151" s="13"/>
      <c r="E151" s="13"/>
      <c r="F151" s="13"/>
      <c r="G151" s="13"/>
      <c r="H151" s="5"/>
      <c r="I151" s="5"/>
      <c r="J151" s="6" t="str">
        <f t="shared" si="2"/>
        <v/>
      </c>
      <c r="K151" s="6" t="str">
        <f>IF(A151="","",IF(COUNTIFS('02_KICH_BAN_NODES'!$B$5:$B$204,A151,'02_KICH_BAN_NODES'!$D$5:$D$204,"choice")=0,"ChoiceNodeId không tồn tại hoặc không phải choice",IF(COUNTIFS($A$5:$A$404,A151,$B$5:$B$404,B151)&gt;1,"Trùng OptionOrder trong cùng choice",IF(OR(B151="",C151="",D151="",F151="",H151=""),"Thiếu trường bắt buộc",IF(OR(COUNTIF($A$5:$A$404,A151)&lt;2,COUNTIF($A$5:$A$404,A151)&gt;4),"Mỗi choice cần 2–4 option",IF(COUNTIFS('02_KICH_BAN_NODES'!$B$5:$B$204,A151,'02_KICH_BAN_NODES'!$E$5:$E$204,"Kiến thức")=1,IF(COUNTIFS($A$5:$A$404,A151,$D$5:$D$404,"Có")&lt;&gt;1,"Choice kiến thức cần đúng 1 đáp án đúng",""),IF(COUNTIFS('02_KICH_BAN_NODES'!$B$5:$B$204,A151,'02_KICH_BAN_NODES'!$E$5:$E$204,"Tương tác")=1,IF(COUNTIFS($A$5:$A$404,A151,$D$5:$D$404,"Có")&lt;&gt;0,"Choice tương tác không được đánh dấu đáp án đúng",""),"Choice chưa chọn loại")))))))</f>
        <v/>
      </c>
    </row>
    <row r="152" spans="1:11">
      <c r="A152" s="13"/>
      <c r="B152" s="13"/>
      <c r="C152" s="5"/>
      <c r="D152" s="13"/>
      <c r="E152" s="13"/>
      <c r="F152" s="13"/>
      <c r="G152" s="13"/>
      <c r="H152" s="5"/>
      <c r="I152" s="5"/>
      <c r="J152" s="6" t="str">
        <f t="shared" si="2"/>
        <v/>
      </c>
      <c r="K152" s="6" t="str">
        <f>IF(A152="","",IF(COUNTIFS('02_KICH_BAN_NODES'!$B$5:$B$204,A152,'02_KICH_BAN_NODES'!$D$5:$D$204,"choice")=0,"ChoiceNodeId không tồn tại hoặc không phải choice",IF(COUNTIFS($A$5:$A$404,A152,$B$5:$B$404,B152)&gt;1,"Trùng OptionOrder trong cùng choice",IF(OR(B152="",C152="",D152="",F152="",H152=""),"Thiếu trường bắt buộc",IF(OR(COUNTIF($A$5:$A$404,A152)&lt;2,COUNTIF($A$5:$A$404,A152)&gt;4),"Mỗi choice cần 2–4 option",IF(COUNTIFS('02_KICH_BAN_NODES'!$B$5:$B$204,A152,'02_KICH_BAN_NODES'!$E$5:$E$204,"Kiến thức")=1,IF(COUNTIFS($A$5:$A$404,A152,$D$5:$D$404,"Có")&lt;&gt;1,"Choice kiến thức cần đúng 1 đáp án đúng",""),IF(COUNTIFS('02_KICH_BAN_NODES'!$B$5:$B$204,A152,'02_KICH_BAN_NODES'!$E$5:$E$204,"Tương tác")=1,IF(COUNTIFS($A$5:$A$404,A152,$D$5:$D$404,"Có")&lt;&gt;0,"Choice tương tác không được đánh dấu đáp án đúng",""),"Choice chưa chọn loại")))))))</f>
        <v/>
      </c>
    </row>
    <row r="153" spans="1:11">
      <c r="A153" s="13"/>
      <c r="B153" s="13"/>
      <c r="C153" s="5"/>
      <c r="D153" s="13"/>
      <c r="E153" s="13"/>
      <c r="F153" s="13"/>
      <c r="G153" s="13"/>
      <c r="H153" s="5"/>
      <c r="I153" s="5"/>
      <c r="J153" s="6" t="str">
        <f t="shared" si="2"/>
        <v/>
      </c>
      <c r="K153" s="6" t="str">
        <f>IF(A153="","",IF(COUNTIFS('02_KICH_BAN_NODES'!$B$5:$B$204,A153,'02_KICH_BAN_NODES'!$D$5:$D$204,"choice")=0,"ChoiceNodeId không tồn tại hoặc không phải choice",IF(COUNTIFS($A$5:$A$404,A153,$B$5:$B$404,B153)&gt;1,"Trùng OptionOrder trong cùng choice",IF(OR(B153="",C153="",D153="",F153="",H153=""),"Thiếu trường bắt buộc",IF(OR(COUNTIF($A$5:$A$404,A153)&lt;2,COUNTIF($A$5:$A$404,A153)&gt;4),"Mỗi choice cần 2–4 option",IF(COUNTIFS('02_KICH_BAN_NODES'!$B$5:$B$204,A153,'02_KICH_BAN_NODES'!$E$5:$E$204,"Kiến thức")=1,IF(COUNTIFS($A$5:$A$404,A153,$D$5:$D$404,"Có")&lt;&gt;1,"Choice kiến thức cần đúng 1 đáp án đúng",""),IF(COUNTIFS('02_KICH_BAN_NODES'!$B$5:$B$204,A153,'02_KICH_BAN_NODES'!$E$5:$E$204,"Tương tác")=1,IF(COUNTIFS($A$5:$A$404,A153,$D$5:$D$404,"Có")&lt;&gt;0,"Choice tương tác không được đánh dấu đáp án đúng",""),"Choice chưa chọn loại")))))))</f>
        <v/>
      </c>
    </row>
    <row r="154" spans="1:11">
      <c r="A154" s="13"/>
      <c r="B154" s="13"/>
      <c r="C154" s="5"/>
      <c r="D154" s="13"/>
      <c r="E154" s="13"/>
      <c r="F154" s="13"/>
      <c r="G154" s="13"/>
      <c r="H154" s="5"/>
      <c r="I154" s="5"/>
      <c r="J154" s="6" t="str">
        <f t="shared" si="2"/>
        <v/>
      </c>
      <c r="K154" s="6" t="str">
        <f>IF(A154="","",IF(COUNTIFS('02_KICH_BAN_NODES'!$B$5:$B$204,A154,'02_KICH_BAN_NODES'!$D$5:$D$204,"choice")=0,"ChoiceNodeId không tồn tại hoặc không phải choice",IF(COUNTIFS($A$5:$A$404,A154,$B$5:$B$404,B154)&gt;1,"Trùng OptionOrder trong cùng choice",IF(OR(B154="",C154="",D154="",F154="",H154=""),"Thiếu trường bắt buộc",IF(OR(COUNTIF($A$5:$A$404,A154)&lt;2,COUNTIF($A$5:$A$404,A154)&gt;4),"Mỗi choice cần 2–4 option",IF(COUNTIFS('02_KICH_BAN_NODES'!$B$5:$B$204,A154,'02_KICH_BAN_NODES'!$E$5:$E$204,"Kiến thức")=1,IF(COUNTIFS($A$5:$A$404,A154,$D$5:$D$404,"Có")&lt;&gt;1,"Choice kiến thức cần đúng 1 đáp án đúng",""),IF(COUNTIFS('02_KICH_BAN_NODES'!$B$5:$B$204,A154,'02_KICH_BAN_NODES'!$E$5:$E$204,"Tương tác")=1,IF(COUNTIFS($A$5:$A$404,A154,$D$5:$D$404,"Có")&lt;&gt;0,"Choice tương tác không được đánh dấu đáp án đúng",""),"Choice chưa chọn loại")))))))</f>
        <v/>
      </c>
    </row>
    <row r="155" spans="1:11">
      <c r="A155" s="13"/>
      <c r="B155" s="13"/>
      <c r="C155" s="5"/>
      <c r="D155" s="13"/>
      <c r="E155" s="13"/>
      <c r="F155" s="13"/>
      <c r="G155" s="13"/>
      <c r="H155" s="5"/>
      <c r="I155" s="5"/>
      <c r="J155" s="6" t="str">
        <f t="shared" si="2"/>
        <v/>
      </c>
      <c r="K155" s="6" t="str">
        <f>IF(A155="","",IF(COUNTIFS('02_KICH_BAN_NODES'!$B$5:$B$204,A155,'02_KICH_BAN_NODES'!$D$5:$D$204,"choice")=0,"ChoiceNodeId không tồn tại hoặc không phải choice",IF(COUNTIFS($A$5:$A$404,A155,$B$5:$B$404,B155)&gt;1,"Trùng OptionOrder trong cùng choice",IF(OR(B155="",C155="",D155="",F155="",H155=""),"Thiếu trường bắt buộc",IF(OR(COUNTIF($A$5:$A$404,A155)&lt;2,COUNTIF($A$5:$A$404,A155)&gt;4),"Mỗi choice cần 2–4 option",IF(COUNTIFS('02_KICH_BAN_NODES'!$B$5:$B$204,A155,'02_KICH_BAN_NODES'!$E$5:$E$204,"Kiến thức")=1,IF(COUNTIFS($A$5:$A$404,A155,$D$5:$D$404,"Có")&lt;&gt;1,"Choice kiến thức cần đúng 1 đáp án đúng",""),IF(COUNTIFS('02_KICH_BAN_NODES'!$B$5:$B$204,A155,'02_KICH_BAN_NODES'!$E$5:$E$204,"Tương tác")=1,IF(COUNTIFS($A$5:$A$404,A155,$D$5:$D$404,"Có")&lt;&gt;0,"Choice tương tác không được đánh dấu đáp án đúng",""),"Choice chưa chọn loại")))))))</f>
        <v/>
      </c>
    </row>
    <row r="156" spans="1:11">
      <c r="A156" s="13"/>
      <c r="B156" s="13"/>
      <c r="C156" s="5"/>
      <c r="D156" s="13"/>
      <c r="E156" s="13"/>
      <c r="F156" s="13"/>
      <c r="G156" s="13"/>
      <c r="H156" s="5"/>
      <c r="I156" s="5"/>
      <c r="J156" s="6" t="str">
        <f t="shared" si="2"/>
        <v/>
      </c>
      <c r="K156" s="6" t="str">
        <f>IF(A156="","",IF(COUNTIFS('02_KICH_BAN_NODES'!$B$5:$B$204,A156,'02_KICH_BAN_NODES'!$D$5:$D$204,"choice")=0,"ChoiceNodeId không tồn tại hoặc không phải choice",IF(COUNTIFS($A$5:$A$404,A156,$B$5:$B$404,B156)&gt;1,"Trùng OptionOrder trong cùng choice",IF(OR(B156="",C156="",D156="",F156="",H156=""),"Thiếu trường bắt buộc",IF(OR(COUNTIF($A$5:$A$404,A156)&lt;2,COUNTIF($A$5:$A$404,A156)&gt;4),"Mỗi choice cần 2–4 option",IF(COUNTIFS('02_KICH_BAN_NODES'!$B$5:$B$204,A156,'02_KICH_BAN_NODES'!$E$5:$E$204,"Kiến thức")=1,IF(COUNTIFS($A$5:$A$404,A156,$D$5:$D$404,"Có")&lt;&gt;1,"Choice kiến thức cần đúng 1 đáp án đúng",""),IF(COUNTIFS('02_KICH_BAN_NODES'!$B$5:$B$204,A156,'02_KICH_BAN_NODES'!$E$5:$E$204,"Tương tác")=1,IF(COUNTIFS($A$5:$A$404,A156,$D$5:$D$404,"Có")&lt;&gt;0,"Choice tương tác không được đánh dấu đáp án đúng",""),"Choice chưa chọn loại")))))))</f>
        <v/>
      </c>
    </row>
    <row r="157" spans="1:11">
      <c r="A157" s="13"/>
      <c r="B157" s="13"/>
      <c r="C157" s="5"/>
      <c r="D157" s="13"/>
      <c r="E157" s="13"/>
      <c r="F157" s="13"/>
      <c r="G157" s="13"/>
      <c r="H157" s="5"/>
      <c r="I157" s="5"/>
      <c r="J157" s="6" t="str">
        <f t="shared" si="2"/>
        <v/>
      </c>
      <c r="K157" s="6" t="str">
        <f>IF(A157="","",IF(COUNTIFS('02_KICH_BAN_NODES'!$B$5:$B$204,A157,'02_KICH_BAN_NODES'!$D$5:$D$204,"choice")=0,"ChoiceNodeId không tồn tại hoặc không phải choice",IF(COUNTIFS($A$5:$A$404,A157,$B$5:$B$404,B157)&gt;1,"Trùng OptionOrder trong cùng choice",IF(OR(B157="",C157="",D157="",F157="",H157=""),"Thiếu trường bắt buộc",IF(OR(COUNTIF($A$5:$A$404,A157)&lt;2,COUNTIF($A$5:$A$404,A157)&gt;4),"Mỗi choice cần 2–4 option",IF(COUNTIFS('02_KICH_BAN_NODES'!$B$5:$B$204,A157,'02_KICH_BAN_NODES'!$E$5:$E$204,"Kiến thức")=1,IF(COUNTIFS($A$5:$A$404,A157,$D$5:$D$404,"Có")&lt;&gt;1,"Choice kiến thức cần đúng 1 đáp án đúng",""),IF(COUNTIFS('02_KICH_BAN_NODES'!$B$5:$B$204,A157,'02_KICH_BAN_NODES'!$E$5:$E$204,"Tương tác")=1,IF(COUNTIFS($A$5:$A$404,A157,$D$5:$D$404,"Có")&lt;&gt;0,"Choice tương tác không được đánh dấu đáp án đúng",""),"Choice chưa chọn loại")))))))</f>
        <v/>
      </c>
    </row>
    <row r="158" spans="1:11">
      <c r="A158" s="13"/>
      <c r="B158" s="13"/>
      <c r="C158" s="5"/>
      <c r="D158" s="13"/>
      <c r="E158" s="13"/>
      <c r="F158" s="13"/>
      <c r="G158" s="13"/>
      <c r="H158" s="5"/>
      <c r="I158" s="5"/>
      <c r="J158" s="6" t="str">
        <f t="shared" si="2"/>
        <v/>
      </c>
      <c r="K158" s="6" t="str">
        <f>IF(A158="","",IF(COUNTIFS('02_KICH_BAN_NODES'!$B$5:$B$204,A158,'02_KICH_BAN_NODES'!$D$5:$D$204,"choice")=0,"ChoiceNodeId không tồn tại hoặc không phải choice",IF(COUNTIFS($A$5:$A$404,A158,$B$5:$B$404,B158)&gt;1,"Trùng OptionOrder trong cùng choice",IF(OR(B158="",C158="",D158="",F158="",H158=""),"Thiếu trường bắt buộc",IF(OR(COUNTIF($A$5:$A$404,A158)&lt;2,COUNTIF($A$5:$A$404,A158)&gt;4),"Mỗi choice cần 2–4 option",IF(COUNTIFS('02_KICH_BAN_NODES'!$B$5:$B$204,A158,'02_KICH_BAN_NODES'!$E$5:$E$204,"Kiến thức")=1,IF(COUNTIFS($A$5:$A$404,A158,$D$5:$D$404,"Có")&lt;&gt;1,"Choice kiến thức cần đúng 1 đáp án đúng",""),IF(COUNTIFS('02_KICH_BAN_NODES'!$B$5:$B$204,A158,'02_KICH_BAN_NODES'!$E$5:$E$204,"Tương tác")=1,IF(COUNTIFS($A$5:$A$404,A158,$D$5:$D$404,"Có")&lt;&gt;0,"Choice tương tác không được đánh dấu đáp án đúng",""),"Choice chưa chọn loại")))))))</f>
        <v/>
      </c>
    </row>
    <row r="159" spans="1:11">
      <c r="A159" s="13"/>
      <c r="B159" s="13"/>
      <c r="C159" s="5"/>
      <c r="D159" s="13"/>
      <c r="E159" s="13"/>
      <c r="F159" s="13"/>
      <c r="G159" s="13"/>
      <c r="H159" s="5"/>
      <c r="I159" s="5"/>
      <c r="J159" s="6" t="str">
        <f t="shared" si="2"/>
        <v/>
      </c>
      <c r="K159" s="6" t="str">
        <f>IF(A159="","",IF(COUNTIFS('02_KICH_BAN_NODES'!$B$5:$B$204,A159,'02_KICH_BAN_NODES'!$D$5:$D$204,"choice")=0,"ChoiceNodeId không tồn tại hoặc không phải choice",IF(COUNTIFS($A$5:$A$404,A159,$B$5:$B$404,B159)&gt;1,"Trùng OptionOrder trong cùng choice",IF(OR(B159="",C159="",D159="",F159="",H159=""),"Thiếu trường bắt buộc",IF(OR(COUNTIF($A$5:$A$404,A159)&lt;2,COUNTIF($A$5:$A$404,A159)&gt;4),"Mỗi choice cần 2–4 option",IF(COUNTIFS('02_KICH_BAN_NODES'!$B$5:$B$204,A159,'02_KICH_BAN_NODES'!$E$5:$E$204,"Kiến thức")=1,IF(COUNTIFS($A$5:$A$404,A159,$D$5:$D$404,"Có")&lt;&gt;1,"Choice kiến thức cần đúng 1 đáp án đúng",""),IF(COUNTIFS('02_KICH_BAN_NODES'!$B$5:$B$204,A159,'02_KICH_BAN_NODES'!$E$5:$E$204,"Tương tác")=1,IF(COUNTIFS($A$5:$A$404,A159,$D$5:$D$404,"Có")&lt;&gt;0,"Choice tương tác không được đánh dấu đáp án đúng",""),"Choice chưa chọn loại")))))))</f>
        <v/>
      </c>
    </row>
    <row r="160" spans="1:11">
      <c r="A160" s="13"/>
      <c r="B160" s="13"/>
      <c r="C160" s="5"/>
      <c r="D160" s="13"/>
      <c r="E160" s="13"/>
      <c r="F160" s="13"/>
      <c r="G160" s="13"/>
      <c r="H160" s="5"/>
      <c r="I160" s="5"/>
      <c r="J160" s="6" t="str">
        <f t="shared" si="2"/>
        <v/>
      </c>
      <c r="K160" s="6" t="str">
        <f>IF(A160="","",IF(COUNTIFS('02_KICH_BAN_NODES'!$B$5:$B$204,A160,'02_KICH_BAN_NODES'!$D$5:$D$204,"choice")=0,"ChoiceNodeId không tồn tại hoặc không phải choice",IF(COUNTIFS($A$5:$A$404,A160,$B$5:$B$404,B160)&gt;1,"Trùng OptionOrder trong cùng choice",IF(OR(B160="",C160="",D160="",F160="",H160=""),"Thiếu trường bắt buộc",IF(OR(COUNTIF($A$5:$A$404,A160)&lt;2,COUNTIF($A$5:$A$404,A160)&gt;4),"Mỗi choice cần 2–4 option",IF(COUNTIFS('02_KICH_BAN_NODES'!$B$5:$B$204,A160,'02_KICH_BAN_NODES'!$E$5:$E$204,"Kiến thức")=1,IF(COUNTIFS($A$5:$A$404,A160,$D$5:$D$404,"Có")&lt;&gt;1,"Choice kiến thức cần đúng 1 đáp án đúng",""),IF(COUNTIFS('02_KICH_BAN_NODES'!$B$5:$B$204,A160,'02_KICH_BAN_NODES'!$E$5:$E$204,"Tương tác")=1,IF(COUNTIFS($A$5:$A$404,A160,$D$5:$D$404,"Có")&lt;&gt;0,"Choice tương tác không được đánh dấu đáp án đúng",""),"Choice chưa chọn loại")))))))</f>
        <v/>
      </c>
    </row>
    <row r="161" spans="1:11">
      <c r="A161" s="13"/>
      <c r="B161" s="13"/>
      <c r="C161" s="5"/>
      <c r="D161" s="13"/>
      <c r="E161" s="13"/>
      <c r="F161" s="13"/>
      <c r="G161" s="13"/>
      <c r="H161" s="5"/>
      <c r="I161" s="5"/>
      <c r="J161" s="6" t="str">
        <f t="shared" si="2"/>
        <v/>
      </c>
      <c r="K161" s="6" t="str">
        <f>IF(A161="","",IF(COUNTIFS('02_KICH_BAN_NODES'!$B$5:$B$204,A161,'02_KICH_BAN_NODES'!$D$5:$D$204,"choice")=0,"ChoiceNodeId không tồn tại hoặc không phải choice",IF(COUNTIFS($A$5:$A$404,A161,$B$5:$B$404,B161)&gt;1,"Trùng OptionOrder trong cùng choice",IF(OR(B161="",C161="",D161="",F161="",H161=""),"Thiếu trường bắt buộc",IF(OR(COUNTIF($A$5:$A$404,A161)&lt;2,COUNTIF($A$5:$A$404,A161)&gt;4),"Mỗi choice cần 2–4 option",IF(COUNTIFS('02_KICH_BAN_NODES'!$B$5:$B$204,A161,'02_KICH_BAN_NODES'!$E$5:$E$204,"Kiến thức")=1,IF(COUNTIFS($A$5:$A$404,A161,$D$5:$D$404,"Có")&lt;&gt;1,"Choice kiến thức cần đúng 1 đáp án đúng",""),IF(COUNTIFS('02_KICH_BAN_NODES'!$B$5:$B$204,A161,'02_KICH_BAN_NODES'!$E$5:$E$204,"Tương tác")=1,IF(COUNTIFS($A$5:$A$404,A161,$D$5:$D$404,"Có")&lt;&gt;0,"Choice tương tác không được đánh dấu đáp án đúng",""),"Choice chưa chọn loại")))))))</f>
        <v/>
      </c>
    </row>
    <row r="162" spans="1:11">
      <c r="A162" s="13"/>
      <c r="B162" s="13"/>
      <c r="C162" s="5"/>
      <c r="D162" s="13"/>
      <c r="E162" s="13"/>
      <c r="F162" s="13"/>
      <c r="G162" s="13"/>
      <c r="H162" s="5"/>
      <c r="I162" s="5"/>
      <c r="J162" s="6" t="str">
        <f t="shared" si="2"/>
        <v/>
      </c>
      <c r="K162" s="6" t="str">
        <f>IF(A162="","",IF(COUNTIFS('02_KICH_BAN_NODES'!$B$5:$B$204,A162,'02_KICH_BAN_NODES'!$D$5:$D$204,"choice")=0,"ChoiceNodeId không tồn tại hoặc không phải choice",IF(COUNTIFS($A$5:$A$404,A162,$B$5:$B$404,B162)&gt;1,"Trùng OptionOrder trong cùng choice",IF(OR(B162="",C162="",D162="",F162="",H162=""),"Thiếu trường bắt buộc",IF(OR(COUNTIF($A$5:$A$404,A162)&lt;2,COUNTIF($A$5:$A$404,A162)&gt;4),"Mỗi choice cần 2–4 option",IF(COUNTIFS('02_KICH_BAN_NODES'!$B$5:$B$204,A162,'02_KICH_BAN_NODES'!$E$5:$E$204,"Kiến thức")=1,IF(COUNTIFS($A$5:$A$404,A162,$D$5:$D$404,"Có")&lt;&gt;1,"Choice kiến thức cần đúng 1 đáp án đúng",""),IF(COUNTIFS('02_KICH_BAN_NODES'!$B$5:$B$204,A162,'02_KICH_BAN_NODES'!$E$5:$E$204,"Tương tác")=1,IF(COUNTIFS($A$5:$A$404,A162,$D$5:$D$404,"Có")&lt;&gt;0,"Choice tương tác không được đánh dấu đáp án đúng",""),"Choice chưa chọn loại")))))))</f>
        <v/>
      </c>
    </row>
    <row r="163" spans="1:11">
      <c r="A163" s="13"/>
      <c r="B163" s="13"/>
      <c r="C163" s="5"/>
      <c r="D163" s="13"/>
      <c r="E163" s="13"/>
      <c r="F163" s="13"/>
      <c r="G163" s="13"/>
      <c r="H163" s="5"/>
      <c r="I163" s="5"/>
      <c r="J163" s="6" t="str">
        <f t="shared" si="2"/>
        <v/>
      </c>
      <c r="K163" s="6" t="str">
        <f>IF(A163="","",IF(COUNTIFS('02_KICH_BAN_NODES'!$B$5:$B$204,A163,'02_KICH_BAN_NODES'!$D$5:$D$204,"choice")=0,"ChoiceNodeId không tồn tại hoặc không phải choice",IF(COUNTIFS($A$5:$A$404,A163,$B$5:$B$404,B163)&gt;1,"Trùng OptionOrder trong cùng choice",IF(OR(B163="",C163="",D163="",F163="",H163=""),"Thiếu trường bắt buộc",IF(OR(COUNTIF($A$5:$A$404,A163)&lt;2,COUNTIF($A$5:$A$404,A163)&gt;4),"Mỗi choice cần 2–4 option",IF(COUNTIFS('02_KICH_BAN_NODES'!$B$5:$B$204,A163,'02_KICH_BAN_NODES'!$E$5:$E$204,"Kiến thức")=1,IF(COUNTIFS($A$5:$A$404,A163,$D$5:$D$404,"Có")&lt;&gt;1,"Choice kiến thức cần đúng 1 đáp án đúng",""),IF(COUNTIFS('02_KICH_BAN_NODES'!$B$5:$B$204,A163,'02_KICH_BAN_NODES'!$E$5:$E$204,"Tương tác")=1,IF(COUNTIFS($A$5:$A$404,A163,$D$5:$D$404,"Có")&lt;&gt;0,"Choice tương tác không được đánh dấu đáp án đúng",""),"Choice chưa chọn loại")))))))</f>
        <v/>
      </c>
    </row>
    <row r="164" spans="1:11">
      <c r="A164" s="13"/>
      <c r="B164" s="13"/>
      <c r="C164" s="5"/>
      <c r="D164" s="13"/>
      <c r="E164" s="13"/>
      <c r="F164" s="13"/>
      <c r="G164" s="13"/>
      <c r="H164" s="5"/>
      <c r="I164" s="5"/>
      <c r="J164" s="6" t="str">
        <f t="shared" si="2"/>
        <v/>
      </c>
      <c r="K164" s="6" t="str">
        <f>IF(A164="","",IF(COUNTIFS('02_KICH_BAN_NODES'!$B$5:$B$204,A164,'02_KICH_BAN_NODES'!$D$5:$D$204,"choice")=0,"ChoiceNodeId không tồn tại hoặc không phải choice",IF(COUNTIFS($A$5:$A$404,A164,$B$5:$B$404,B164)&gt;1,"Trùng OptionOrder trong cùng choice",IF(OR(B164="",C164="",D164="",F164="",H164=""),"Thiếu trường bắt buộc",IF(OR(COUNTIF($A$5:$A$404,A164)&lt;2,COUNTIF($A$5:$A$404,A164)&gt;4),"Mỗi choice cần 2–4 option",IF(COUNTIFS('02_KICH_BAN_NODES'!$B$5:$B$204,A164,'02_KICH_BAN_NODES'!$E$5:$E$204,"Kiến thức")=1,IF(COUNTIFS($A$5:$A$404,A164,$D$5:$D$404,"Có")&lt;&gt;1,"Choice kiến thức cần đúng 1 đáp án đúng",""),IF(COUNTIFS('02_KICH_BAN_NODES'!$B$5:$B$204,A164,'02_KICH_BAN_NODES'!$E$5:$E$204,"Tương tác")=1,IF(COUNTIFS($A$5:$A$404,A164,$D$5:$D$404,"Có")&lt;&gt;0,"Choice tương tác không được đánh dấu đáp án đúng",""),"Choice chưa chọn loại")))))))</f>
        <v/>
      </c>
    </row>
    <row r="165" spans="1:11">
      <c r="A165" s="13"/>
      <c r="B165" s="13"/>
      <c r="C165" s="5"/>
      <c r="D165" s="13"/>
      <c r="E165" s="13"/>
      <c r="F165" s="13"/>
      <c r="G165" s="13"/>
      <c r="H165" s="5"/>
      <c r="I165" s="5"/>
      <c r="J165" s="6" t="str">
        <f t="shared" si="2"/>
        <v/>
      </c>
      <c r="K165" s="6" t="str">
        <f>IF(A165="","",IF(COUNTIFS('02_KICH_BAN_NODES'!$B$5:$B$204,A165,'02_KICH_BAN_NODES'!$D$5:$D$204,"choice")=0,"ChoiceNodeId không tồn tại hoặc không phải choice",IF(COUNTIFS($A$5:$A$404,A165,$B$5:$B$404,B165)&gt;1,"Trùng OptionOrder trong cùng choice",IF(OR(B165="",C165="",D165="",F165="",H165=""),"Thiếu trường bắt buộc",IF(OR(COUNTIF($A$5:$A$404,A165)&lt;2,COUNTIF($A$5:$A$404,A165)&gt;4),"Mỗi choice cần 2–4 option",IF(COUNTIFS('02_KICH_BAN_NODES'!$B$5:$B$204,A165,'02_KICH_BAN_NODES'!$E$5:$E$204,"Kiến thức")=1,IF(COUNTIFS($A$5:$A$404,A165,$D$5:$D$404,"Có")&lt;&gt;1,"Choice kiến thức cần đúng 1 đáp án đúng",""),IF(COUNTIFS('02_KICH_BAN_NODES'!$B$5:$B$204,A165,'02_KICH_BAN_NODES'!$E$5:$E$204,"Tương tác")=1,IF(COUNTIFS($A$5:$A$404,A165,$D$5:$D$404,"Có")&lt;&gt;0,"Choice tương tác không được đánh dấu đáp án đúng",""),"Choice chưa chọn loại")))))))</f>
        <v/>
      </c>
    </row>
    <row r="166" spans="1:11">
      <c r="A166" s="13"/>
      <c r="B166" s="13"/>
      <c r="C166" s="5"/>
      <c r="D166" s="13"/>
      <c r="E166" s="13"/>
      <c r="F166" s="13"/>
      <c r="G166" s="13"/>
      <c r="H166" s="5"/>
      <c r="I166" s="5"/>
      <c r="J166" s="6" t="str">
        <f t="shared" si="2"/>
        <v/>
      </c>
      <c r="K166" s="6" t="str">
        <f>IF(A166="","",IF(COUNTIFS('02_KICH_BAN_NODES'!$B$5:$B$204,A166,'02_KICH_BAN_NODES'!$D$5:$D$204,"choice")=0,"ChoiceNodeId không tồn tại hoặc không phải choice",IF(COUNTIFS($A$5:$A$404,A166,$B$5:$B$404,B166)&gt;1,"Trùng OptionOrder trong cùng choice",IF(OR(B166="",C166="",D166="",F166="",H166=""),"Thiếu trường bắt buộc",IF(OR(COUNTIF($A$5:$A$404,A166)&lt;2,COUNTIF($A$5:$A$404,A166)&gt;4),"Mỗi choice cần 2–4 option",IF(COUNTIFS('02_KICH_BAN_NODES'!$B$5:$B$204,A166,'02_KICH_BAN_NODES'!$E$5:$E$204,"Kiến thức")=1,IF(COUNTIFS($A$5:$A$404,A166,$D$5:$D$404,"Có")&lt;&gt;1,"Choice kiến thức cần đúng 1 đáp án đúng",""),IF(COUNTIFS('02_KICH_BAN_NODES'!$B$5:$B$204,A166,'02_KICH_BAN_NODES'!$E$5:$E$204,"Tương tác")=1,IF(COUNTIFS($A$5:$A$404,A166,$D$5:$D$404,"Có")&lt;&gt;0,"Choice tương tác không được đánh dấu đáp án đúng",""),"Choice chưa chọn loại")))))))</f>
        <v/>
      </c>
    </row>
    <row r="167" spans="1:11">
      <c r="A167" s="13"/>
      <c r="B167" s="13"/>
      <c r="C167" s="5"/>
      <c r="D167" s="13"/>
      <c r="E167" s="13"/>
      <c r="F167" s="13"/>
      <c r="G167" s="13"/>
      <c r="H167" s="5"/>
      <c r="I167" s="5"/>
      <c r="J167" s="6" t="str">
        <f t="shared" si="2"/>
        <v/>
      </c>
      <c r="K167" s="6" t="str">
        <f>IF(A167="","",IF(COUNTIFS('02_KICH_BAN_NODES'!$B$5:$B$204,A167,'02_KICH_BAN_NODES'!$D$5:$D$204,"choice")=0,"ChoiceNodeId không tồn tại hoặc không phải choice",IF(COUNTIFS($A$5:$A$404,A167,$B$5:$B$404,B167)&gt;1,"Trùng OptionOrder trong cùng choice",IF(OR(B167="",C167="",D167="",F167="",H167=""),"Thiếu trường bắt buộc",IF(OR(COUNTIF($A$5:$A$404,A167)&lt;2,COUNTIF($A$5:$A$404,A167)&gt;4),"Mỗi choice cần 2–4 option",IF(COUNTIFS('02_KICH_BAN_NODES'!$B$5:$B$204,A167,'02_KICH_BAN_NODES'!$E$5:$E$204,"Kiến thức")=1,IF(COUNTIFS($A$5:$A$404,A167,$D$5:$D$404,"Có")&lt;&gt;1,"Choice kiến thức cần đúng 1 đáp án đúng",""),IF(COUNTIFS('02_KICH_BAN_NODES'!$B$5:$B$204,A167,'02_KICH_BAN_NODES'!$E$5:$E$204,"Tương tác")=1,IF(COUNTIFS($A$5:$A$404,A167,$D$5:$D$404,"Có")&lt;&gt;0,"Choice tương tác không được đánh dấu đáp án đúng",""),"Choice chưa chọn loại")))))))</f>
        <v/>
      </c>
    </row>
    <row r="168" spans="1:11">
      <c r="A168" s="13"/>
      <c r="B168" s="13"/>
      <c r="C168" s="5"/>
      <c r="D168" s="13"/>
      <c r="E168" s="13"/>
      <c r="F168" s="13"/>
      <c r="G168" s="13"/>
      <c r="H168" s="5"/>
      <c r="I168" s="5"/>
      <c r="J168" s="6" t="str">
        <f t="shared" si="2"/>
        <v/>
      </c>
      <c r="K168" s="6" t="str">
        <f>IF(A168="","",IF(COUNTIFS('02_KICH_BAN_NODES'!$B$5:$B$204,A168,'02_KICH_BAN_NODES'!$D$5:$D$204,"choice")=0,"ChoiceNodeId không tồn tại hoặc không phải choice",IF(COUNTIFS($A$5:$A$404,A168,$B$5:$B$404,B168)&gt;1,"Trùng OptionOrder trong cùng choice",IF(OR(B168="",C168="",D168="",F168="",H168=""),"Thiếu trường bắt buộc",IF(OR(COUNTIF($A$5:$A$404,A168)&lt;2,COUNTIF($A$5:$A$404,A168)&gt;4),"Mỗi choice cần 2–4 option",IF(COUNTIFS('02_KICH_BAN_NODES'!$B$5:$B$204,A168,'02_KICH_BAN_NODES'!$E$5:$E$204,"Kiến thức")=1,IF(COUNTIFS($A$5:$A$404,A168,$D$5:$D$404,"Có")&lt;&gt;1,"Choice kiến thức cần đúng 1 đáp án đúng",""),IF(COUNTIFS('02_KICH_BAN_NODES'!$B$5:$B$204,A168,'02_KICH_BAN_NODES'!$E$5:$E$204,"Tương tác")=1,IF(COUNTIFS($A$5:$A$404,A168,$D$5:$D$404,"Có")&lt;&gt;0,"Choice tương tác không được đánh dấu đáp án đúng",""),"Choice chưa chọn loại")))))))</f>
        <v/>
      </c>
    </row>
    <row r="169" spans="1:11">
      <c r="A169" s="13"/>
      <c r="B169" s="13"/>
      <c r="C169" s="5"/>
      <c r="D169" s="13"/>
      <c r="E169" s="13"/>
      <c r="F169" s="13"/>
      <c r="G169" s="13"/>
      <c r="H169" s="5"/>
      <c r="I169" s="5"/>
      <c r="J169" s="6" t="str">
        <f t="shared" si="2"/>
        <v/>
      </c>
      <c r="K169" s="6" t="str">
        <f>IF(A169="","",IF(COUNTIFS('02_KICH_BAN_NODES'!$B$5:$B$204,A169,'02_KICH_BAN_NODES'!$D$5:$D$204,"choice")=0,"ChoiceNodeId không tồn tại hoặc không phải choice",IF(COUNTIFS($A$5:$A$404,A169,$B$5:$B$404,B169)&gt;1,"Trùng OptionOrder trong cùng choice",IF(OR(B169="",C169="",D169="",F169="",H169=""),"Thiếu trường bắt buộc",IF(OR(COUNTIF($A$5:$A$404,A169)&lt;2,COUNTIF($A$5:$A$404,A169)&gt;4),"Mỗi choice cần 2–4 option",IF(COUNTIFS('02_KICH_BAN_NODES'!$B$5:$B$204,A169,'02_KICH_BAN_NODES'!$E$5:$E$204,"Kiến thức")=1,IF(COUNTIFS($A$5:$A$404,A169,$D$5:$D$404,"Có")&lt;&gt;1,"Choice kiến thức cần đúng 1 đáp án đúng",""),IF(COUNTIFS('02_KICH_BAN_NODES'!$B$5:$B$204,A169,'02_KICH_BAN_NODES'!$E$5:$E$204,"Tương tác")=1,IF(COUNTIFS($A$5:$A$404,A169,$D$5:$D$404,"Có")&lt;&gt;0,"Choice tương tác không được đánh dấu đáp án đúng",""),"Choice chưa chọn loại")))))))</f>
        <v/>
      </c>
    </row>
    <row r="170" spans="1:11">
      <c r="A170" s="13"/>
      <c r="B170" s="13"/>
      <c r="C170" s="5"/>
      <c r="D170" s="13"/>
      <c r="E170" s="13"/>
      <c r="F170" s="13"/>
      <c r="G170" s="13"/>
      <c r="H170" s="5"/>
      <c r="I170" s="5"/>
      <c r="J170" s="6" t="str">
        <f t="shared" si="2"/>
        <v/>
      </c>
      <c r="K170" s="6" t="str">
        <f>IF(A170="","",IF(COUNTIFS('02_KICH_BAN_NODES'!$B$5:$B$204,A170,'02_KICH_BAN_NODES'!$D$5:$D$204,"choice")=0,"ChoiceNodeId không tồn tại hoặc không phải choice",IF(COUNTIFS($A$5:$A$404,A170,$B$5:$B$404,B170)&gt;1,"Trùng OptionOrder trong cùng choice",IF(OR(B170="",C170="",D170="",F170="",H170=""),"Thiếu trường bắt buộc",IF(OR(COUNTIF($A$5:$A$404,A170)&lt;2,COUNTIF($A$5:$A$404,A170)&gt;4),"Mỗi choice cần 2–4 option",IF(COUNTIFS('02_KICH_BAN_NODES'!$B$5:$B$204,A170,'02_KICH_BAN_NODES'!$E$5:$E$204,"Kiến thức")=1,IF(COUNTIFS($A$5:$A$404,A170,$D$5:$D$404,"Có")&lt;&gt;1,"Choice kiến thức cần đúng 1 đáp án đúng",""),IF(COUNTIFS('02_KICH_BAN_NODES'!$B$5:$B$204,A170,'02_KICH_BAN_NODES'!$E$5:$E$204,"Tương tác")=1,IF(COUNTIFS($A$5:$A$404,A170,$D$5:$D$404,"Có")&lt;&gt;0,"Choice tương tác không được đánh dấu đáp án đúng",""),"Choice chưa chọn loại")))))))</f>
        <v/>
      </c>
    </row>
    <row r="171" spans="1:11">
      <c r="A171" s="13"/>
      <c r="B171" s="13"/>
      <c r="C171" s="5"/>
      <c r="D171" s="13"/>
      <c r="E171" s="13"/>
      <c r="F171" s="13"/>
      <c r="G171" s="13"/>
      <c r="H171" s="5"/>
      <c r="I171" s="5"/>
      <c r="J171" s="6" t="str">
        <f t="shared" si="2"/>
        <v/>
      </c>
      <c r="K171" s="6" t="str">
        <f>IF(A171="","",IF(COUNTIFS('02_KICH_BAN_NODES'!$B$5:$B$204,A171,'02_KICH_BAN_NODES'!$D$5:$D$204,"choice")=0,"ChoiceNodeId không tồn tại hoặc không phải choice",IF(COUNTIFS($A$5:$A$404,A171,$B$5:$B$404,B171)&gt;1,"Trùng OptionOrder trong cùng choice",IF(OR(B171="",C171="",D171="",F171="",H171=""),"Thiếu trường bắt buộc",IF(OR(COUNTIF($A$5:$A$404,A171)&lt;2,COUNTIF($A$5:$A$404,A171)&gt;4),"Mỗi choice cần 2–4 option",IF(COUNTIFS('02_KICH_BAN_NODES'!$B$5:$B$204,A171,'02_KICH_BAN_NODES'!$E$5:$E$204,"Kiến thức")=1,IF(COUNTIFS($A$5:$A$404,A171,$D$5:$D$404,"Có")&lt;&gt;1,"Choice kiến thức cần đúng 1 đáp án đúng",""),IF(COUNTIFS('02_KICH_BAN_NODES'!$B$5:$B$204,A171,'02_KICH_BAN_NODES'!$E$5:$E$204,"Tương tác")=1,IF(COUNTIFS($A$5:$A$404,A171,$D$5:$D$404,"Có")&lt;&gt;0,"Choice tương tác không được đánh dấu đáp án đúng",""),"Choice chưa chọn loại")))))))</f>
        <v/>
      </c>
    </row>
    <row r="172" spans="1:11">
      <c r="A172" s="13"/>
      <c r="B172" s="13"/>
      <c r="C172" s="5"/>
      <c r="D172" s="13"/>
      <c r="E172" s="13"/>
      <c r="F172" s="13"/>
      <c r="G172" s="13"/>
      <c r="H172" s="5"/>
      <c r="I172" s="5"/>
      <c r="J172" s="6" t="str">
        <f t="shared" si="2"/>
        <v/>
      </c>
      <c r="K172" s="6" t="str">
        <f>IF(A172="","",IF(COUNTIFS('02_KICH_BAN_NODES'!$B$5:$B$204,A172,'02_KICH_BAN_NODES'!$D$5:$D$204,"choice")=0,"ChoiceNodeId không tồn tại hoặc không phải choice",IF(COUNTIFS($A$5:$A$404,A172,$B$5:$B$404,B172)&gt;1,"Trùng OptionOrder trong cùng choice",IF(OR(B172="",C172="",D172="",F172="",H172=""),"Thiếu trường bắt buộc",IF(OR(COUNTIF($A$5:$A$404,A172)&lt;2,COUNTIF($A$5:$A$404,A172)&gt;4),"Mỗi choice cần 2–4 option",IF(COUNTIFS('02_KICH_BAN_NODES'!$B$5:$B$204,A172,'02_KICH_BAN_NODES'!$E$5:$E$204,"Kiến thức")=1,IF(COUNTIFS($A$5:$A$404,A172,$D$5:$D$404,"Có")&lt;&gt;1,"Choice kiến thức cần đúng 1 đáp án đúng",""),IF(COUNTIFS('02_KICH_BAN_NODES'!$B$5:$B$204,A172,'02_KICH_BAN_NODES'!$E$5:$E$204,"Tương tác")=1,IF(COUNTIFS($A$5:$A$404,A172,$D$5:$D$404,"Có")&lt;&gt;0,"Choice tương tác không được đánh dấu đáp án đúng",""),"Choice chưa chọn loại")))))))</f>
        <v/>
      </c>
    </row>
    <row r="173" spans="1:11">
      <c r="A173" s="13"/>
      <c r="B173" s="13"/>
      <c r="C173" s="5"/>
      <c r="D173" s="13"/>
      <c r="E173" s="13"/>
      <c r="F173" s="13"/>
      <c r="G173" s="13"/>
      <c r="H173" s="5"/>
      <c r="I173" s="5"/>
      <c r="J173" s="6" t="str">
        <f t="shared" si="2"/>
        <v/>
      </c>
      <c r="K173" s="6" t="str">
        <f>IF(A173="","",IF(COUNTIFS('02_KICH_BAN_NODES'!$B$5:$B$204,A173,'02_KICH_BAN_NODES'!$D$5:$D$204,"choice")=0,"ChoiceNodeId không tồn tại hoặc không phải choice",IF(COUNTIFS($A$5:$A$404,A173,$B$5:$B$404,B173)&gt;1,"Trùng OptionOrder trong cùng choice",IF(OR(B173="",C173="",D173="",F173="",H173=""),"Thiếu trường bắt buộc",IF(OR(COUNTIF($A$5:$A$404,A173)&lt;2,COUNTIF($A$5:$A$404,A173)&gt;4),"Mỗi choice cần 2–4 option",IF(COUNTIFS('02_KICH_BAN_NODES'!$B$5:$B$204,A173,'02_KICH_BAN_NODES'!$E$5:$E$204,"Kiến thức")=1,IF(COUNTIFS($A$5:$A$404,A173,$D$5:$D$404,"Có")&lt;&gt;1,"Choice kiến thức cần đúng 1 đáp án đúng",""),IF(COUNTIFS('02_KICH_BAN_NODES'!$B$5:$B$204,A173,'02_KICH_BAN_NODES'!$E$5:$E$204,"Tương tác")=1,IF(COUNTIFS($A$5:$A$404,A173,$D$5:$D$404,"Có")&lt;&gt;0,"Choice tương tác không được đánh dấu đáp án đúng",""),"Choice chưa chọn loại")))))))</f>
        <v/>
      </c>
    </row>
    <row r="174" spans="1:11">
      <c r="A174" s="13"/>
      <c r="B174" s="13"/>
      <c r="C174" s="5"/>
      <c r="D174" s="13"/>
      <c r="E174" s="13"/>
      <c r="F174" s="13"/>
      <c r="G174" s="13"/>
      <c r="H174" s="5"/>
      <c r="I174" s="5"/>
      <c r="J174" s="6" t="str">
        <f t="shared" si="2"/>
        <v/>
      </c>
      <c r="K174" s="6" t="str">
        <f>IF(A174="","",IF(COUNTIFS('02_KICH_BAN_NODES'!$B$5:$B$204,A174,'02_KICH_BAN_NODES'!$D$5:$D$204,"choice")=0,"ChoiceNodeId không tồn tại hoặc không phải choice",IF(COUNTIFS($A$5:$A$404,A174,$B$5:$B$404,B174)&gt;1,"Trùng OptionOrder trong cùng choice",IF(OR(B174="",C174="",D174="",F174="",H174=""),"Thiếu trường bắt buộc",IF(OR(COUNTIF($A$5:$A$404,A174)&lt;2,COUNTIF($A$5:$A$404,A174)&gt;4),"Mỗi choice cần 2–4 option",IF(COUNTIFS('02_KICH_BAN_NODES'!$B$5:$B$204,A174,'02_KICH_BAN_NODES'!$E$5:$E$204,"Kiến thức")=1,IF(COUNTIFS($A$5:$A$404,A174,$D$5:$D$404,"Có")&lt;&gt;1,"Choice kiến thức cần đúng 1 đáp án đúng",""),IF(COUNTIFS('02_KICH_BAN_NODES'!$B$5:$B$204,A174,'02_KICH_BAN_NODES'!$E$5:$E$204,"Tương tác")=1,IF(COUNTIFS($A$5:$A$404,A174,$D$5:$D$404,"Có")&lt;&gt;0,"Choice tương tác không được đánh dấu đáp án đúng",""),"Choice chưa chọn loại")))))))</f>
        <v/>
      </c>
    </row>
    <row r="175" spans="1:11">
      <c r="A175" s="13"/>
      <c r="B175" s="13"/>
      <c r="C175" s="5"/>
      <c r="D175" s="13"/>
      <c r="E175" s="13"/>
      <c r="F175" s="13"/>
      <c r="G175" s="13"/>
      <c r="H175" s="5"/>
      <c r="I175" s="5"/>
      <c r="J175" s="6" t="str">
        <f t="shared" si="2"/>
        <v/>
      </c>
      <c r="K175" s="6" t="str">
        <f>IF(A175="","",IF(COUNTIFS('02_KICH_BAN_NODES'!$B$5:$B$204,A175,'02_KICH_BAN_NODES'!$D$5:$D$204,"choice")=0,"ChoiceNodeId không tồn tại hoặc không phải choice",IF(COUNTIFS($A$5:$A$404,A175,$B$5:$B$404,B175)&gt;1,"Trùng OptionOrder trong cùng choice",IF(OR(B175="",C175="",D175="",F175="",H175=""),"Thiếu trường bắt buộc",IF(OR(COUNTIF($A$5:$A$404,A175)&lt;2,COUNTIF($A$5:$A$404,A175)&gt;4),"Mỗi choice cần 2–4 option",IF(COUNTIFS('02_KICH_BAN_NODES'!$B$5:$B$204,A175,'02_KICH_BAN_NODES'!$E$5:$E$204,"Kiến thức")=1,IF(COUNTIFS($A$5:$A$404,A175,$D$5:$D$404,"Có")&lt;&gt;1,"Choice kiến thức cần đúng 1 đáp án đúng",""),IF(COUNTIFS('02_KICH_BAN_NODES'!$B$5:$B$204,A175,'02_KICH_BAN_NODES'!$E$5:$E$204,"Tương tác")=1,IF(COUNTIFS($A$5:$A$404,A175,$D$5:$D$404,"Có")&lt;&gt;0,"Choice tương tác không được đánh dấu đáp án đúng",""),"Choice chưa chọn loại")))))))</f>
        <v/>
      </c>
    </row>
    <row r="176" spans="1:11">
      <c r="A176" s="13"/>
      <c r="B176" s="13"/>
      <c r="C176" s="5"/>
      <c r="D176" s="13"/>
      <c r="E176" s="13"/>
      <c r="F176" s="13"/>
      <c r="G176" s="13"/>
      <c r="H176" s="5"/>
      <c r="I176" s="5"/>
      <c r="J176" s="6" t="str">
        <f t="shared" si="2"/>
        <v/>
      </c>
      <c r="K176" s="6" t="str">
        <f>IF(A176="","",IF(COUNTIFS('02_KICH_BAN_NODES'!$B$5:$B$204,A176,'02_KICH_BAN_NODES'!$D$5:$D$204,"choice")=0,"ChoiceNodeId không tồn tại hoặc không phải choice",IF(COUNTIFS($A$5:$A$404,A176,$B$5:$B$404,B176)&gt;1,"Trùng OptionOrder trong cùng choice",IF(OR(B176="",C176="",D176="",F176="",H176=""),"Thiếu trường bắt buộc",IF(OR(COUNTIF($A$5:$A$404,A176)&lt;2,COUNTIF($A$5:$A$404,A176)&gt;4),"Mỗi choice cần 2–4 option",IF(COUNTIFS('02_KICH_BAN_NODES'!$B$5:$B$204,A176,'02_KICH_BAN_NODES'!$E$5:$E$204,"Kiến thức")=1,IF(COUNTIFS($A$5:$A$404,A176,$D$5:$D$404,"Có")&lt;&gt;1,"Choice kiến thức cần đúng 1 đáp án đúng",""),IF(COUNTIFS('02_KICH_BAN_NODES'!$B$5:$B$204,A176,'02_KICH_BAN_NODES'!$E$5:$E$204,"Tương tác")=1,IF(COUNTIFS($A$5:$A$404,A176,$D$5:$D$404,"Có")&lt;&gt;0,"Choice tương tác không được đánh dấu đáp án đúng",""),"Choice chưa chọn loại")))))))</f>
        <v/>
      </c>
    </row>
    <row r="177" spans="1:11">
      <c r="A177" s="13"/>
      <c r="B177" s="13"/>
      <c r="C177" s="5"/>
      <c r="D177" s="13"/>
      <c r="E177" s="13"/>
      <c r="F177" s="13"/>
      <c r="G177" s="13"/>
      <c r="H177" s="5"/>
      <c r="I177" s="5"/>
      <c r="J177" s="6" t="str">
        <f t="shared" si="2"/>
        <v/>
      </c>
      <c r="K177" s="6" t="str">
        <f>IF(A177="","",IF(COUNTIFS('02_KICH_BAN_NODES'!$B$5:$B$204,A177,'02_KICH_BAN_NODES'!$D$5:$D$204,"choice")=0,"ChoiceNodeId không tồn tại hoặc không phải choice",IF(COUNTIFS($A$5:$A$404,A177,$B$5:$B$404,B177)&gt;1,"Trùng OptionOrder trong cùng choice",IF(OR(B177="",C177="",D177="",F177="",H177=""),"Thiếu trường bắt buộc",IF(OR(COUNTIF($A$5:$A$404,A177)&lt;2,COUNTIF($A$5:$A$404,A177)&gt;4),"Mỗi choice cần 2–4 option",IF(COUNTIFS('02_KICH_BAN_NODES'!$B$5:$B$204,A177,'02_KICH_BAN_NODES'!$E$5:$E$204,"Kiến thức")=1,IF(COUNTIFS($A$5:$A$404,A177,$D$5:$D$404,"Có")&lt;&gt;1,"Choice kiến thức cần đúng 1 đáp án đúng",""),IF(COUNTIFS('02_KICH_BAN_NODES'!$B$5:$B$204,A177,'02_KICH_BAN_NODES'!$E$5:$E$204,"Tương tác")=1,IF(COUNTIFS($A$5:$A$404,A177,$D$5:$D$404,"Có")&lt;&gt;0,"Choice tương tác không được đánh dấu đáp án đúng",""),"Choice chưa chọn loại")))))))</f>
        <v/>
      </c>
    </row>
    <row r="178" spans="1:11">
      <c r="A178" s="13"/>
      <c r="B178" s="13"/>
      <c r="C178" s="5"/>
      <c r="D178" s="13"/>
      <c r="E178" s="13"/>
      <c r="F178" s="13"/>
      <c r="G178" s="13"/>
      <c r="H178" s="5"/>
      <c r="I178" s="5"/>
      <c r="J178" s="6" t="str">
        <f t="shared" si="2"/>
        <v/>
      </c>
      <c r="K178" s="6" t="str">
        <f>IF(A178="","",IF(COUNTIFS('02_KICH_BAN_NODES'!$B$5:$B$204,A178,'02_KICH_BAN_NODES'!$D$5:$D$204,"choice")=0,"ChoiceNodeId không tồn tại hoặc không phải choice",IF(COUNTIFS($A$5:$A$404,A178,$B$5:$B$404,B178)&gt;1,"Trùng OptionOrder trong cùng choice",IF(OR(B178="",C178="",D178="",F178="",H178=""),"Thiếu trường bắt buộc",IF(OR(COUNTIF($A$5:$A$404,A178)&lt;2,COUNTIF($A$5:$A$404,A178)&gt;4),"Mỗi choice cần 2–4 option",IF(COUNTIFS('02_KICH_BAN_NODES'!$B$5:$B$204,A178,'02_KICH_BAN_NODES'!$E$5:$E$204,"Kiến thức")=1,IF(COUNTIFS($A$5:$A$404,A178,$D$5:$D$404,"Có")&lt;&gt;1,"Choice kiến thức cần đúng 1 đáp án đúng",""),IF(COUNTIFS('02_KICH_BAN_NODES'!$B$5:$B$204,A178,'02_KICH_BAN_NODES'!$E$5:$E$204,"Tương tác")=1,IF(COUNTIFS($A$5:$A$404,A178,$D$5:$D$404,"Có")&lt;&gt;0,"Choice tương tác không được đánh dấu đáp án đúng",""),"Choice chưa chọn loại")))))))</f>
        <v/>
      </c>
    </row>
    <row r="179" spans="1:11">
      <c r="A179" s="13"/>
      <c r="B179" s="13"/>
      <c r="C179" s="5"/>
      <c r="D179" s="13"/>
      <c r="E179" s="13"/>
      <c r="F179" s="13"/>
      <c r="G179" s="13"/>
      <c r="H179" s="5"/>
      <c r="I179" s="5"/>
      <c r="J179" s="6" t="str">
        <f t="shared" si="2"/>
        <v/>
      </c>
      <c r="K179" s="6" t="str">
        <f>IF(A179="","",IF(COUNTIFS('02_KICH_BAN_NODES'!$B$5:$B$204,A179,'02_KICH_BAN_NODES'!$D$5:$D$204,"choice")=0,"ChoiceNodeId không tồn tại hoặc không phải choice",IF(COUNTIFS($A$5:$A$404,A179,$B$5:$B$404,B179)&gt;1,"Trùng OptionOrder trong cùng choice",IF(OR(B179="",C179="",D179="",F179="",H179=""),"Thiếu trường bắt buộc",IF(OR(COUNTIF($A$5:$A$404,A179)&lt;2,COUNTIF($A$5:$A$404,A179)&gt;4),"Mỗi choice cần 2–4 option",IF(COUNTIFS('02_KICH_BAN_NODES'!$B$5:$B$204,A179,'02_KICH_BAN_NODES'!$E$5:$E$204,"Kiến thức")=1,IF(COUNTIFS($A$5:$A$404,A179,$D$5:$D$404,"Có")&lt;&gt;1,"Choice kiến thức cần đúng 1 đáp án đúng",""),IF(COUNTIFS('02_KICH_BAN_NODES'!$B$5:$B$204,A179,'02_KICH_BAN_NODES'!$E$5:$E$204,"Tương tác")=1,IF(COUNTIFS($A$5:$A$404,A179,$D$5:$D$404,"Có")&lt;&gt;0,"Choice tương tác không được đánh dấu đáp án đúng",""),"Choice chưa chọn loại")))))))</f>
        <v/>
      </c>
    </row>
    <row r="180" spans="1:11">
      <c r="A180" s="13"/>
      <c r="B180" s="13"/>
      <c r="C180" s="5"/>
      <c r="D180" s="13"/>
      <c r="E180" s="13"/>
      <c r="F180" s="13"/>
      <c r="G180" s="13"/>
      <c r="H180" s="5"/>
      <c r="I180" s="5"/>
      <c r="J180" s="6" t="str">
        <f t="shared" si="2"/>
        <v/>
      </c>
      <c r="K180" s="6" t="str">
        <f>IF(A180="","",IF(COUNTIFS('02_KICH_BAN_NODES'!$B$5:$B$204,A180,'02_KICH_BAN_NODES'!$D$5:$D$204,"choice")=0,"ChoiceNodeId không tồn tại hoặc không phải choice",IF(COUNTIFS($A$5:$A$404,A180,$B$5:$B$404,B180)&gt;1,"Trùng OptionOrder trong cùng choice",IF(OR(B180="",C180="",D180="",F180="",H180=""),"Thiếu trường bắt buộc",IF(OR(COUNTIF($A$5:$A$404,A180)&lt;2,COUNTIF($A$5:$A$404,A180)&gt;4),"Mỗi choice cần 2–4 option",IF(COUNTIFS('02_KICH_BAN_NODES'!$B$5:$B$204,A180,'02_KICH_BAN_NODES'!$E$5:$E$204,"Kiến thức")=1,IF(COUNTIFS($A$5:$A$404,A180,$D$5:$D$404,"Có")&lt;&gt;1,"Choice kiến thức cần đúng 1 đáp án đúng",""),IF(COUNTIFS('02_KICH_BAN_NODES'!$B$5:$B$204,A180,'02_KICH_BAN_NODES'!$E$5:$E$204,"Tương tác")=1,IF(COUNTIFS($A$5:$A$404,A180,$D$5:$D$404,"Có")&lt;&gt;0,"Choice tương tác không được đánh dấu đáp án đúng",""),"Choice chưa chọn loại")))))))</f>
        <v/>
      </c>
    </row>
    <row r="181" spans="1:11">
      <c r="A181" s="13"/>
      <c r="B181" s="13"/>
      <c r="C181" s="5"/>
      <c r="D181" s="13"/>
      <c r="E181" s="13"/>
      <c r="F181" s="13"/>
      <c r="G181" s="13"/>
      <c r="H181" s="5"/>
      <c r="I181" s="5"/>
      <c r="J181" s="6" t="str">
        <f t="shared" si="2"/>
        <v/>
      </c>
      <c r="K181" s="6" t="str">
        <f>IF(A181="","",IF(COUNTIFS('02_KICH_BAN_NODES'!$B$5:$B$204,A181,'02_KICH_BAN_NODES'!$D$5:$D$204,"choice")=0,"ChoiceNodeId không tồn tại hoặc không phải choice",IF(COUNTIFS($A$5:$A$404,A181,$B$5:$B$404,B181)&gt;1,"Trùng OptionOrder trong cùng choice",IF(OR(B181="",C181="",D181="",F181="",H181=""),"Thiếu trường bắt buộc",IF(OR(COUNTIF($A$5:$A$404,A181)&lt;2,COUNTIF($A$5:$A$404,A181)&gt;4),"Mỗi choice cần 2–4 option",IF(COUNTIFS('02_KICH_BAN_NODES'!$B$5:$B$204,A181,'02_KICH_BAN_NODES'!$E$5:$E$204,"Kiến thức")=1,IF(COUNTIFS($A$5:$A$404,A181,$D$5:$D$404,"Có")&lt;&gt;1,"Choice kiến thức cần đúng 1 đáp án đúng",""),IF(COUNTIFS('02_KICH_BAN_NODES'!$B$5:$B$204,A181,'02_KICH_BAN_NODES'!$E$5:$E$204,"Tương tác")=1,IF(COUNTIFS($A$5:$A$404,A181,$D$5:$D$404,"Có")&lt;&gt;0,"Choice tương tác không được đánh dấu đáp án đúng",""),"Choice chưa chọn loại")))))))</f>
        <v/>
      </c>
    </row>
    <row r="182" spans="1:11">
      <c r="A182" s="13"/>
      <c r="B182" s="13"/>
      <c r="C182" s="5"/>
      <c r="D182" s="13"/>
      <c r="E182" s="13"/>
      <c r="F182" s="13"/>
      <c r="G182" s="13"/>
      <c r="H182" s="5"/>
      <c r="I182" s="5"/>
      <c r="J182" s="6" t="str">
        <f t="shared" si="2"/>
        <v/>
      </c>
      <c r="K182" s="6" t="str">
        <f>IF(A182="","",IF(COUNTIFS('02_KICH_BAN_NODES'!$B$5:$B$204,A182,'02_KICH_BAN_NODES'!$D$5:$D$204,"choice")=0,"ChoiceNodeId không tồn tại hoặc không phải choice",IF(COUNTIFS($A$5:$A$404,A182,$B$5:$B$404,B182)&gt;1,"Trùng OptionOrder trong cùng choice",IF(OR(B182="",C182="",D182="",F182="",H182=""),"Thiếu trường bắt buộc",IF(OR(COUNTIF($A$5:$A$404,A182)&lt;2,COUNTIF($A$5:$A$404,A182)&gt;4),"Mỗi choice cần 2–4 option",IF(COUNTIFS('02_KICH_BAN_NODES'!$B$5:$B$204,A182,'02_KICH_BAN_NODES'!$E$5:$E$204,"Kiến thức")=1,IF(COUNTIFS($A$5:$A$404,A182,$D$5:$D$404,"Có")&lt;&gt;1,"Choice kiến thức cần đúng 1 đáp án đúng",""),IF(COUNTIFS('02_KICH_BAN_NODES'!$B$5:$B$204,A182,'02_KICH_BAN_NODES'!$E$5:$E$204,"Tương tác")=1,IF(COUNTIFS($A$5:$A$404,A182,$D$5:$D$404,"Có")&lt;&gt;0,"Choice tương tác không được đánh dấu đáp án đúng",""),"Choice chưa chọn loại")))))))</f>
        <v/>
      </c>
    </row>
    <row r="183" spans="1:11">
      <c r="A183" s="13"/>
      <c r="B183" s="13"/>
      <c r="C183" s="5"/>
      <c r="D183" s="13"/>
      <c r="E183" s="13"/>
      <c r="F183" s="13"/>
      <c r="G183" s="13"/>
      <c r="H183" s="5"/>
      <c r="I183" s="5"/>
      <c r="J183" s="6" t="str">
        <f t="shared" si="2"/>
        <v/>
      </c>
      <c r="K183" s="6" t="str">
        <f>IF(A183="","",IF(COUNTIFS('02_KICH_BAN_NODES'!$B$5:$B$204,A183,'02_KICH_BAN_NODES'!$D$5:$D$204,"choice")=0,"ChoiceNodeId không tồn tại hoặc không phải choice",IF(COUNTIFS($A$5:$A$404,A183,$B$5:$B$404,B183)&gt;1,"Trùng OptionOrder trong cùng choice",IF(OR(B183="",C183="",D183="",F183="",H183=""),"Thiếu trường bắt buộc",IF(OR(COUNTIF($A$5:$A$404,A183)&lt;2,COUNTIF($A$5:$A$404,A183)&gt;4),"Mỗi choice cần 2–4 option",IF(COUNTIFS('02_KICH_BAN_NODES'!$B$5:$B$204,A183,'02_KICH_BAN_NODES'!$E$5:$E$204,"Kiến thức")=1,IF(COUNTIFS($A$5:$A$404,A183,$D$5:$D$404,"Có")&lt;&gt;1,"Choice kiến thức cần đúng 1 đáp án đúng",""),IF(COUNTIFS('02_KICH_BAN_NODES'!$B$5:$B$204,A183,'02_KICH_BAN_NODES'!$E$5:$E$204,"Tương tác")=1,IF(COUNTIFS($A$5:$A$404,A183,$D$5:$D$404,"Có")&lt;&gt;0,"Choice tương tác không được đánh dấu đáp án đúng",""),"Choice chưa chọn loại")))))))</f>
        <v/>
      </c>
    </row>
    <row r="184" spans="1:11">
      <c r="A184" s="13"/>
      <c r="B184" s="13"/>
      <c r="C184" s="5"/>
      <c r="D184" s="13"/>
      <c r="E184" s="13"/>
      <c r="F184" s="13"/>
      <c r="G184" s="13"/>
      <c r="H184" s="5"/>
      <c r="I184" s="5"/>
      <c r="J184" s="6" t="str">
        <f t="shared" si="2"/>
        <v/>
      </c>
      <c r="K184" s="6" t="str">
        <f>IF(A184="","",IF(COUNTIFS('02_KICH_BAN_NODES'!$B$5:$B$204,A184,'02_KICH_BAN_NODES'!$D$5:$D$204,"choice")=0,"ChoiceNodeId không tồn tại hoặc không phải choice",IF(COUNTIFS($A$5:$A$404,A184,$B$5:$B$404,B184)&gt;1,"Trùng OptionOrder trong cùng choice",IF(OR(B184="",C184="",D184="",F184="",H184=""),"Thiếu trường bắt buộc",IF(OR(COUNTIF($A$5:$A$404,A184)&lt;2,COUNTIF($A$5:$A$404,A184)&gt;4),"Mỗi choice cần 2–4 option",IF(COUNTIFS('02_KICH_BAN_NODES'!$B$5:$B$204,A184,'02_KICH_BAN_NODES'!$E$5:$E$204,"Kiến thức")=1,IF(COUNTIFS($A$5:$A$404,A184,$D$5:$D$404,"Có")&lt;&gt;1,"Choice kiến thức cần đúng 1 đáp án đúng",""),IF(COUNTIFS('02_KICH_BAN_NODES'!$B$5:$B$204,A184,'02_KICH_BAN_NODES'!$E$5:$E$204,"Tương tác")=1,IF(COUNTIFS($A$5:$A$404,A184,$D$5:$D$404,"Có")&lt;&gt;0,"Choice tương tác không được đánh dấu đáp án đúng",""),"Choice chưa chọn loại")))))))</f>
        <v/>
      </c>
    </row>
    <row r="185" spans="1:11">
      <c r="A185" s="13"/>
      <c r="B185" s="13"/>
      <c r="C185" s="5"/>
      <c r="D185" s="13"/>
      <c r="E185" s="13"/>
      <c r="F185" s="13"/>
      <c r="G185" s="13"/>
      <c r="H185" s="5"/>
      <c r="I185" s="5"/>
      <c r="J185" s="6" t="str">
        <f t="shared" si="2"/>
        <v/>
      </c>
      <c r="K185" s="6" t="str">
        <f>IF(A185="","",IF(COUNTIFS('02_KICH_BAN_NODES'!$B$5:$B$204,A185,'02_KICH_BAN_NODES'!$D$5:$D$204,"choice")=0,"ChoiceNodeId không tồn tại hoặc không phải choice",IF(COUNTIFS($A$5:$A$404,A185,$B$5:$B$404,B185)&gt;1,"Trùng OptionOrder trong cùng choice",IF(OR(B185="",C185="",D185="",F185="",H185=""),"Thiếu trường bắt buộc",IF(OR(COUNTIF($A$5:$A$404,A185)&lt;2,COUNTIF($A$5:$A$404,A185)&gt;4),"Mỗi choice cần 2–4 option",IF(COUNTIFS('02_KICH_BAN_NODES'!$B$5:$B$204,A185,'02_KICH_BAN_NODES'!$E$5:$E$204,"Kiến thức")=1,IF(COUNTIFS($A$5:$A$404,A185,$D$5:$D$404,"Có")&lt;&gt;1,"Choice kiến thức cần đúng 1 đáp án đúng",""),IF(COUNTIFS('02_KICH_BAN_NODES'!$B$5:$B$204,A185,'02_KICH_BAN_NODES'!$E$5:$E$204,"Tương tác")=1,IF(COUNTIFS($A$5:$A$404,A185,$D$5:$D$404,"Có")&lt;&gt;0,"Choice tương tác không được đánh dấu đáp án đúng",""),"Choice chưa chọn loại")))))))</f>
        <v/>
      </c>
    </row>
    <row r="186" spans="1:11">
      <c r="A186" s="13"/>
      <c r="B186" s="13"/>
      <c r="C186" s="5"/>
      <c r="D186" s="13"/>
      <c r="E186" s="13"/>
      <c r="F186" s="13"/>
      <c r="G186" s="13"/>
      <c r="H186" s="5"/>
      <c r="I186" s="5"/>
      <c r="J186" s="6" t="str">
        <f t="shared" si="2"/>
        <v/>
      </c>
      <c r="K186" s="6" t="str">
        <f>IF(A186="","",IF(COUNTIFS('02_KICH_BAN_NODES'!$B$5:$B$204,A186,'02_KICH_BAN_NODES'!$D$5:$D$204,"choice")=0,"ChoiceNodeId không tồn tại hoặc không phải choice",IF(COUNTIFS($A$5:$A$404,A186,$B$5:$B$404,B186)&gt;1,"Trùng OptionOrder trong cùng choice",IF(OR(B186="",C186="",D186="",F186="",H186=""),"Thiếu trường bắt buộc",IF(OR(COUNTIF($A$5:$A$404,A186)&lt;2,COUNTIF($A$5:$A$404,A186)&gt;4),"Mỗi choice cần 2–4 option",IF(COUNTIFS('02_KICH_BAN_NODES'!$B$5:$B$204,A186,'02_KICH_BAN_NODES'!$E$5:$E$204,"Kiến thức")=1,IF(COUNTIFS($A$5:$A$404,A186,$D$5:$D$404,"Có")&lt;&gt;1,"Choice kiến thức cần đúng 1 đáp án đúng",""),IF(COUNTIFS('02_KICH_BAN_NODES'!$B$5:$B$204,A186,'02_KICH_BAN_NODES'!$E$5:$E$204,"Tương tác")=1,IF(COUNTIFS($A$5:$A$404,A186,$D$5:$D$404,"Có")&lt;&gt;0,"Choice tương tác không được đánh dấu đáp án đúng",""),"Choice chưa chọn loại")))))))</f>
        <v/>
      </c>
    </row>
    <row r="187" spans="1:11">
      <c r="A187" s="13"/>
      <c r="B187" s="13"/>
      <c r="C187" s="5"/>
      <c r="D187" s="13"/>
      <c r="E187" s="13"/>
      <c r="F187" s="13"/>
      <c r="G187" s="13"/>
      <c r="H187" s="5"/>
      <c r="I187" s="5"/>
      <c r="J187" s="6" t="str">
        <f t="shared" si="2"/>
        <v/>
      </c>
      <c r="K187" s="6" t="str">
        <f>IF(A187="","",IF(COUNTIFS('02_KICH_BAN_NODES'!$B$5:$B$204,A187,'02_KICH_BAN_NODES'!$D$5:$D$204,"choice")=0,"ChoiceNodeId không tồn tại hoặc không phải choice",IF(COUNTIFS($A$5:$A$404,A187,$B$5:$B$404,B187)&gt;1,"Trùng OptionOrder trong cùng choice",IF(OR(B187="",C187="",D187="",F187="",H187=""),"Thiếu trường bắt buộc",IF(OR(COUNTIF($A$5:$A$404,A187)&lt;2,COUNTIF($A$5:$A$404,A187)&gt;4),"Mỗi choice cần 2–4 option",IF(COUNTIFS('02_KICH_BAN_NODES'!$B$5:$B$204,A187,'02_KICH_BAN_NODES'!$E$5:$E$204,"Kiến thức")=1,IF(COUNTIFS($A$5:$A$404,A187,$D$5:$D$404,"Có")&lt;&gt;1,"Choice kiến thức cần đúng 1 đáp án đúng",""),IF(COUNTIFS('02_KICH_BAN_NODES'!$B$5:$B$204,A187,'02_KICH_BAN_NODES'!$E$5:$E$204,"Tương tác")=1,IF(COUNTIFS($A$5:$A$404,A187,$D$5:$D$404,"Có")&lt;&gt;0,"Choice tương tác không được đánh dấu đáp án đúng",""),"Choice chưa chọn loại")))))))</f>
        <v/>
      </c>
    </row>
    <row r="188" spans="1:11">
      <c r="A188" s="13"/>
      <c r="B188" s="13"/>
      <c r="C188" s="5"/>
      <c r="D188" s="13"/>
      <c r="E188" s="13"/>
      <c r="F188" s="13"/>
      <c r="G188" s="13"/>
      <c r="H188" s="5"/>
      <c r="I188" s="5"/>
      <c r="J188" s="6" t="str">
        <f t="shared" si="2"/>
        <v/>
      </c>
      <c r="K188" s="6" t="str">
        <f>IF(A188="","",IF(COUNTIFS('02_KICH_BAN_NODES'!$B$5:$B$204,A188,'02_KICH_BAN_NODES'!$D$5:$D$204,"choice")=0,"ChoiceNodeId không tồn tại hoặc không phải choice",IF(COUNTIFS($A$5:$A$404,A188,$B$5:$B$404,B188)&gt;1,"Trùng OptionOrder trong cùng choice",IF(OR(B188="",C188="",D188="",F188="",H188=""),"Thiếu trường bắt buộc",IF(OR(COUNTIF($A$5:$A$404,A188)&lt;2,COUNTIF($A$5:$A$404,A188)&gt;4),"Mỗi choice cần 2–4 option",IF(COUNTIFS('02_KICH_BAN_NODES'!$B$5:$B$204,A188,'02_KICH_BAN_NODES'!$E$5:$E$204,"Kiến thức")=1,IF(COUNTIFS($A$5:$A$404,A188,$D$5:$D$404,"Có")&lt;&gt;1,"Choice kiến thức cần đúng 1 đáp án đúng",""),IF(COUNTIFS('02_KICH_BAN_NODES'!$B$5:$B$204,A188,'02_KICH_BAN_NODES'!$E$5:$E$204,"Tương tác")=1,IF(COUNTIFS($A$5:$A$404,A188,$D$5:$D$404,"Có")&lt;&gt;0,"Choice tương tác không được đánh dấu đáp án đúng",""),"Choice chưa chọn loại")))))))</f>
        <v/>
      </c>
    </row>
    <row r="189" spans="1:11">
      <c r="A189" s="13"/>
      <c r="B189" s="13"/>
      <c r="C189" s="5"/>
      <c r="D189" s="13"/>
      <c r="E189" s="13"/>
      <c r="F189" s="13"/>
      <c r="G189" s="13"/>
      <c r="H189" s="5"/>
      <c r="I189" s="5"/>
      <c r="J189" s="6" t="str">
        <f t="shared" si="2"/>
        <v/>
      </c>
      <c r="K189" s="6" t="str">
        <f>IF(A189="","",IF(COUNTIFS('02_KICH_BAN_NODES'!$B$5:$B$204,A189,'02_KICH_BAN_NODES'!$D$5:$D$204,"choice")=0,"ChoiceNodeId không tồn tại hoặc không phải choice",IF(COUNTIFS($A$5:$A$404,A189,$B$5:$B$404,B189)&gt;1,"Trùng OptionOrder trong cùng choice",IF(OR(B189="",C189="",D189="",F189="",H189=""),"Thiếu trường bắt buộc",IF(OR(COUNTIF($A$5:$A$404,A189)&lt;2,COUNTIF($A$5:$A$404,A189)&gt;4),"Mỗi choice cần 2–4 option",IF(COUNTIFS('02_KICH_BAN_NODES'!$B$5:$B$204,A189,'02_KICH_BAN_NODES'!$E$5:$E$204,"Kiến thức")=1,IF(COUNTIFS($A$5:$A$404,A189,$D$5:$D$404,"Có")&lt;&gt;1,"Choice kiến thức cần đúng 1 đáp án đúng",""),IF(COUNTIFS('02_KICH_BAN_NODES'!$B$5:$B$204,A189,'02_KICH_BAN_NODES'!$E$5:$E$204,"Tương tác")=1,IF(COUNTIFS($A$5:$A$404,A189,$D$5:$D$404,"Có")&lt;&gt;0,"Choice tương tác không được đánh dấu đáp án đúng",""),"Choice chưa chọn loại")))))))</f>
        <v/>
      </c>
    </row>
    <row r="190" spans="1:11">
      <c r="A190" s="13"/>
      <c r="B190" s="13"/>
      <c r="C190" s="5"/>
      <c r="D190" s="13"/>
      <c r="E190" s="13"/>
      <c r="F190" s="13"/>
      <c r="G190" s="13"/>
      <c r="H190" s="5"/>
      <c r="I190" s="5"/>
      <c r="J190" s="6" t="str">
        <f t="shared" si="2"/>
        <v/>
      </c>
      <c r="K190" s="6" t="str">
        <f>IF(A190="","",IF(COUNTIFS('02_KICH_BAN_NODES'!$B$5:$B$204,A190,'02_KICH_BAN_NODES'!$D$5:$D$204,"choice")=0,"ChoiceNodeId không tồn tại hoặc không phải choice",IF(COUNTIFS($A$5:$A$404,A190,$B$5:$B$404,B190)&gt;1,"Trùng OptionOrder trong cùng choice",IF(OR(B190="",C190="",D190="",F190="",H190=""),"Thiếu trường bắt buộc",IF(OR(COUNTIF($A$5:$A$404,A190)&lt;2,COUNTIF($A$5:$A$404,A190)&gt;4),"Mỗi choice cần 2–4 option",IF(COUNTIFS('02_KICH_BAN_NODES'!$B$5:$B$204,A190,'02_KICH_BAN_NODES'!$E$5:$E$204,"Kiến thức")=1,IF(COUNTIFS($A$5:$A$404,A190,$D$5:$D$404,"Có")&lt;&gt;1,"Choice kiến thức cần đúng 1 đáp án đúng",""),IF(COUNTIFS('02_KICH_BAN_NODES'!$B$5:$B$204,A190,'02_KICH_BAN_NODES'!$E$5:$E$204,"Tương tác")=1,IF(COUNTIFS($A$5:$A$404,A190,$D$5:$D$404,"Có")&lt;&gt;0,"Choice tương tác không được đánh dấu đáp án đúng",""),"Choice chưa chọn loại")))))))</f>
        <v/>
      </c>
    </row>
    <row r="191" spans="1:11">
      <c r="A191" s="13"/>
      <c r="B191" s="13"/>
      <c r="C191" s="5"/>
      <c r="D191" s="13"/>
      <c r="E191" s="13"/>
      <c r="F191" s="13"/>
      <c r="G191" s="13"/>
      <c r="H191" s="5"/>
      <c r="I191" s="5"/>
      <c r="J191" s="6" t="str">
        <f t="shared" si="2"/>
        <v/>
      </c>
      <c r="K191" s="6" t="str">
        <f>IF(A191="","",IF(COUNTIFS('02_KICH_BAN_NODES'!$B$5:$B$204,A191,'02_KICH_BAN_NODES'!$D$5:$D$204,"choice")=0,"ChoiceNodeId không tồn tại hoặc không phải choice",IF(COUNTIFS($A$5:$A$404,A191,$B$5:$B$404,B191)&gt;1,"Trùng OptionOrder trong cùng choice",IF(OR(B191="",C191="",D191="",F191="",H191=""),"Thiếu trường bắt buộc",IF(OR(COUNTIF($A$5:$A$404,A191)&lt;2,COUNTIF($A$5:$A$404,A191)&gt;4),"Mỗi choice cần 2–4 option",IF(COUNTIFS('02_KICH_BAN_NODES'!$B$5:$B$204,A191,'02_KICH_BAN_NODES'!$E$5:$E$204,"Kiến thức")=1,IF(COUNTIFS($A$5:$A$404,A191,$D$5:$D$404,"Có")&lt;&gt;1,"Choice kiến thức cần đúng 1 đáp án đúng",""),IF(COUNTIFS('02_KICH_BAN_NODES'!$B$5:$B$204,A191,'02_KICH_BAN_NODES'!$E$5:$E$204,"Tương tác")=1,IF(COUNTIFS($A$5:$A$404,A191,$D$5:$D$404,"Có")&lt;&gt;0,"Choice tương tác không được đánh dấu đáp án đúng",""),"Choice chưa chọn loại")))))))</f>
        <v/>
      </c>
    </row>
    <row r="192" spans="1:11">
      <c r="A192" s="13"/>
      <c r="B192" s="13"/>
      <c r="C192" s="5"/>
      <c r="D192" s="13"/>
      <c r="E192" s="13"/>
      <c r="F192" s="13"/>
      <c r="G192" s="13"/>
      <c r="H192" s="5"/>
      <c r="I192" s="5"/>
      <c r="J192" s="6" t="str">
        <f t="shared" si="2"/>
        <v/>
      </c>
      <c r="K192" s="6" t="str">
        <f>IF(A192="","",IF(COUNTIFS('02_KICH_BAN_NODES'!$B$5:$B$204,A192,'02_KICH_BAN_NODES'!$D$5:$D$204,"choice")=0,"ChoiceNodeId không tồn tại hoặc không phải choice",IF(COUNTIFS($A$5:$A$404,A192,$B$5:$B$404,B192)&gt;1,"Trùng OptionOrder trong cùng choice",IF(OR(B192="",C192="",D192="",F192="",H192=""),"Thiếu trường bắt buộc",IF(OR(COUNTIF($A$5:$A$404,A192)&lt;2,COUNTIF($A$5:$A$404,A192)&gt;4),"Mỗi choice cần 2–4 option",IF(COUNTIFS('02_KICH_BAN_NODES'!$B$5:$B$204,A192,'02_KICH_BAN_NODES'!$E$5:$E$204,"Kiến thức")=1,IF(COUNTIFS($A$5:$A$404,A192,$D$5:$D$404,"Có")&lt;&gt;1,"Choice kiến thức cần đúng 1 đáp án đúng",""),IF(COUNTIFS('02_KICH_BAN_NODES'!$B$5:$B$204,A192,'02_KICH_BAN_NODES'!$E$5:$E$204,"Tương tác")=1,IF(COUNTIFS($A$5:$A$404,A192,$D$5:$D$404,"Có")&lt;&gt;0,"Choice tương tác không được đánh dấu đáp án đúng",""),"Choice chưa chọn loại")))))))</f>
        <v/>
      </c>
    </row>
    <row r="193" spans="1:11">
      <c r="A193" s="13"/>
      <c r="B193" s="13"/>
      <c r="C193" s="5"/>
      <c r="D193" s="13"/>
      <c r="E193" s="13"/>
      <c r="F193" s="13"/>
      <c r="G193" s="13"/>
      <c r="H193" s="5"/>
      <c r="I193" s="5"/>
      <c r="J193" s="6" t="str">
        <f t="shared" si="2"/>
        <v/>
      </c>
      <c r="K193" s="6" t="str">
        <f>IF(A193="","",IF(COUNTIFS('02_KICH_BAN_NODES'!$B$5:$B$204,A193,'02_KICH_BAN_NODES'!$D$5:$D$204,"choice")=0,"ChoiceNodeId không tồn tại hoặc không phải choice",IF(COUNTIFS($A$5:$A$404,A193,$B$5:$B$404,B193)&gt;1,"Trùng OptionOrder trong cùng choice",IF(OR(B193="",C193="",D193="",F193="",H193=""),"Thiếu trường bắt buộc",IF(OR(COUNTIF($A$5:$A$404,A193)&lt;2,COUNTIF($A$5:$A$404,A193)&gt;4),"Mỗi choice cần 2–4 option",IF(COUNTIFS('02_KICH_BAN_NODES'!$B$5:$B$204,A193,'02_KICH_BAN_NODES'!$E$5:$E$204,"Kiến thức")=1,IF(COUNTIFS($A$5:$A$404,A193,$D$5:$D$404,"Có")&lt;&gt;1,"Choice kiến thức cần đúng 1 đáp án đúng",""),IF(COUNTIFS('02_KICH_BAN_NODES'!$B$5:$B$204,A193,'02_KICH_BAN_NODES'!$E$5:$E$204,"Tương tác")=1,IF(COUNTIFS($A$5:$A$404,A193,$D$5:$D$404,"Có")&lt;&gt;0,"Choice tương tác không được đánh dấu đáp án đúng",""),"Choice chưa chọn loại")))))))</f>
        <v/>
      </c>
    </row>
    <row r="194" spans="1:11">
      <c r="A194" s="13"/>
      <c r="B194" s="13"/>
      <c r="C194" s="5"/>
      <c r="D194" s="13"/>
      <c r="E194" s="13"/>
      <c r="F194" s="13"/>
      <c r="G194" s="13"/>
      <c r="H194" s="5"/>
      <c r="I194" s="5"/>
      <c r="J194" s="6" t="str">
        <f t="shared" si="2"/>
        <v/>
      </c>
      <c r="K194" s="6" t="str">
        <f>IF(A194="","",IF(COUNTIFS('02_KICH_BAN_NODES'!$B$5:$B$204,A194,'02_KICH_BAN_NODES'!$D$5:$D$204,"choice")=0,"ChoiceNodeId không tồn tại hoặc không phải choice",IF(COUNTIFS($A$5:$A$404,A194,$B$5:$B$404,B194)&gt;1,"Trùng OptionOrder trong cùng choice",IF(OR(B194="",C194="",D194="",F194="",H194=""),"Thiếu trường bắt buộc",IF(OR(COUNTIF($A$5:$A$404,A194)&lt;2,COUNTIF($A$5:$A$404,A194)&gt;4),"Mỗi choice cần 2–4 option",IF(COUNTIFS('02_KICH_BAN_NODES'!$B$5:$B$204,A194,'02_KICH_BAN_NODES'!$E$5:$E$204,"Kiến thức")=1,IF(COUNTIFS($A$5:$A$404,A194,$D$5:$D$404,"Có")&lt;&gt;1,"Choice kiến thức cần đúng 1 đáp án đúng",""),IF(COUNTIFS('02_KICH_BAN_NODES'!$B$5:$B$204,A194,'02_KICH_BAN_NODES'!$E$5:$E$204,"Tương tác")=1,IF(COUNTIFS($A$5:$A$404,A194,$D$5:$D$404,"Có")&lt;&gt;0,"Choice tương tác không được đánh dấu đáp án đúng",""),"Choice chưa chọn loại")))))))</f>
        <v/>
      </c>
    </row>
    <row r="195" spans="1:11">
      <c r="A195" s="13"/>
      <c r="B195" s="13"/>
      <c r="C195" s="5"/>
      <c r="D195" s="13"/>
      <c r="E195" s="13"/>
      <c r="F195" s="13"/>
      <c r="G195" s="13"/>
      <c r="H195" s="5"/>
      <c r="I195" s="5"/>
      <c r="J195" s="6" t="str">
        <f t="shared" si="2"/>
        <v/>
      </c>
      <c r="K195" s="6" t="str">
        <f>IF(A195="","",IF(COUNTIFS('02_KICH_BAN_NODES'!$B$5:$B$204,A195,'02_KICH_BAN_NODES'!$D$5:$D$204,"choice")=0,"ChoiceNodeId không tồn tại hoặc không phải choice",IF(COUNTIFS($A$5:$A$404,A195,$B$5:$B$404,B195)&gt;1,"Trùng OptionOrder trong cùng choice",IF(OR(B195="",C195="",D195="",F195="",H195=""),"Thiếu trường bắt buộc",IF(OR(COUNTIF($A$5:$A$404,A195)&lt;2,COUNTIF($A$5:$A$404,A195)&gt;4),"Mỗi choice cần 2–4 option",IF(COUNTIFS('02_KICH_BAN_NODES'!$B$5:$B$204,A195,'02_KICH_BAN_NODES'!$E$5:$E$204,"Kiến thức")=1,IF(COUNTIFS($A$5:$A$404,A195,$D$5:$D$404,"Có")&lt;&gt;1,"Choice kiến thức cần đúng 1 đáp án đúng",""),IF(COUNTIFS('02_KICH_BAN_NODES'!$B$5:$B$204,A195,'02_KICH_BAN_NODES'!$E$5:$E$204,"Tương tác")=1,IF(COUNTIFS($A$5:$A$404,A195,$D$5:$D$404,"Có")&lt;&gt;0,"Choice tương tác không được đánh dấu đáp án đúng",""),"Choice chưa chọn loại")))))))</f>
        <v/>
      </c>
    </row>
    <row r="196" spans="1:11">
      <c r="A196" s="13"/>
      <c r="B196" s="13"/>
      <c r="C196" s="5"/>
      <c r="D196" s="13"/>
      <c r="E196" s="13"/>
      <c r="F196" s="13"/>
      <c r="G196" s="13"/>
      <c r="H196" s="5"/>
      <c r="I196" s="5"/>
      <c r="J196" s="6" t="str">
        <f t="shared" si="2"/>
        <v/>
      </c>
      <c r="K196" s="6" t="str">
        <f>IF(A196="","",IF(COUNTIFS('02_KICH_BAN_NODES'!$B$5:$B$204,A196,'02_KICH_BAN_NODES'!$D$5:$D$204,"choice")=0,"ChoiceNodeId không tồn tại hoặc không phải choice",IF(COUNTIFS($A$5:$A$404,A196,$B$5:$B$404,B196)&gt;1,"Trùng OptionOrder trong cùng choice",IF(OR(B196="",C196="",D196="",F196="",H196=""),"Thiếu trường bắt buộc",IF(OR(COUNTIF($A$5:$A$404,A196)&lt;2,COUNTIF($A$5:$A$404,A196)&gt;4),"Mỗi choice cần 2–4 option",IF(COUNTIFS('02_KICH_BAN_NODES'!$B$5:$B$204,A196,'02_KICH_BAN_NODES'!$E$5:$E$204,"Kiến thức")=1,IF(COUNTIFS($A$5:$A$404,A196,$D$5:$D$404,"Có")&lt;&gt;1,"Choice kiến thức cần đúng 1 đáp án đúng",""),IF(COUNTIFS('02_KICH_BAN_NODES'!$B$5:$B$204,A196,'02_KICH_BAN_NODES'!$E$5:$E$204,"Tương tác")=1,IF(COUNTIFS($A$5:$A$404,A196,$D$5:$D$404,"Có")&lt;&gt;0,"Choice tương tác không được đánh dấu đáp án đúng",""),"Choice chưa chọn loại")))))))</f>
        <v/>
      </c>
    </row>
    <row r="197" spans="1:11">
      <c r="A197" s="13"/>
      <c r="B197" s="13"/>
      <c r="C197" s="5"/>
      <c r="D197" s="13"/>
      <c r="E197" s="13"/>
      <c r="F197" s="13"/>
      <c r="G197" s="13"/>
      <c r="H197" s="5"/>
      <c r="I197" s="5"/>
      <c r="J197" s="6" t="str">
        <f t="shared" ref="J197:J260" si="3">IF(A197="","",IF(K197="","HỢP LỆ","CẦN SỬA"))</f>
        <v/>
      </c>
      <c r="K197" s="6" t="str">
        <f>IF(A197="","",IF(COUNTIFS('02_KICH_BAN_NODES'!$B$5:$B$204,A197,'02_KICH_BAN_NODES'!$D$5:$D$204,"choice")=0,"ChoiceNodeId không tồn tại hoặc không phải choice",IF(COUNTIFS($A$5:$A$404,A197,$B$5:$B$404,B197)&gt;1,"Trùng OptionOrder trong cùng choice",IF(OR(B197="",C197="",D197="",F197="",H197=""),"Thiếu trường bắt buộc",IF(OR(COUNTIF($A$5:$A$404,A197)&lt;2,COUNTIF($A$5:$A$404,A197)&gt;4),"Mỗi choice cần 2–4 option",IF(COUNTIFS('02_KICH_BAN_NODES'!$B$5:$B$204,A197,'02_KICH_BAN_NODES'!$E$5:$E$204,"Kiến thức")=1,IF(COUNTIFS($A$5:$A$404,A197,$D$5:$D$404,"Có")&lt;&gt;1,"Choice kiến thức cần đúng 1 đáp án đúng",""),IF(COUNTIFS('02_KICH_BAN_NODES'!$B$5:$B$204,A197,'02_KICH_BAN_NODES'!$E$5:$E$204,"Tương tác")=1,IF(COUNTIFS($A$5:$A$404,A197,$D$5:$D$404,"Có")&lt;&gt;0,"Choice tương tác không được đánh dấu đáp án đúng",""),"Choice chưa chọn loại")))))))</f>
        <v/>
      </c>
    </row>
    <row r="198" spans="1:11">
      <c r="A198" s="13"/>
      <c r="B198" s="13"/>
      <c r="C198" s="5"/>
      <c r="D198" s="13"/>
      <c r="E198" s="13"/>
      <c r="F198" s="13"/>
      <c r="G198" s="13"/>
      <c r="H198" s="5"/>
      <c r="I198" s="5"/>
      <c r="J198" s="6" t="str">
        <f t="shared" si="3"/>
        <v/>
      </c>
      <c r="K198" s="6" t="str">
        <f>IF(A198="","",IF(COUNTIFS('02_KICH_BAN_NODES'!$B$5:$B$204,A198,'02_KICH_BAN_NODES'!$D$5:$D$204,"choice")=0,"ChoiceNodeId không tồn tại hoặc không phải choice",IF(COUNTIFS($A$5:$A$404,A198,$B$5:$B$404,B198)&gt;1,"Trùng OptionOrder trong cùng choice",IF(OR(B198="",C198="",D198="",F198="",H198=""),"Thiếu trường bắt buộc",IF(OR(COUNTIF($A$5:$A$404,A198)&lt;2,COUNTIF($A$5:$A$404,A198)&gt;4),"Mỗi choice cần 2–4 option",IF(COUNTIFS('02_KICH_BAN_NODES'!$B$5:$B$204,A198,'02_KICH_BAN_NODES'!$E$5:$E$204,"Kiến thức")=1,IF(COUNTIFS($A$5:$A$404,A198,$D$5:$D$404,"Có")&lt;&gt;1,"Choice kiến thức cần đúng 1 đáp án đúng",""),IF(COUNTIFS('02_KICH_BAN_NODES'!$B$5:$B$204,A198,'02_KICH_BAN_NODES'!$E$5:$E$204,"Tương tác")=1,IF(COUNTIFS($A$5:$A$404,A198,$D$5:$D$404,"Có")&lt;&gt;0,"Choice tương tác không được đánh dấu đáp án đúng",""),"Choice chưa chọn loại")))))))</f>
        <v/>
      </c>
    </row>
    <row r="199" spans="1:11">
      <c r="A199" s="13"/>
      <c r="B199" s="13"/>
      <c r="C199" s="5"/>
      <c r="D199" s="13"/>
      <c r="E199" s="13"/>
      <c r="F199" s="13"/>
      <c r="G199" s="13"/>
      <c r="H199" s="5"/>
      <c r="I199" s="5"/>
      <c r="J199" s="6" t="str">
        <f t="shared" si="3"/>
        <v/>
      </c>
      <c r="K199" s="6" t="str">
        <f>IF(A199="","",IF(COUNTIFS('02_KICH_BAN_NODES'!$B$5:$B$204,A199,'02_KICH_BAN_NODES'!$D$5:$D$204,"choice")=0,"ChoiceNodeId không tồn tại hoặc không phải choice",IF(COUNTIFS($A$5:$A$404,A199,$B$5:$B$404,B199)&gt;1,"Trùng OptionOrder trong cùng choice",IF(OR(B199="",C199="",D199="",F199="",H199=""),"Thiếu trường bắt buộc",IF(OR(COUNTIF($A$5:$A$404,A199)&lt;2,COUNTIF($A$5:$A$404,A199)&gt;4),"Mỗi choice cần 2–4 option",IF(COUNTIFS('02_KICH_BAN_NODES'!$B$5:$B$204,A199,'02_KICH_BAN_NODES'!$E$5:$E$204,"Kiến thức")=1,IF(COUNTIFS($A$5:$A$404,A199,$D$5:$D$404,"Có")&lt;&gt;1,"Choice kiến thức cần đúng 1 đáp án đúng",""),IF(COUNTIFS('02_KICH_BAN_NODES'!$B$5:$B$204,A199,'02_KICH_BAN_NODES'!$E$5:$E$204,"Tương tác")=1,IF(COUNTIFS($A$5:$A$404,A199,$D$5:$D$404,"Có")&lt;&gt;0,"Choice tương tác không được đánh dấu đáp án đúng",""),"Choice chưa chọn loại")))))))</f>
        <v/>
      </c>
    </row>
    <row r="200" spans="1:11">
      <c r="A200" s="13"/>
      <c r="B200" s="13"/>
      <c r="C200" s="5"/>
      <c r="D200" s="13"/>
      <c r="E200" s="13"/>
      <c r="F200" s="13"/>
      <c r="G200" s="13"/>
      <c r="H200" s="5"/>
      <c r="I200" s="5"/>
      <c r="J200" s="6" t="str">
        <f t="shared" si="3"/>
        <v/>
      </c>
      <c r="K200" s="6" t="str">
        <f>IF(A200="","",IF(COUNTIFS('02_KICH_BAN_NODES'!$B$5:$B$204,A200,'02_KICH_BAN_NODES'!$D$5:$D$204,"choice")=0,"ChoiceNodeId không tồn tại hoặc không phải choice",IF(COUNTIFS($A$5:$A$404,A200,$B$5:$B$404,B200)&gt;1,"Trùng OptionOrder trong cùng choice",IF(OR(B200="",C200="",D200="",F200="",H200=""),"Thiếu trường bắt buộc",IF(OR(COUNTIF($A$5:$A$404,A200)&lt;2,COUNTIF($A$5:$A$404,A200)&gt;4),"Mỗi choice cần 2–4 option",IF(COUNTIFS('02_KICH_BAN_NODES'!$B$5:$B$204,A200,'02_KICH_BAN_NODES'!$E$5:$E$204,"Kiến thức")=1,IF(COUNTIFS($A$5:$A$404,A200,$D$5:$D$404,"Có")&lt;&gt;1,"Choice kiến thức cần đúng 1 đáp án đúng",""),IF(COUNTIFS('02_KICH_BAN_NODES'!$B$5:$B$204,A200,'02_KICH_BAN_NODES'!$E$5:$E$204,"Tương tác")=1,IF(COUNTIFS($A$5:$A$404,A200,$D$5:$D$404,"Có")&lt;&gt;0,"Choice tương tác không được đánh dấu đáp án đúng",""),"Choice chưa chọn loại")))))))</f>
        <v/>
      </c>
    </row>
    <row r="201" spans="1:11">
      <c r="A201" s="13"/>
      <c r="B201" s="13"/>
      <c r="C201" s="5"/>
      <c r="D201" s="13"/>
      <c r="E201" s="13"/>
      <c r="F201" s="13"/>
      <c r="G201" s="13"/>
      <c r="H201" s="5"/>
      <c r="I201" s="5"/>
      <c r="J201" s="6" t="str">
        <f t="shared" si="3"/>
        <v/>
      </c>
      <c r="K201" s="6" t="str">
        <f>IF(A201="","",IF(COUNTIFS('02_KICH_BAN_NODES'!$B$5:$B$204,A201,'02_KICH_BAN_NODES'!$D$5:$D$204,"choice")=0,"ChoiceNodeId không tồn tại hoặc không phải choice",IF(COUNTIFS($A$5:$A$404,A201,$B$5:$B$404,B201)&gt;1,"Trùng OptionOrder trong cùng choice",IF(OR(B201="",C201="",D201="",F201="",H201=""),"Thiếu trường bắt buộc",IF(OR(COUNTIF($A$5:$A$404,A201)&lt;2,COUNTIF($A$5:$A$404,A201)&gt;4),"Mỗi choice cần 2–4 option",IF(COUNTIFS('02_KICH_BAN_NODES'!$B$5:$B$204,A201,'02_KICH_BAN_NODES'!$E$5:$E$204,"Kiến thức")=1,IF(COUNTIFS($A$5:$A$404,A201,$D$5:$D$404,"Có")&lt;&gt;1,"Choice kiến thức cần đúng 1 đáp án đúng",""),IF(COUNTIFS('02_KICH_BAN_NODES'!$B$5:$B$204,A201,'02_KICH_BAN_NODES'!$E$5:$E$204,"Tương tác")=1,IF(COUNTIFS($A$5:$A$404,A201,$D$5:$D$404,"Có")&lt;&gt;0,"Choice tương tác không được đánh dấu đáp án đúng",""),"Choice chưa chọn loại")))))))</f>
        <v/>
      </c>
    </row>
    <row r="202" spans="1:11">
      <c r="A202" s="13"/>
      <c r="B202" s="13"/>
      <c r="C202" s="5"/>
      <c r="D202" s="13"/>
      <c r="E202" s="13"/>
      <c r="F202" s="13"/>
      <c r="G202" s="13"/>
      <c r="H202" s="5"/>
      <c r="I202" s="5"/>
      <c r="J202" s="6" t="str">
        <f t="shared" si="3"/>
        <v/>
      </c>
      <c r="K202" s="6" t="str">
        <f>IF(A202="","",IF(COUNTIFS('02_KICH_BAN_NODES'!$B$5:$B$204,A202,'02_KICH_BAN_NODES'!$D$5:$D$204,"choice")=0,"ChoiceNodeId không tồn tại hoặc không phải choice",IF(COUNTIFS($A$5:$A$404,A202,$B$5:$B$404,B202)&gt;1,"Trùng OptionOrder trong cùng choice",IF(OR(B202="",C202="",D202="",F202="",H202=""),"Thiếu trường bắt buộc",IF(OR(COUNTIF($A$5:$A$404,A202)&lt;2,COUNTIF($A$5:$A$404,A202)&gt;4),"Mỗi choice cần 2–4 option",IF(COUNTIFS('02_KICH_BAN_NODES'!$B$5:$B$204,A202,'02_KICH_BAN_NODES'!$E$5:$E$204,"Kiến thức")=1,IF(COUNTIFS($A$5:$A$404,A202,$D$5:$D$404,"Có")&lt;&gt;1,"Choice kiến thức cần đúng 1 đáp án đúng",""),IF(COUNTIFS('02_KICH_BAN_NODES'!$B$5:$B$204,A202,'02_KICH_BAN_NODES'!$E$5:$E$204,"Tương tác")=1,IF(COUNTIFS($A$5:$A$404,A202,$D$5:$D$404,"Có")&lt;&gt;0,"Choice tương tác không được đánh dấu đáp án đúng",""),"Choice chưa chọn loại")))))))</f>
        <v/>
      </c>
    </row>
    <row r="203" spans="1:11">
      <c r="A203" s="13"/>
      <c r="B203" s="13"/>
      <c r="C203" s="5"/>
      <c r="D203" s="13"/>
      <c r="E203" s="13"/>
      <c r="F203" s="13"/>
      <c r="G203" s="13"/>
      <c r="H203" s="5"/>
      <c r="I203" s="5"/>
      <c r="J203" s="6" t="str">
        <f t="shared" si="3"/>
        <v/>
      </c>
      <c r="K203" s="6" t="str">
        <f>IF(A203="","",IF(COUNTIFS('02_KICH_BAN_NODES'!$B$5:$B$204,A203,'02_KICH_BAN_NODES'!$D$5:$D$204,"choice")=0,"ChoiceNodeId không tồn tại hoặc không phải choice",IF(COUNTIFS($A$5:$A$404,A203,$B$5:$B$404,B203)&gt;1,"Trùng OptionOrder trong cùng choice",IF(OR(B203="",C203="",D203="",F203="",H203=""),"Thiếu trường bắt buộc",IF(OR(COUNTIF($A$5:$A$404,A203)&lt;2,COUNTIF($A$5:$A$404,A203)&gt;4),"Mỗi choice cần 2–4 option",IF(COUNTIFS('02_KICH_BAN_NODES'!$B$5:$B$204,A203,'02_KICH_BAN_NODES'!$E$5:$E$204,"Kiến thức")=1,IF(COUNTIFS($A$5:$A$404,A203,$D$5:$D$404,"Có")&lt;&gt;1,"Choice kiến thức cần đúng 1 đáp án đúng",""),IF(COUNTIFS('02_KICH_BAN_NODES'!$B$5:$B$204,A203,'02_KICH_BAN_NODES'!$E$5:$E$204,"Tương tác")=1,IF(COUNTIFS($A$5:$A$404,A203,$D$5:$D$404,"Có")&lt;&gt;0,"Choice tương tác không được đánh dấu đáp án đúng",""),"Choice chưa chọn loại")))))))</f>
        <v/>
      </c>
    </row>
    <row r="204" spans="1:11">
      <c r="A204" s="13"/>
      <c r="B204" s="13"/>
      <c r="C204" s="5"/>
      <c r="D204" s="13"/>
      <c r="E204" s="13"/>
      <c r="F204" s="13"/>
      <c r="G204" s="13"/>
      <c r="H204" s="5"/>
      <c r="I204" s="5"/>
      <c r="J204" s="6" t="str">
        <f t="shared" si="3"/>
        <v/>
      </c>
      <c r="K204" s="6" t="str">
        <f>IF(A204="","",IF(COUNTIFS('02_KICH_BAN_NODES'!$B$5:$B$204,A204,'02_KICH_BAN_NODES'!$D$5:$D$204,"choice")=0,"ChoiceNodeId không tồn tại hoặc không phải choice",IF(COUNTIFS($A$5:$A$404,A204,$B$5:$B$404,B204)&gt;1,"Trùng OptionOrder trong cùng choice",IF(OR(B204="",C204="",D204="",F204="",H204=""),"Thiếu trường bắt buộc",IF(OR(COUNTIF($A$5:$A$404,A204)&lt;2,COUNTIF($A$5:$A$404,A204)&gt;4),"Mỗi choice cần 2–4 option",IF(COUNTIFS('02_KICH_BAN_NODES'!$B$5:$B$204,A204,'02_KICH_BAN_NODES'!$E$5:$E$204,"Kiến thức")=1,IF(COUNTIFS($A$5:$A$404,A204,$D$5:$D$404,"Có")&lt;&gt;1,"Choice kiến thức cần đúng 1 đáp án đúng",""),IF(COUNTIFS('02_KICH_BAN_NODES'!$B$5:$B$204,A204,'02_KICH_BAN_NODES'!$E$5:$E$204,"Tương tác")=1,IF(COUNTIFS($A$5:$A$404,A204,$D$5:$D$404,"Có")&lt;&gt;0,"Choice tương tác không được đánh dấu đáp án đúng",""),"Choice chưa chọn loại")))))))</f>
        <v/>
      </c>
    </row>
    <row r="205" spans="1:11">
      <c r="A205" s="13"/>
      <c r="B205" s="13"/>
      <c r="C205" s="5"/>
      <c r="D205" s="13"/>
      <c r="E205" s="13"/>
      <c r="F205" s="13"/>
      <c r="G205" s="13"/>
      <c r="H205" s="5"/>
      <c r="I205" s="5"/>
      <c r="J205" s="6" t="str">
        <f t="shared" si="3"/>
        <v/>
      </c>
      <c r="K205" s="6" t="str">
        <f>IF(A205="","",IF(COUNTIFS('02_KICH_BAN_NODES'!$B$5:$B$204,A205,'02_KICH_BAN_NODES'!$D$5:$D$204,"choice")=0,"ChoiceNodeId không tồn tại hoặc không phải choice",IF(COUNTIFS($A$5:$A$404,A205,$B$5:$B$404,B205)&gt;1,"Trùng OptionOrder trong cùng choice",IF(OR(B205="",C205="",D205="",F205="",H205=""),"Thiếu trường bắt buộc",IF(OR(COUNTIF($A$5:$A$404,A205)&lt;2,COUNTIF($A$5:$A$404,A205)&gt;4),"Mỗi choice cần 2–4 option",IF(COUNTIFS('02_KICH_BAN_NODES'!$B$5:$B$204,A205,'02_KICH_BAN_NODES'!$E$5:$E$204,"Kiến thức")=1,IF(COUNTIFS($A$5:$A$404,A205,$D$5:$D$404,"Có")&lt;&gt;1,"Choice kiến thức cần đúng 1 đáp án đúng",""),IF(COUNTIFS('02_KICH_BAN_NODES'!$B$5:$B$204,A205,'02_KICH_BAN_NODES'!$E$5:$E$204,"Tương tác")=1,IF(COUNTIFS($A$5:$A$404,A205,$D$5:$D$404,"Có")&lt;&gt;0,"Choice tương tác không được đánh dấu đáp án đúng",""),"Choice chưa chọn loại")))))))</f>
        <v/>
      </c>
    </row>
    <row r="206" spans="1:11">
      <c r="A206" s="13"/>
      <c r="B206" s="13"/>
      <c r="C206" s="5"/>
      <c r="D206" s="13"/>
      <c r="E206" s="13"/>
      <c r="F206" s="13"/>
      <c r="G206" s="13"/>
      <c r="H206" s="5"/>
      <c r="I206" s="5"/>
      <c r="J206" s="6" t="str">
        <f t="shared" si="3"/>
        <v/>
      </c>
      <c r="K206" s="6" t="str">
        <f>IF(A206="","",IF(COUNTIFS('02_KICH_BAN_NODES'!$B$5:$B$204,A206,'02_KICH_BAN_NODES'!$D$5:$D$204,"choice")=0,"ChoiceNodeId không tồn tại hoặc không phải choice",IF(COUNTIFS($A$5:$A$404,A206,$B$5:$B$404,B206)&gt;1,"Trùng OptionOrder trong cùng choice",IF(OR(B206="",C206="",D206="",F206="",H206=""),"Thiếu trường bắt buộc",IF(OR(COUNTIF($A$5:$A$404,A206)&lt;2,COUNTIF($A$5:$A$404,A206)&gt;4),"Mỗi choice cần 2–4 option",IF(COUNTIFS('02_KICH_BAN_NODES'!$B$5:$B$204,A206,'02_KICH_BAN_NODES'!$E$5:$E$204,"Kiến thức")=1,IF(COUNTIFS($A$5:$A$404,A206,$D$5:$D$404,"Có")&lt;&gt;1,"Choice kiến thức cần đúng 1 đáp án đúng",""),IF(COUNTIFS('02_KICH_BAN_NODES'!$B$5:$B$204,A206,'02_KICH_BAN_NODES'!$E$5:$E$204,"Tương tác")=1,IF(COUNTIFS($A$5:$A$404,A206,$D$5:$D$404,"Có")&lt;&gt;0,"Choice tương tác không được đánh dấu đáp án đúng",""),"Choice chưa chọn loại")))))))</f>
        <v/>
      </c>
    </row>
    <row r="207" spans="1:11">
      <c r="A207" s="13"/>
      <c r="B207" s="13"/>
      <c r="C207" s="5"/>
      <c r="D207" s="13"/>
      <c r="E207" s="13"/>
      <c r="F207" s="13"/>
      <c r="G207" s="13"/>
      <c r="H207" s="5"/>
      <c r="I207" s="5"/>
      <c r="J207" s="6" t="str">
        <f t="shared" si="3"/>
        <v/>
      </c>
      <c r="K207" s="6" t="str">
        <f>IF(A207="","",IF(COUNTIFS('02_KICH_BAN_NODES'!$B$5:$B$204,A207,'02_KICH_BAN_NODES'!$D$5:$D$204,"choice")=0,"ChoiceNodeId không tồn tại hoặc không phải choice",IF(COUNTIFS($A$5:$A$404,A207,$B$5:$B$404,B207)&gt;1,"Trùng OptionOrder trong cùng choice",IF(OR(B207="",C207="",D207="",F207="",H207=""),"Thiếu trường bắt buộc",IF(OR(COUNTIF($A$5:$A$404,A207)&lt;2,COUNTIF($A$5:$A$404,A207)&gt;4),"Mỗi choice cần 2–4 option",IF(COUNTIFS('02_KICH_BAN_NODES'!$B$5:$B$204,A207,'02_KICH_BAN_NODES'!$E$5:$E$204,"Kiến thức")=1,IF(COUNTIFS($A$5:$A$404,A207,$D$5:$D$404,"Có")&lt;&gt;1,"Choice kiến thức cần đúng 1 đáp án đúng",""),IF(COUNTIFS('02_KICH_BAN_NODES'!$B$5:$B$204,A207,'02_KICH_BAN_NODES'!$E$5:$E$204,"Tương tác")=1,IF(COUNTIFS($A$5:$A$404,A207,$D$5:$D$404,"Có")&lt;&gt;0,"Choice tương tác không được đánh dấu đáp án đúng",""),"Choice chưa chọn loại")))))))</f>
        <v/>
      </c>
    </row>
    <row r="208" spans="1:11">
      <c r="A208" s="13"/>
      <c r="B208" s="13"/>
      <c r="C208" s="5"/>
      <c r="D208" s="13"/>
      <c r="E208" s="13"/>
      <c r="F208" s="13"/>
      <c r="G208" s="13"/>
      <c r="H208" s="5"/>
      <c r="I208" s="5"/>
      <c r="J208" s="6" t="str">
        <f t="shared" si="3"/>
        <v/>
      </c>
      <c r="K208" s="6" t="str">
        <f>IF(A208="","",IF(COUNTIFS('02_KICH_BAN_NODES'!$B$5:$B$204,A208,'02_KICH_BAN_NODES'!$D$5:$D$204,"choice")=0,"ChoiceNodeId không tồn tại hoặc không phải choice",IF(COUNTIFS($A$5:$A$404,A208,$B$5:$B$404,B208)&gt;1,"Trùng OptionOrder trong cùng choice",IF(OR(B208="",C208="",D208="",F208="",H208=""),"Thiếu trường bắt buộc",IF(OR(COUNTIF($A$5:$A$404,A208)&lt;2,COUNTIF($A$5:$A$404,A208)&gt;4),"Mỗi choice cần 2–4 option",IF(COUNTIFS('02_KICH_BAN_NODES'!$B$5:$B$204,A208,'02_KICH_BAN_NODES'!$E$5:$E$204,"Kiến thức")=1,IF(COUNTIFS($A$5:$A$404,A208,$D$5:$D$404,"Có")&lt;&gt;1,"Choice kiến thức cần đúng 1 đáp án đúng",""),IF(COUNTIFS('02_KICH_BAN_NODES'!$B$5:$B$204,A208,'02_KICH_BAN_NODES'!$E$5:$E$204,"Tương tác")=1,IF(COUNTIFS($A$5:$A$404,A208,$D$5:$D$404,"Có")&lt;&gt;0,"Choice tương tác không được đánh dấu đáp án đúng",""),"Choice chưa chọn loại")))))))</f>
        <v/>
      </c>
    </row>
    <row r="209" spans="1:11">
      <c r="A209" s="13"/>
      <c r="B209" s="13"/>
      <c r="C209" s="5"/>
      <c r="D209" s="13"/>
      <c r="E209" s="13"/>
      <c r="F209" s="13"/>
      <c r="G209" s="13"/>
      <c r="H209" s="5"/>
      <c r="I209" s="5"/>
      <c r="J209" s="6" t="str">
        <f t="shared" si="3"/>
        <v/>
      </c>
      <c r="K209" s="6" t="str">
        <f>IF(A209="","",IF(COUNTIFS('02_KICH_BAN_NODES'!$B$5:$B$204,A209,'02_KICH_BAN_NODES'!$D$5:$D$204,"choice")=0,"ChoiceNodeId không tồn tại hoặc không phải choice",IF(COUNTIFS($A$5:$A$404,A209,$B$5:$B$404,B209)&gt;1,"Trùng OptionOrder trong cùng choice",IF(OR(B209="",C209="",D209="",F209="",H209=""),"Thiếu trường bắt buộc",IF(OR(COUNTIF($A$5:$A$404,A209)&lt;2,COUNTIF($A$5:$A$404,A209)&gt;4),"Mỗi choice cần 2–4 option",IF(COUNTIFS('02_KICH_BAN_NODES'!$B$5:$B$204,A209,'02_KICH_BAN_NODES'!$E$5:$E$204,"Kiến thức")=1,IF(COUNTIFS($A$5:$A$404,A209,$D$5:$D$404,"Có")&lt;&gt;1,"Choice kiến thức cần đúng 1 đáp án đúng",""),IF(COUNTIFS('02_KICH_BAN_NODES'!$B$5:$B$204,A209,'02_KICH_BAN_NODES'!$E$5:$E$204,"Tương tác")=1,IF(COUNTIFS($A$5:$A$404,A209,$D$5:$D$404,"Có")&lt;&gt;0,"Choice tương tác không được đánh dấu đáp án đúng",""),"Choice chưa chọn loại")))))))</f>
        <v/>
      </c>
    </row>
    <row r="210" spans="1:11">
      <c r="A210" s="13"/>
      <c r="B210" s="13"/>
      <c r="C210" s="5"/>
      <c r="D210" s="13"/>
      <c r="E210" s="13"/>
      <c r="F210" s="13"/>
      <c r="G210" s="13"/>
      <c r="H210" s="5"/>
      <c r="I210" s="5"/>
      <c r="J210" s="6" t="str">
        <f t="shared" si="3"/>
        <v/>
      </c>
      <c r="K210" s="6" t="str">
        <f>IF(A210="","",IF(COUNTIFS('02_KICH_BAN_NODES'!$B$5:$B$204,A210,'02_KICH_BAN_NODES'!$D$5:$D$204,"choice")=0,"ChoiceNodeId không tồn tại hoặc không phải choice",IF(COUNTIFS($A$5:$A$404,A210,$B$5:$B$404,B210)&gt;1,"Trùng OptionOrder trong cùng choice",IF(OR(B210="",C210="",D210="",F210="",H210=""),"Thiếu trường bắt buộc",IF(OR(COUNTIF($A$5:$A$404,A210)&lt;2,COUNTIF($A$5:$A$404,A210)&gt;4),"Mỗi choice cần 2–4 option",IF(COUNTIFS('02_KICH_BAN_NODES'!$B$5:$B$204,A210,'02_KICH_BAN_NODES'!$E$5:$E$204,"Kiến thức")=1,IF(COUNTIFS($A$5:$A$404,A210,$D$5:$D$404,"Có")&lt;&gt;1,"Choice kiến thức cần đúng 1 đáp án đúng",""),IF(COUNTIFS('02_KICH_BAN_NODES'!$B$5:$B$204,A210,'02_KICH_BAN_NODES'!$E$5:$E$204,"Tương tác")=1,IF(COUNTIFS($A$5:$A$404,A210,$D$5:$D$404,"Có")&lt;&gt;0,"Choice tương tác không được đánh dấu đáp án đúng",""),"Choice chưa chọn loại")))))))</f>
        <v/>
      </c>
    </row>
    <row r="211" spans="1:11">
      <c r="A211" s="13"/>
      <c r="B211" s="13"/>
      <c r="C211" s="5"/>
      <c r="D211" s="13"/>
      <c r="E211" s="13"/>
      <c r="F211" s="13"/>
      <c r="G211" s="13"/>
      <c r="H211" s="5"/>
      <c r="I211" s="5"/>
      <c r="J211" s="6" t="str">
        <f t="shared" si="3"/>
        <v/>
      </c>
      <c r="K211" s="6" t="str">
        <f>IF(A211="","",IF(COUNTIFS('02_KICH_BAN_NODES'!$B$5:$B$204,A211,'02_KICH_BAN_NODES'!$D$5:$D$204,"choice")=0,"ChoiceNodeId không tồn tại hoặc không phải choice",IF(COUNTIFS($A$5:$A$404,A211,$B$5:$B$404,B211)&gt;1,"Trùng OptionOrder trong cùng choice",IF(OR(B211="",C211="",D211="",F211="",H211=""),"Thiếu trường bắt buộc",IF(OR(COUNTIF($A$5:$A$404,A211)&lt;2,COUNTIF($A$5:$A$404,A211)&gt;4),"Mỗi choice cần 2–4 option",IF(COUNTIFS('02_KICH_BAN_NODES'!$B$5:$B$204,A211,'02_KICH_BAN_NODES'!$E$5:$E$204,"Kiến thức")=1,IF(COUNTIFS($A$5:$A$404,A211,$D$5:$D$404,"Có")&lt;&gt;1,"Choice kiến thức cần đúng 1 đáp án đúng",""),IF(COUNTIFS('02_KICH_BAN_NODES'!$B$5:$B$204,A211,'02_KICH_BAN_NODES'!$E$5:$E$204,"Tương tác")=1,IF(COUNTIFS($A$5:$A$404,A211,$D$5:$D$404,"Có")&lt;&gt;0,"Choice tương tác không được đánh dấu đáp án đúng",""),"Choice chưa chọn loại")))))))</f>
        <v/>
      </c>
    </row>
    <row r="212" spans="1:11">
      <c r="A212" s="13"/>
      <c r="B212" s="13"/>
      <c r="C212" s="5"/>
      <c r="D212" s="13"/>
      <c r="E212" s="13"/>
      <c r="F212" s="13"/>
      <c r="G212" s="13"/>
      <c r="H212" s="5"/>
      <c r="I212" s="5"/>
      <c r="J212" s="6" t="str">
        <f t="shared" si="3"/>
        <v/>
      </c>
      <c r="K212" s="6" t="str">
        <f>IF(A212="","",IF(COUNTIFS('02_KICH_BAN_NODES'!$B$5:$B$204,A212,'02_KICH_BAN_NODES'!$D$5:$D$204,"choice")=0,"ChoiceNodeId không tồn tại hoặc không phải choice",IF(COUNTIFS($A$5:$A$404,A212,$B$5:$B$404,B212)&gt;1,"Trùng OptionOrder trong cùng choice",IF(OR(B212="",C212="",D212="",F212="",H212=""),"Thiếu trường bắt buộc",IF(OR(COUNTIF($A$5:$A$404,A212)&lt;2,COUNTIF($A$5:$A$404,A212)&gt;4),"Mỗi choice cần 2–4 option",IF(COUNTIFS('02_KICH_BAN_NODES'!$B$5:$B$204,A212,'02_KICH_BAN_NODES'!$E$5:$E$204,"Kiến thức")=1,IF(COUNTIFS($A$5:$A$404,A212,$D$5:$D$404,"Có")&lt;&gt;1,"Choice kiến thức cần đúng 1 đáp án đúng",""),IF(COUNTIFS('02_KICH_BAN_NODES'!$B$5:$B$204,A212,'02_KICH_BAN_NODES'!$E$5:$E$204,"Tương tác")=1,IF(COUNTIFS($A$5:$A$404,A212,$D$5:$D$404,"Có")&lt;&gt;0,"Choice tương tác không được đánh dấu đáp án đúng",""),"Choice chưa chọn loại")))))))</f>
        <v/>
      </c>
    </row>
    <row r="213" spans="1:11">
      <c r="A213" s="13"/>
      <c r="B213" s="13"/>
      <c r="C213" s="5"/>
      <c r="D213" s="13"/>
      <c r="E213" s="13"/>
      <c r="F213" s="13"/>
      <c r="G213" s="13"/>
      <c r="H213" s="5"/>
      <c r="I213" s="5"/>
      <c r="J213" s="6" t="str">
        <f t="shared" si="3"/>
        <v/>
      </c>
      <c r="K213" s="6" t="str">
        <f>IF(A213="","",IF(COUNTIFS('02_KICH_BAN_NODES'!$B$5:$B$204,A213,'02_KICH_BAN_NODES'!$D$5:$D$204,"choice")=0,"ChoiceNodeId không tồn tại hoặc không phải choice",IF(COUNTIFS($A$5:$A$404,A213,$B$5:$B$404,B213)&gt;1,"Trùng OptionOrder trong cùng choice",IF(OR(B213="",C213="",D213="",F213="",H213=""),"Thiếu trường bắt buộc",IF(OR(COUNTIF($A$5:$A$404,A213)&lt;2,COUNTIF($A$5:$A$404,A213)&gt;4),"Mỗi choice cần 2–4 option",IF(COUNTIFS('02_KICH_BAN_NODES'!$B$5:$B$204,A213,'02_KICH_BAN_NODES'!$E$5:$E$204,"Kiến thức")=1,IF(COUNTIFS($A$5:$A$404,A213,$D$5:$D$404,"Có")&lt;&gt;1,"Choice kiến thức cần đúng 1 đáp án đúng",""),IF(COUNTIFS('02_KICH_BAN_NODES'!$B$5:$B$204,A213,'02_KICH_BAN_NODES'!$E$5:$E$204,"Tương tác")=1,IF(COUNTIFS($A$5:$A$404,A213,$D$5:$D$404,"Có")&lt;&gt;0,"Choice tương tác không được đánh dấu đáp án đúng",""),"Choice chưa chọn loại")))))))</f>
        <v/>
      </c>
    </row>
    <row r="214" spans="1:11">
      <c r="A214" s="13"/>
      <c r="B214" s="13"/>
      <c r="C214" s="5"/>
      <c r="D214" s="13"/>
      <c r="E214" s="13"/>
      <c r="F214" s="13"/>
      <c r="G214" s="13"/>
      <c r="H214" s="5"/>
      <c r="I214" s="5"/>
      <c r="J214" s="6" t="str">
        <f t="shared" si="3"/>
        <v/>
      </c>
      <c r="K214" s="6" t="str">
        <f>IF(A214="","",IF(COUNTIFS('02_KICH_BAN_NODES'!$B$5:$B$204,A214,'02_KICH_BAN_NODES'!$D$5:$D$204,"choice")=0,"ChoiceNodeId không tồn tại hoặc không phải choice",IF(COUNTIFS($A$5:$A$404,A214,$B$5:$B$404,B214)&gt;1,"Trùng OptionOrder trong cùng choice",IF(OR(B214="",C214="",D214="",F214="",H214=""),"Thiếu trường bắt buộc",IF(OR(COUNTIF($A$5:$A$404,A214)&lt;2,COUNTIF($A$5:$A$404,A214)&gt;4),"Mỗi choice cần 2–4 option",IF(COUNTIFS('02_KICH_BAN_NODES'!$B$5:$B$204,A214,'02_KICH_BAN_NODES'!$E$5:$E$204,"Kiến thức")=1,IF(COUNTIFS($A$5:$A$404,A214,$D$5:$D$404,"Có")&lt;&gt;1,"Choice kiến thức cần đúng 1 đáp án đúng",""),IF(COUNTIFS('02_KICH_BAN_NODES'!$B$5:$B$204,A214,'02_KICH_BAN_NODES'!$E$5:$E$204,"Tương tác")=1,IF(COUNTIFS($A$5:$A$404,A214,$D$5:$D$404,"Có")&lt;&gt;0,"Choice tương tác không được đánh dấu đáp án đúng",""),"Choice chưa chọn loại")))))))</f>
        <v/>
      </c>
    </row>
    <row r="215" spans="1:11">
      <c r="A215" s="13"/>
      <c r="B215" s="13"/>
      <c r="C215" s="5"/>
      <c r="D215" s="13"/>
      <c r="E215" s="13"/>
      <c r="F215" s="13"/>
      <c r="G215" s="13"/>
      <c r="H215" s="5"/>
      <c r="I215" s="5"/>
      <c r="J215" s="6" t="str">
        <f t="shared" si="3"/>
        <v/>
      </c>
      <c r="K215" s="6" t="str">
        <f>IF(A215="","",IF(COUNTIFS('02_KICH_BAN_NODES'!$B$5:$B$204,A215,'02_KICH_BAN_NODES'!$D$5:$D$204,"choice")=0,"ChoiceNodeId không tồn tại hoặc không phải choice",IF(COUNTIFS($A$5:$A$404,A215,$B$5:$B$404,B215)&gt;1,"Trùng OptionOrder trong cùng choice",IF(OR(B215="",C215="",D215="",F215="",H215=""),"Thiếu trường bắt buộc",IF(OR(COUNTIF($A$5:$A$404,A215)&lt;2,COUNTIF($A$5:$A$404,A215)&gt;4),"Mỗi choice cần 2–4 option",IF(COUNTIFS('02_KICH_BAN_NODES'!$B$5:$B$204,A215,'02_KICH_BAN_NODES'!$E$5:$E$204,"Kiến thức")=1,IF(COUNTIFS($A$5:$A$404,A215,$D$5:$D$404,"Có")&lt;&gt;1,"Choice kiến thức cần đúng 1 đáp án đúng",""),IF(COUNTIFS('02_KICH_BAN_NODES'!$B$5:$B$204,A215,'02_KICH_BAN_NODES'!$E$5:$E$204,"Tương tác")=1,IF(COUNTIFS($A$5:$A$404,A215,$D$5:$D$404,"Có")&lt;&gt;0,"Choice tương tác không được đánh dấu đáp án đúng",""),"Choice chưa chọn loại")))))))</f>
        <v/>
      </c>
    </row>
    <row r="216" spans="1:11">
      <c r="A216" s="13"/>
      <c r="B216" s="13"/>
      <c r="C216" s="5"/>
      <c r="D216" s="13"/>
      <c r="E216" s="13"/>
      <c r="F216" s="13"/>
      <c r="G216" s="13"/>
      <c r="H216" s="5"/>
      <c r="I216" s="5"/>
      <c r="J216" s="6" t="str">
        <f t="shared" si="3"/>
        <v/>
      </c>
      <c r="K216" s="6" t="str">
        <f>IF(A216="","",IF(COUNTIFS('02_KICH_BAN_NODES'!$B$5:$B$204,A216,'02_KICH_BAN_NODES'!$D$5:$D$204,"choice")=0,"ChoiceNodeId không tồn tại hoặc không phải choice",IF(COUNTIFS($A$5:$A$404,A216,$B$5:$B$404,B216)&gt;1,"Trùng OptionOrder trong cùng choice",IF(OR(B216="",C216="",D216="",F216="",H216=""),"Thiếu trường bắt buộc",IF(OR(COUNTIF($A$5:$A$404,A216)&lt;2,COUNTIF($A$5:$A$404,A216)&gt;4),"Mỗi choice cần 2–4 option",IF(COUNTIFS('02_KICH_BAN_NODES'!$B$5:$B$204,A216,'02_KICH_BAN_NODES'!$E$5:$E$204,"Kiến thức")=1,IF(COUNTIFS($A$5:$A$404,A216,$D$5:$D$404,"Có")&lt;&gt;1,"Choice kiến thức cần đúng 1 đáp án đúng",""),IF(COUNTIFS('02_KICH_BAN_NODES'!$B$5:$B$204,A216,'02_KICH_BAN_NODES'!$E$5:$E$204,"Tương tác")=1,IF(COUNTIFS($A$5:$A$404,A216,$D$5:$D$404,"Có")&lt;&gt;0,"Choice tương tác không được đánh dấu đáp án đúng",""),"Choice chưa chọn loại")))))))</f>
        <v/>
      </c>
    </row>
    <row r="217" spans="1:11">
      <c r="A217" s="13"/>
      <c r="B217" s="13"/>
      <c r="C217" s="5"/>
      <c r="D217" s="13"/>
      <c r="E217" s="13"/>
      <c r="F217" s="13"/>
      <c r="G217" s="13"/>
      <c r="H217" s="5"/>
      <c r="I217" s="5"/>
      <c r="J217" s="6" t="str">
        <f t="shared" si="3"/>
        <v/>
      </c>
      <c r="K217" s="6" t="str">
        <f>IF(A217="","",IF(COUNTIFS('02_KICH_BAN_NODES'!$B$5:$B$204,A217,'02_KICH_BAN_NODES'!$D$5:$D$204,"choice")=0,"ChoiceNodeId không tồn tại hoặc không phải choice",IF(COUNTIFS($A$5:$A$404,A217,$B$5:$B$404,B217)&gt;1,"Trùng OptionOrder trong cùng choice",IF(OR(B217="",C217="",D217="",F217="",H217=""),"Thiếu trường bắt buộc",IF(OR(COUNTIF($A$5:$A$404,A217)&lt;2,COUNTIF($A$5:$A$404,A217)&gt;4),"Mỗi choice cần 2–4 option",IF(COUNTIFS('02_KICH_BAN_NODES'!$B$5:$B$204,A217,'02_KICH_BAN_NODES'!$E$5:$E$204,"Kiến thức")=1,IF(COUNTIFS($A$5:$A$404,A217,$D$5:$D$404,"Có")&lt;&gt;1,"Choice kiến thức cần đúng 1 đáp án đúng",""),IF(COUNTIFS('02_KICH_BAN_NODES'!$B$5:$B$204,A217,'02_KICH_BAN_NODES'!$E$5:$E$204,"Tương tác")=1,IF(COUNTIFS($A$5:$A$404,A217,$D$5:$D$404,"Có")&lt;&gt;0,"Choice tương tác không được đánh dấu đáp án đúng",""),"Choice chưa chọn loại")))))))</f>
        <v/>
      </c>
    </row>
    <row r="218" spans="1:11">
      <c r="A218" s="13"/>
      <c r="B218" s="13"/>
      <c r="C218" s="5"/>
      <c r="D218" s="13"/>
      <c r="E218" s="13"/>
      <c r="F218" s="13"/>
      <c r="G218" s="13"/>
      <c r="H218" s="5"/>
      <c r="I218" s="5"/>
      <c r="J218" s="6" t="str">
        <f t="shared" si="3"/>
        <v/>
      </c>
      <c r="K218" s="6" t="str">
        <f>IF(A218="","",IF(COUNTIFS('02_KICH_BAN_NODES'!$B$5:$B$204,A218,'02_KICH_BAN_NODES'!$D$5:$D$204,"choice")=0,"ChoiceNodeId không tồn tại hoặc không phải choice",IF(COUNTIFS($A$5:$A$404,A218,$B$5:$B$404,B218)&gt;1,"Trùng OptionOrder trong cùng choice",IF(OR(B218="",C218="",D218="",F218="",H218=""),"Thiếu trường bắt buộc",IF(OR(COUNTIF($A$5:$A$404,A218)&lt;2,COUNTIF($A$5:$A$404,A218)&gt;4),"Mỗi choice cần 2–4 option",IF(COUNTIFS('02_KICH_BAN_NODES'!$B$5:$B$204,A218,'02_KICH_BAN_NODES'!$E$5:$E$204,"Kiến thức")=1,IF(COUNTIFS($A$5:$A$404,A218,$D$5:$D$404,"Có")&lt;&gt;1,"Choice kiến thức cần đúng 1 đáp án đúng",""),IF(COUNTIFS('02_KICH_BAN_NODES'!$B$5:$B$204,A218,'02_KICH_BAN_NODES'!$E$5:$E$204,"Tương tác")=1,IF(COUNTIFS($A$5:$A$404,A218,$D$5:$D$404,"Có")&lt;&gt;0,"Choice tương tác không được đánh dấu đáp án đúng",""),"Choice chưa chọn loại")))))))</f>
        <v/>
      </c>
    </row>
    <row r="219" spans="1:11">
      <c r="A219" s="13"/>
      <c r="B219" s="13"/>
      <c r="C219" s="5"/>
      <c r="D219" s="13"/>
      <c r="E219" s="13"/>
      <c r="F219" s="13"/>
      <c r="G219" s="13"/>
      <c r="H219" s="5"/>
      <c r="I219" s="5"/>
      <c r="J219" s="6" t="str">
        <f t="shared" si="3"/>
        <v/>
      </c>
      <c r="K219" s="6" t="str">
        <f>IF(A219="","",IF(COUNTIFS('02_KICH_BAN_NODES'!$B$5:$B$204,A219,'02_KICH_BAN_NODES'!$D$5:$D$204,"choice")=0,"ChoiceNodeId không tồn tại hoặc không phải choice",IF(COUNTIFS($A$5:$A$404,A219,$B$5:$B$404,B219)&gt;1,"Trùng OptionOrder trong cùng choice",IF(OR(B219="",C219="",D219="",F219="",H219=""),"Thiếu trường bắt buộc",IF(OR(COUNTIF($A$5:$A$404,A219)&lt;2,COUNTIF($A$5:$A$404,A219)&gt;4),"Mỗi choice cần 2–4 option",IF(COUNTIFS('02_KICH_BAN_NODES'!$B$5:$B$204,A219,'02_KICH_BAN_NODES'!$E$5:$E$204,"Kiến thức")=1,IF(COUNTIFS($A$5:$A$404,A219,$D$5:$D$404,"Có")&lt;&gt;1,"Choice kiến thức cần đúng 1 đáp án đúng",""),IF(COUNTIFS('02_KICH_BAN_NODES'!$B$5:$B$204,A219,'02_KICH_BAN_NODES'!$E$5:$E$204,"Tương tác")=1,IF(COUNTIFS($A$5:$A$404,A219,$D$5:$D$404,"Có")&lt;&gt;0,"Choice tương tác không được đánh dấu đáp án đúng",""),"Choice chưa chọn loại")))))))</f>
        <v/>
      </c>
    </row>
    <row r="220" spans="1:11">
      <c r="A220" s="13"/>
      <c r="B220" s="13"/>
      <c r="C220" s="5"/>
      <c r="D220" s="13"/>
      <c r="E220" s="13"/>
      <c r="F220" s="13"/>
      <c r="G220" s="13"/>
      <c r="H220" s="5"/>
      <c r="I220" s="5"/>
      <c r="J220" s="6" t="str">
        <f t="shared" si="3"/>
        <v/>
      </c>
      <c r="K220" s="6" t="str">
        <f>IF(A220="","",IF(COUNTIFS('02_KICH_BAN_NODES'!$B$5:$B$204,A220,'02_KICH_BAN_NODES'!$D$5:$D$204,"choice")=0,"ChoiceNodeId không tồn tại hoặc không phải choice",IF(COUNTIFS($A$5:$A$404,A220,$B$5:$B$404,B220)&gt;1,"Trùng OptionOrder trong cùng choice",IF(OR(B220="",C220="",D220="",F220="",H220=""),"Thiếu trường bắt buộc",IF(OR(COUNTIF($A$5:$A$404,A220)&lt;2,COUNTIF($A$5:$A$404,A220)&gt;4),"Mỗi choice cần 2–4 option",IF(COUNTIFS('02_KICH_BAN_NODES'!$B$5:$B$204,A220,'02_KICH_BAN_NODES'!$E$5:$E$204,"Kiến thức")=1,IF(COUNTIFS($A$5:$A$404,A220,$D$5:$D$404,"Có")&lt;&gt;1,"Choice kiến thức cần đúng 1 đáp án đúng",""),IF(COUNTIFS('02_KICH_BAN_NODES'!$B$5:$B$204,A220,'02_KICH_BAN_NODES'!$E$5:$E$204,"Tương tác")=1,IF(COUNTIFS($A$5:$A$404,A220,$D$5:$D$404,"Có")&lt;&gt;0,"Choice tương tác không được đánh dấu đáp án đúng",""),"Choice chưa chọn loại")))))))</f>
        <v/>
      </c>
    </row>
    <row r="221" spans="1:11">
      <c r="A221" s="13"/>
      <c r="B221" s="13"/>
      <c r="C221" s="5"/>
      <c r="D221" s="13"/>
      <c r="E221" s="13"/>
      <c r="F221" s="13"/>
      <c r="G221" s="13"/>
      <c r="H221" s="5"/>
      <c r="I221" s="5"/>
      <c r="J221" s="6" t="str">
        <f t="shared" si="3"/>
        <v/>
      </c>
      <c r="K221" s="6" t="str">
        <f>IF(A221="","",IF(COUNTIFS('02_KICH_BAN_NODES'!$B$5:$B$204,A221,'02_KICH_BAN_NODES'!$D$5:$D$204,"choice")=0,"ChoiceNodeId không tồn tại hoặc không phải choice",IF(COUNTIFS($A$5:$A$404,A221,$B$5:$B$404,B221)&gt;1,"Trùng OptionOrder trong cùng choice",IF(OR(B221="",C221="",D221="",F221="",H221=""),"Thiếu trường bắt buộc",IF(OR(COUNTIF($A$5:$A$404,A221)&lt;2,COUNTIF($A$5:$A$404,A221)&gt;4),"Mỗi choice cần 2–4 option",IF(COUNTIFS('02_KICH_BAN_NODES'!$B$5:$B$204,A221,'02_KICH_BAN_NODES'!$E$5:$E$204,"Kiến thức")=1,IF(COUNTIFS($A$5:$A$404,A221,$D$5:$D$404,"Có")&lt;&gt;1,"Choice kiến thức cần đúng 1 đáp án đúng",""),IF(COUNTIFS('02_KICH_BAN_NODES'!$B$5:$B$204,A221,'02_KICH_BAN_NODES'!$E$5:$E$204,"Tương tác")=1,IF(COUNTIFS($A$5:$A$404,A221,$D$5:$D$404,"Có")&lt;&gt;0,"Choice tương tác không được đánh dấu đáp án đúng",""),"Choice chưa chọn loại")))))))</f>
        <v/>
      </c>
    </row>
    <row r="222" spans="1:11">
      <c r="A222" s="13"/>
      <c r="B222" s="13"/>
      <c r="C222" s="5"/>
      <c r="D222" s="13"/>
      <c r="E222" s="13"/>
      <c r="F222" s="13"/>
      <c r="G222" s="13"/>
      <c r="H222" s="5"/>
      <c r="I222" s="5"/>
      <c r="J222" s="6" t="str">
        <f t="shared" si="3"/>
        <v/>
      </c>
      <c r="K222" s="6" t="str">
        <f>IF(A222="","",IF(COUNTIFS('02_KICH_BAN_NODES'!$B$5:$B$204,A222,'02_KICH_BAN_NODES'!$D$5:$D$204,"choice")=0,"ChoiceNodeId không tồn tại hoặc không phải choice",IF(COUNTIFS($A$5:$A$404,A222,$B$5:$B$404,B222)&gt;1,"Trùng OptionOrder trong cùng choice",IF(OR(B222="",C222="",D222="",F222="",H222=""),"Thiếu trường bắt buộc",IF(OR(COUNTIF($A$5:$A$404,A222)&lt;2,COUNTIF($A$5:$A$404,A222)&gt;4),"Mỗi choice cần 2–4 option",IF(COUNTIFS('02_KICH_BAN_NODES'!$B$5:$B$204,A222,'02_KICH_BAN_NODES'!$E$5:$E$204,"Kiến thức")=1,IF(COUNTIFS($A$5:$A$404,A222,$D$5:$D$404,"Có")&lt;&gt;1,"Choice kiến thức cần đúng 1 đáp án đúng",""),IF(COUNTIFS('02_KICH_BAN_NODES'!$B$5:$B$204,A222,'02_KICH_BAN_NODES'!$E$5:$E$204,"Tương tác")=1,IF(COUNTIFS($A$5:$A$404,A222,$D$5:$D$404,"Có")&lt;&gt;0,"Choice tương tác không được đánh dấu đáp án đúng",""),"Choice chưa chọn loại")))))))</f>
        <v/>
      </c>
    </row>
    <row r="223" spans="1:11">
      <c r="A223" s="13"/>
      <c r="B223" s="13"/>
      <c r="C223" s="5"/>
      <c r="D223" s="13"/>
      <c r="E223" s="13"/>
      <c r="F223" s="13"/>
      <c r="G223" s="13"/>
      <c r="H223" s="5"/>
      <c r="I223" s="5"/>
      <c r="J223" s="6" t="str">
        <f t="shared" si="3"/>
        <v/>
      </c>
      <c r="K223" s="6" t="str">
        <f>IF(A223="","",IF(COUNTIFS('02_KICH_BAN_NODES'!$B$5:$B$204,A223,'02_KICH_BAN_NODES'!$D$5:$D$204,"choice")=0,"ChoiceNodeId không tồn tại hoặc không phải choice",IF(COUNTIFS($A$5:$A$404,A223,$B$5:$B$404,B223)&gt;1,"Trùng OptionOrder trong cùng choice",IF(OR(B223="",C223="",D223="",F223="",H223=""),"Thiếu trường bắt buộc",IF(OR(COUNTIF($A$5:$A$404,A223)&lt;2,COUNTIF($A$5:$A$404,A223)&gt;4),"Mỗi choice cần 2–4 option",IF(COUNTIFS('02_KICH_BAN_NODES'!$B$5:$B$204,A223,'02_KICH_BAN_NODES'!$E$5:$E$204,"Kiến thức")=1,IF(COUNTIFS($A$5:$A$404,A223,$D$5:$D$404,"Có")&lt;&gt;1,"Choice kiến thức cần đúng 1 đáp án đúng",""),IF(COUNTIFS('02_KICH_BAN_NODES'!$B$5:$B$204,A223,'02_KICH_BAN_NODES'!$E$5:$E$204,"Tương tác")=1,IF(COUNTIFS($A$5:$A$404,A223,$D$5:$D$404,"Có")&lt;&gt;0,"Choice tương tác không được đánh dấu đáp án đúng",""),"Choice chưa chọn loại")))))))</f>
        <v/>
      </c>
    </row>
    <row r="224" spans="1:11">
      <c r="A224" s="13"/>
      <c r="B224" s="13"/>
      <c r="C224" s="5"/>
      <c r="D224" s="13"/>
      <c r="E224" s="13"/>
      <c r="F224" s="13"/>
      <c r="G224" s="13"/>
      <c r="H224" s="5"/>
      <c r="I224" s="5"/>
      <c r="J224" s="6" t="str">
        <f t="shared" si="3"/>
        <v/>
      </c>
      <c r="K224" s="6" t="str">
        <f>IF(A224="","",IF(COUNTIFS('02_KICH_BAN_NODES'!$B$5:$B$204,A224,'02_KICH_BAN_NODES'!$D$5:$D$204,"choice")=0,"ChoiceNodeId không tồn tại hoặc không phải choice",IF(COUNTIFS($A$5:$A$404,A224,$B$5:$B$404,B224)&gt;1,"Trùng OptionOrder trong cùng choice",IF(OR(B224="",C224="",D224="",F224="",H224=""),"Thiếu trường bắt buộc",IF(OR(COUNTIF($A$5:$A$404,A224)&lt;2,COUNTIF($A$5:$A$404,A224)&gt;4),"Mỗi choice cần 2–4 option",IF(COUNTIFS('02_KICH_BAN_NODES'!$B$5:$B$204,A224,'02_KICH_BAN_NODES'!$E$5:$E$204,"Kiến thức")=1,IF(COUNTIFS($A$5:$A$404,A224,$D$5:$D$404,"Có")&lt;&gt;1,"Choice kiến thức cần đúng 1 đáp án đúng",""),IF(COUNTIFS('02_KICH_BAN_NODES'!$B$5:$B$204,A224,'02_KICH_BAN_NODES'!$E$5:$E$204,"Tương tác")=1,IF(COUNTIFS($A$5:$A$404,A224,$D$5:$D$404,"Có")&lt;&gt;0,"Choice tương tác không được đánh dấu đáp án đúng",""),"Choice chưa chọn loại")))))))</f>
        <v/>
      </c>
    </row>
    <row r="225" spans="1:11">
      <c r="A225" s="13"/>
      <c r="B225" s="13"/>
      <c r="C225" s="5"/>
      <c r="D225" s="13"/>
      <c r="E225" s="13"/>
      <c r="F225" s="13"/>
      <c r="G225" s="13"/>
      <c r="H225" s="5"/>
      <c r="I225" s="5"/>
      <c r="J225" s="6" t="str">
        <f t="shared" si="3"/>
        <v/>
      </c>
      <c r="K225" s="6" t="str">
        <f>IF(A225="","",IF(COUNTIFS('02_KICH_BAN_NODES'!$B$5:$B$204,A225,'02_KICH_BAN_NODES'!$D$5:$D$204,"choice")=0,"ChoiceNodeId không tồn tại hoặc không phải choice",IF(COUNTIFS($A$5:$A$404,A225,$B$5:$B$404,B225)&gt;1,"Trùng OptionOrder trong cùng choice",IF(OR(B225="",C225="",D225="",F225="",H225=""),"Thiếu trường bắt buộc",IF(OR(COUNTIF($A$5:$A$404,A225)&lt;2,COUNTIF($A$5:$A$404,A225)&gt;4),"Mỗi choice cần 2–4 option",IF(COUNTIFS('02_KICH_BAN_NODES'!$B$5:$B$204,A225,'02_KICH_BAN_NODES'!$E$5:$E$204,"Kiến thức")=1,IF(COUNTIFS($A$5:$A$404,A225,$D$5:$D$404,"Có")&lt;&gt;1,"Choice kiến thức cần đúng 1 đáp án đúng",""),IF(COUNTIFS('02_KICH_BAN_NODES'!$B$5:$B$204,A225,'02_KICH_BAN_NODES'!$E$5:$E$204,"Tương tác")=1,IF(COUNTIFS($A$5:$A$404,A225,$D$5:$D$404,"Có")&lt;&gt;0,"Choice tương tác không được đánh dấu đáp án đúng",""),"Choice chưa chọn loại")))))))</f>
        <v/>
      </c>
    </row>
    <row r="226" spans="1:11">
      <c r="A226" s="13"/>
      <c r="B226" s="13"/>
      <c r="C226" s="5"/>
      <c r="D226" s="13"/>
      <c r="E226" s="13"/>
      <c r="F226" s="13"/>
      <c r="G226" s="13"/>
      <c r="H226" s="5"/>
      <c r="I226" s="5"/>
      <c r="J226" s="6" t="str">
        <f t="shared" si="3"/>
        <v/>
      </c>
      <c r="K226" s="6" t="str">
        <f>IF(A226="","",IF(COUNTIFS('02_KICH_BAN_NODES'!$B$5:$B$204,A226,'02_KICH_BAN_NODES'!$D$5:$D$204,"choice")=0,"ChoiceNodeId không tồn tại hoặc không phải choice",IF(COUNTIFS($A$5:$A$404,A226,$B$5:$B$404,B226)&gt;1,"Trùng OptionOrder trong cùng choice",IF(OR(B226="",C226="",D226="",F226="",H226=""),"Thiếu trường bắt buộc",IF(OR(COUNTIF($A$5:$A$404,A226)&lt;2,COUNTIF($A$5:$A$404,A226)&gt;4),"Mỗi choice cần 2–4 option",IF(COUNTIFS('02_KICH_BAN_NODES'!$B$5:$B$204,A226,'02_KICH_BAN_NODES'!$E$5:$E$204,"Kiến thức")=1,IF(COUNTIFS($A$5:$A$404,A226,$D$5:$D$404,"Có")&lt;&gt;1,"Choice kiến thức cần đúng 1 đáp án đúng",""),IF(COUNTIFS('02_KICH_BAN_NODES'!$B$5:$B$204,A226,'02_KICH_BAN_NODES'!$E$5:$E$204,"Tương tác")=1,IF(COUNTIFS($A$5:$A$404,A226,$D$5:$D$404,"Có")&lt;&gt;0,"Choice tương tác không được đánh dấu đáp án đúng",""),"Choice chưa chọn loại")))))))</f>
        <v/>
      </c>
    </row>
    <row r="227" spans="1:11">
      <c r="A227" s="13"/>
      <c r="B227" s="13"/>
      <c r="C227" s="5"/>
      <c r="D227" s="13"/>
      <c r="E227" s="13"/>
      <c r="F227" s="13"/>
      <c r="G227" s="13"/>
      <c r="H227" s="5"/>
      <c r="I227" s="5"/>
      <c r="J227" s="6" t="str">
        <f t="shared" si="3"/>
        <v/>
      </c>
      <c r="K227" s="6" t="str">
        <f>IF(A227="","",IF(COUNTIFS('02_KICH_BAN_NODES'!$B$5:$B$204,A227,'02_KICH_BAN_NODES'!$D$5:$D$204,"choice")=0,"ChoiceNodeId không tồn tại hoặc không phải choice",IF(COUNTIFS($A$5:$A$404,A227,$B$5:$B$404,B227)&gt;1,"Trùng OptionOrder trong cùng choice",IF(OR(B227="",C227="",D227="",F227="",H227=""),"Thiếu trường bắt buộc",IF(OR(COUNTIF($A$5:$A$404,A227)&lt;2,COUNTIF($A$5:$A$404,A227)&gt;4),"Mỗi choice cần 2–4 option",IF(COUNTIFS('02_KICH_BAN_NODES'!$B$5:$B$204,A227,'02_KICH_BAN_NODES'!$E$5:$E$204,"Kiến thức")=1,IF(COUNTIFS($A$5:$A$404,A227,$D$5:$D$404,"Có")&lt;&gt;1,"Choice kiến thức cần đúng 1 đáp án đúng",""),IF(COUNTIFS('02_KICH_BAN_NODES'!$B$5:$B$204,A227,'02_KICH_BAN_NODES'!$E$5:$E$204,"Tương tác")=1,IF(COUNTIFS($A$5:$A$404,A227,$D$5:$D$404,"Có")&lt;&gt;0,"Choice tương tác không được đánh dấu đáp án đúng",""),"Choice chưa chọn loại")))))))</f>
        <v/>
      </c>
    </row>
    <row r="228" spans="1:11">
      <c r="A228" s="13"/>
      <c r="B228" s="13"/>
      <c r="C228" s="5"/>
      <c r="D228" s="13"/>
      <c r="E228" s="13"/>
      <c r="F228" s="13"/>
      <c r="G228" s="13"/>
      <c r="H228" s="5"/>
      <c r="I228" s="5"/>
      <c r="J228" s="6" t="str">
        <f t="shared" si="3"/>
        <v/>
      </c>
      <c r="K228" s="6" t="str">
        <f>IF(A228="","",IF(COUNTIFS('02_KICH_BAN_NODES'!$B$5:$B$204,A228,'02_KICH_BAN_NODES'!$D$5:$D$204,"choice")=0,"ChoiceNodeId không tồn tại hoặc không phải choice",IF(COUNTIFS($A$5:$A$404,A228,$B$5:$B$404,B228)&gt;1,"Trùng OptionOrder trong cùng choice",IF(OR(B228="",C228="",D228="",F228="",H228=""),"Thiếu trường bắt buộc",IF(OR(COUNTIF($A$5:$A$404,A228)&lt;2,COUNTIF($A$5:$A$404,A228)&gt;4),"Mỗi choice cần 2–4 option",IF(COUNTIFS('02_KICH_BAN_NODES'!$B$5:$B$204,A228,'02_KICH_BAN_NODES'!$E$5:$E$204,"Kiến thức")=1,IF(COUNTIFS($A$5:$A$404,A228,$D$5:$D$404,"Có")&lt;&gt;1,"Choice kiến thức cần đúng 1 đáp án đúng",""),IF(COUNTIFS('02_KICH_BAN_NODES'!$B$5:$B$204,A228,'02_KICH_BAN_NODES'!$E$5:$E$204,"Tương tác")=1,IF(COUNTIFS($A$5:$A$404,A228,$D$5:$D$404,"Có")&lt;&gt;0,"Choice tương tác không được đánh dấu đáp án đúng",""),"Choice chưa chọn loại")))))))</f>
        <v/>
      </c>
    </row>
    <row r="229" spans="1:11">
      <c r="A229" s="13"/>
      <c r="B229" s="13"/>
      <c r="C229" s="5"/>
      <c r="D229" s="13"/>
      <c r="E229" s="13"/>
      <c r="F229" s="13"/>
      <c r="G229" s="13"/>
      <c r="H229" s="5"/>
      <c r="I229" s="5"/>
      <c r="J229" s="6" t="str">
        <f t="shared" si="3"/>
        <v/>
      </c>
      <c r="K229" s="6" t="str">
        <f>IF(A229="","",IF(COUNTIFS('02_KICH_BAN_NODES'!$B$5:$B$204,A229,'02_KICH_BAN_NODES'!$D$5:$D$204,"choice")=0,"ChoiceNodeId không tồn tại hoặc không phải choice",IF(COUNTIFS($A$5:$A$404,A229,$B$5:$B$404,B229)&gt;1,"Trùng OptionOrder trong cùng choice",IF(OR(B229="",C229="",D229="",F229="",H229=""),"Thiếu trường bắt buộc",IF(OR(COUNTIF($A$5:$A$404,A229)&lt;2,COUNTIF($A$5:$A$404,A229)&gt;4),"Mỗi choice cần 2–4 option",IF(COUNTIFS('02_KICH_BAN_NODES'!$B$5:$B$204,A229,'02_KICH_BAN_NODES'!$E$5:$E$204,"Kiến thức")=1,IF(COUNTIFS($A$5:$A$404,A229,$D$5:$D$404,"Có")&lt;&gt;1,"Choice kiến thức cần đúng 1 đáp án đúng",""),IF(COUNTIFS('02_KICH_BAN_NODES'!$B$5:$B$204,A229,'02_KICH_BAN_NODES'!$E$5:$E$204,"Tương tác")=1,IF(COUNTIFS($A$5:$A$404,A229,$D$5:$D$404,"Có")&lt;&gt;0,"Choice tương tác không được đánh dấu đáp án đúng",""),"Choice chưa chọn loại")))))))</f>
        <v/>
      </c>
    </row>
    <row r="230" spans="1:11">
      <c r="A230" s="13"/>
      <c r="B230" s="13"/>
      <c r="C230" s="5"/>
      <c r="D230" s="13"/>
      <c r="E230" s="13"/>
      <c r="F230" s="13"/>
      <c r="G230" s="13"/>
      <c r="H230" s="5"/>
      <c r="I230" s="5"/>
      <c r="J230" s="6" t="str">
        <f t="shared" si="3"/>
        <v/>
      </c>
      <c r="K230" s="6" t="str">
        <f>IF(A230="","",IF(COUNTIFS('02_KICH_BAN_NODES'!$B$5:$B$204,A230,'02_KICH_BAN_NODES'!$D$5:$D$204,"choice")=0,"ChoiceNodeId không tồn tại hoặc không phải choice",IF(COUNTIFS($A$5:$A$404,A230,$B$5:$B$404,B230)&gt;1,"Trùng OptionOrder trong cùng choice",IF(OR(B230="",C230="",D230="",F230="",H230=""),"Thiếu trường bắt buộc",IF(OR(COUNTIF($A$5:$A$404,A230)&lt;2,COUNTIF($A$5:$A$404,A230)&gt;4),"Mỗi choice cần 2–4 option",IF(COUNTIFS('02_KICH_BAN_NODES'!$B$5:$B$204,A230,'02_KICH_BAN_NODES'!$E$5:$E$204,"Kiến thức")=1,IF(COUNTIFS($A$5:$A$404,A230,$D$5:$D$404,"Có")&lt;&gt;1,"Choice kiến thức cần đúng 1 đáp án đúng",""),IF(COUNTIFS('02_KICH_BAN_NODES'!$B$5:$B$204,A230,'02_KICH_BAN_NODES'!$E$5:$E$204,"Tương tác")=1,IF(COUNTIFS($A$5:$A$404,A230,$D$5:$D$404,"Có")&lt;&gt;0,"Choice tương tác không được đánh dấu đáp án đúng",""),"Choice chưa chọn loại")))))))</f>
        <v/>
      </c>
    </row>
    <row r="231" spans="1:11">
      <c r="A231" s="13"/>
      <c r="B231" s="13"/>
      <c r="C231" s="5"/>
      <c r="D231" s="13"/>
      <c r="E231" s="13"/>
      <c r="F231" s="13"/>
      <c r="G231" s="13"/>
      <c r="H231" s="5"/>
      <c r="I231" s="5"/>
      <c r="J231" s="6" t="str">
        <f t="shared" si="3"/>
        <v/>
      </c>
      <c r="K231" s="6" t="str">
        <f>IF(A231="","",IF(COUNTIFS('02_KICH_BAN_NODES'!$B$5:$B$204,A231,'02_KICH_BAN_NODES'!$D$5:$D$204,"choice")=0,"ChoiceNodeId không tồn tại hoặc không phải choice",IF(COUNTIFS($A$5:$A$404,A231,$B$5:$B$404,B231)&gt;1,"Trùng OptionOrder trong cùng choice",IF(OR(B231="",C231="",D231="",F231="",H231=""),"Thiếu trường bắt buộc",IF(OR(COUNTIF($A$5:$A$404,A231)&lt;2,COUNTIF($A$5:$A$404,A231)&gt;4),"Mỗi choice cần 2–4 option",IF(COUNTIFS('02_KICH_BAN_NODES'!$B$5:$B$204,A231,'02_KICH_BAN_NODES'!$E$5:$E$204,"Kiến thức")=1,IF(COUNTIFS($A$5:$A$404,A231,$D$5:$D$404,"Có")&lt;&gt;1,"Choice kiến thức cần đúng 1 đáp án đúng",""),IF(COUNTIFS('02_KICH_BAN_NODES'!$B$5:$B$204,A231,'02_KICH_BAN_NODES'!$E$5:$E$204,"Tương tác")=1,IF(COUNTIFS($A$5:$A$404,A231,$D$5:$D$404,"Có")&lt;&gt;0,"Choice tương tác không được đánh dấu đáp án đúng",""),"Choice chưa chọn loại")))))))</f>
        <v/>
      </c>
    </row>
    <row r="232" spans="1:11">
      <c r="A232" s="13"/>
      <c r="B232" s="13"/>
      <c r="C232" s="5"/>
      <c r="D232" s="13"/>
      <c r="E232" s="13"/>
      <c r="F232" s="13"/>
      <c r="G232" s="13"/>
      <c r="H232" s="5"/>
      <c r="I232" s="5"/>
      <c r="J232" s="6" t="str">
        <f t="shared" si="3"/>
        <v/>
      </c>
      <c r="K232" s="6" t="str">
        <f>IF(A232="","",IF(COUNTIFS('02_KICH_BAN_NODES'!$B$5:$B$204,A232,'02_KICH_BAN_NODES'!$D$5:$D$204,"choice")=0,"ChoiceNodeId không tồn tại hoặc không phải choice",IF(COUNTIFS($A$5:$A$404,A232,$B$5:$B$404,B232)&gt;1,"Trùng OptionOrder trong cùng choice",IF(OR(B232="",C232="",D232="",F232="",H232=""),"Thiếu trường bắt buộc",IF(OR(COUNTIF($A$5:$A$404,A232)&lt;2,COUNTIF($A$5:$A$404,A232)&gt;4),"Mỗi choice cần 2–4 option",IF(COUNTIFS('02_KICH_BAN_NODES'!$B$5:$B$204,A232,'02_KICH_BAN_NODES'!$E$5:$E$204,"Kiến thức")=1,IF(COUNTIFS($A$5:$A$404,A232,$D$5:$D$404,"Có")&lt;&gt;1,"Choice kiến thức cần đúng 1 đáp án đúng",""),IF(COUNTIFS('02_KICH_BAN_NODES'!$B$5:$B$204,A232,'02_KICH_BAN_NODES'!$E$5:$E$204,"Tương tác")=1,IF(COUNTIFS($A$5:$A$404,A232,$D$5:$D$404,"Có")&lt;&gt;0,"Choice tương tác không được đánh dấu đáp án đúng",""),"Choice chưa chọn loại")))))))</f>
        <v/>
      </c>
    </row>
    <row r="233" spans="1:11">
      <c r="A233" s="13"/>
      <c r="B233" s="13"/>
      <c r="C233" s="5"/>
      <c r="D233" s="13"/>
      <c r="E233" s="13"/>
      <c r="F233" s="13"/>
      <c r="G233" s="13"/>
      <c r="H233" s="5"/>
      <c r="I233" s="5"/>
      <c r="J233" s="6" t="str">
        <f t="shared" si="3"/>
        <v/>
      </c>
      <c r="K233" s="6" t="str">
        <f>IF(A233="","",IF(COUNTIFS('02_KICH_BAN_NODES'!$B$5:$B$204,A233,'02_KICH_BAN_NODES'!$D$5:$D$204,"choice")=0,"ChoiceNodeId không tồn tại hoặc không phải choice",IF(COUNTIFS($A$5:$A$404,A233,$B$5:$B$404,B233)&gt;1,"Trùng OptionOrder trong cùng choice",IF(OR(B233="",C233="",D233="",F233="",H233=""),"Thiếu trường bắt buộc",IF(OR(COUNTIF($A$5:$A$404,A233)&lt;2,COUNTIF($A$5:$A$404,A233)&gt;4),"Mỗi choice cần 2–4 option",IF(COUNTIFS('02_KICH_BAN_NODES'!$B$5:$B$204,A233,'02_KICH_BAN_NODES'!$E$5:$E$204,"Kiến thức")=1,IF(COUNTIFS($A$5:$A$404,A233,$D$5:$D$404,"Có")&lt;&gt;1,"Choice kiến thức cần đúng 1 đáp án đúng",""),IF(COUNTIFS('02_KICH_BAN_NODES'!$B$5:$B$204,A233,'02_KICH_BAN_NODES'!$E$5:$E$204,"Tương tác")=1,IF(COUNTIFS($A$5:$A$404,A233,$D$5:$D$404,"Có")&lt;&gt;0,"Choice tương tác không được đánh dấu đáp án đúng",""),"Choice chưa chọn loại")))))))</f>
        <v/>
      </c>
    </row>
    <row r="234" spans="1:11">
      <c r="A234" s="13"/>
      <c r="B234" s="13"/>
      <c r="C234" s="5"/>
      <c r="D234" s="13"/>
      <c r="E234" s="13"/>
      <c r="F234" s="13"/>
      <c r="G234" s="13"/>
      <c r="H234" s="5"/>
      <c r="I234" s="5"/>
      <c r="J234" s="6" t="str">
        <f t="shared" si="3"/>
        <v/>
      </c>
      <c r="K234" s="6" t="str">
        <f>IF(A234="","",IF(COUNTIFS('02_KICH_BAN_NODES'!$B$5:$B$204,A234,'02_KICH_BAN_NODES'!$D$5:$D$204,"choice")=0,"ChoiceNodeId không tồn tại hoặc không phải choice",IF(COUNTIFS($A$5:$A$404,A234,$B$5:$B$404,B234)&gt;1,"Trùng OptionOrder trong cùng choice",IF(OR(B234="",C234="",D234="",F234="",H234=""),"Thiếu trường bắt buộc",IF(OR(COUNTIF($A$5:$A$404,A234)&lt;2,COUNTIF($A$5:$A$404,A234)&gt;4),"Mỗi choice cần 2–4 option",IF(COUNTIFS('02_KICH_BAN_NODES'!$B$5:$B$204,A234,'02_KICH_BAN_NODES'!$E$5:$E$204,"Kiến thức")=1,IF(COUNTIFS($A$5:$A$404,A234,$D$5:$D$404,"Có")&lt;&gt;1,"Choice kiến thức cần đúng 1 đáp án đúng",""),IF(COUNTIFS('02_KICH_BAN_NODES'!$B$5:$B$204,A234,'02_KICH_BAN_NODES'!$E$5:$E$204,"Tương tác")=1,IF(COUNTIFS($A$5:$A$404,A234,$D$5:$D$404,"Có")&lt;&gt;0,"Choice tương tác không được đánh dấu đáp án đúng",""),"Choice chưa chọn loại")))))))</f>
        <v/>
      </c>
    </row>
    <row r="235" spans="1:11">
      <c r="A235" s="13"/>
      <c r="B235" s="13"/>
      <c r="C235" s="5"/>
      <c r="D235" s="13"/>
      <c r="E235" s="13"/>
      <c r="F235" s="13"/>
      <c r="G235" s="13"/>
      <c r="H235" s="5"/>
      <c r="I235" s="5"/>
      <c r="J235" s="6" t="str">
        <f t="shared" si="3"/>
        <v/>
      </c>
      <c r="K235" s="6" t="str">
        <f>IF(A235="","",IF(COUNTIFS('02_KICH_BAN_NODES'!$B$5:$B$204,A235,'02_KICH_BAN_NODES'!$D$5:$D$204,"choice")=0,"ChoiceNodeId không tồn tại hoặc không phải choice",IF(COUNTIFS($A$5:$A$404,A235,$B$5:$B$404,B235)&gt;1,"Trùng OptionOrder trong cùng choice",IF(OR(B235="",C235="",D235="",F235="",H235=""),"Thiếu trường bắt buộc",IF(OR(COUNTIF($A$5:$A$404,A235)&lt;2,COUNTIF($A$5:$A$404,A235)&gt;4),"Mỗi choice cần 2–4 option",IF(COUNTIFS('02_KICH_BAN_NODES'!$B$5:$B$204,A235,'02_KICH_BAN_NODES'!$E$5:$E$204,"Kiến thức")=1,IF(COUNTIFS($A$5:$A$404,A235,$D$5:$D$404,"Có")&lt;&gt;1,"Choice kiến thức cần đúng 1 đáp án đúng",""),IF(COUNTIFS('02_KICH_BAN_NODES'!$B$5:$B$204,A235,'02_KICH_BAN_NODES'!$E$5:$E$204,"Tương tác")=1,IF(COUNTIFS($A$5:$A$404,A235,$D$5:$D$404,"Có")&lt;&gt;0,"Choice tương tác không được đánh dấu đáp án đúng",""),"Choice chưa chọn loại")))))))</f>
        <v/>
      </c>
    </row>
    <row r="236" spans="1:11">
      <c r="A236" s="13"/>
      <c r="B236" s="13"/>
      <c r="C236" s="5"/>
      <c r="D236" s="13"/>
      <c r="E236" s="13"/>
      <c r="F236" s="13"/>
      <c r="G236" s="13"/>
      <c r="H236" s="5"/>
      <c r="I236" s="5"/>
      <c r="J236" s="6" t="str">
        <f t="shared" si="3"/>
        <v/>
      </c>
      <c r="K236" s="6" t="str">
        <f>IF(A236="","",IF(COUNTIFS('02_KICH_BAN_NODES'!$B$5:$B$204,A236,'02_KICH_BAN_NODES'!$D$5:$D$204,"choice")=0,"ChoiceNodeId không tồn tại hoặc không phải choice",IF(COUNTIFS($A$5:$A$404,A236,$B$5:$B$404,B236)&gt;1,"Trùng OptionOrder trong cùng choice",IF(OR(B236="",C236="",D236="",F236="",H236=""),"Thiếu trường bắt buộc",IF(OR(COUNTIF($A$5:$A$404,A236)&lt;2,COUNTIF($A$5:$A$404,A236)&gt;4),"Mỗi choice cần 2–4 option",IF(COUNTIFS('02_KICH_BAN_NODES'!$B$5:$B$204,A236,'02_KICH_BAN_NODES'!$E$5:$E$204,"Kiến thức")=1,IF(COUNTIFS($A$5:$A$404,A236,$D$5:$D$404,"Có")&lt;&gt;1,"Choice kiến thức cần đúng 1 đáp án đúng",""),IF(COUNTIFS('02_KICH_BAN_NODES'!$B$5:$B$204,A236,'02_KICH_BAN_NODES'!$E$5:$E$204,"Tương tác")=1,IF(COUNTIFS($A$5:$A$404,A236,$D$5:$D$404,"Có")&lt;&gt;0,"Choice tương tác không được đánh dấu đáp án đúng",""),"Choice chưa chọn loại")))))))</f>
        <v/>
      </c>
    </row>
    <row r="237" spans="1:11">
      <c r="A237" s="13"/>
      <c r="B237" s="13"/>
      <c r="C237" s="5"/>
      <c r="D237" s="13"/>
      <c r="E237" s="13"/>
      <c r="F237" s="13"/>
      <c r="G237" s="13"/>
      <c r="H237" s="5"/>
      <c r="I237" s="5"/>
      <c r="J237" s="6" t="str">
        <f t="shared" si="3"/>
        <v/>
      </c>
      <c r="K237" s="6" t="str">
        <f>IF(A237="","",IF(COUNTIFS('02_KICH_BAN_NODES'!$B$5:$B$204,A237,'02_KICH_BAN_NODES'!$D$5:$D$204,"choice")=0,"ChoiceNodeId không tồn tại hoặc không phải choice",IF(COUNTIFS($A$5:$A$404,A237,$B$5:$B$404,B237)&gt;1,"Trùng OptionOrder trong cùng choice",IF(OR(B237="",C237="",D237="",F237="",H237=""),"Thiếu trường bắt buộc",IF(OR(COUNTIF($A$5:$A$404,A237)&lt;2,COUNTIF($A$5:$A$404,A237)&gt;4),"Mỗi choice cần 2–4 option",IF(COUNTIFS('02_KICH_BAN_NODES'!$B$5:$B$204,A237,'02_KICH_BAN_NODES'!$E$5:$E$204,"Kiến thức")=1,IF(COUNTIFS($A$5:$A$404,A237,$D$5:$D$404,"Có")&lt;&gt;1,"Choice kiến thức cần đúng 1 đáp án đúng",""),IF(COUNTIFS('02_KICH_BAN_NODES'!$B$5:$B$204,A237,'02_KICH_BAN_NODES'!$E$5:$E$204,"Tương tác")=1,IF(COUNTIFS($A$5:$A$404,A237,$D$5:$D$404,"Có")&lt;&gt;0,"Choice tương tác không được đánh dấu đáp án đúng",""),"Choice chưa chọn loại")))))))</f>
        <v/>
      </c>
    </row>
    <row r="238" spans="1:11">
      <c r="A238" s="13"/>
      <c r="B238" s="13"/>
      <c r="C238" s="5"/>
      <c r="D238" s="13"/>
      <c r="E238" s="13"/>
      <c r="F238" s="13"/>
      <c r="G238" s="13"/>
      <c r="H238" s="5"/>
      <c r="I238" s="5"/>
      <c r="J238" s="6" t="str">
        <f t="shared" si="3"/>
        <v/>
      </c>
      <c r="K238" s="6" t="str">
        <f>IF(A238="","",IF(COUNTIFS('02_KICH_BAN_NODES'!$B$5:$B$204,A238,'02_KICH_BAN_NODES'!$D$5:$D$204,"choice")=0,"ChoiceNodeId không tồn tại hoặc không phải choice",IF(COUNTIFS($A$5:$A$404,A238,$B$5:$B$404,B238)&gt;1,"Trùng OptionOrder trong cùng choice",IF(OR(B238="",C238="",D238="",F238="",H238=""),"Thiếu trường bắt buộc",IF(OR(COUNTIF($A$5:$A$404,A238)&lt;2,COUNTIF($A$5:$A$404,A238)&gt;4),"Mỗi choice cần 2–4 option",IF(COUNTIFS('02_KICH_BAN_NODES'!$B$5:$B$204,A238,'02_KICH_BAN_NODES'!$E$5:$E$204,"Kiến thức")=1,IF(COUNTIFS($A$5:$A$404,A238,$D$5:$D$404,"Có")&lt;&gt;1,"Choice kiến thức cần đúng 1 đáp án đúng",""),IF(COUNTIFS('02_KICH_BAN_NODES'!$B$5:$B$204,A238,'02_KICH_BAN_NODES'!$E$5:$E$204,"Tương tác")=1,IF(COUNTIFS($A$5:$A$404,A238,$D$5:$D$404,"Có")&lt;&gt;0,"Choice tương tác không được đánh dấu đáp án đúng",""),"Choice chưa chọn loại")))))))</f>
        <v/>
      </c>
    </row>
    <row r="239" spans="1:11">
      <c r="A239" s="13"/>
      <c r="B239" s="13"/>
      <c r="C239" s="5"/>
      <c r="D239" s="13"/>
      <c r="E239" s="13"/>
      <c r="F239" s="13"/>
      <c r="G239" s="13"/>
      <c r="H239" s="5"/>
      <c r="I239" s="5"/>
      <c r="J239" s="6" t="str">
        <f t="shared" si="3"/>
        <v/>
      </c>
      <c r="K239" s="6" t="str">
        <f>IF(A239="","",IF(COUNTIFS('02_KICH_BAN_NODES'!$B$5:$B$204,A239,'02_KICH_BAN_NODES'!$D$5:$D$204,"choice")=0,"ChoiceNodeId không tồn tại hoặc không phải choice",IF(COUNTIFS($A$5:$A$404,A239,$B$5:$B$404,B239)&gt;1,"Trùng OptionOrder trong cùng choice",IF(OR(B239="",C239="",D239="",F239="",H239=""),"Thiếu trường bắt buộc",IF(OR(COUNTIF($A$5:$A$404,A239)&lt;2,COUNTIF($A$5:$A$404,A239)&gt;4),"Mỗi choice cần 2–4 option",IF(COUNTIFS('02_KICH_BAN_NODES'!$B$5:$B$204,A239,'02_KICH_BAN_NODES'!$E$5:$E$204,"Kiến thức")=1,IF(COUNTIFS($A$5:$A$404,A239,$D$5:$D$404,"Có")&lt;&gt;1,"Choice kiến thức cần đúng 1 đáp án đúng",""),IF(COUNTIFS('02_KICH_BAN_NODES'!$B$5:$B$204,A239,'02_KICH_BAN_NODES'!$E$5:$E$204,"Tương tác")=1,IF(COUNTIFS($A$5:$A$404,A239,$D$5:$D$404,"Có")&lt;&gt;0,"Choice tương tác không được đánh dấu đáp án đúng",""),"Choice chưa chọn loại")))))))</f>
        <v/>
      </c>
    </row>
    <row r="240" spans="1:11">
      <c r="A240" s="13"/>
      <c r="B240" s="13"/>
      <c r="C240" s="5"/>
      <c r="D240" s="13"/>
      <c r="E240" s="13"/>
      <c r="F240" s="13"/>
      <c r="G240" s="13"/>
      <c r="H240" s="5"/>
      <c r="I240" s="5"/>
      <c r="J240" s="6" t="str">
        <f t="shared" si="3"/>
        <v/>
      </c>
      <c r="K240" s="6" t="str">
        <f>IF(A240="","",IF(COUNTIFS('02_KICH_BAN_NODES'!$B$5:$B$204,A240,'02_KICH_BAN_NODES'!$D$5:$D$204,"choice")=0,"ChoiceNodeId không tồn tại hoặc không phải choice",IF(COUNTIFS($A$5:$A$404,A240,$B$5:$B$404,B240)&gt;1,"Trùng OptionOrder trong cùng choice",IF(OR(B240="",C240="",D240="",F240="",H240=""),"Thiếu trường bắt buộc",IF(OR(COUNTIF($A$5:$A$404,A240)&lt;2,COUNTIF($A$5:$A$404,A240)&gt;4),"Mỗi choice cần 2–4 option",IF(COUNTIFS('02_KICH_BAN_NODES'!$B$5:$B$204,A240,'02_KICH_BAN_NODES'!$E$5:$E$204,"Kiến thức")=1,IF(COUNTIFS($A$5:$A$404,A240,$D$5:$D$404,"Có")&lt;&gt;1,"Choice kiến thức cần đúng 1 đáp án đúng",""),IF(COUNTIFS('02_KICH_BAN_NODES'!$B$5:$B$204,A240,'02_KICH_BAN_NODES'!$E$5:$E$204,"Tương tác")=1,IF(COUNTIFS($A$5:$A$404,A240,$D$5:$D$404,"Có")&lt;&gt;0,"Choice tương tác không được đánh dấu đáp án đúng",""),"Choice chưa chọn loại")))))))</f>
        <v/>
      </c>
    </row>
    <row r="241" spans="1:11">
      <c r="A241" s="13"/>
      <c r="B241" s="13"/>
      <c r="C241" s="5"/>
      <c r="D241" s="13"/>
      <c r="E241" s="13"/>
      <c r="F241" s="13"/>
      <c r="G241" s="13"/>
      <c r="H241" s="5"/>
      <c r="I241" s="5"/>
      <c r="J241" s="6" t="str">
        <f t="shared" si="3"/>
        <v/>
      </c>
      <c r="K241" s="6" t="str">
        <f>IF(A241="","",IF(COUNTIFS('02_KICH_BAN_NODES'!$B$5:$B$204,A241,'02_KICH_BAN_NODES'!$D$5:$D$204,"choice")=0,"ChoiceNodeId không tồn tại hoặc không phải choice",IF(COUNTIFS($A$5:$A$404,A241,$B$5:$B$404,B241)&gt;1,"Trùng OptionOrder trong cùng choice",IF(OR(B241="",C241="",D241="",F241="",H241=""),"Thiếu trường bắt buộc",IF(OR(COUNTIF($A$5:$A$404,A241)&lt;2,COUNTIF($A$5:$A$404,A241)&gt;4),"Mỗi choice cần 2–4 option",IF(COUNTIFS('02_KICH_BAN_NODES'!$B$5:$B$204,A241,'02_KICH_BAN_NODES'!$E$5:$E$204,"Kiến thức")=1,IF(COUNTIFS($A$5:$A$404,A241,$D$5:$D$404,"Có")&lt;&gt;1,"Choice kiến thức cần đúng 1 đáp án đúng",""),IF(COUNTIFS('02_KICH_BAN_NODES'!$B$5:$B$204,A241,'02_KICH_BAN_NODES'!$E$5:$E$204,"Tương tác")=1,IF(COUNTIFS($A$5:$A$404,A241,$D$5:$D$404,"Có")&lt;&gt;0,"Choice tương tác không được đánh dấu đáp án đúng",""),"Choice chưa chọn loại")))))))</f>
        <v/>
      </c>
    </row>
    <row r="242" spans="1:11">
      <c r="A242" s="13"/>
      <c r="B242" s="13"/>
      <c r="C242" s="5"/>
      <c r="D242" s="13"/>
      <c r="E242" s="13"/>
      <c r="F242" s="13"/>
      <c r="G242" s="13"/>
      <c r="H242" s="5"/>
      <c r="I242" s="5"/>
      <c r="J242" s="6" t="str">
        <f t="shared" si="3"/>
        <v/>
      </c>
      <c r="K242" s="6" t="str">
        <f>IF(A242="","",IF(COUNTIFS('02_KICH_BAN_NODES'!$B$5:$B$204,A242,'02_KICH_BAN_NODES'!$D$5:$D$204,"choice")=0,"ChoiceNodeId không tồn tại hoặc không phải choice",IF(COUNTIFS($A$5:$A$404,A242,$B$5:$B$404,B242)&gt;1,"Trùng OptionOrder trong cùng choice",IF(OR(B242="",C242="",D242="",F242="",H242=""),"Thiếu trường bắt buộc",IF(OR(COUNTIF($A$5:$A$404,A242)&lt;2,COUNTIF($A$5:$A$404,A242)&gt;4),"Mỗi choice cần 2–4 option",IF(COUNTIFS('02_KICH_BAN_NODES'!$B$5:$B$204,A242,'02_KICH_BAN_NODES'!$E$5:$E$204,"Kiến thức")=1,IF(COUNTIFS($A$5:$A$404,A242,$D$5:$D$404,"Có")&lt;&gt;1,"Choice kiến thức cần đúng 1 đáp án đúng",""),IF(COUNTIFS('02_KICH_BAN_NODES'!$B$5:$B$204,A242,'02_KICH_BAN_NODES'!$E$5:$E$204,"Tương tác")=1,IF(COUNTIFS($A$5:$A$404,A242,$D$5:$D$404,"Có")&lt;&gt;0,"Choice tương tác không được đánh dấu đáp án đúng",""),"Choice chưa chọn loại")))))))</f>
        <v/>
      </c>
    </row>
    <row r="243" spans="1:11">
      <c r="A243" s="13"/>
      <c r="B243" s="13"/>
      <c r="C243" s="5"/>
      <c r="D243" s="13"/>
      <c r="E243" s="13"/>
      <c r="F243" s="13"/>
      <c r="G243" s="13"/>
      <c r="H243" s="5"/>
      <c r="I243" s="5"/>
      <c r="J243" s="6" t="str">
        <f t="shared" si="3"/>
        <v/>
      </c>
      <c r="K243" s="6" t="str">
        <f>IF(A243="","",IF(COUNTIFS('02_KICH_BAN_NODES'!$B$5:$B$204,A243,'02_KICH_BAN_NODES'!$D$5:$D$204,"choice")=0,"ChoiceNodeId không tồn tại hoặc không phải choice",IF(COUNTIFS($A$5:$A$404,A243,$B$5:$B$404,B243)&gt;1,"Trùng OptionOrder trong cùng choice",IF(OR(B243="",C243="",D243="",F243="",H243=""),"Thiếu trường bắt buộc",IF(OR(COUNTIF($A$5:$A$404,A243)&lt;2,COUNTIF($A$5:$A$404,A243)&gt;4),"Mỗi choice cần 2–4 option",IF(COUNTIFS('02_KICH_BAN_NODES'!$B$5:$B$204,A243,'02_KICH_BAN_NODES'!$E$5:$E$204,"Kiến thức")=1,IF(COUNTIFS($A$5:$A$404,A243,$D$5:$D$404,"Có")&lt;&gt;1,"Choice kiến thức cần đúng 1 đáp án đúng",""),IF(COUNTIFS('02_KICH_BAN_NODES'!$B$5:$B$204,A243,'02_KICH_BAN_NODES'!$E$5:$E$204,"Tương tác")=1,IF(COUNTIFS($A$5:$A$404,A243,$D$5:$D$404,"Có")&lt;&gt;0,"Choice tương tác không được đánh dấu đáp án đúng",""),"Choice chưa chọn loại")))))))</f>
        <v/>
      </c>
    </row>
    <row r="244" spans="1:11">
      <c r="A244" s="13"/>
      <c r="B244" s="13"/>
      <c r="C244" s="5"/>
      <c r="D244" s="13"/>
      <c r="E244" s="13"/>
      <c r="F244" s="13"/>
      <c r="G244" s="13"/>
      <c r="H244" s="5"/>
      <c r="I244" s="5"/>
      <c r="J244" s="6" t="str">
        <f t="shared" si="3"/>
        <v/>
      </c>
      <c r="K244" s="6" t="str">
        <f>IF(A244="","",IF(COUNTIFS('02_KICH_BAN_NODES'!$B$5:$B$204,A244,'02_KICH_BAN_NODES'!$D$5:$D$204,"choice")=0,"ChoiceNodeId không tồn tại hoặc không phải choice",IF(COUNTIFS($A$5:$A$404,A244,$B$5:$B$404,B244)&gt;1,"Trùng OptionOrder trong cùng choice",IF(OR(B244="",C244="",D244="",F244="",H244=""),"Thiếu trường bắt buộc",IF(OR(COUNTIF($A$5:$A$404,A244)&lt;2,COUNTIF($A$5:$A$404,A244)&gt;4),"Mỗi choice cần 2–4 option",IF(COUNTIFS('02_KICH_BAN_NODES'!$B$5:$B$204,A244,'02_KICH_BAN_NODES'!$E$5:$E$204,"Kiến thức")=1,IF(COUNTIFS($A$5:$A$404,A244,$D$5:$D$404,"Có")&lt;&gt;1,"Choice kiến thức cần đúng 1 đáp án đúng",""),IF(COUNTIFS('02_KICH_BAN_NODES'!$B$5:$B$204,A244,'02_KICH_BAN_NODES'!$E$5:$E$204,"Tương tác")=1,IF(COUNTIFS($A$5:$A$404,A244,$D$5:$D$404,"Có")&lt;&gt;0,"Choice tương tác không được đánh dấu đáp án đúng",""),"Choice chưa chọn loại")))))))</f>
        <v/>
      </c>
    </row>
    <row r="245" spans="1:11">
      <c r="A245" s="13"/>
      <c r="B245" s="13"/>
      <c r="C245" s="5"/>
      <c r="D245" s="13"/>
      <c r="E245" s="13"/>
      <c r="F245" s="13"/>
      <c r="G245" s="13"/>
      <c r="H245" s="5"/>
      <c r="I245" s="5"/>
      <c r="J245" s="6" t="str">
        <f t="shared" si="3"/>
        <v/>
      </c>
      <c r="K245" s="6" t="str">
        <f>IF(A245="","",IF(COUNTIFS('02_KICH_BAN_NODES'!$B$5:$B$204,A245,'02_KICH_BAN_NODES'!$D$5:$D$204,"choice")=0,"ChoiceNodeId không tồn tại hoặc không phải choice",IF(COUNTIFS($A$5:$A$404,A245,$B$5:$B$404,B245)&gt;1,"Trùng OptionOrder trong cùng choice",IF(OR(B245="",C245="",D245="",F245="",H245=""),"Thiếu trường bắt buộc",IF(OR(COUNTIF($A$5:$A$404,A245)&lt;2,COUNTIF($A$5:$A$404,A245)&gt;4),"Mỗi choice cần 2–4 option",IF(COUNTIFS('02_KICH_BAN_NODES'!$B$5:$B$204,A245,'02_KICH_BAN_NODES'!$E$5:$E$204,"Kiến thức")=1,IF(COUNTIFS($A$5:$A$404,A245,$D$5:$D$404,"Có")&lt;&gt;1,"Choice kiến thức cần đúng 1 đáp án đúng",""),IF(COUNTIFS('02_KICH_BAN_NODES'!$B$5:$B$204,A245,'02_KICH_BAN_NODES'!$E$5:$E$204,"Tương tác")=1,IF(COUNTIFS($A$5:$A$404,A245,$D$5:$D$404,"Có")&lt;&gt;0,"Choice tương tác không được đánh dấu đáp án đúng",""),"Choice chưa chọn loại")))))))</f>
        <v/>
      </c>
    </row>
    <row r="246" spans="1:11">
      <c r="A246" s="13"/>
      <c r="B246" s="13"/>
      <c r="C246" s="5"/>
      <c r="D246" s="13"/>
      <c r="E246" s="13"/>
      <c r="F246" s="13"/>
      <c r="G246" s="13"/>
      <c r="H246" s="5"/>
      <c r="I246" s="5"/>
      <c r="J246" s="6" t="str">
        <f t="shared" si="3"/>
        <v/>
      </c>
      <c r="K246" s="6" t="str">
        <f>IF(A246="","",IF(COUNTIFS('02_KICH_BAN_NODES'!$B$5:$B$204,A246,'02_KICH_BAN_NODES'!$D$5:$D$204,"choice")=0,"ChoiceNodeId không tồn tại hoặc không phải choice",IF(COUNTIFS($A$5:$A$404,A246,$B$5:$B$404,B246)&gt;1,"Trùng OptionOrder trong cùng choice",IF(OR(B246="",C246="",D246="",F246="",H246=""),"Thiếu trường bắt buộc",IF(OR(COUNTIF($A$5:$A$404,A246)&lt;2,COUNTIF($A$5:$A$404,A246)&gt;4),"Mỗi choice cần 2–4 option",IF(COUNTIFS('02_KICH_BAN_NODES'!$B$5:$B$204,A246,'02_KICH_BAN_NODES'!$E$5:$E$204,"Kiến thức")=1,IF(COUNTIFS($A$5:$A$404,A246,$D$5:$D$404,"Có")&lt;&gt;1,"Choice kiến thức cần đúng 1 đáp án đúng",""),IF(COUNTIFS('02_KICH_BAN_NODES'!$B$5:$B$204,A246,'02_KICH_BAN_NODES'!$E$5:$E$204,"Tương tác")=1,IF(COUNTIFS($A$5:$A$404,A246,$D$5:$D$404,"Có")&lt;&gt;0,"Choice tương tác không được đánh dấu đáp án đúng",""),"Choice chưa chọn loại")))))))</f>
        <v/>
      </c>
    </row>
    <row r="247" spans="1:11">
      <c r="A247" s="13"/>
      <c r="B247" s="13"/>
      <c r="C247" s="5"/>
      <c r="D247" s="13"/>
      <c r="E247" s="13"/>
      <c r="F247" s="13"/>
      <c r="G247" s="13"/>
      <c r="H247" s="5"/>
      <c r="I247" s="5"/>
      <c r="J247" s="6" t="str">
        <f t="shared" si="3"/>
        <v/>
      </c>
      <c r="K247" s="6" t="str">
        <f>IF(A247="","",IF(COUNTIFS('02_KICH_BAN_NODES'!$B$5:$B$204,A247,'02_KICH_BAN_NODES'!$D$5:$D$204,"choice")=0,"ChoiceNodeId không tồn tại hoặc không phải choice",IF(COUNTIFS($A$5:$A$404,A247,$B$5:$B$404,B247)&gt;1,"Trùng OptionOrder trong cùng choice",IF(OR(B247="",C247="",D247="",F247="",H247=""),"Thiếu trường bắt buộc",IF(OR(COUNTIF($A$5:$A$404,A247)&lt;2,COUNTIF($A$5:$A$404,A247)&gt;4),"Mỗi choice cần 2–4 option",IF(COUNTIFS('02_KICH_BAN_NODES'!$B$5:$B$204,A247,'02_KICH_BAN_NODES'!$E$5:$E$204,"Kiến thức")=1,IF(COUNTIFS($A$5:$A$404,A247,$D$5:$D$404,"Có")&lt;&gt;1,"Choice kiến thức cần đúng 1 đáp án đúng",""),IF(COUNTIFS('02_KICH_BAN_NODES'!$B$5:$B$204,A247,'02_KICH_BAN_NODES'!$E$5:$E$204,"Tương tác")=1,IF(COUNTIFS($A$5:$A$404,A247,$D$5:$D$404,"Có")&lt;&gt;0,"Choice tương tác không được đánh dấu đáp án đúng",""),"Choice chưa chọn loại")))))))</f>
        <v/>
      </c>
    </row>
    <row r="248" spans="1:11">
      <c r="A248" s="13"/>
      <c r="B248" s="13"/>
      <c r="C248" s="5"/>
      <c r="D248" s="13"/>
      <c r="E248" s="13"/>
      <c r="F248" s="13"/>
      <c r="G248" s="13"/>
      <c r="H248" s="5"/>
      <c r="I248" s="5"/>
      <c r="J248" s="6" t="str">
        <f t="shared" si="3"/>
        <v/>
      </c>
      <c r="K248" s="6" t="str">
        <f>IF(A248="","",IF(COUNTIFS('02_KICH_BAN_NODES'!$B$5:$B$204,A248,'02_KICH_BAN_NODES'!$D$5:$D$204,"choice")=0,"ChoiceNodeId không tồn tại hoặc không phải choice",IF(COUNTIFS($A$5:$A$404,A248,$B$5:$B$404,B248)&gt;1,"Trùng OptionOrder trong cùng choice",IF(OR(B248="",C248="",D248="",F248="",H248=""),"Thiếu trường bắt buộc",IF(OR(COUNTIF($A$5:$A$404,A248)&lt;2,COUNTIF($A$5:$A$404,A248)&gt;4),"Mỗi choice cần 2–4 option",IF(COUNTIFS('02_KICH_BAN_NODES'!$B$5:$B$204,A248,'02_KICH_BAN_NODES'!$E$5:$E$204,"Kiến thức")=1,IF(COUNTIFS($A$5:$A$404,A248,$D$5:$D$404,"Có")&lt;&gt;1,"Choice kiến thức cần đúng 1 đáp án đúng",""),IF(COUNTIFS('02_KICH_BAN_NODES'!$B$5:$B$204,A248,'02_KICH_BAN_NODES'!$E$5:$E$204,"Tương tác")=1,IF(COUNTIFS($A$5:$A$404,A248,$D$5:$D$404,"Có")&lt;&gt;0,"Choice tương tác không được đánh dấu đáp án đúng",""),"Choice chưa chọn loại")))))))</f>
        <v/>
      </c>
    </row>
    <row r="249" spans="1:11">
      <c r="A249" s="13"/>
      <c r="B249" s="13"/>
      <c r="C249" s="5"/>
      <c r="D249" s="13"/>
      <c r="E249" s="13"/>
      <c r="F249" s="13"/>
      <c r="G249" s="13"/>
      <c r="H249" s="5"/>
      <c r="I249" s="5"/>
      <c r="J249" s="6" t="str">
        <f t="shared" si="3"/>
        <v/>
      </c>
      <c r="K249" s="6" t="str">
        <f>IF(A249="","",IF(COUNTIFS('02_KICH_BAN_NODES'!$B$5:$B$204,A249,'02_KICH_BAN_NODES'!$D$5:$D$204,"choice")=0,"ChoiceNodeId không tồn tại hoặc không phải choice",IF(COUNTIFS($A$5:$A$404,A249,$B$5:$B$404,B249)&gt;1,"Trùng OptionOrder trong cùng choice",IF(OR(B249="",C249="",D249="",F249="",H249=""),"Thiếu trường bắt buộc",IF(OR(COUNTIF($A$5:$A$404,A249)&lt;2,COUNTIF($A$5:$A$404,A249)&gt;4),"Mỗi choice cần 2–4 option",IF(COUNTIFS('02_KICH_BAN_NODES'!$B$5:$B$204,A249,'02_KICH_BAN_NODES'!$E$5:$E$204,"Kiến thức")=1,IF(COUNTIFS($A$5:$A$404,A249,$D$5:$D$404,"Có")&lt;&gt;1,"Choice kiến thức cần đúng 1 đáp án đúng",""),IF(COUNTIFS('02_KICH_BAN_NODES'!$B$5:$B$204,A249,'02_KICH_BAN_NODES'!$E$5:$E$204,"Tương tác")=1,IF(COUNTIFS($A$5:$A$404,A249,$D$5:$D$404,"Có")&lt;&gt;0,"Choice tương tác không được đánh dấu đáp án đúng",""),"Choice chưa chọn loại")))))))</f>
        <v/>
      </c>
    </row>
    <row r="250" spans="1:11">
      <c r="A250" s="13"/>
      <c r="B250" s="13"/>
      <c r="C250" s="5"/>
      <c r="D250" s="13"/>
      <c r="E250" s="13"/>
      <c r="F250" s="13"/>
      <c r="G250" s="13"/>
      <c r="H250" s="5"/>
      <c r="I250" s="5"/>
      <c r="J250" s="6" t="str">
        <f t="shared" si="3"/>
        <v/>
      </c>
      <c r="K250" s="6" t="str">
        <f>IF(A250="","",IF(COUNTIFS('02_KICH_BAN_NODES'!$B$5:$B$204,A250,'02_KICH_BAN_NODES'!$D$5:$D$204,"choice")=0,"ChoiceNodeId không tồn tại hoặc không phải choice",IF(COUNTIFS($A$5:$A$404,A250,$B$5:$B$404,B250)&gt;1,"Trùng OptionOrder trong cùng choice",IF(OR(B250="",C250="",D250="",F250="",H250=""),"Thiếu trường bắt buộc",IF(OR(COUNTIF($A$5:$A$404,A250)&lt;2,COUNTIF($A$5:$A$404,A250)&gt;4),"Mỗi choice cần 2–4 option",IF(COUNTIFS('02_KICH_BAN_NODES'!$B$5:$B$204,A250,'02_KICH_BAN_NODES'!$E$5:$E$204,"Kiến thức")=1,IF(COUNTIFS($A$5:$A$404,A250,$D$5:$D$404,"Có")&lt;&gt;1,"Choice kiến thức cần đúng 1 đáp án đúng",""),IF(COUNTIFS('02_KICH_BAN_NODES'!$B$5:$B$204,A250,'02_KICH_BAN_NODES'!$E$5:$E$204,"Tương tác")=1,IF(COUNTIFS($A$5:$A$404,A250,$D$5:$D$404,"Có")&lt;&gt;0,"Choice tương tác không được đánh dấu đáp án đúng",""),"Choice chưa chọn loại")))))))</f>
        <v/>
      </c>
    </row>
    <row r="251" spans="1:11">
      <c r="A251" s="13"/>
      <c r="B251" s="13"/>
      <c r="C251" s="5"/>
      <c r="D251" s="13"/>
      <c r="E251" s="13"/>
      <c r="F251" s="13"/>
      <c r="G251" s="13"/>
      <c r="H251" s="5"/>
      <c r="I251" s="5"/>
      <c r="J251" s="6" t="str">
        <f t="shared" si="3"/>
        <v/>
      </c>
      <c r="K251" s="6" t="str">
        <f>IF(A251="","",IF(COUNTIFS('02_KICH_BAN_NODES'!$B$5:$B$204,A251,'02_KICH_BAN_NODES'!$D$5:$D$204,"choice")=0,"ChoiceNodeId không tồn tại hoặc không phải choice",IF(COUNTIFS($A$5:$A$404,A251,$B$5:$B$404,B251)&gt;1,"Trùng OptionOrder trong cùng choice",IF(OR(B251="",C251="",D251="",F251="",H251=""),"Thiếu trường bắt buộc",IF(OR(COUNTIF($A$5:$A$404,A251)&lt;2,COUNTIF($A$5:$A$404,A251)&gt;4),"Mỗi choice cần 2–4 option",IF(COUNTIFS('02_KICH_BAN_NODES'!$B$5:$B$204,A251,'02_KICH_BAN_NODES'!$E$5:$E$204,"Kiến thức")=1,IF(COUNTIFS($A$5:$A$404,A251,$D$5:$D$404,"Có")&lt;&gt;1,"Choice kiến thức cần đúng 1 đáp án đúng",""),IF(COUNTIFS('02_KICH_BAN_NODES'!$B$5:$B$204,A251,'02_KICH_BAN_NODES'!$E$5:$E$204,"Tương tác")=1,IF(COUNTIFS($A$5:$A$404,A251,$D$5:$D$404,"Có")&lt;&gt;0,"Choice tương tác không được đánh dấu đáp án đúng",""),"Choice chưa chọn loại")))))))</f>
        <v/>
      </c>
    </row>
    <row r="252" spans="1:11">
      <c r="A252" s="13"/>
      <c r="B252" s="13"/>
      <c r="C252" s="5"/>
      <c r="D252" s="13"/>
      <c r="E252" s="13"/>
      <c r="F252" s="13"/>
      <c r="G252" s="13"/>
      <c r="H252" s="5"/>
      <c r="I252" s="5"/>
      <c r="J252" s="6" t="str">
        <f t="shared" si="3"/>
        <v/>
      </c>
      <c r="K252" s="6" t="str">
        <f>IF(A252="","",IF(COUNTIFS('02_KICH_BAN_NODES'!$B$5:$B$204,A252,'02_KICH_BAN_NODES'!$D$5:$D$204,"choice")=0,"ChoiceNodeId không tồn tại hoặc không phải choice",IF(COUNTIFS($A$5:$A$404,A252,$B$5:$B$404,B252)&gt;1,"Trùng OptionOrder trong cùng choice",IF(OR(B252="",C252="",D252="",F252="",H252=""),"Thiếu trường bắt buộc",IF(OR(COUNTIF($A$5:$A$404,A252)&lt;2,COUNTIF($A$5:$A$404,A252)&gt;4),"Mỗi choice cần 2–4 option",IF(COUNTIFS('02_KICH_BAN_NODES'!$B$5:$B$204,A252,'02_KICH_BAN_NODES'!$E$5:$E$204,"Kiến thức")=1,IF(COUNTIFS($A$5:$A$404,A252,$D$5:$D$404,"Có")&lt;&gt;1,"Choice kiến thức cần đúng 1 đáp án đúng",""),IF(COUNTIFS('02_KICH_BAN_NODES'!$B$5:$B$204,A252,'02_KICH_BAN_NODES'!$E$5:$E$204,"Tương tác")=1,IF(COUNTIFS($A$5:$A$404,A252,$D$5:$D$404,"Có")&lt;&gt;0,"Choice tương tác không được đánh dấu đáp án đúng",""),"Choice chưa chọn loại")))))))</f>
        <v/>
      </c>
    </row>
    <row r="253" spans="1:11">
      <c r="A253" s="13"/>
      <c r="B253" s="13"/>
      <c r="C253" s="5"/>
      <c r="D253" s="13"/>
      <c r="E253" s="13"/>
      <c r="F253" s="13"/>
      <c r="G253" s="13"/>
      <c r="H253" s="5"/>
      <c r="I253" s="5"/>
      <c r="J253" s="6" t="str">
        <f t="shared" si="3"/>
        <v/>
      </c>
      <c r="K253" s="6" t="str">
        <f>IF(A253="","",IF(COUNTIFS('02_KICH_BAN_NODES'!$B$5:$B$204,A253,'02_KICH_BAN_NODES'!$D$5:$D$204,"choice")=0,"ChoiceNodeId không tồn tại hoặc không phải choice",IF(COUNTIFS($A$5:$A$404,A253,$B$5:$B$404,B253)&gt;1,"Trùng OptionOrder trong cùng choice",IF(OR(B253="",C253="",D253="",F253="",H253=""),"Thiếu trường bắt buộc",IF(OR(COUNTIF($A$5:$A$404,A253)&lt;2,COUNTIF($A$5:$A$404,A253)&gt;4),"Mỗi choice cần 2–4 option",IF(COUNTIFS('02_KICH_BAN_NODES'!$B$5:$B$204,A253,'02_KICH_BAN_NODES'!$E$5:$E$204,"Kiến thức")=1,IF(COUNTIFS($A$5:$A$404,A253,$D$5:$D$404,"Có")&lt;&gt;1,"Choice kiến thức cần đúng 1 đáp án đúng",""),IF(COUNTIFS('02_KICH_BAN_NODES'!$B$5:$B$204,A253,'02_KICH_BAN_NODES'!$E$5:$E$204,"Tương tác")=1,IF(COUNTIFS($A$5:$A$404,A253,$D$5:$D$404,"Có")&lt;&gt;0,"Choice tương tác không được đánh dấu đáp án đúng",""),"Choice chưa chọn loại")))))))</f>
        <v/>
      </c>
    </row>
    <row r="254" spans="1:11">
      <c r="A254" s="13"/>
      <c r="B254" s="13"/>
      <c r="C254" s="5"/>
      <c r="D254" s="13"/>
      <c r="E254" s="13"/>
      <c r="F254" s="13"/>
      <c r="G254" s="13"/>
      <c r="H254" s="5"/>
      <c r="I254" s="5"/>
      <c r="J254" s="6" t="str">
        <f t="shared" si="3"/>
        <v/>
      </c>
      <c r="K254" s="6" t="str">
        <f>IF(A254="","",IF(COUNTIFS('02_KICH_BAN_NODES'!$B$5:$B$204,A254,'02_KICH_BAN_NODES'!$D$5:$D$204,"choice")=0,"ChoiceNodeId không tồn tại hoặc không phải choice",IF(COUNTIFS($A$5:$A$404,A254,$B$5:$B$404,B254)&gt;1,"Trùng OptionOrder trong cùng choice",IF(OR(B254="",C254="",D254="",F254="",H254=""),"Thiếu trường bắt buộc",IF(OR(COUNTIF($A$5:$A$404,A254)&lt;2,COUNTIF($A$5:$A$404,A254)&gt;4),"Mỗi choice cần 2–4 option",IF(COUNTIFS('02_KICH_BAN_NODES'!$B$5:$B$204,A254,'02_KICH_BAN_NODES'!$E$5:$E$204,"Kiến thức")=1,IF(COUNTIFS($A$5:$A$404,A254,$D$5:$D$404,"Có")&lt;&gt;1,"Choice kiến thức cần đúng 1 đáp án đúng",""),IF(COUNTIFS('02_KICH_BAN_NODES'!$B$5:$B$204,A254,'02_KICH_BAN_NODES'!$E$5:$E$204,"Tương tác")=1,IF(COUNTIFS($A$5:$A$404,A254,$D$5:$D$404,"Có")&lt;&gt;0,"Choice tương tác không được đánh dấu đáp án đúng",""),"Choice chưa chọn loại")))))))</f>
        <v/>
      </c>
    </row>
    <row r="255" spans="1:11">
      <c r="A255" s="13"/>
      <c r="B255" s="13"/>
      <c r="C255" s="5"/>
      <c r="D255" s="13"/>
      <c r="E255" s="13"/>
      <c r="F255" s="13"/>
      <c r="G255" s="13"/>
      <c r="H255" s="5"/>
      <c r="I255" s="5"/>
      <c r="J255" s="6" t="str">
        <f t="shared" si="3"/>
        <v/>
      </c>
      <c r="K255" s="6" t="str">
        <f>IF(A255="","",IF(COUNTIFS('02_KICH_BAN_NODES'!$B$5:$B$204,A255,'02_KICH_BAN_NODES'!$D$5:$D$204,"choice")=0,"ChoiceNodeId không tồn tại hoặc không phải choice",IF(COUNTIFS($A$5:$A$404,A255,$B$5:$B$404,B255)&gt;1,"Trùng OptionOrder trong cùng choice",IF(OR(B255="",C255="",D255="",F255="",H255=""),"Thiếu trường bắt buộc",IF(OR(COUNTIF($A$5:$A$404,A255)&lt;2,COUNTIF($A$5:$A$404,A255)&gt;4),"Mỗi choice cần 2–4 option",IF(COUNTIFS('02_KICH_BAN_NODES'!$B$5:$B$204,A255,'02_KICH_BAN_NODES'!$E$5:$E$204,"Kiến thức")=1,IF(COUNTIFS($A$5:$A$404,A255,$D$5:$D$404,"Có")&lt;&gt;1,"Choice kiến thức cần đúng 1 đáp án đúng",""),IF(COUNTIFS('02_KICH_BAN_NODES'!$B$5:$B$204,A255,'02_KICH_BAN_NODES'!$E$5:$E$204,"Tương tác")=1,IF(COUNTIFS($A$5:$A$404,A255,$D$5:$D$404,"Có")&lt;&gt;0,"Choice tương tác không được đánh dấu đáp án đúng",""),"Choice chưa chọn loại")))))))</f>
        <v/>
      </c>
    </row>
    <row r="256" spans="1:11">
      <c r="A256" s="13"/>
      <c r="B256" s="13"/>
      <c r="C256" s="5"/>
      <c r="D256" s="13"/>
      <c r="E256" s="13"/>
      <c r="F256" s="13"/>
      <c r="G256" s="13"/>
      <c r="H256" s="5"/>
      <c r="I256" s="5"/>
      <c r="J256" s="6" t="str">
        <f t="shared" si="3"/>
        <v/>
      </c>
      <c r="K256" s="6" t="str">
        <f>IF(A256="","",IF(COUNTIFS('02_KICH_BAN_NODES'!$B$5:$B$204,A256,'02_KICH_BAN_NODES'!$D$5:$D$204,"choice")=0,"ChoiceNodeId không tồn tại hoặc không phải choice",IF(COUNTIFS($A$5:$A$404,A256,$B$5:$B$404,B256)&gt;1,"Trùng OptionOrder trong cùng choice",IF(OR(B256="",C256="",D256="",F256="",H256=""),"Thiếu trường bắt buộc",IF(OR(COUNTIF($A$5:$A$404,A256)&lt;2,COUNTIF($A$5:$A$404,A256)&gt;4),"Mỗi choice cần 2–4 option",IF(COUNTIFS('02_KICH_BAN_NODES'!$B$5:$B$204,A256,'02_KICH_BAN_NODES'!$E$5:$E$204,"Kiến thức")=1,IF(COUNTIFS($A$5:$A$404,A256,$D$5:$D$404,"Có")&lt;&gt;1,"Choice kiến thức cần đúng 1 đáp án đúng",""),IF(COUNTIFS('02_KICH_BAN_NODES'!$B$5:$B$204,A256,'02_KICH_BAN_NODES'!$E$5:$E$204,"Tương tác")=1,IF(COUNTIFS($A$5:$A$404,A256,$D$5:$D$404,"Có")&lt;&gt;0,"Choice tương tác không được đánh dấu đáp án đúng",""),"Choice chưa chọn loại")))))))</f>
        <v/>
      </c>
    </row>
    <row r="257" spans="1:11">
      <c r="A257" s="13"/>
      <c r="B257" s="13"/>
      <c r="C257" s="5"/>
      <c r="D257" s="13"/>
      <c r="E257" s="13"/>
      <c r="F257" s="13"/>
      <c r="G257" s="13"/>
      <c r="H257" s="5"/>
      <c r="I257" s="5"/>
      <c r="J257" s="6" t="str">
        <f t="shared" si="3"/>
        <v/>
      </c>
      <c r="K257" s="6" t="str">
        <f>IF(A257="","",IF(COUNTIFS('02_KICH_BAN_NODES'!$B$5:$B$204,A257,'02_KICH_BAN_NODES'!$D$5:$D$204,"choice")=0,"ChoiceNodeId không tồn tại hoặc không phải choice",IF(COUNTIFS($A$5:$A$404,A257,$B$5:$B$404,B257)&gt;1,"Trùng OptionOrder trong cùng choice",IF(OR(B257="",C257="",D257="",F257="",H257=""),"Thiếu trường bắt buộc",IF(OR(COUNTIF($A$5:$A$404,A257)&lt;2,COUNTIF($A$5:$A$404,A257)&gt;4),"Mỗi choice cần 2–4 option",IF(COUNTIFS('02_KICH_BAN_NODES'!$B$5:$B$204,A257,'02_KICH_BAN_NODES'!$E$5:$E$204,"Kiến thức")=1,IF(COUNTIFS($A$5:$A$404,A257,$D$5:$D$404,"Có")&lt;&gt;1,"Choice kiến thức cần đúng 1 đáp án đúng",""),IF(COUNTIFS('02_KICH_BAN_NODES'!$B$5:$B$204,A257,'02_KICH_BAN_NODES'!$E$5:$E$204,"Tương tác")=1,IF(COUNTIFS($A$5:$A$404,A257,$D$5:$D$404,"Có")&lt;&gt;0,"Choice tương tác không được đánh dấu đáp án đúng",""),"Choice chưa chọn loại")))))))</f>
        <v/>
      </c>
    </row>
    <row r="258" spans="1:11">
      <c r="A258" s="13"/>
      <c r="B258" s="13"/>
      <c r="C258" s="5"/>
      <c r="D258" s="13"/>
      <c r="E258" s="13"/>
      <c r="F258" s="13"/>
      <c r="G258" s="13"/>
      <c r="H258" s="5"/>
      <c r="I258" s="5"/>
      <c r="J258" s="6" t="str">
        <f t="shared" si="3"/>
        <v/>
      </c>
      <c r="K258" s="6" t="str">
        <f>IF(A258="","",IF(COUNTIFS('02_KICH_BAN_NODES'!$B$5:$B$204,A258,'02_KICH_BAN_NODES'!$D$5:$D$204,"choice")=0,"ChoiceNodeId không tồn tại hoặc không phải choice",IF(COUNTIFS($A$5:$A$404,A258,$B$5:$B$404,B258)&gt;1,"Trùng OptionOrder trong cùng choice",IF(OR(B258="",C258="",D258="",F258="",H258=""),"Thiếu trường bắt buộc",IF(OR(COUNTIF($A$5:$A$404,A258)&lt;2,COUNTIF($A$5:$A$404,A258)&gt;4),"Mỗi choice cần 2–4 option",IF(COUNTIFS('02_KICH_BAN_NODES'!$B$5:$B$204,A258,'02_KICH_BAN_NODES'!$E$5:$E$204,"Kiến thức")=1,IF(COUNTIFS($A$5:$A$404,A258,$D$5:$D$404,"Có")&lt;&gt;1,"Choice kiến thức cần đúng 1 đáp án đúng",""),IF(COUNTIFS('02_KICH_BAN_NODES'!$B$5:$B$204,A258,'02_KICH_BAN_NODES'!$E$5:$E$204,"Tương tác")=1,IF(COUNTIFS($A$5:$A$404,A258,$D$5:$D$404,"Có")&lt;&gt;0,"Choice tương tác không được đánh dấu đáp án đúng",""),"Choice chưa chọn loại")))))))</f>
        <v/>
      </c>
    </row>
    <row r="259" spans="1:11">
      <c r="A259" s="13"/>
      <c r="B259" s="13"/>
      <c r="C259" s="5"/>
      <c r="D259" s="13"/>
      <c r="E259" s="13"/>
      <c r="F259" s="13"/>
      <c r="G259" s="13"/>
      <c r="H259" s="5"/>
      <c r="I259" s="5"/>
      <c r="J259" s="6" t="str">
        <f t="shared" si="3"/>
        <v/>
      </c>
      <c r="K259" s="6" t="str">
        <f>IF(A259="","",IF(COUNTIFS('02_KICH_BAN_NODES'!$B$5:$B$204,A259,'02_KICH_BAN_NODES'!$D$5:$D$204,"choice")=0,"ChoiceNodeId không tồn tại hoặc không phải choice",IF(COUNTIFS($A$5:$A$404,A259,$B$5:$B$404,B259)&gt;1,"Trùng OptionOrder trong cùng choice",IF(OR(B259="",C259="",D259="",F259="",H259=""),"Thiếu trường bắt buộc",IF(OR(COUNTIF($A$5:$A$404,A259)&lt;2,COUNTIF($A$5:$A$404,A259)&gt;4),"Mỗi choice cần 2–4 option",IF(COUNTIFS('02_KICH_BAN_NODES'!$B$5:$B$204,A259,'02_KICH_BAN_NODES'!$E$5:$E$204,"Kiến thức")=1,IF(COUNTIFS($A$5:$A$404,A259,$D$5:$D$404,"Có")&lt;&gt;1,"Choice kiến thức cần đúng 1 đáp án đúng",""),IF(COUNTIFS('02_KICH_BAN_NODES'!$B$5:$B$204,A259,'02_KICH_BAN_NODES'!$E$5:$E$204,"Tương tác")=1,IF(COUNTIFS($A$5:$A$404,A259,$D$5:$D$404,"Có")&lt;&gt;0,"Choice tương tác không được đánh dấu đáp án đúng",""),"Choice chưa chọn loại")))))))</f>
        <v/>
      </c>
    </row>
    <row r="260" spans="1:11">
      <c r="A260" s="13"/>
      <c r="B260" s="13"/>
      <c r="C260" s="5"/>
      <c r="D260" s="13"/>
      <c r="E260" s="13"/>
      <c r="F260" s="13"/>
      <c r="G260" s="13"/>
      <c r="H260" s="5"/>
      <c r="I260" s="5"/>
      <c r="J260" s="6" t="str">
        <f t="shared" si="3"/>
        <v/>
      </c>
      <c r="K260" s="6" t="str">
        <f>IF(A260="","",IF(COUNTIFS('02_KICH_BAN_NODES'!$B$5:$B$204,A260,'02_KICH_BAN_NODES'!$D$5:$D$204,"choice")=0,"ChoiceNodeId không tồn tại hoặc không phải choice",IF(COUNTIFS($A$5:$A$404,A260,$B$5:$B$404,B260)&gt;1,"Trùng OptionOrder trong cùng choice",IF(OR(B260="",C260="",D260="",F260="",H260=""),"Thiếu trường bắt buộc",IF(OR(COUNTIF($A$5:$A$404,A260)&lt;2,COUNTIF($A$5:$A$404,A260)&gt;4),"Mỗi choice cần 2–4 option",IF(COUNTIFS('02_KICH_BAN_NODES'!$B$5:$B$204,A260,'02_KICH_BAN_NODES'!$E$5:$E$204,"Kiến thức")=1,IF(COUNTIFS($A$5:$A$404,A260,$D$5:$D$404,"Có")&lt;&gt;1,"Choice kiến thức cần đúng 1 đáp án đúng",""),IF(COUNTIFS('02_KICH_BAN_NODES'!$B$5:$B$204,A260,'02_KICH_BAN_NODES'!$E$5:$E$204,"Tương tác")=1,IF(COUNTIFS($A$5:$A$404,A260,$D$5:$D$404,"Có")&lt;&gt;0,"Choice tương tác không được đánh dấu đáp án đúng",""),"Choice chưa chọn loại")))))))</f>
        <v/>
      </c>
    </row>
    <row r="261" spans="1:11">
      <c r="A261" s="13"/>
      <c r="B261" s="13"/>
      <c r="C261" s="5"/>
      <c r="D261" s="13"/>
      <c r="E261" s="13"/>
      <c r="F261" s="13"/>
      <c r="G261" s="13"/>
      <c r="H261" s="5"/>
      <c r="I261" s="5"/>
      <c r="J261" s="6" t="str">
        <f t="shared" ref="J261:J324" si="4">IF(A261="","",IF(K261="","HỢP LỆ","CẦN SỬA"))</f>
        <v/>
      </c>
      <c r="K261" s="6" t="str">
        <f>IF(A261="","",IF(COUNTIFS('02_KICH_BAN_NODES'!$B$5:$B$204,A261,'02_KICH_BAN_NODES'!$D$5:$D$204,"choice")=0,"ChoiceNodeId không tồn tại hoặc không phải choice",IF(COUNTIFS($A$5:$A$404,A261,$B$5:$B$404,B261)&gt;1,"Trùng OptionOrder trong cùng choice",IF(OR(B261="",C261="",D261="",F261="",H261=""),"Thiếu trường bắt buộc",IF(OR(COUNTIF($A$5:$A$404,A261)&lt;2,COUNTIF($A$5:$A$404,A261)&gt;4),"Mỗi choice cần 2–4 option",IF(COUNTIFS('02_KICH_BAN_NODES'!$B$5:$B$204,A261,'02_KICH_BAN_NODES'!$E$5:$E$204,"Kiến thức")=1,IF(COUNTIFS($A$5:$A$404,A261,$D$5:$D$404,"Có")&lt;&gt;1,"Choice kiến thức cần đúng 1 đáp án đúng",""),IF(COUNTIFS('02_KICH_BAN_NODES'!$B$5:$B$204,A261,'02_KICH_BAN_NODES'!$E$5:$E$204,"Tương tác")=1,IF(COUNTIFS($A$5:$A$404,A261,$D$5:$D$404,"Có")&lt;&gt;0,"Choice tương tác không được đánh dấu đáp án đúng",""),"Choice chưa chọn loại")))))))</f>
        <v/>
      </c>
    </row>
    <row r="262" spans="1:11">
      <c r="A262" s="13"/>
      <c r="B262" s="13"/>
      <c r="C262" s="5"/>
      <c r="D262" s="13"/>
      <c r="E262" s="13"/>
      <c r="F262" s="13"/>
      <c r="G262" s="13"/>
      <c r="H262" s="5"/>
      <c r="I262" s="5"/>
      <c r="J262" s="6" t="str">
        <f t="shared" si="4"/>
        <v/>
      </c>
      <c r="K262" s="6" t="str">
        <f>IF(A262="","",IF(COUNTIFS('02_KICH_BAN_NODES'!$B$5:$B$204,A262,'02_KICH_BAN_NODES'!$D$5:$D$204,"choice")=0,"ChoiceNodeId không tồn tại hoặc không phải choice",IF(COUNTIFS($A$5:$A$404,A262,$B$5:$B$404,B262)&gt;1,"Trùng OptionOrder trong cùng choice",IF(OR(B262="",C262="",D262="",F262="",H262=""),"Thiếu trường bắt buộc",IF(OR(COUNTIF($A$5:$A$404,A262)&lt;2,COUNTIF($A$5:$A$404,A262)&gt;4),"Mỗi choice cần 2–4 option",IF(COUNTIFS('02_KICH_BAN_NODES'!$B$5:$B$204,A262,'02_KICH_BAN_NODES'!$E$5:$E$204,"Kiến thức")=1,IF(COUNTIFS($A$5:$A$404,A262,$D$5:$D$404,"Có")&lt;&gt;1,"Choice kiến thức cần đúng 1 đáp án đúng",""),IF(COUNTIFS('02_KICH_BAN_NODES'!$B$5:$B$204,A262,'02_KICH_BAN_NODES'!$E$5:$E$204,"Tương tác")=1,IF(COUNTIFS($A$5:$A$404,A262,$D$5:$D$404,"Có")&lt;&gt;0,"Choice tương tác không được đánh dấu đáp án đúng",""),"Choice chưa chọn loại")))))))</f>
        <v/>
      </c>
    </row>
    <row r="263" spans="1:11">
      <c r="A263" s="13"/>
      <c r="B263" s="13"/>
      <c r="C263" s="5"/>
      <c r="D263" s="13"/>
      <c r="E263" s="13"/>
      <c r="F263" s="13"/>
      <c r="G263" s="13"/>
      <c r="H263" s="5"/>
      <c r="I263" s="5"/>
      <c r="J263" s="6" t="str">
        <f t="shared" si="4"/>
        <v/>
      </c>
      <c r="K263" s="6" t="str">
        <f>IF(A263="","",IF(COUNTIFS('02_KICH_BAN_NODES'!$B$5:$B$204,A263,'02_KICH_BAN_NODES'!$D$5:$D$204,"choice")=0,"ChoiceNodeId không tồn tại hoặc không phải choice",IF(COUNTIFS($A$5:$A$404,A263,$B$5:$B$404,B263)&gt;1,"Trùng OptionOrder trong cùng choice",IF(OR(B263="",C263="",D263="",F263="",H263=""),"Thiếu trường bắt buộc",IF(OR(COUNTIF($A$5:$A$404,A263)&lt;2,COUNTIF($A$5:$A$404,A263)&gt;4),"Mỗi choice cần 2–4 option",IF(COUNTIFS('02_KICH_BAN_NODES'!$B$5:$B$204,A263,'02_KICH_BAN_NODES'!$E$5:$E$204,"Kiến thức")=1,IF(COUNTIFS($A$5:$A$404,A263,$D$5:$D$404,"Có")&lt;&gt;1,"Choice kiến thức cần đúng 1 đáp án đúng",""),IF(COUNTIFS('02_KICH_BAN_NODES'!$B$5:$B$204,A263,'02_KICH_BAN_NODES'!$E$5:$E$204,"Tương tác")=1,IF(COUNTIFS($A$5:$A$404,A263,$D$5:$D$404,"Có")&lt;&gt;0,"Choice tương tác không được đánh dấu đáp án đúng",""),"Choice chưa chọn loại")))))))</f>
        <v/>
      </c>
    </row>
    <row r="264" spans="1:11">
      <c r="A264" s="13"/>
      <c r="B264" s="13"/>
      <c r="C264" s="5"/>
      <c r="D264" s="13"/>
      <c r="E264" s="13"/>
      <c r="F264" s="13"/>
      <c r="G264" s="13"/>
      <c r="H264" s="5"/>
      <c r="I264" s="5"/>
      <c r="J264" s="6" t="str">
        <f t="shared" si="4"/>
        <v/>
      </c>
      <c r="K264" s="6" t="str">
        <f>IF(A264="","",IF(COUNTIFS('02_KICH_BAN_NODES'!$B$5:$B$204,A264,'02_KICH_BAN_NODES'!$D$5:$D$204,"choice")=0,"ChoiceNodeId không tồn tại hoặc không phải choice",IF(COUNTIFS($A$5:$A$404,A264,$B$5:$B$404,B264)&gt;1,"Trùng OptionOrder trong cùng choice",IF(OR(B264="",C264="",D264="",F264="",H264=""),"Thiếu trường bắt buộc",IF(OR(COUNTIF($A$5:$A$404,A264)&lt;2,COUNTIF($A$5:$A$404,A264)&gt;4),"Mỗi choice cần 2–4 option",IF(COUNTIFS('02_KICH_BAN_NODES'!$B$5:$B$204,A264,'02_KICH_BAN_NODES'!$E$5:$E$204,"Kiến thức")=1,IF(COUNTIFS($A$5:$A$404,A264,$D$5:$D$404,"Có")&lt;&gt;1,"Choice kiến thức cần đúng 1 đáp án đúng",""),IF(COUNTIFS('02_KICH_BAN_NODES'!$B$5:$B$204,A264,'02_KICH_BAN_NODES'!$E$5:$E$204,"Tương tác")=1,IF(COUNTIFS($A$5:$A$404,A264,$D$5:$D$404,"Có")&lt;&gt;0,"Choice tương tác không được đánh dấu đáp án đúng",""),"Choice chưa chọn loại")))))))</f>
        <v/>
      </c>
    </row>
    <row r="265" spans="1:11">
      <c r="A265" s="13"/>
      <c r="B265" s="13"/>
      <c r="C265" s="5"/>
      <c r="D265" s="13"/>
      <c r="E265" s="13"/>
      <c r="F265" s="13"/>
      <c r="G265" s="13"/>
      <c r="H265" s="5"/>
      <c r="I265" s="5"/>
      <c r="J265" s="6" t="str">
        <f t="shared" si="4"/>
        <v/>
      </c>
      <c r="K265" s="6" t="str">
        <f>IF(A265="","",IF(COUNTIFS('02_KICH_BAN_NODES'!$B$5:$B$204,A265,'02_KICH_BAN_NODES'!$D$5:$D$204,"choice")=0,"ChoiceNodeId không tồn tại hoặc không phải choice",IF(COUNTIFS($A$5:$A$404,A265,$B$5:$B$404,B265)&gt;1,"Trùng OptionOrder trong cùng choice",IF(OR(B265="",C265="",D265="",F265="",H265=""),"Thiếu trường bắt buộc",IF(OR(COUNTIF($A$5:$A$404,A265)&lt;2,COUNTIF($A$5:$A$404,A265)&gt;4),"Mỗi choice cần 2–4 option",IF(COUNTIFS('02_KICH_BAN_NODES'!$B$5:$B$204,A265,'02_KICH_BAN_NODES'!$E$5:$E$204,"Kiến thức")=1,IF(COUNTIFS($A$5:$A$404,A265,$D$5:$D$404,"Có")&lt;&gt;1,"Choice kiến thức cần đúng 1 đáp án đúng",""),IF(COUNTIFS('02_KICH_BAN_NODES'!$B$5:$B$204,A265,'02_KICH_BAN_NODES'!$E$5:$E$204,"Tương tác")=1,IF(COUNTIFS($A$5:$A$404,A265,$D$5:$D$404,"Có")&lt;&gt;0,"Choice tương tác không được đánh dấu đáp án đúng",""),"Choice chưa chọn loại")))))))</f>
        <v/>
      </c>
    </row>
    <row r="266" spans="1:11">
      <c r="A266" s="13"/>
      <c r="B266" s="13"/>
      <c r="C266" s="5"/>
      <c r="D266" s="13"/>
      <c r="E266" s="13"/>
      <c r="F266" s="13"/>
      <c r="G266" s="13"/>
      <c r="H266" s="5"/>
      <c r="I266" s="5"/>
      <c r="J266" s="6" t="str">
        <f t="shared" si="4"/>
        <v/>
      </c>
      <c r="K266" s="6" t="str">
        <f>IF(A266="","",IF(COUNTIFS('02_KICH_BAN_NODES'!$B$5:$B$204,A266,'02_KICH_BAN_NODES'!$D$5:$D$204,"choice")=0,"ChoiceNodeId không tồn tại hoặc không phải choice",IF(COUNTIFS($A$5:$A$404,A266,$B$5:$B$404,B266)&gt;1,"Trùng OptionOrder trong cùng choice",IF(OR(B266="",C266="",D266="",F266="",H266=""),"Thiếu trường bắt buộc",IF(OR(COUNTIF($A$5:$A$404,A266)&lt;2,COUNTIF($A$5:$A$404,A266)&gt;4),"Mỗi choice cần 2–4 option",IF(COUNTIFS('02_KICH_BAN_NODES'!$B$5:$B$204,A266,'02_KICH_BAN_NODES'!$E$5:$E$204,"Kiến thức")=1,IF(COUNTIFS($A$5:$A$404,A266,$D$5:$D$404,"Có")&lt;&gt;1,"Choice kiến thức cần đúng 1 đáp án đúng",""),IF(COUNTIFS('02_KICH_BAN_NODES'!$B$5:$B$204,A266,'02_KICH_BAN_NODES'!$E$5:$E$204,"Tương tác")=1,IF(COUNTIFS($A$5:$A$404,A266,$D$5:$D$404,"Có")&lt;&gt;0,"Choice tương tác không được đánh dấu đáp án đúng",""),"Choice chưa chọn loại")))))))</f>
        <v/>
      </c>
    </row>
    <row r="267" spans="1:11">
      <c r="A267" s="13"/>
      <c r="B267" s="13"/>
      <c r="C267" s="5"/>
      <c r="D267" s="13"/>
      <c r="E267" s="13"/>
      <c r="F267" s="13"/>
      <c r="G267" s="13"/>
      <c r="H267" s="5"/>
      <c r="I267" s="5"/>
      <c r="J267" s="6" t="str">
        <f t="shared" si="4"/>
        <v/>
      </c>
      <c r="K267" s="6" t="str">
        <f>IF(A267="","",IF(COUNTIFS('02_KICH_BAN_NODES'!$B$5:$B$204,A267,'02_KICH_BAN_NODES'!$D$5:$D$204,"choice")=0,"ChoiceNodeId không tồn tại hoặc không phải choice",IF(COUNTIFS($A$5:$A$404,A267,$B$5:$B$404,B267)&gt;1,"Trùng OptionOrder trong cùng choice",IF(OR(B267="",C267="",D267="",F267="",H267=""),"Thiếu trường bắt buộc",IF(OR(COUNTIF($A$5:$A$404,A267)&lt;2,COUNTIF($A$5:$A$404,A267)&gt;4),"Mỗi choice cần 2–4 option",IF(COUNTIFS('02_KICH_BAN_NODES'!$B$5:$B$204,A267,'02_KICH_BAN_NODES'!$E$5:$E$204,"Kiến thức")=1,IF(COUNTIFS($A$5:$A$404,A267,$D$5:$D$404,"Có")&lt;&gt;1,"Choice kiến thức cần đúng 1 đáp án đúng",""),IF(COUNTIFS('02_KICH_BAN_NODES'!$B$5:$B$204,A267,'02_KICH_BAN_NODES'!$E$5:$E$204,"Tương tác")=1,IF(COUNTIFS($A$5:$A$404,A267,$D$5:$D$404,"Có")&lt;&gt;0,"Choice tương tác không được đánh dấu đáp án đúng",""),"Choice chưa chọn loại")))))))</f>
        <v/>
      </c>
    </row>
    <row r="268" spans="1:11">
      <c r="A268" s="13"/>
      <c r="B268" s="13"/>
      <c r="C268" s="5"/>
      <c r="D268" s="13"/>
      <c r="E268" s="13"/>
      <c r="F268" s="13"/>
      <c r="G268" s="13"/>
      <c r="H268" s="5"/>
      <c r="I268" s="5"/>
      <c r="J268" s="6" t="str">
        <f t="shared" si="4"/>
        <v/>
      </c>
      <c r="K268" s="6" t="str">
        <f>IF(A268="","",IF(COUNTIFS('02_KICH_BAN_NODES'!$B$5:$B$204,A268,'02_KICH_BAN_NODES'!$D$5:$D$204,"choice")=0,"ChoiceNodeId không tồn tại hoặc không phải choice",IF(COUNTIFS($A$5:$A$404,A268,$B$5:$B$404,B268)&gt;1,"Trùng OptionOrder trong cùng choice",IF(OR(B268="",C268="",D268="",F268="",H268=""),"Thiếu trường bắt buộc",IF(OR(COUNTIF($A$5:$A$404,A268)&lt;2,COUNTIF($A$5:$A$404,A268)&gt;4),"Mỗi choice cần 2–4 option",IF(COUNTIFS('02_KICH_BAN_NODES'!$B$5:$B$204,A268,'02_KICH_BAN_NODES'!$E$5:$E$204,"Kiến thức")=1,IF(COUNTIFS($A$5:$A$404,A268,$D$5:$D$404,"Có")&lt;&gt;1,"Choice kiến thức cần đúng 1 đáp án đúng",""),IF(COUNTIFS('02_KICH_BAN_NODES'!$B$5:$B$204,A268,'02_KICH_BAN_NODES'!$E$5:$E$204,"Tương tác")=1,IF(COUNTIFS($A$5:$A$404,A268,$D$5:$D$404,"Có")&lt;&gt;0,"Choice tương tác không được đánh dấu đáp án đúng",""),"Choice chưa chọn loại")))))))</f>
        <v/>
      </c>
    </row>
    <row r="269" spans="1:11">
      <c r="A269" s="13"/>
      <c r="B269" s="13"/>
      <c r="C269" s="5"/>
      <c r="D269" s="13"/>
      <c r="E269" s="13"/>
      <c r="F269" s="13"/>
      <c r="G269" s="13"/>
      <c r="H269" s="5"/>
      <c r="I269" s="5"/>
      <c r="J269" s="6" t="str">
        <f t="shared" si="4"/>
        <v/>
      </c>
      <c r="K269" s="6" t="str">
        <f>IF(A269="","",IF(COUNTIFS('02_KICH_BAN_NODES'!$B$5:$B$204,A269,'02_KICH_BAN_NODES'!$D$5:$D$204,"choice")=0,"ChoiceNodeId không tồn tại hoặc không phải choice",IF(COUNTIFS($A$5:$A$404,A269,$B$5:$B$404,B269)&gt;1,"Trùng OptionOrder trong cùng choice",IF(OR(B269="",C269="",D269="",F269="",H269=""),"Thiếu trường bắt buộc",IF(OR(COUNTIF($A$5:$A$404,A269)&lt;2,COUNTIF($A$5:$A$404,A269)&gt;4),"Mỗi choice cần 2–4 option",IF(COUNTIFS('02_KICH_BAN_NODES'!$B$5:$B$204,A269,'02_KICH_BAN_NODES'!$E$5:$E$204,"Kiến thức")=1,IF(COUNTIFS($A$5:$A$404,A269,$D$5:$D$404,"Có")&lt;&gt;1,"Choice kiến thức cần đúng 1 đáp án đúng",""),IF(COUNTIFS('02_KICH_BAN_NODES'!$B$5:$B$204,A269,'02_KICH_BAN_NODES'!$E$5:$E$204,"Tương tác")=1,IF(COUNTIFS($A$5:$A$404,A269,$D$5:$D$404,"Có")&lt;&gt;0,"Choice tương tác không được đánh dấu đáp án đúng",""),"Choice chưa chọn loại")))))))</f>
        <v/>
      </c>
    </row>
    <row r="270" spans="1:11">
      <c r="A270" s="13"/>
      <c r="B270" s="13"/>
      <c r="C270" s="5"/>
      <c r="D270" s="13"/>
      <c r="E270" s="13"/>
      <c r="F270" s="13"/>
      <c r="G270" s="13"/>
      <c r="H270" s="5"/>
      <c r="I270" s="5"/>
      <c r="J270" s="6" t="str">
        <f t="shared" si="4"/>
        <v/>
      </c>
      <c r="K270" s="6" t="str">
        <f>IF(A270="","",IF(COUNTIFS('02_KICH_BAN_NODES'!$B$5:$B$204,A270,'02_KICH_BAN_NODES'!$D$5:$D$204,"choice")=0,"ChoiceNodeId không tồn tại hoặc không phải choice",IF(COUNTIFS($A$5:$A$404,A270,$B$5:$B$404,B270)&gt;1,"Trùng OptionOrder trong cùng choice",IF(OR(B270="",C270="",D270="",F270="",H270=""),"Thiếu trường bắt buộc",IF(OR(COUNTIF($A$5:$A$404,A270)&lt;2,COUNTIF($A$5:$A$404,A270)&gt;4),"Mỗi choice cần 2–4 option",IF(COUNTIFS('02_KICH_BAN_NODES'!$B$5:$B$204,A270,'02_KICH_BAN_NODES'!$E$5:$E$204,"Kiến thức")=1,IF(COUNTIFS($A$5:$A$404,A270,$D$5:$D$404,"Có")&lt;&gt;1,"Choice kiến thức cần đúng 1 đáp án đúng",""),IF(COUNTIFS('02_KICH_BAN_NODES'!$B$5:$B$204,A270,'02_KICH_BAN_NODES'!$E$5:$E$204,"Tương tác")=1,IF(COUNTIFS($A$5:$A$404,A270,$D$5:$D$404,"Có")&lt;&gt;0,"Choice tương tác không được đánh dấu đáp án đúng",""),"Choice chưa chọn loại")))))))</f>
        <v/>
      </c>
    </row>
    <row r="271" spans="1:11">
      <c r="A271" s="13"/>
      <c r="B271" s="13"/>
      <c r="C271" s="5"/>
      <c r="D271" s="13"/>
      <c r="E271" s="13"/>
      <c r="F271" s="13"/>
      <c r="G271" s="13"/>
      <c r="H271" s="5"/>
      <c r="I271" s="5"/>
      <c r="J271" s="6" t="str">
        <f t="shared" si="4"/>
        <v/>
      </c>
      <c r="K271" s="6" t="str">
        <f>IF(A271="","",IF(COUNTIFS('02_KICH_BAN_NODES'!$B$5:$B$204,A271,'02_KICH_BAN_NODES'!$D$5:$D$204,"choice")=0,"ChoiceNodeId không tồn tại hoặc không phải choice",IF(COUNTIFS($A$5:$A$404,A271,$B$5:$B$404,B271)&gt;1,"Trùng OptionOrder trong cùng choice",IF(OR(B271="",C271="",D271="",F271="",H271=""),"Thiếu trường bắt buộc",IF(OR(COUNTIF($A$5:$A$404,A271)&lt;2,COUNTIF($A$5:$A$404,A271)&gt;4),"Mỗi choice cần 2–4 option",IF(COUNTIFS('02_KICH_BAN_NODES'!$B$5:$B$204,A271,'02_KICH_BAN_NODES'!$E$5:$E$204,"Kiến thức")=1,IF(COUNTIFS($A$5:$A$404,A271,$D$5:$D$404,"Có")&lt;&gt;1,"Choice kiến thức cần đúng 1 đáp án đúng",""),IF(COUNTIFS('02_KICH_BAN_NODES'!$B$5:$B$204,A271,'02_KICH_BAN_NODES'!$E$5:$E$204,"Tương tác")=1,IF(COUNTIFS($A$5:$A$404,A271,$D$5:$D$404,"Có")&lt;&gt;0,"Choice tương tác không được đánh dấu đáp án đúng",""),"Choice chưa chọn loại")))))))</f>
        <v/>
      </c>
    </row>
    <row r="272" spans="1:11">
      <c r="A272" s="13"/>
      <c r="B272" s="13"/>
      <c r="C272" s="5"/>
      <c r="D272" s="13"/>
      <c r="E272" s="13"/>
      <c r="F272" s="13"/>
      <c r="G272" s="13"/>
      <c r="H272" s="5"/>
      <c r="I272" s="5"/>
      <c r="J272" s="6" t="str">
        <f t="shared" si="4"/>
        <v/>
      </c>
      <c r="K272" s="6" t="str">
        <f>IF(A272="","",IF(COUNTIFS('02_KICH_BAN_NODES'!$B$5:$B$204,A272,'02_KICH_BAN_NODES'!$D$5:$D$204,"choice")=0,"ChoiceNodeId không tồn tại hoặc không phải choice",IF(COUNTIFS($A$5:$A$404,A272,$B$5:$B$404,B272)&gt;1,"Trùng OptionOrder trong cùng choice",IF(OR(B272="",C272="",D272="",F272="",H272=""),"Thiếu trường bắt buộc",IF(OR(COUNTIF($A$5:$A$404,A272)&lt;2,COUNTIF($A$5:$A$404,A272)&gt;4),"Mỗi choice cần 2–4 option",IF(COUNTIFS('02_KICH_BAN_NODES'!$B$5:$B$204,A272,'02_KICH_BAN_NODES'!$E$5:$E$204,"Kiến thức")=1,IF(COUNTIFS($A$5:$A$404,A272,$D$5:$D$404,"Có")&lt;&gt;1,"Choice kiến thức cần đúng 1 đáp án đúng",""),IF(COUNTIFS('02_KICH_BAN_NODES'!$B$5:$B$204,A272,'02_KICH_BAN_NODES'!$E$5:$E$204,"Tương tác")=1,IF(COUNTIFS($A$5:$A$404,A272,$D$5:$D$404,"Có")&lt;&gt;0,"Choice tương tác không được đánh dấu đáp án đúng",""),"Choice chưa chọn loại")))))))</f>
        <v/>
      </c>
    </row>
    <row r="273" spans="1:11">
      <c r="A273" s="13"/>
      <c r="B273" s="13"/>
      <c r="C273" s="5"/>
      <c r="D273" s="13"/>
      <c r="E273" s="13"/>
      <c r="F273" s="13"/>
      <c r="G273" s="13"/>
      <c r="H273" s="5"/>
      <c r="I273" s="5"/>
      <c r="J273" s="6" t="str">
        <f t="shared" si="4"/>
        <v/>
      </c>
      <c r="K273" s="6" t="str">
        <f>IF(A273="","",IF(COUNTIFS('02_KICH_BAN_NODES'!$B$5:$B$204,A273,'02_KICH_BAN_NODES'!$D$5:$D$204,"choice")=0,"ChoiceNodeId không tồn tại hoặc không phải choice",IF(COUNTIFS($A$5:$A$404,A273,$B$5:$B$404,B273)&gt;1,"Trùng OptionOrder trong cùng choice",IF(OR(B273="",C273="",D273="",F273="",H273=""),"Thiếu trường bắt buộc",IF(OR(COUNTIF($A$5:$A$404,A273)&lt;2,COUNTIF($A$5:$A$404,A273)&gt;4),"Mỗi choice cần 2–4 option",IF(COUNTIFS('02_KICH_BAN_NODES'!$B$5:$B$204,A273,'02_KICH_BAN_NODES'!$E$5:$E$204,"Kiến thức")=1,IF(COUNTIFS($A$5:$A$404,A273,$D$5:$D$404,"Có")&lt;&gt;1,"Choice kiến thức cần đúng 1 đáp án đúng",""),IF(COUNTIFS('02_KICH_BAN_NODES'!$B$5:$B$204,A273,'02_KICH_BAN_NODES'!$E$5:$E$204,"Tương tác")=1,IF(COUNTIFS($A$5:$A$404,A273,$D$5:$D$404,"Có")&lt;&gt;0,"Choice tương tác không được đánh dấu đáp án đúng",""),"Choice chưa chọn loại")))))))</f>
        <v/>
      </c>
    </row>
    <row r="274" spans="1:11">
      <c r="A274" s="13"/>
      <c r="B274" s="13"/>
      <c r="C274" s="5"/>
      <c r="D274" s="13"/>
      <c r="E274" s="13"/>
      <c r="F274" s="13"/>
      <c r="G274" s="13"/>
      <c r="H274" s="5"/>
      <c r="I274" s="5"/>
      <c r="J274" s="6" t="str">
        <f t="shared" si="4"/>
        <v/>
      </c>
      <c r="K274" s="6" t="str">
        <f>IF(A274="","",IF(COUNTIFS('02_KICH_BAN_NODES'!$B$5:$B$204,A274,'02_KICH_BAN_NODES'!$D$5:$D$204,"choice")=0,"ChoiceNodeId không tồn tại hoặc không phải choice",IF(COUNTIFS($A$5:$A$404,A274,$B$5:$B$404,B274)&gt;1,"Trùng OptionOrder trong cùng choice",IF(OR(B274="",C274="",D274="",F274="",H274=""),"Thiếu trường bắt buộc",IF(OR(COUNTIF($A$5:$A$404,A274)&lt;2,COUNTIF($A$5:$A$404,A274)&gt;4),"Mỗi choice cần 2–4 option",IF(COUNTIFS('02_KICH_BAN_NODES'!$B$5:$B$204,A274,'02_KICH_BAN_NODES'!$E$5:$E$204,"Kiến thức")=1,IF(COUNTIFS($A$5:$A$404,A274,$D$5:$D$404,"Có")&lt;&gt;1,"Choice kiến thức cần đúng 1 đáp án đúng",""),IF(COUNTIFS('02_KICH_BAN_NODES'!$B$5:$B$204,A274,'02_KICH_BAN_NODES'!$E$5:$E$204,"Tương tác")=1,IF(COUNTIFS($A$5:$A$404,A274,$D$5:$D$404,"Có")&lt;&gt;0,"Choice tương tác không được đánh dấu đáp án đúng",""),"Choice chưa chọn loại")))))))</f>
        <v/>
      </c>
    </row>
    <row r="275" spans="1:11">
      <c r="A275" s="13"/>
      <c r="B275" s="13"/>
      <c r="C275" s="5"/>
      <c r="D275" s="13"/>
      <c r="E275" s="13"/>
      <c r="F275" s="13"/>
      <c r="G275" s="13"/>
      <c r="H275" s="5"/>
      <c r="I275" s="5"/>
      <c r="J275" s="6" t="str">
        <f t="shared" si="4"/>
        <v/>
      </c>
      <c r="K275" s="6" t="str">
        <f>IF(A275="","",IF(COUNTIFS('02_KICH_BAN_NODES'!$B$5:$B$204,A275,'02_KICH_BAN_NODES'!$D$5:$D$204,"choice")=0,"ChoiceNodeId không tồn tại hoặc không phải choice",IF(COUNTIFS($A$5:$A$404,A275,$B$5:$B$404,B275)&gt;1,"Trùng OptionOrder trong cùng choice",IF(OR(B275="",C275="",D275="",F275="",H275=""),"Thiếu trường bắt buộc",IF(OR(COUNTIF($A$5:$A$404,A275)&lt;2,COUNTIF($A$5:$A$404,A275)&gt;4),"Mỗi choice cần 2–4 option",IF(COUNTIFS('02_KICH_BAN_NODES'!$B$5:$B$204,A275,'02_KICH_BAN_NODES'!$E$5:$E$204,"Kiến thức")=1,IF(COUNTIFS($A$5:$A$404,A275,$D$5:$D$404,"Có")&lt;&gt;1,"Choice kiến thức cần đúng 1 đáp án đúng",""),IF(COUNTIFS('02_KICH_BAN_NODES'!$B$5:$B$204,A275,'02_KICH_BAN_NODES'!$E$5:$E$204,"Tương tác")=1,IF(COUNTIFS($A$5:$A$404,A275,$D$5:$D$404,"Có")&lt;&gt;0,"Choice tương tác không được đánh dấu đáp án đúng",""),"Choice chưa chọn loại")))))))</f>
        <v/>
      </c>
    </row>
    <row r="276" spans="1:11">
      <c r="A276" s="13"/>
      <c r="B276" s="13"/>
      <c r="C276" s="5"/>
      <c r="D276" s="13"/>
      <c r="E276" s="13"/>
      <c r="F276" s="13"/>
      <c r="G276" s="13"/>
      <c r="H276" s="5"/>
      <c r="I276" s="5"/>
      <c r="J276" s="6" t="str">
        <f t="shared" si="4"/>
        <v/>
      </c>
      <c r="K276" s="6" t="str">
        <f>IF(A276="","",IF(COUNTIFS('02_KICH_BAN_NODES'!$B$5:$B$204,A276,'02_KICH_BAN_NODES'!$D$5:$D$204,"choice")=0,"ChoiceNodeId không tồn tại hoặc không phải choice",IF(COUNTIFS($A$5:$A$404,A276,$B$5:$B$404,B276)&gt;1,"Trùng OptionOrder trong cùng choice",IF(OR(B276="",C276="",D276="",F276="",H276=""),"Thiếu trường bắt buộc",IF(OR(COUNTIF($A$5:$A$404,A276)&lt;2,COUNTIF($A$5:$A$404,A276)&gt;4),"Mỗi choice cần 2–4 option",IF(COUNTIFS('02_KICH_BAN_NODES'!$B$5:$B$204,A276,'02_KICH_BAN_NODES'!$E$5:$E$204,"Kiến thức")=1,IF(COUNTIFS($A$5:$A$404,A276,$D$5:$D$404,"Có")&lt;&gt;1,"Choice kiến thức cần đúng 1 đáp án đúng",""),IF(COUNTIFS('02_KICH_BAN_NODES'!$B$5:$B$204,A276,'02_KICH_BAN_NODES'!$E$5:$E$204,"Tương tác")=1,IF(COUNTIFS($A$5:$A$404,A276,$D$5:$D$404,"Có")&lt;&gt;0,"Choice tương tác không được đánh dấu đáp án đúng",""),"Choice chưa chọn loại")))))))</f>
        <v/>
      </c>
    </row>
    <row r="277" spans="1:11">
      <c r="A277" s="13"/>
      <c r="B277" s="13"/>
      <c r="C277" s="5"/>
      <c r="D277" s="13"/>
      <c r="E277" s="13"/>
      <c r="F277" s="13"/>
      <c r="G277" s="13"/>
      <c r="H277" s="5"/>
      <c r="I277" s="5"/>
      <c r="J277" s="6" t="str">
        <f t="shared" si="4"/>
        <v/>
      </c>
      <c r="K277" s="6" t="str">
        <f>IF(A277="","",IF(COUNTIFS('02_KICH_BAN_NODES'!$B$5:$B$204,A277,'02_KICH_BAN_NODES'!$D$5:$D$204,"choice")=0,"ChoiceNodeId không tồn tại hoặc không phải choice",IF(COUNTIFS($A$5:$A$404,A277,$B$5:$B$404,B277)&gt;1,"Trùng OptionOrder trong cùng choice",IF(OR(B277="",C277="",D277="",F277="",H277=""),"Thiếu trường bắt buộc",IF(OR(COUNTIF($A$5:$A$404,A277)&lt;2,COUNTIF($A$5:$A$404,A277)&gt;4),"Mỗi choice cần 2–4 option",IF(COUNTIFS('02_KICH_BAN_NODES'!$B$5:$B$204,A277,'02_KICH_BAN_NODES'!$E$5:$E$204,"Kiến thức")=1,IF(COUNTIFS($A$5:$A$404,A277,$D$5:$D$404,"Có")&lt;&gt;1,"Choice kiến thức cần đúng 1 đáp án đúng",""),IF(COUNTIFS('02_KICH_BAN_NODES'!$B$5:$B$204,A277,'02_KICH_BAN_NODES'!$E$5:$E$204,"Tương tác")=1,IF(COUNTIFS($A$5:$A$404,A277,$D$5:$D$404,"Có")&lt;&gt;0,"Choice tương tác không được đánh dấu đáp án đúng",""),"Choice chưa chọn loại")))))))</f>
        <v/>
      </c>
    </row>
    <row r="278" spans="1:11">
      <c r="A278" s="13"/>
      <c r="B278" s="13"/>
      <c r="C278" s="5"/>
      <c r="D278" s="13"/>
      <c r="E278" s="13"/>
      <c r="F278" s="13"/>
      <c r="G278" s="13"/>
      <c r="H278" s="5"/>
      <c r="I278" s="5"/>
      <c r="J278" s="6" t="str">
        <f t="shared" si="4"/>
        <v/>
      </c>
      <c r="K278" s="6" t="str">
        <f>IF(A278="","",IF(COUNTIFS('02_KICH_BAN_NODES'!$B$5:$B$204,A278,'02_KICH_BAN_NODES'!$D$5:$D$204,"choice")=0,"ChoiceNodeId không tồn tại hoặc không phải choice",IF(COUNTIFS($A$5:$A$404,A278,$B$5:$B$404,B278)&gt;1,"Trùng OptionOrder trong cùng choice",IF(OR(B278="",C278="",D278="",F278="",H278=""),"Thiếu trường bắt buộc",IF(OR(COUNTIF($A$5:$A$404,A278)&lt;2,COUNTIF($A$5:$A$404,A278)&gt;4),"Mỗi choice cần 2–4 option",IF(COUNTIFS('02_KICH_BAN_NODES'!$B$5:$B$204,A278,'02_KICH_BAN_NODES'!$E$5:$E$204,"Kiến thức")=1,IF(COUNTIFS($A$5:$A$404,A278,$D$5:$D$404,"Có")&lt;&gt;1,"Choice kiến thức cần đúng 1 đáp án đúng",""),IF(COUNTIFS('02_KICH_BAN_NODES'!$B$5:$B$204,A278,'02_KICH_BAN_NODES'!$E$5:$E$204,"Tương tác")=1,IF(COUNTIFS($A$5:$A$404,A278,$D$5:$D$404,"Có")&lt;&gt;0,"Choice tương tác không được đánh dấu đáp án đúng",""),"Choice chưa chọn loại")))))))</f>
        <v/>
      </c>
    </row>
    <row r="279" spans="1:11">
      <c r="A279" s="13"/>
      <c r="B279" s="13"/>
      <c r="C279" s="5"/>
      <c r="D279" s="13"/>
      <c r="E279" s="13"/>
      <c r="F279" s="13"/>
      <c r="G279" s="13"/>
      <c r="H279" s="5"/>
      <c r="I279" s="5"/>
      <c r="J279" s="6" t="str">
        <f t="shared" si="4"/>
        <v/>
      </c>
      <c r="K279" s="6" t="str">
        <f>IF(A279="","",IF(COUNTIFS('02_KICH_BAN_NODES'!$B$5:$B$204,A279,'02_KICH_BAN_NODES'!$D$5:$D$204,"choice")=0,"ChoiceNodeId không tồn tại hoặc không phải choice",IF(COUNTIFS($A$5:$A$404,A279,$B$5:$B$404,B279)&gt;1,"Trùng OptionOrder trong cùng choice",IF(OR(B279="",C279="",D279="",F279="",H279=""),"Thiếu trường bắt buộc",IF(OR(COUNTIF($A$5:$A$404,A279)&lt;2,COUNTIF($A$5:$A$404,A279)&gt;4),"Mỗi choice cần 2–4 option",IF(COUNTIFS('02_KICH_BAN_NODES'!$B$5:$B$204,A279,'02_KICH_BAN_NODES'!$E$5:$E$204,"Kiến thức")=1,IF(COUNTIFS($A$5:$A$404,A279,$D$5:$D$404,"Có")&lt;&gt;1,"Choice kiến thức cần đúng 1 đáp án đúng",""),IF(COUNTIFS('02_KICH_BAN_NODES'!$B$5:$B$204,A279,'02_KICH_BAN_NODES'!$E$5:$E$204,"Tương tác")=1,IF(COUNTIFS($A$5:$A$404,A279,$D$5:$D$404,"Có")&lt;&gt;0,"Choice tương tác không được đánh dấu đáp án đúng",""),"Choice chưa chọn loại")))))))</f>
        <v/>
      </c>
    </row>
    <row r="280" spans="1:11">
      <c r="A280" s="13"/>
      <c r="B280" s="13"/>
      <c r="C280" s="5"/>
      <c r="D280" s="13"/>
      <c r="E280" s="13"/>
      <c r="F280" s="13"/>
      <c r="G280" s="13"/>
      <c r="H280" s="5"/>
      <c r="I280" s="5"/>
      <c r="J280" s="6" t="str">
        <f t="shared" si="4"/>
        <v/>
      </c>
      <c r="K280" s="6" t="str">
        <f>IF(A280="","",IF(COUNTIFS('02_KICH_BAN_NODES'!$B$5:$B$204,A280,'02_KICH_BAN_NODES'!$D$5:$D$204,"choice")=0,"ChoiceNodeId không tồn tại hoặc không phải choice",IF(COUNTIFS($A$5:$A$404,A280,$B$5:$B$404,B280)&gt;1,"Trùng OptionOrder trong cùng choice",IF(OR(B280="",C280="",D280="",F280="",H280=""),"Thiếu trường bắt buộc",IF(OR(COUNTIF($A$5:$A$404,A280)&lt;2,COUNTIF($A$5:$A$404,A280)&gt;4),"Mỗi choice cần 2–4 option",IF(COUNTIFS('02_KICH_BAN_NODES'!$B$5:$B$204,A280,'02_KICH_BAN_NODES'!$E$5:$E$204,"Kiến thức")=1,IF(COUNTIFS($A$5:$A$404,A280,$D$5:$D$404,"Có")&lt;&gt;1,"Choice kiến thức cần đúng 1 đáp án đúng",""),IF(COUNTIFS('02_KICH_BAN_NODES'!$B$5:$B$204,A280,'02_KICH_BAN_NODES'!$E$5:$E$204,"Tương tác")=1,IF(COUNTIFS($A$5:$A$404,A280,$D$5:$D$404,"Có")&lt;&gt;0,"Choice tương tác không được đánh dấu đáp án đúng",""),"Choice chưa chọn loại")))))))</f>
        <v/>
      </c>
    </row>
    <row r="281" spans="1:11">
      <c r="A281" s="13"/>
      <c r="B281" s="13"/>
      <c r="C281" s="5"/>
      <c r="D281" s="13"/>
      <c r="E281" s="13"/>
      <c r="F281" s="13"/>
      <c r="G281" s="13"/>
      <c r="H281" s="5"/>
      <c r="I281" s="5"/>
      <c r="J281" s="6" t="str">
        <f t="shared" si="4"/>
        <v/>
      </c>
      <c r="K281" s="6" t="str">
        <f>IF(A281="","",IF(COUNTIFS('02_KICH_BAN_NODES'!$B$5:$B$204,A281,'02_KICH_BAN_NODES'!$D$5:$D$204,"choice")=0,"ChoiceNodeId không tồn tại hoặc không phải choice",IF(COUNTIFS($A$5:$A$404,A281,$B$5:$B$404,B281)&gt;1,"Trùng OptionOrder trong cùng choice",IF(OR(B281="",C281="",D281="",F281="",H281=""),"Thiếu trường bắt buộc",IF(OR(COUNTIF($A$5:$A$404,A281)&lt;2,COUNTIF($A$5:$A$404,A281)&gt;4),"Mỗi choice cần 2–4 option",IF(COUNTIFS('02_KICH_BAN_NODES'!$B$5:$B$204,A281,'02_KICH_BAN_NODES'!$E$5:$E$204,"Kiến thức")=1,IF(COUNTIFS($A$5:$A$404,A281,$D$5:$D$404,"Có")&lt;&gt;1,"Choice kiến thức cần đúng 1 đáp án đúng",""),IF(COUNTIFS('02_KICH_BAN_NODES'!$B$5:$B$204,A281,'02_KICH_BAN_NODES'!$E$5:$E$204,"Tương tác")=1,IF(COUNTIFS($A$5:$A$404,A281,$D$5:$D$404,"Có")&lt;&gt;0,"Choice tương tác không được đánh dấu đáp án đúng",""),"Choice chưa chọn loại")))))))</f>
        <v/>
      </c>
    </row>
    <row r="282" spans="1:11">
      <c r="A282" s="13"/>
      <c r="B282" s="13"/>
      <c r="C282" s="5"/>
      <c r="D282" s="13"/>
      <c r="E282" s="13"/>
      <c r="F282" s="13"/>
      <c r="G282" s="13"/>
      <c r="H282" s="5"/>
      <c r="I282" s="5"/>
      <c r="J282" s="6" t="str">
        <f t="shared" si="4"/>
        <v/>
      </c>
      <c r="K282" s="6" t="str">
        <f>IF(A282="","",IF(COUNTIFS('02_KICH_BAN_NODES'!$B$5:$B$204,A282,'02_KICH_BAN_NODES'!$D$5:$D$204,"choice")=0,"ChoiceNodeId không tồn tại hoặc không phải choice",IF(COUNTIFS($A$5:$A$404,A282,$B$5:$B$404,B282)&gt;1,"Trùng OptionOrder trong cùng choice",IF(OR(B282="",C282="",D282="",F282="",H282=""),"Thiếu trường bắt buộc",IF(OR(COUNTIF($A$5:$A$404,A282)&lt;2,COUNTIF($A$5:$A$404,A282)&gt;4),"Mỗi choice cần 2–4 option",IF(COUNTIFS('02_KICH_BAN_NODES'!$B$5:$B$204,A282,'02_KICH_BAN_NODES'!$E$5:$E$204,"Kiến thức")=1,IF(COUNTIFS($A$5:$A$404,A282,$D$5:$D$404,"Có")&lt;&gt;1,"Choice kiến thức cần đúng 1 đáp án đúng",""),IF(COUNTIFS('02_KICH_BAN_NODES'!$B$5:$B$204,A282,'02_KICH_BAN_NODES'!$E$5:$E$204,"Tương tác")=1,IF(COUNTIFS($A$5:$A$404,A282,$D$5:$D$404,"Có")&lt;&gt;0,"Choice tương tác không được đánh dấu đáp án đúng",""),"Choice chưa chọn loại")))))))</f>
        <v/>
      </c>
    </row>
    <row r="283" spans="1:11">
      <c r="A283" s="13"/>
      <c r="B283" s="13"/>
      <c r="C283" s="5"/>
      <c r="D283" s="13"/>
      <c r="E283" s="13"/>
      <c r="F283" s="13"/>
      <c r="G283" s="13"/>
      <c r="H283" s="5"/>
      <c r="I283" s="5"/>
      <c r="J283" s="6" t="str">
        <f t="shared" si="4"/>
        <v/>
      </c>
      <c r="K283" s="6" t="str">
        <f>IF(A283="","",IF(COUNTIFS('02_KICH_BAN_NODES'!$B$5:$B$204,A283,'02_KICH_BAN_NODES'!$D$5:$D$204,"choice")=0,"ChoiceNodeId không tồn tại hoặc không phải choice",IF(COUNTIFS($A$5:$A$404,A283,$B$5:$B$404,B283)&gt;1,"Trùng OptionOrder trong cùng choice",IF(OR(B283="",C283="",D283="",F283="",H283=""),"Thiếu trường bắt buộc",IF(OR(COUNTIF($A$5:$A$404,A283)&lt;2,COUNTIF($A$5:$A$404,A283)&gt;4),"Mỗi choice cần 2–4 option",IF(COUNTIFS('02_KICH_BAN_NODES'!$B$5:$B$204,A283,'02_KICH_BAN_NODES'!$E$5:$E$204,"Kiến thức")=1,IF(COUNTIFS($A$5:$A$404,A283,$D$5:$D$404,"Có")&lt;&gt;1,"Choice kiến thức cần đúng 1 đáp án đúng",""),IF(COUNTIFS('02_KICH_BAN_NODES'!$B$5:$B$204,A283,'02_KICH_BAN_NODES'!$E$5:$E$204,"Tương tác")=1,IF(COUNTIFS($A$5:$A$404,A283,$D$5:$D$404,"Có")&lt;&gt;0,"Choice tương tác không được đánh dấu đáp án đúng",""),"Choice chưa chọn loại")))))))</f>
        <v/>
      </c>
    </row>
    <row r="284" spans="1:11">
      <c r="A284" s="13"/>
      <c r="B284" s="13"/>
      <c r="C284" s="5"/>
      <c r="D284" s="13"/>
      <c r="E284" s="13"/>
      <c r="F284" s="13"/>
      <c r="G284" s="13"/>
      <c r="H284" s="5"/>
      <c r="I284" s="5"/>
      <c r="J284" s="6" t="str">
        <f t="shared" si="4"/>
        <v/>
      </c>
      <c r="K284" s="6" t="str">
        <f>IF(A284="","",IF(COUNTIFS('02_KICH_BAN_NODES'!$B$5:$B$204,A284,'02_KICH_BAN_NODES'!$D$5:$D$204,"choice")=0,"ChoiceNodeId không tồn tại hoặc không phải choice",IF(COUNTIFS($A$5:$A$404,A284,$B$5:$B$404,B284)&gt;1,"Trùng OptionOrder trong cùng choice",IF(OR(B284="",C284="",D284="",F284="",H284=""),"Thiếu trường bắt buộc",IF(OR(COUNTIF($A$5:$A$404,A284)&lt;2,COUNTIF($A$5:$A$404,A284)&gt;4),"Mỗi choice cần 2–4 option",IF(COUNTIFS('02_KICH_BAN_NODES'!$B$5:$B$204,A284,'02_KICH_BAN_NODES'!$E$5:$E$204,"Kiến thức")=1,IF(COUNTIFS($A$5:$A$404,A284,$D$5:$D$404,"Có")&lt;&gt;1,"Choice kiến thức cần đúng 1 đáp án đúng",""),IF(COUNTIFS('02_KICH_BAN_NODES'!$B$5:$B$204,A284,'02_KICH_BAN_NODES'!$E$5:$E$204,"Tương tác")=1,IF(COUNTIFS($A$5:$A$404,A284,$D$5:$D$404,"Có")&lt;&gt;0,"Choice tương tác không được đánh dấu đáp án đúng",""),"Choice chưa chọn loại")))))))</f>
        <v/>
      </c>
    </row>
    <row r="285" spans="1:11">
      <c r="A285" s="13"/>
      <c r="B285" s="13"/>
      <c r="C285" s="5"/>
      <c r="D285" s="13"/>
      <c r="E285" s="13"/>
      <c r="F285" s="13"/>
      <c r="G285" s="13"/>
      <c r="H285" s="5"/>
      <c r="I285" s="5"/>
      <c r="J285" s="6" t="str">
        <f t="shared" si="4"/>
        <v/>
      </c>
      <c r="K285" s="6" t="str">
        <f>IF(A285="","",IF(COUNTIFS('02_KICH_BAN_NODES'!$B$5:$B$204,A285,'02_KICH_BAN_NODES'!$D$5:$D$204,"choice")=0,"ChoiceNodeId không tồn tại hoặc không phải choice",IF(COUNTIFS($A$5:$A$404,A285,$B$5:$B$404,B285)&gt;1,"Trùng OptionOrder trong cùng choice",IF(OR(B285="",C285="",D285="",F285="",H285=""),"Thiếu trường bắt buộc",IF(OR(COUNTIF($A$5:$A$404,A285)&lt;2,COUNTIF($A$5:$A$404,A285)&gt;4),"Mỗi choice cần 2–4 option",IF(COUNTIFS('02_KICH_BAN_NODES'!$B$5:$B$204,A285,'02_KICH_BAN_NODES'!$E$5:$E$204,"Kiến thức")=1,IF(COUNTIFS($A$5:$A$404,A285,$D$5:$D$404,"Có")&lt;&gt;1,"Choice kiến thức cần đúng 1 đáp án đúng",""),IF(COUNTIFS('02_KICH_BAN_NODES'!$B$5:$B$204,A285,'02_KICH_BAN_NODES'!$E$5:$E$204,"Tương tác")=1,IF(COUNTIFS($A$5:$A$404,A285,$D$5:$D$404,"Có")&lt;&gt;0,"Choice tương tác không được đánh dấu đáp án đúng",""),"Choice chưa chọn loại")))))))</f>
        <v/>
      </c>
    </row>
    <row r="286" spans="1:11">
      <c r="A286" s="13"/>
      <c r="B286" s="13"/>
      <c r="C286" s="5"/>
      <c r="D286" s="13"/>
      <c r="E286" s="13"/>
      <c r="F286" s="13"/>
      <c r="G286" s="13"/>
      <c r="H286" s="5"/>
      <c r="I286" s="5"/>
      <c r="J286" s="6" t="str">
        <f t="shared" si="4"/>
        <v/>
      </c>
      <c r="K286" s="6" t="str">
        <f>IF(A286="","",IF(COUNTIFS('02_KICH_BAN_NODES'!$B$5:$B$204,A286,'02_KICH_BAN_NODES'!$D$5:$D$204,"choice")=0,"ChoiceNodeId không tồn tại hoặc không phải choice",IF(COUNTIFS($A$5:$A$404,A286,$B$5:$B$404,B286)&gt;1,"Trùng OptionOrder trong cùng choice",IF(OR(B286="",C286="",D286="",F286="",H286=""),"Thiếu trường bắt buộc",IF(OR(COUNTIF($A$5:$A$404,A286)&lt;2,COUNTIF($A$5:$A$404,A286)&gt;4),"Mỗi choice cần 2–4 option",IF(COUNTIFS('02_KICH_BAN_NODES'!$B$5:$B$204,A286,'02_KICH_BAN_NODES'!$E$5:$E$204,"Kiến thức")=1,IF(COUNTIFS($A$5:$A$404,A286,$D$5:$D$404,"Có")&lt;&gt;1,"Choice kiến thức cần đúng 1 đáp án đúng",""),IF(COUNTIFS('02_KICH_BAN_NODES'!$B$5:$B$204,A286,'02_KICH_BAN_NODES'!$E$5:$E$204,"Tương tác")=1,IF(COUNTIFS($A$5:$A$404,A286,$D$5:$D$404,"Có")&lt;&gt;0,"Choice tương tác không được đánh dấu đáp án đúng",""),"Choice chưa chọn loại")))))))</f>
        <v/>
      </c>
    </row>
    <row r="287" spans="1:11">
      <c r="A287" s="13"/>
      <c r="B287" s="13"/>
      <c r="C287" s="5"/>
      <c r="D287" s="13"/>
      <c r="E287" s="13"/>
      <c r="F287" s="13"/>
      <c r="G287" s="13"/>
      <c r="H287" s="5"/>
      <c r="I287" s="5"/>
      <c r="J287" s="6" t="str">
        <f t="shared" si="4"/>
        <v/>
      </c>
      <c r="K287" s="6" t="str">
        <f>IF(A287="","",IF(COUNTIFS('02_KICH_BAN_NODES'!$B$5:$B$204,A287,'02_KICH_BAN_NODES'!$D$5:$D$204,"choice")=0,"ChoiceNodeId không tồn tại hoặc không phải choice",IF(COUNTIFS($A$5:$A$404,A287,$B$5:$B$404,B287)&gt;1,"Trùng OptionOrder trong cùng choice",IF(OR(B287="",C287="",D287="",F287="",H287=""),"Thiếu trường bắt buộc",IF(OR(COUNTIF($A$5:$A$404,A287)&lt;2,COUNTIF($A$5:$A$404,A287)&gt;4),"Mỗi choice cần 2–4 option",IF(COUNTIFS('02_KICH_BAN_NODES'!$B$5:$B$204,A287,'02_KICH_BAN_NODES'!$E$5:$E$204,"Kiến thức")=1,IF(COUNTIFS($A$5:$A$404,A287,$D$5:$D$404,"Có")&lt;&gt;1,"Choice kiến thức cần đúng 1 đáp án đúng",""),IF(COUNTIFS('02_KICH_BAN_NODES'!$B$5:$B$204,A287,'02_KICH_BAN_NODES'!$E$5:$E$204,"Tương tác")=1,IF(COUNTIFS($A$5:$A$404,A287,$D$5:$D$404,"Có")&lt;&gt;0,"Choice tương tác không được đánh dấu đáp án đúng",""),"Choice chưa chọn loại")))))))</f>
        <v/>
      </c>
    </row>
    <row r="288" spans="1:11">
      <c r="A288" s="13"/>
      <c r="B288" s="13"/>
      <c r="C288" s="5"/>
      <c r="D288" s="13"/>
      <c r="E288" s="13"/>
      <c r="F288" s="13"/>
      <c r="G288" s="13"/>
      <c r="H288" s="5"/>
      <c r="I288" s="5"/>
      <c r="J288" s="6" t="str">
        <f t="shared" si="4"/>
        <v/>
      </c>
      <c r="K288" s="6" t="str">
        <f>IF(A288="","",IF(COUNTIFS('02_KICH_BAN_NODES'!$B$5:$B$204,A288,'02_KICH_BAN_NODES'!$D$5:$D$204,"choice")=0,"ChoiceNodeId không tồn tại hoặc không phải choice",IF(COUNTIFS($A$5:$A$404,A288,$B$5:$B$404,B288)&gt;1,"Trùng OptionOrder trong cùng choice",IF(OR(B288="",C288="",D288="",F288="",H288=""),"Thiếu trường bắt buộc",IF(OR(COUNTIF($A$5:$A$404,A288)&lt;2,COUNTIF($A$5:$A$404,A288)&gt;4),"Mỗi choice cần 2–4 option",IF(COUNTIFS('02_KICH_BAN_NODES'!$B$5:$B$204,A288,'02_KICH_BAN_NODES'!$E$5:$E$204,"Kiến thức")=1,IF(COUNTIFS($A$5:$A$404,A288,$D$5:$D$404,"Có")&lt;&gt;1,"Choice kiến thức cần đúng 1 đáp án đúng",""),IF(COUNTIFS('02_KICH_BAN_NODES'!$B$5:$B$204,A288,'02_KICH_BAN_NODES'!$E$5:$E$204,"Tương tác")=1,IF(COUNTIFS($A$5:$A$404,A288,$D$5:$D$404,"Có")&lt;&gt;0,"Choice tương tác không được đánh dấu đáp án đúng",""),"Choice chưa chọn loại")))))))</f>
        <v/>
      </c>
    </row>
    <row r="289" spans="1:11">
      <c r="A289" s="13"/>
      <c r="B289" s="13"/>
      <c r="C289" s="5"/>
      <c r="D289" s="13"/>
      <c r="E289" s="13"/>
      <c r="F289" s="13"/>
      <c r="G289" s="13"/>
      <c r="H289" s="5"/>
      <c r="I289" s="5"/>
      <c r="J289" s="6" t="str">
        <f t="shared" si="4"/>
        <v/>
      </c>
      <c r="K289" s="6" t="str">
        <f>IF(A289="","",IF(COUNTIFS('02_KICH_BAN_NODES'!$B$5:$B$204,A289,'02_KICH_BAN_NODES'!$D$5:$D$204,"choice")=0,"ChoiceNodeId không tồn tại hoặc không phải choice",IF(COUNTIFS($A$5:$A$404,A289,$B$5:$B$404,B289)&gt;1,"Trùng OptionOrder trong cùng choice",IF(OR(B289="",C289="",D289="",F289="",H289=""),"Thiếu trường bắt buộc",IF(OR(COUNTIF($A$5:$A$404,A289)&lt;2,COUNTIF($A$5:$A$404,A289)&gt;4),"Mỗi choice cần 2–4 option",IF(COUNTIFS('02_KICH_BAN_NODES'!$B$5:$B$204,A289,'02_KICH_BAN_NODES'!$E$5:$E$204,"Kiến thức")=1,IF(COUNTIFS($A$5:$A$404,A289,$D$5:$D$404,"Có")&lt;&gt;1,"Choice kiến thức cần đúng 1 đáp án đúng",""),IF(COUNTIFS('02_KICH_BAN_NODES'!$B$5:$B$204,A289,'02_KICH_BAN_NODES'!$E$5:$E$204,"Tương tác")=1,IF(COUNTIFS($A$5:$A$404,A289,$D$5:$D$404,"Có")&lt;&gt;0,"Choice tương tác không được đánh dấu đáp án đúng",""),"Choice chưa chọn loại")))))))</f>
        <v/>
      </c>
    </row>
    <row r="290" spans="1:11">
      <c r="A290" s="13"/>
      <c r="B290" s="13"/>
      <c r="C290" s="5"/>
      <c r="D290" s="13"/>
      <c r="E290" s="13"/>
      <c r="F290" s="13"/>
      <c r="G290" s="13"/>
      <c r="H290" s="5"/>
      <c r="I290" s="5"/>
      <c r="J290" s="6" t="str">
        <f t="shared" si="4"/>
        <v/>
      </c>
      <c r="K290" s="6" t="str">
        <f>IF(A290="","",IF(COUNTIFS('02_KICH_BAN_NODES'!$B$5:$B$204,A290,'02_KICH_BAN_NODES'!$D$5:$D$204,"choice")=0,"ChoiceNodeId không tồn tại hoặc không phải choice",IF(COUNTIFS($A$5:$A$404,A290,$B$5:$B$404,B290)&gt;1,"Trùng OptionOrder trong cùng choice",IF(OR(B290="",C290="",D290="",F290="",H290=""),"Thiếu trường bắt buộc",IF(OR(COUNTIF($A$5:$A$404,A290)&lt;2,COUNTIF($A$5:$A$404,A290)&gt;4),"Mỗi choice cần 2–4 option",IF(COUNTIFS('02_KICH_BAN_NODES'!$B$5:$B$204,A290,'02_KICH_BAN_NODES'!$E$5:$E$204,"Kiến thức")=1,IF(COUNTIFS($A$5:$A$404,A290,$D$5:$D$404,"Có")&lt;&gt;1,"Choice kiến thức cần đúng 1 đáp án đúng",""),IF(COUNTIFS('02_KICH_BAN_NODES'!$B$5:$B$204,A290,'02_KICH_BAN_NODES'!$E$5:$E$204,"Tương tác")=1,IF(COUNTIFS($A$5:$A$404,A290,$D$5:$D$404,"Có")&lt;&gt;0,"Choice tương tác không được đánh dấu đáp án đúng",""),"Choice chưa chọn loại")))))))</f>
        <v/>
      </c>
    </row>
    <row r="291" spans="1:11">
      <c r="A291" s="13"/>
      <c r="B291" s="13"/>
      <c r="C291" s="5"/>
      <c r="D291" s="13"/>
      <c r="E291" s="13"/>
      <c r="F291" s="13"/>
      <c r="G291" s="13"/>
      <c r="H291" s="5"/>
      <c r="I291" s="5"/>
      <c r="J291" s="6" t="str">
        <f t="shared" si="4"/>
        <v/>
      </c>
      <c r="K291" s="6" t="str">
        <f>IF(A291="","",IF(COUNTIFS('02_KICH_BAN_NODES'!$B$5:$B$204,A291,'02_KICH_BAN_NODES'!$D$5:$D$204,"choice")=0,"ChoiceNodeId không tồn tại hoặc không phải choice",IF(COUNTIFS($A$5:$A$404,A291,$B$5:$B$404,B291)&gt;1,"Trùng OptionOrder trong cùng choice",IF(OR(B291="",C291="",D291="",F291="",H291=""),"Thiếu trường bắt buộc",IF(OR(COUNTIF($A$5:$A$404,A291)&lt;2,COUNTIF($A$5:$A$404,A291)&gt;4),"Mỗi choice cần 2–4 option",IF(COUNTIFS('02_KICH_BAN_NODES'!$B$5:$B$204,A291,'02_KICH_BAN_NODES'!$E$5:$E$204,"Kiến thức")=1,IF(COUNTIFS($A$5:$A$404,A291,$D$5:$D$404,"Có")&lt;&gt;1,"Choice kiến thức cần đúng 1 đáp án đúng",""),IF(COUNTIFS('02_KICH_BAN_NODES'!$B$5:$B$204,A291,'02_KICH_BAN_NODES'!$E$5:$E$204,"Tương tác")=1,IF(COUNTIFS($A$5:$A$404,A291,$D$5:$D$404,"Có")&lt;&gt;0,"Choice tương tác không được đánh dấu đáp án đúng",""),"Choice chưa chọn loại")))))))</f>
        <v/>
      </c>
    </row>
    <row r="292" spans="1:11">
      <c r="A292" s="13"/>
      <c r="B292" s="13"/>
      <c r="C292" s="5"/>
      <c r="D292" s="13"/>
      <c r="E292" s="13"/>
      <c r="F292" s="13"/>
      <c r="G292" s="13"/>
      <c r="H292" s="5"/>
      <c r="I292" s="5"/>
      <c r="J292" s="6" t="str">
        <f t="shared" si="4"/>
        <v/>
      </c>
      <c r="K292" s="6" t="str">
        <f>IF(A292="","",IF(COUNTIFS('02_KICH_BAN_NODES'!$B$5:$B$204,A292,'02_KICH_BAN_NODES'!$D$5:$D$204,"choice")=0,"ChoiceNodeId không tồn tại hoặc không phải choice",IF(COUNTIFS($A$5:$A$404,A292,$B$5:$B$404,B292)&gt;1,"Trùng OptionOrder trong cùng choice",IF(OR(B292="",C292="",D292="",F292="",H292=""),"Thiếu trường bắt buộc",IF(OR(COUNTIF($A$5:$A$404,A292)&lt;2,COUNTIF($A$5:$A$404,A292)&gt;4),"Mỗi choice cần 2–4 option",IF(COUNTIFS('02_KICH_BAN_NODES'!$B$5:$B$204,A292,'02_KICH_BAN_NODES'!$E$5:$E$204,"Kiến thức")=1,IF(COUNTIFS($A$5:$A$404,A292,$D$5:$D$404,"Có")&lt;&gt;1,"Choice kiến thức cần đúng 1 đáp án đúng",""),IF(COUNTIFS('02_KICH_BAN_NODES'!$B$5:$B$204,A292,'02_KICH_BAN_NODES'!$E$5:$E$204,"Tương tác")=1,IF(COUNTIFS($A$5:$A$404,A292,$D$5:$D$404,"Có")&lt;&gt;0,"Choice tương tác không được đánh dấu đáp án đúng",""),"Choice chưa chọn loại")))))))</f>
        <v/>
      </c>
    </row>
    <row r="293" spans="1:11">
      <c r="A293" s="13"/>
      <c r="B293" s="13"/>
      <c r="C293" s="5"/>
      <c r="D293" s="13"/>
      <c r="E293" s="13"/>
      <c r="F293" s="13"/>
      <c r="G293" s="13"/>
      <c r="H293" s="5"/>
      <c r="I293" s="5"/>
      <c r="J293" s="6" t="str">
        <f t="shared" si="4"/>
        <v/>
      </c>
      <c r="K293" s="6" t="str">
        <f>IF(A293="","",IF(COUNTIFS('02_KICH_BAN_NODES'!$B$5:$B$204,A293,'02_KICH_BAN_NODES'!$D$5:$D$204,"choice")=0,"ChoiceNodeId không tồn tại hoặc không phải choice",IF(COUNTIFS($A$5:$A$404,A293,$B$5:$B$404,B293)&gt;1,"Trùng OptionOrder trong cùng choice",IF(OR(B293="",C293="",D293="",F293="",H293=""),"Thiếu trường bắt buộc",IF(OR(COUNTIF($A$5:$A$404,A293)&lt;2,COUNTIF($A$5:$A$404,A293)&gt;4),"Mỗi choice cần 2–4 option",IF(COUNTIFS('02_KICH_BAN_NODES'!$B$5:$B$204,A293,'02_KICH_BAN_NODES'!$E$5:$E$204,"Kiến thức")=1,IF(COUNTIFS($A$5:$A$404,A293,$D$5:$D$404,"Có")&lt;&gt;1,"Choice kiến thức cần đúng 1 đáp án đúng",""),IF(COUNTIFS('02_KICH_BAN_NODES'!$B$5:$B$204,A293,'02_KICH_BAN_NODES'!$E$5:$E$204,"Tương tác")=1,IF(COUNTIFS($A$5:$A$404,A293,$D$5:$D$404,"Có")&lt;&gt;0,"Choice tương tác không được đánh dấu đáp án đúng",""),"Choice chưa chọn loại")))))))</f>
        <v/>
      </c>
    </row>
    <row r="294" spans="1:11">
      <c r="A294" s="13"/>
      <c r="B294" s="13"/>
      <c r="C294" s="5"/>
      <c r="D294" s="13"/>
      <c r="E294" s="13"/>
      <c r="F294" s="13"/>
      <c r="G294" s="13"/>
      <c r="H294" s="5"/>
      <c r="I294" s="5"/>
      <c r="J294" s="6" t="str">
        <f t="shared" si="4"/>
        <v/>
      </c>
      <c r="K294" s="6" t="str">
        <f>IF(A294="","",IF(COUNTIFS('02_KICH_BAN_NODES'!$B$5:$B$204,A294,'02_KICH_BAN_NODES'!$D$5:$D$204,"choice")=0,"ChoiceNodeId không tồn tại hoặc không phải choice",IF(COUNTIFS($A$5:$A$404,A294,$B$5:$B$404,B294)&gt;1,"Trùng OptionOrder trong cùng choice",IF(OR(B294="",C294="",D294="",F294="",H294=""),"Thiếu trường bắt buộc",IF(OR(COUNTIF($A$5:$A$404,A294)&lt;2,COUNTIF($A$5:$A$404,A294)&gt;4),"Mỗi choice cần 2–4 option",IF(COUNTIFS('02_KICH_BAN_NODES'!$B$5:$B$204,A294,'02_KICH_BAN_NODES'!$E$5:$E$204,"Kiến thức")=1,IF(COUNTIFS($A$5:$A$404,A294,$D$5:$D$404,"Có")&lt;&gt;1,"Choice kiến thức cần đúng 1 đáp án đúng",""),IF(COUNTIFS('02_KICH_BAN_NODES'!$B$5:$B$204,A294,'02_KICH_BAN_NODES'!$E$5:$E$204,"Tương tác")=1,IF(COUNTIFS($A$5:$A$404,A294,$D$5:$D$404,"Có")&lt;&gt;0,"Choice tương tác không được đánh dấu đáp án đúng",""),"Choice chưa chọn loại")))))))</f>
        <v/>
      </c>
    </row>
    <row r="295" spans="1:11">
      <c r="A295" s="13"/>
      <c r="B295" s="13"/>
      <c r="C295" s="5"/>
      <c r="D295" s="13"/>
      <c r="E295" s="13"/>
      <c r="F295" s="13"/>
      <c r="G295" s="13"/>
      <c r="H295" s="5"/>
      <c r="I295" s="5"/>
      <c r="J295" s="6" t="str">
        <f t="shared" si="4"/>
        <v/>
      </c>
      <c r="K295" s="6" t="str">
        <f>IF(A295="","",IF(COUNTIFS('02_KICH_BAN_NODES'!$B$5:$B$204,A295,'02_KICH_BAN_NODES'!$D$5:$D$204,"choice")=0,"ChoiceNodeId không tồn tại hoặc không phải choice",IF(COUNTIFS($A$5:$A$404,A295,$B$5:$B$404,B295)&gt;1,"Trùng OptionOrder trong cùng choice",IF(OR(B295="",C295="",D295="",F295="",H295=""),"Thiếu trường bắt buộc",IF(OR(COUNTIF($A$5:$A$404,A295)&lt;2,COUNTIF($A$5:$A$404,A295)&gt;4),"Mỗi choice cần 2–4 option",IF(COUNTIFS('02_KICH_BAN_NODES'!$B$5:$B$204,A295,'02_KICH_BAN_NODES'!$E$5:$E$204,"Kiến thức")=1,IF(COUNTIFS($A$5:$A$404,A295,$D$5:$D$404,"Có")&lt;&gt;1,"Choice kiến thức cần đúng 1 đáp án đúng",""),IF(COUNTIFS('02_KICH_BAN_NODES'!$B$5:$B$204,A295,'02_KICH_BAN_NODES'!$E$5:$E$204,"Tương tác")=1,IF(COUNTIFS($A$5:$A$404,A295,$D$5:$D$404,"Có")&lt;&gt;0,"Choice tương tác không được đánh dấu đáp án đúng",""),"Choice chưa chọn loại")))))))</f>
        <v/>
      </c>
    </row>
    <row r="296" spans="1:11">
      <c r="A296" s="13"/>
      <c r="B296" s="13"/>
      <c r="C296" s="5"/>
      <c r="D296" s="13"/>
      <c r="E296" s="13"/>
      <c r="F296" s="13"/>
      <c r="G296" s="13"/>
      <c r="H296" s="5"/>
      <c r="I296" s="5"/>
      <c r="J296" s="6" t="str">
        <f t="shared" si="4"/>
        <v/>
      </c>
      <c r="K296" s="6" t="str">
        <f>IF(A296="","",IF(COUNTIFS('02_KICH_BAN_NODES'!$B$5:$B$204,A296,'02_KICH_BAN_NODES'!$D$5:$D$204,"choice")=0,"ChoiceNodeId không tồn tại hoặc không phải choice",IF(COUNTIFS($A$5:$A$404,A296,$B$5:$B$404,B296)&gt;1,"Trùng OptionOrder trong cùng choice",IF(OR(B296="",C296="",D296="",F296="",H296=""),"Thiếu trường bắt buộc",IF(OR(COUNTIF($A$5:$A$404,A296)&lt;2,COUNTIF($A$5:$A$404,A296)&gt;4),"Mỗi choice cần 2–4 option",IF(COUNTIFS('02_KICH_BAN_NODES'!$B$5:$B$204,A296,'02_KICH_BAN_NODES'!$E$5:$E$204,"Kiến thức")=1,IF(COUNTIFS($A$5:$A$404,A296,$D$5:$D$404,"Có")&lt;&gt;1,"Choice kiến thức cần đúng 1 đáp án đúng",""),IF(COUNTIFS('02_KICH_BAN_NODES'!$B$5:$B$204,A296,'02_KICH_BAN_NODES'!$E$5:$E$204,"Tương tác")=1,IF(COUNTIFS($A$5:$A$404,A296,$D$5:$D$404,"Có")&lt;&gt;0,"Choice tương tác không được đánh dấu đáp án đúng",""),"Choice chưa chọn loại")))))))</f>
        <v/>
      </c>
    </row>
    <row r="297" spans="1:11">
      <c r="A297" s="13"/>
      <c r="B297" s="13"/>
      <c r="C297" s="5"/>
      <c r="D297" s="13"/>
      <c r="E297" s="13"/>
      <c r="F297" s="13"/>
      <c r="G297" s="13"/>
      <c r="H297" s="5"/>
      <c r="I297" s="5"/>
      <c r="J297" s="6" t="str">
        <f t="shared" si="4"/>
        <v/>
      </c>
      <c r="K297" s="6" t="str">
        <f>IF(A297="","",IF(COUNTIFS('02_KICH_BAN_NODES'!$B$5:$B$204,A297,'02_KICH_BAN_NODES'!$D$5:$D$204,"choice")=0,"ChoiceNodeId không tồn tại hoặc không phải choice",IF(COUNTIFS($A$5:$A$404,A297,$B$5:$B$404,B297)&gt;1,"Trùng OptionOrder trong cùng choice",IF(OR(B297="",C297="",D297="",F297="",H297=""),"Thiếu trường bắt buộc",IF(OR(COUNTIF($A$5:$A$404,A297)&lt;2,COUNTIF($A$5:$A$404,A297)&gt;4),"Mỗi choice cần 2–4 option",IF(COUNTIFS('02_KICH_BAN_NODES'!$B$5:$B$204,A297,'02_KICH_BAN_NODES'!$E$5:$E$204,"Kiến thức")=1,IF(COUNTIFS($A$5:$A$404,A297,$D$5:$D$404,"Có")&lt;&gt;1,"Choice kiến thức cần đúng 1 đáp án đúng",""),IF(COUNTIFS('02_KICH_BAN_NODES'!$B$5:$B$204,A297,'02_KICH_BAN_NODES'!$E$5:$E$204,"Tương tác")=1,IF(COUNTIFS($A$5:$A$404,A297,$D$5:$D$404,"Có")&lt;&gt;0,"Choice tương tác không được đánh dấu đáp án đúng",""),"Choice chưa chọn loại")))))))</f>
        <v/>
      </c>
    </row>
    <row r="298" spans="1:11">
      <c r="A298" s="13"/>
      <c r="B298" s="13"/>
      <c r="C298" s="5"/>
      <c r="D298" s="13"/>
      <c r="E298" s="13"/>
      <c r="F298" s="13"/>
      <c r="G298" s="13"/>
      <c r="H298" s="5"/>
      <c r="I298" s="5"/>
      <c r="J298" s="6" t="str">
        <f t="shared" si="4"/>
        <v/>
      </c>
      <c r="K298" s="6" t="str">
        <f>IF(A298="","",IF(COUNTIFS('02_KICH_BAN_NODES'!$B$5:$B$204,A298,'02_KICH_BAN_NODES'!$D$5:$D$204,"choice")=0,"ChoiceNodeId không tồn tại hoặc không phải choice",IF(COUNTIFS($A$5:$A$404,A298,$B$5:$B$404,B298)&gt;1,"Trùng OptionOrder trong cùng choice",IF(OR(B298="",C298="",D298="",F298="",H298=""),"Thiếu trường bắt buộc",IF(OR(COUNTIF($A$5:$A$404,A298)&lt;2,COUNTIF($A$5:$A$404,A298)&gt;4),"Mỗi choice cần 2–4 option",IF(COUNTIFS('02_KICH_BAN_NODES'!$B$5:$B$204,A298,'02_KICH_BAN_NODES'!$E$5:$E$204,"Kiến thức")=1,IF(COUNTIFS($A$5:$A$404,A298,$D$5:$D$404,"Có")&lt;&gt;1,"Choice kiến thức cần đúng 1 đáp án đúng",""),IF(COUNTIFS('02_KICH_BAN_NODES'!$B$5:$B$204,A298,'02_KICH_BAN_NODES'!$E$5:$E$204,"Tương tác")=1,IF(COUNTIFS($A$5:$A$404,A298,$D$5:$D$404,"Có")&lt;&gt;0,"Choice tương tác không được đánh dấu đáp án đúng",""),"Choice chưa chọn loại")))))))</f>
        <v/>
      </c>
    </row>
    <row r="299" spans="1:11">
      <c r="A299" s="13"/>
      <c r="B299" s="13"/>
      <c r="C299" s="5"/>
      <c r="D299" s="13"/>
      <c r="E299" s="13"/>
      <c r="F299" s="13"/>
      <c r="G299" s="13"/>
      <c r="H299" s="5"/>
      <c r="I299" s="5"/>
      <c r="J299" s="6" t="str">
        <f t="shared" si="4"/>
        <v/>
      </c>
      <c r="K299" s="6" t="str">
        <f>IF(A299="","",IF(COUNTIFS('02_KICH_BAN_NODES'!$B$5:$B$204,A299,'02_KICH_BAN_NODES'!$D$5:$D$204,"choice")=0,"ChoiceNodeId không tồn tại hoặc không phải choice",IF(COUNTIFS($A$5:$A$404,A299,$B$5:$B$404,B299)&gt;1,"Trùng OptionOrder trong cùng choice",IF(OR(B299="",C299="",D299="",F299="",H299=""),"Thiếu trường bắt buộc",IF(OR(COUNTIF($A$5:$A$404,A299)&lt;2,COUNTIF($A$5:$A$404,A299)&gt;4),"Mỗi choice cần 2–4 option",IF(COUNTIFS('02_KICH_BAN_NODES'!$B$5:$B$204,A299,'02_KICH_BAN_NODES'!$E$5:$E$204,"Kiến thức")=1,IF(COUNTIFS($A$5:$A$404,A299,$D$5:$D$404,"Có")&lt;&gt;1,"Choice kiến thức cần đúng 1 đáp án đúng",""),IF(COUNTIFS('02_KICH_BAN_NODES'!$B$5:$B$204,A299,'02_KICH_BAN_NODES'!$E$5:$E$204,"Tương tác")=1,IF(COUNTIFS($A$5:$A$404,A299,$D$5:$D$404,"Có")&lt;&gt;0,"Choice tương tác không được đánh dấu đáp án đúng",""),"Choice chưa chọn loại")))))))</f>
        <v/>
      </c>
    </row>
    <row r="300" spans="1:11">
      <c r="A300" s="13"/>
      <c r="B300" s="13"/>
      <c r="C300" s="5"/>
      <c r="D300" s="13"/>
      <c r="E300" s="13"/>
      <c r="F300" s="13"/>
      <c r="G300" s="13"/>
      <c r="H300" s="5"/>
      <c r="I300" s="5"/>
      <c r="J300" s="6" t="str">
        <f t="shared" si="4"/>
        <v/>
      </c>
      <c r="K300" s="6" t="str">
        <f>IF(A300="","",IF(COUNTIFS('02_KICH_BAN_NODES'!$B$5:$B$204,A300,'02_KICH_BAN_NODES'!$D$5:$D$204,"choice")=0,"ChoiceNodeId không tồn tại hoặc không phải choice",IF(COUNTIFS($A$5:$A$404,A300,$B$5:$B$404,B300)&gt;1,"Trùng OptionOrder trong cùng choice",IF(OR(B300="",C300="",D300="",F300="",H300=""),"Thiếu trường bắt buộc",IF(OR(COUNTIF($A$5:$A$404,A300)&lt;2,COUNTIF($A$5:$A$404,A300)&gt;4),"Mỗi choice cần 2–4 option",IF(COUNTIFS('02_KICH_BAN_NODES'!$B$5:$B$204,A300,'02_KICH_BAN_NODES'!$E$5:$E$204,"Kiến thức")=1,IF(COUNTIFS($A$5:$A$404,A300,$D$5:$D$404,"Có")&lt;&gt;1,"Choice kiến thức cần đúng 1 đáp án đúng",""),IF(COUNTIFS('02_KICH_BAN_NODES'!$B$5:$B$204,A300,'02_KICH_BAN_NODES'!$E$5:$E$204,"Tương tác")=1,IF(COUNTIFS($A$5:$A$404,A300,$D$5:$D$404,"Có")&lt;&gt;0,"Choice tương tác không được đánh dấu đáp án đúng",""),"Choice chưa chọn loại")))))))</f>
        <v/>
      </c>
    </row>
    <row r="301" spans="1:11">
      <c r="A301" s="13"/>
      <c r="B301" s="13"/>
      <c r="C301" s="5"/>
      <c r="D301" s="13"/>
      <c r="E301" s="13"/>
      <c r="F301" s="13"/>
      <c r="G301" s="13"/>
      <c r="H301" s="5"/>
      <c r="I301" s="5"/>
      <c r="J301" s="6" t="str">
        <f t="shared" si="4"/>
        <v/>
      </c>
      <c r="K301" s="6" t="str">
        <f>IF(A301="","",IF(COUNTIFS('02_KICH_BAN_NODES'!$B$5:$B$204,A301,'02_KICH_BAN_NODES'!$D$5:$D$204,"choice")=0,"ChoiceNodeId không tồn tại hoặc không phải choice",IF(COUNTIFS($A$5:$A$404,A301,$B$5:$B$404,B301)&gt;1,"Trùng OptionOrder trong cùng choice",IF(OR(B301="",C301="",D301="",F301="",H301=""),"Thiếu trường bắt buộc",IF(OR(COUNTIF($A$5:$A$404,A301)&lt;2,COUNTIF($A$5:$A$404,A301)&gt;4),"Mỗi choice cần 2–4 option",IF(COUNTIFS('02_KICH_BAN_NODES'!$B$5:$B$204,A301,'02_KICH_BAN_NODES'!$E$5:$E$204,"Kiến thức")=1,IF(COUNTIFS($A$5:$A$404,A301,$D$5:$D$404,"Có")&lt;&gt;1,"Choice kiến thức cần đúng 1 đáp án đúng",""),IF(COUNTIFS('02_KICH_BAN_NODES'!$B$5:$B$204,A301,'02_KICH_BAN_NODES'!$E$5:$E$204,"Tương tác")=1,IF(COUNTIFS($A$5:$A$404,A301,$D$5:$D$404,"Có")&lt;&gt;0,"Choice tương tác không được đánh dấu đáp án đúng",""),"Choice chưa chọn loại")))))))</f>
        <v/>
      </c>
    </row>
    <row r="302" spans="1:11">
      <c r="A302" s="13"/>
      <c r="B302" s="13"/>
      <c r="C302" s="5"/>
      <c r="D302" s="13"/>
      <c r="E302" s="13"/>
      <c r="F302" s="13"/>
      <c r="G302" s="13"/>
      <c r="H302" s="5"/>
      <c r="I302" s="5"/>
      <c r="J302" s="6" t="str">
        <f t="shared" si="4"/>
        <v/>
      </c>
      <c r="K302" s="6" t="str">
        <f>IF(A302="","",IF(COUNTIFS('02_KICH_BAN_NODES'!$B$5:$B$204,A302,'02_KICH_BAN_NODES'!$D$5:$D$204,"choice")=0,"ChoiceNodeId không tồn tại hoặc không phải choice",IF(COUNTIFS($A$5:$A$404,A302,$B$5:$B$404,B302)&gt;1,"Trùng OptionOrder trong cùng choice",IF(OR(B302="",C302="",D302="",F302="",H302=""),"Thiếu trường bắt buộc",IF(OR(COUNTIF($A$5:$A$404,A302)&lt;2,COUNTIF($A$5:$A$404,A302)&gt;4),"Mỗi choice cần 2–4 option",IF(COUNTIFS('02_KICH_BAN_NODES'!$B$5:$B$204,A302,'02_KICH_BAN_NODES'!$E$5:$E$204,"Kiến thức")=1,IF(COUNTIFS($A$5:$A$404,A302,$D$5:$D$404,"Có")&lt;&gt;1,"Choice kiến thức cần đúng 1 đáp án đúng",""),IF(COUNTIFS('02_KICH_BAN_NODES'!$B$5:$B$204,A302,'02_KICH_BAN_NODES'!$E$5:$E$204,"Tương tác")=1,IF(COUNTIFS($A$5:$A$404,A302,$D$5:$D$404,"Có")&lt;&gt;0,"Choice tương tác không được đánh dấu đáp án đúng",""),"Choice chưa chọn loại")))))))</f>
        <v/>
      </c>
    </row>
    <row r="303" spans="1:11">
      <c r="A303" s="13"/>
      <c r="B303" s="13"/>
      <c r="C303" s="5"/>
      <c r="D303" s="13"/>
      <c r="E303" s="13"/>
      <c r="F303" s="13"/>
      <c r="G303" s="13"/>
      <c r="H303" s="5"/>
      <c r="I303" s="5"/>
      <c r="J303" s="6" t="str">
        <f t="shared" si="4"/>
        <v/>
      </c>
      <c r="K303" s="6" t="str">
        <f>IF(A303="","",IF(COUNTIFS('02_KICH_BAN_NODES'!$B$5:$B$204,A303,'02_KICH_BAN_NODES'!$D$5:$D$204,"choice")=0,"ChoiceNodeId không tồn tại hoặc không phải choice",IF(COUNTIFS($A$5:$A$404,A303,$B$5:$B$404,B303)&gt;1,"Trùng OptionOrder trong cùng choice",IF(OR(B303="",C303="",D303="",F303="",H303=""),"Thiếu trường bắt buộc",IF(OR(COUNTIF($A$5:$A$404,A303)&lt;2,COUNTIF($A$5:$A$404,A303)&gt;4),"Mỗi choice cần 2–4 option",IF(COUNTIFS('02_KICH_BAN_NODES'!$B$5:$B$204,A303,'02_KICH_BAN_NODES'!$E$5:$E$204,"Kiến thức")=1,IF(COUNTIFS($A$5:$A$404,A303,$D$5:$D$404,"Có")&lt;&gt;1,"Choice kiến thức cần đúng 1 đáp án đúng",""),IF(COUNTIFS('02_KICH_BAN_NODES'!$B$5:$B$204,A303,'02_KICH_BAN_NODES'!$E$5:$E$204,"Tương tác")=1,IF(COUNTIFS($A$5:$A$404,A303,$D$5:$D$404,"Có")&lt;&gt;0,"Choice tương tác không được đánh dấu đáp án đúng",""),"Choice chưa chọn loại")))))))</f>
        <v/>
      </c>
    </row>
    <row r="304" spans="1:11">
      <c r="A304" s="13"/>
      <c r="B304" s="13"/>
      <c r="C304" s="5"/>
      <c r="D304" s="13"/>
      <c r="E304" s="13"/>
      <c r="F304" s="13"/>
      <c r="G304" s="13"/>
      <c r="H304" s="5"/>
      <c r="I304" s="5"/>
      <c r="J304" s="6" t="str">
        <f t="shared" si="4"/>
        <v/>
      </c>
      <c r="K304" s="6" t="str">
        <f>IF(A304="","",IF(COUNTIFS('02_KICH_BAN_NODES'!$B$5:$B$204,A304,'02_KICH_BAN_NODES'!$D$5:$D$204,"choice")=0,"ChoiceNodeId không tồn tại hoặc không phải choice",IF(COUNTIFS($A$5:$A$404,A304,$B$5:$B$404,B304)&gt;1,"Trùng OptionOrder trong cùng choice",IF(OR(B304="",C304="",D304="",F304="",H304=""),"Thiếu trường bắt buộc",IF(OR(COUNTIF($A$5:$A$404,A304)&lt;2,COUNTIF($A$5:$A$404,A304)&gt;4),"Mỗi choice cần 2–4 option",IF(COUNTIFS('02_KICH_BAN_NODES'!$B$5:$B$204,A304,'02_KICH_BAN_NODES'!$E$5:$E$204,"Kiến thức")=1,IF(COUNTIFS($A$5:$A$404,A304,$D$5:$D$404,"Có")&lt;&gt;1,"Choice kiến thức cần đúng 1 đáp án đúng",""),IF(COUNTIFS('02_KICH_BAN_NODES'!$B$5:$B$204,A304,'02_KICH_BAN_NODES'!$E$5:$E$204,"Tương tác")=1,IF(COUNTIFS($A$5:$A$404,A304,$D$5:$D$404,"Có")&lt;&gt;0,"Choice tương tác không được đánh dấu đáp án đúng",""),"Choice chưa chọn loại")))))))</f>
        <v/>
      </c>
    </row>
    <row r="305" spans="1:11">
      <c r="A305" s="13"/>
      <c r="B305" s="13"/>
      <c r="C305" s="5"/>
      <c r="D305" s="13"/>
      <c r="E305" s="13"/>
      <c r="F305" s="13"/>
      <c r="G305" s="13"/>
      <c r="H305" s="5"/>
      <c r="I305" s="5"/>
      <c r="J305" s="6" t="str">
        <f t="shared" si="4"/>
        <v/>
      </c>
      <c r="K305" s="6" t="str">
        <f>IF(A305="","",IF(COUNTIFS('02_KICH_BAN_NODES'!$B$5:$B$204,A305,'02_KICH_BAN_NODES'!$D$5:$D$204,"choice")=0,"ChoiceNodeId không tồn tại hoặc không phải choice",IF(COUNTIFS($A$5:$A$404,A305,$B$5:$B$404,B305)&gt;1,"Trùng OptionOrder trong cùng choice",IF(OR(B305="",C305="",D305="",F305="",H305=""),"Thiếu trường bắt buộc",IF(OR(COUNTIF($A$5:$A$404,A305)&lt;2,COUNTIF($A$5:$A$404,A305)&gt;4),"Mỗi choice cần 2–4 option",IF(COUNTIFS('02_KICH_BAN_NODES'!$B$5:$B$204,A305,'02_KICH_BAN_NODES'!$E$5:$E$204,"Kiến thức")=1,IF(COUNTIFS($A$5:$A$404,A305,$D$5:$D$404,"Có")&lt;&gt;1,"Choice kiến thức cần đúng 1 đáp án đúng",""),IF(COUNTIFS('02_KICH_BAN_NODES'!$B$5:$B$204,A305,'02_KICH_BAN_NODES'!$E$5:$E$204,"Tương tác")=1,IF(COUNTIFS($A$5:$A$404,A305,$D$5:$D$404,"Có")&lt;&gt;0,"Choice tương tác không được đánh dấu đáp án đúng",""),"Choice chưa chọn loại")))))))</f>
        <v/>
      </c>
    </row>
    <row r="306" spans="1:11">
      <c r="A306" s="13"/>
      <c r="B306" s="13"/>
      <c r="C306" s="5"/>
      <c r="D306" s="13"/>
      <c r="E306" s="13"/>
      <c r="F306" s="13"/>
      <c r="G306" s="13"/>
      <c r="H306" s="5"/>
      <c r="I306" s="5"/>
      <c r="J306" s="6" t="str">
        <f t="shared" si="4"/>
        <v/>
      </c>
      <c r="K306" s="6" t="str">
        <f>IF(A306="","",IF(COUNTIFS('02_KICH_BAN_NODES'!$B$5:$B$204,A306,'02_KICH_BAN_NODES'!$D$5:$D$204,"choice")=0,"ChoiceNodeId không tồn tại hoặc không phải choice",IF(COUNTIFS($A$5:$A$404,A306,$B$5:$B$404,B306)&gt;1,"Trùng OptionOrder trong cùng choice",IF(OR(B306="",C306="",D306="",F306="",H306=""),"Thiếu trường bắt buộc",IF(OR(COUNTIF($A$5:$A$404,A306)&lt;2,COUNTIF($A$5:$A$404,A306)&gt;4),"Mỗi choice cần 2–4 option",IF(COUNTIFS('02_KICH_BAN_NODES'!$B$5:$B$204,A306,'02_KICH_BAN_NODES'!$E$5:$E$204,"Kiến thức")=1,IF(COUNTIFS($A$5:$A$404,A306,$D$5:$D$404,"Có")&lt;&gt;1,"Choice kiến thức cần đúng 1 đáp án đúng",""),IF(COUNTIFS('02_KICH_BAN_NODES'!$B$5:$B$204,A306,'02_KICH_BAN_NODES'!$E$5:$E$204,"Tương tác")=1,IF(COUNTIFS($A$5:$A$404,A306,$D$5:$D$404,"Có")&lt;&gt;0,"Choice tương tác không được đánh dấu đáp án đúng",""),"Choice chưa chọn loại")))))))</f>
        <v/>
      </c>
    </row>
    <row r="307" spans="1:11">
      <c r="A307" s="13"/>
      <c r="B307" s="13"/>
      <c r="C307" s="5"/>
      <c r="D307" s="13"/>
      <c r="E307" s="13"/>
      <c r="F307" s="13"/>
      <c r="G307" s="13"/>
      <c r="H307" s="5"/>
      <c r="I307" s="5"/>
      <c r="J307" s="6" t="str">
        <f t="shared" si="4"/>
        <v/>
      </c>
      <c r="K307" s="6" t="str">
        <f>IF(A307="","",IF(COUNTIFS('02_KICH_BAN_NODES'!$B$5:$B$204,A307,'02_KICH_BAN_NODES'!$D$5:$D$204,"choice")=0,"ChoiceNodeId không tồn tại hoặc không phải choice",IF(COUNTIFS($A$5:$A$404,A307,$B$5:$B$404,B307)&gt;1,"Trùng OptionOrder trong cùng choice",IF(OR(B307="",C307="",D307="",F307="",H307=""),"Thiếu trường bắt buộc",IF(OR(COUNTIF($A$5:$A$404,A307)&lt;2,COUNTIF($A$5:$A$404,A307)&gt;4),"Mỗi choice cần 2–4 option",IF(COUNTIFS('02_KICH_BAN_NODES'!$B$5:$B$204,A307,'02_KICH_BAN_NODES'!$E$5:$E$204,"Kiến thức")=1,IF(COUNTIFS($A$5:$A$404,A307,$D$5:$D$404,"Có")&lt;&gt;1,"Choice kiến thức cần đúng 1 đáp án đúng",""),IF(COUNTIFS('02_KICH_BAN_NODES'!$B$5:$B$204,A307,'02_KICH_BAN_NODES'!$E$5:$E$204,"Tương tác")=1,IF(COUNTIFS($A$5:$A$404,A307,$D$5:$D$404,"Có")&lt;&gt;0,"Choice tương tác không được đánh dấu đáp án đúng",""),"Choice chưa chọn loại")))))))</f>
        <v/>
      </c>
    </row>
    <row r="308" spans="1:11">
      <c r="A308" s="13"/>
      <c r="B308" s="13"/>
      <c r="C308" s="5"/>
      <c r="D308" s="13"/>
      <c r="E308" s="13"/>
      <c r="F308" s="13"/>
      <c r="G308" s="13"/>
      <c r="H308" s="5"/>
      <c r="I308" s="5"/>
      <c r="J308" s="6" t="str">
        <f t="shared" si="4"/>
        <v/>
      </c>
      <c r="K308" s="6" t="str">
        <f>IF(A308="","",IF(COUNTIFS('02_KICH_BAN_NODES'!$B$5:$B$204,A308,'02_KICH_BAN_NODES'!$D$5:$D$204,"choice")=0,"ChoiceNodeId không tồn tại hoặc không phải choice",IF(COUNTIFS($A$5:$A$404,A308,$B$5:$B$404,B308)&gt;1,"Trùng OptionOrder trong cùng choice",IF(OR(B308="",C308="",D308="",F308="",H308=""),"Thiếu trường bắt buộc",IF(OR(COUNTIF($A$5:$A$404,A308)&lt;2,COUNTIF($A$5:$A$404,A308)&gt;4),"Mỗi choice cần 2–4 option",IF(COUNTIFS('02_KICH_BAN_NODES'!$B$5:$B$204,A308,'02_KICH_BAN_NODES'!$E$5:$E$204,"Kiến thức")=1,IF(COUNTIFS($A$5:$A$404,A308,$D$5:$D$404,"Có")&lt;&gt;1,"Choice kiến thức cần đúng 1 đáp án đúng",""),IF(COUNTIFS('02_KICH_BAN_NODES'!$B$5:$B$204,A308,'02_KICH_BAN_NODES'!$E$5:$E$204,"Tương tác")=1,IF(COUNTIFS($A$5:$A$404,A308,$D$5:$D$404,"Có")&lt;&gt;0,"Choice tương tác không được đánh dấu đáp án đúng",""),"Choice chưa chọn loại")))))))</f>
        <v/>
      </c>
    </row>
    <row r="309" spans="1:11">
      <c r="A309" s="13"/>
      <c r="B309" s="13"/>
      <c r="C309" s="5"/>
      <c r="D309" s="13"/>
      <c r="E309" s="13"/>
      <c r="F309" s="13"/>
      <c r="G309" s="13"/>
      <c r="H309" s="5"/>
      <c r="I309" s="5"/>
      <c r="J309" s="6" t="str">
        <f t="shared" si="4"/>
        <v/>
      </c>
      <c r="K309" s="6" t="str">
        <f>IF(A309="","",IF(COUNTIFS('02_KICH_BAN_NODES'!$B$5:$B$204,A309,'02_KICH_BAN_NODES'!$D$5:$D$204,"choice")=0,"ChoiceNodeId không tồn tại hoặc không phải choice",IF(COUNTIFS($A$5:$A$404,A309,$B$5:$B$404,B309)&gt;1,"Trùng OptionOrder trong cùng choice",IF(OR(B309="",C309="",D309="",F309="",H309=""),"Thiếu trường bắt buộc",IF(OR(COUNTIF($A$5:$A$404,A309)&lt;2,COUNTIF($A$5:$A$404,A309)&gt;4),"Mỗi choice cần 2–4 option",IF(COUNTIFS('02_KICH_BAN_NODES'!$B$5:$B$204,A309,'02_KICH_BAN_NODES'!$E$5:$E$204,"Kiến thức")=1,IF(COUNTIFS($A$5:$A$404,A309,$D$5:$D$404,"Có")&lt;&gt;1,"Choice kiến thức cần đúng 1 đáp án đúng",""),IF(COUNTIFS('02_KICH_BAN_NODES'!$B$5:$B$204,A309,'02_KICH_BAN_NODES'!$E$5:$E$204,"Tương tác")=1,IF(COUNTIFS($A$5:$A$404,A309,$D$5:$D$404,"Có")&lt;&gt;0,"Choice tương tác không được đánh dấu đáp án đúng",""),"Choice chưa chọn loại")))))))</f>
        <v/>
      </c>
    </row>
    <row r="310" spans="1:11">
      <c r="A310" s="13"/>
      <c r="B310" s="13"/>
      <c r="C310" s="5"/>
      <c r="D310" s="13"/>
      <c r="E310" s="13"/>
      <c r="F310" s="13"/>
      <c r="G310" s="13"/>
      <c r="H310" s="5"/>
      <c r="I310" s="5"/>
      <c r="J310" s="6" t="str">
        <f t="shared" si="4"/>
        <v/>
      </c>
      <c r="K310" s="6" t="str">
        <f>IF(A310="","",IF(COUNTIFS('02_KICH_BAN_NODES'!$B$5:$B$204,A310,'02_KICH_BAN_NODES'!$D$5:$D$204,"choice")=0,"ChoiceNodeId không tồn tại hoặc không phải choice",IF(COUNTIFS($A$5:$A$404,A310,$B$5:$B$404,B310)&gt;1,"Trùng OptionOrder trong cùng choice",IF(OR(B310="",C310="",D310="",F310="",H310=""),"Thiếu trường bắt buộc",IF(OR(COUNTIF($A$5:$A$404,A310)&lt;2,COUNTIF($A$5:$A$404,A310)&gt;4),"Mỗi choice cần 2–4 option",IF(COUNTIFS('02_KICH_BAN_NODES'!$B$5:$B$204,A310,'02_KICH_BAN_NODES'!$E$5:$E$204,"Kiến thức")=1,IF(COUNTIFS($A$5:$A$404,A310,$D$5:$D$404,"Có")&lt;&gt;1,"Choice kiến thức cần đúng 1 đáp án đúng",""),IF(COUNTIFS('02_KICH_BAN_NODES'!$B$5:$B$204,A310,'02_KICH_BAN_NODES'!$E$5:$E$204,"Tương tác")=1,IF(COUNTIFS($A$5:$A$404,A310,$D$5:$D$404,"Có")&lt;&gt;0,"Choice tương tác không được đánh dấu đáp án đúng",""),"Choice chưa chọn loại")))))))</f>
        <v/>
      </c>
    </row>
    <row r="311" spans="1:11">
      <c r="A311" s="13"/>
      <c r="B311" s="13"/>
      <c r="C311" s="5"/>
      <c r="D311" s="13"/>
      <c r="E311" s="13"/>
      <c r="F311" s="13"/>
      <c r="G311" s="13"/>
      <c r="H311" s="5"/>
      <c r="I311" s="5"/>
      <c r="J311" s="6" t="str">
        <f t="shared" si="4"/>
        <v/>
      </c>
      <c r="K311" s="6" t="str">
        <f>IF(A311="","",IF(COUNTIFS('02_KICH_BAN_NODES'!$B$5:$B$204,A311,'02_KICH_BAN_NODES'!$D$5:$D$204,"choice")=0,"ChoiceNodeId không tồn tại hoặc không phải choice",IF(COUNTIFS($A$5:$A$404,A311,$B$5:$B$404,B311)&gt;1,"Trùng OptionOrder trong cùng choice",IF(OR(B311="",C311="",D311="",F311="",H311=""),"Thiếu trường bắt buộc",IF(OR(COUNTIF($A$5:$A$404,A311)&lt;2,COUNTIF($A$5:$A$404,A311)&gt;4),"Mỗi choice cần 2–4 option",IF(COUNTIFS('02_KICH_BAN_NODES'!$B$5:$B$204,A311,'02_KICH_BAN_NODES'!$E$5:$E$204,"Kiến thức")=1,IF(COUNTIFS($A$5:$A$404,A311,$D$5:$D$404,"Có")&lt;&gt;1,"Choice kiến thức cần đúng 1 đáp án đúng",""),IF(COUNTIFS('02_KICH_BAN_NODES'!$B$5:$B$204,A311,'02_KICH_BAN_NODES'!$E$5:$E$204,"Tương tác")=1,IF(COUNTIFS($A$5:$A$404,A311,$D$5:$D$404,"Có")&lt;&gt;0,"Choice tương tác không được đánh dấu đáp án đúng",""),"Choice chưa chọn loại")))))))</f>
        <v/>
      </c>
    </row>
    <row r="312" spans="1:11">
      <c r="A312" s="13"/>
      <c r="B312" s="13"/>
      <c r="C312" s="5"/>
      <c r="D312" s="13"/>
      <c r="E312" s="13"/>
      <c r="F312" s="13"/>
      <c r="G312" s="13"/>
      <c r="H312" s="5"/>
      <c r="I312" s="5"/>
      <c r="J312" s="6" t="str">
        <f t="shared" si="4"/>
        <v/>
      </c>
      <c r="K312" s="6" t="str">
        <f>IF(A312="","",IF(COUNTIFS('02_KICH_BAN_NODES'!$B$5:$B$204,A312,'02_KICH_BAN_NODES'!$D$5:$D$204,"choice")=0,"ChoiceNodeId không tồn tại hoặc không phải choice",IF(COUNTIFS($A$5:$A$404,A312,$B$5:$B$404,B312)&gt;1,"Trùng OptionOrder trong cùng choice",IF(OR(B312="",C312="",D312="",F312="",H312=""),"Thiếu trường bắt buộc",IF(OR(COUNTIF($A$5:$A$404,A312)&lt;2,COUNTIF($A$5:$A$404,A312)&gt;4),"Mỗi choice cần 2–4 option",IF(COUNTIFS('02_KICH_BAN_NODES'!$B$5:$B$204,A312,'02_KICH_BAN_NODES'!$E$5:$E$204,"Kiến thức")=1,IF(COUNTIFS($A$5:$A$404,A312,$D$5:$D$404,"Có")&lt;&gt;1,"Choice kiến thức cần đúng 1 đáp án đúng",""),IF(COUNTIFS('02_KICH_BAN_NODES'!$B$5:$B$204,A312,'02_KICH_BAN_NODES'!$E$5:$E$204,"Tương tác")=1,IF(COUNTIFS($A$5:$A$404,A312,$D$5:$D$404,"Có")&lt;&gt;0,"Choice tương tác không được đánh dấu đáp án đúng",""),"Choice chưa chọn loại")))))))</f>
        <v/>
      </c>
    </row>
    <row r="313" spans="1:11">
      <c r="A313" s="13"/>
      <c r="B313" s="13"/>
      <c r="C313" s="5"/>
      <c r="D313" s="13"/>
      <c r="E313" s="13"/>
      <c r="F313" s="13"/>
      <c r="G313" s="13"/>
      <c r="H313" s="5"/>
      <c r="I313" s="5"/>
      <c r="J313" s="6" t="str">
        <f t="shared" si="4"/>
        <v/>
      </c>
      <c r="K313" s="6" t="str">
        <f>IF(A313="","",IF(COUNTIFS('02_KICH_BAN_NODES'!$B$5:$B$204,A313,'02_KICH_BAN_NODES'!$D$5:$D$204,"choice")=0,"ChoiceNodeId không tồn tại hoặc không phải choice",IF(COUNTIFS($A$5:$A$404,A313,$B$5:$B$404,B313)&gt;1,"Trùng OptionOrder trong cùng choice",IF(OR(B313="",C313="",D313="",F313="",H313=""),"Thiếu trường bắt buộc",IF(OR(COUNTIF($A$5:$A$404,A313)&lt;2,COUNTIF($A$5:$A$404,A313)&gt;4),"Mỗi choice cần 2–4 option",IF(COUNTIFS('02_KICH_BAN_NODES'!$B$5:$B$204,A313,'02_KICH_BAN_NODES'!$E$5:$E$204,"Kiến thức")=1,IF(COUNTIFS($A$5:$A$404,A313,$D$5:$D$404,"Có")&lt;&gt;1,"Choice kiến thức cần đúng 1 đáp án đúng",""),IF(COUNTIFS('02_KICH_BAN_NODES'!$B$5:$B$204,A313,'02_KICH_BAN_NODES'!$E$5:$E$204,"Tương tác")=1,IF(COUNTIFS($A$5:$A$404,A313,$D$5:$D$404,"Có")&lt;&gt;0,"Choice tương tác không được đánh dấu đáp án đúng",""),"Choice chưa chọn loại")))))))</f>
        <v/>
      </c>
    </row>
    <row r="314" spans="1:11">
      <c r="A314" s="13"/>
      <c r="B314" s="13"/>
      <c r="C314" s="5"/>
      <c r="D314" s="13"/>
      <c r="E314" s="13"/>
      <c r="F314" s="13"/>
      <c r="G314" s="13"/>
      <c r="H314" s="5"/>
      <c r="I314" s="5"/>
      <c r="J314" s="6" t="str">
        <f t="shared" si="4"/>
        <v/>
      </c>
      <c r="K314" s="6" t="str">
        <f>IF(A314="","",IF(COUNTIFS('02_KICH_BAN_NODES'!$B$5:$B$204,A314,'02_KICH_BAN_NODES'!$D$5:$D$204,"choice")=0,"ChoiceNodeId không tồn tại hoặc không phải choice",IF(COUNTIFS($A$5:$A$404,A314,$B$5:$B$404,B314)&gt;1,"Trùng OptionOrder trong cùng choice",IF(OR(B314="",C314="",D314="",F314="",H314=""),"Thiếu trường bắt buộc",IF(OR(COUNTIF($A$5:$A$404,A314)&lt;2,COUNTIF($A$5:$A$404,A314)&gt;4),"Mỗi choice cần 2–4 option",IF(COUNTIFS('02_KICH_BAN_NODES'!$B$5:$B$204,A314,'02_KICH_BAN_NODES'!$E$5:$E$204,"Kiến thức")=1,IF(COUNTIFS($A$5:$A$404,A314,$D$5:$D$404,"Có")&lt;&gt;1,"Choice kiến thức cần đúng 1 đáp án đúng",""),IF(COUNTIFS('02_KICH_BAN_NODES'!$B$5:$B$204,A314,'02_KICH_BAN_NODES'!$E$5:$E$204,"Tương tác")=1,IF(COUNTIFS($A$5:$A$404,A314,$D$5:$D$404,"Có")&lt;&gt;0,"Choice tương tác không được đánh dấu đáp án đúng",""),"Choice chưa chọn loại")))))))</f>
        <v/>
      </c>
    </row>
    <row r="315" spans="1:11">
      <c r="A315" s="13"/>
      <c r="B315" s="13"/>
      <c r="C315" s="5"/>
      <c r="D315" s="13"/>
      <c r="E315" s="13"/>
      <c r="F315" s="13"/>
      <c r="G315" s="13"/>
      <c r="H315" s="5"/>
      <c r="I315" s="5"/>
      <c r="J315" s="6" t="str">
        <f t="shared" si="4"/>
        <v/>
      </c>
      <c r="K315" s="6" t="str">
        <f>IF(A315="","",IF(COUNTIFS('02_KICH_BAN_NODES'!$B$5:$B$204,A315,'02_KICH_BAN_NODES'!$D$5:$D$204,"choice")=0,"ChoiceNodeId không tồn tại hoặc không phải choice",IF(COUNTIFS($A$5:$A$404,A315,$B$5:$B$404,B315)&gt;1,"Trùng OptionOrder trong cùng choice",IF(OR(B315="",C315="",D315="",F315="",H315=""),"Thiếu trường bắt buộc",IF(OR(COUNTIF($A$5:$A$404,A315)&lt;2,COUNTIF($A$5:$A$404,A315)&gt;4),"Mỗi choice cần 2–4 option",IF(COUNTIFS('02_KICH_BAN_NODES'!$B$5:$B$204,A315,'02_KICH_BAN_NODES'!$E$5:$E$204,"Kiến thức")=1,IF(COUNTIFS($A$5:$A$404,A315,$D$5:$D$404,"Có")&lt;&gt;1,"Choice kiến thức cần đúng 1 đáp án đúng",""),IF(COUNTIFS('02_KICH_BAN_NODES'!$B$5:$B$204,A315,'02_KICH_BAN_NODES'!$E$5:$E$204,"Tương tác")=1,IF(COUNTIFS($A$5:$A$404,A315,$D$5:$D$404,"Có")&lt;&gt;0,"Choice tương tác không được đánh dấu đáp án đúng",""),"Choice chưa chọn loại")))))))</f>
        <v/>
      </c>
    </row>
    <row r="316" spans="1:11">
      <c r="A316" s="13"/>
      <c r="B316" s="13"/>
      <c r="C316" s="5"/>
      <c r="D316" s="13"/>
      <c r="E316" s="13"/>
      <c r="F316" s="13"/>
      <c r="G316" s="13"/>
      <c r="H316" s="5"/>
      <c r="I316" s="5"/>
      <c r="J316" s="6" t="str">
        <f t="shared" si="4"/>
        <v/>
      </c>
      <c r="K316" s="6" t="str">
        <f>IF(A316="","",IF(COUNTIFS('02_KICH_BAN_NODES'!$B$5:$B$204,A316,'02_KICH_BAN_NODES'!$D$5:$D$204,"choice")=0,"ChoiceNodeId không tồn tại hoặc không phải choice",IF(COUNTIFS($A$5:$A$404,A316,$B$5:$B$404,B316)&gt;1,"Trùng OptionOrder trong cùng choice",IF(OR(B316="",C316="",D316="",F316="",H316=""),"Thiếu trường bắt buộc",IF(OR(COUNTIF($A$5:$A$404,A316)&lt;2,COUNTIF($A$5:$A$404,A316)&gt;4),"Mỗi choice cần 2–4 option",IF(COUNTIFS('02_KICH_BAN_NODES'!$B$5:$B$204,A316,'02_KICH_BAN_NODES'!$E$5:$E$204,"Kiến thức")=1,IF(COUNTIFS($A$5:$A$404,A316,$D$5:$D$404,"Có")&lt;&gt;1,"Choice kiến thức cần đúng 1 đáp án đúng",""),IF(COUNTIFS('02_KICH_BAN_NODES'!$B$5:$B$204,A316,'02_KICH_BAN_NODES'!$E$5:$E$204,"Tương tác")=1,IF(COUNTIFS($A$5:$A$404,A316,$D$5:$D$404,"Có")&lt;&gt;0,"Choice tương tác không được đánh dấu đáp án đúng",""),"Choice chưa chọn loại")))))))</f>
        <v/>
      </c>
    </row>
    <row r="317" spans="1:11">
      <c r="A317" s="13"/>
      <c r="B317" s="13"/>
      <c r="C317" s="5"/>
      <c r="D317" s="13"/>
      <c r="E317" s="13"/>
      <c r="F317" s="13"/>
      <c r="G317" s="13"/>
      <c r="H317" s="5"/>
      <c r="I317" s="5"/>
      <c r="J317" s="6" t="str">
        <f t="shared" si="4"/>
        <v/>
      </c>
      <c r="K317" s="6" t="str">
        <f>IF(A317="","",IF(COUNTIFS('02_KICH_BAN_NODES'!$B$5:$B$204,A317,'02_KICH_BAN_NODES'!$D$5:$D$204,"choice")=0,"ChoiceNodeId không tồn tại hoặc không phải choice",IF(COUNTIFS($A$5:$A$404,A317,$B$5:$B$404,B317)&gt;1,"Trùng OptionOrder trong cùng choice",IF(OR(B317="",C317="",D317="",F317="",H317=""),"Thiếu trường bắt buộc",IF(OR(COUNTIF($A$5:$A$404,A317)&lt;2,COUNTIF($A$5:$A$404,A317)&gt;4),"Mỗi choice cần 2–4 option",IF(COUNTIFS('02_KICH_BAN_NODES'!$B$5:$B$204,A317,'02_KICH_BAN_NODES'!$E$5:$E$204,"Kiến thức")=1,IF(COUNTIFS($A$5:$A$404,A317,$D$5:$D$404,"Có")&lt;&gt;1,"Choice kiến thức cần đúng 1 đáp án đúng",""),IF(COUNTIFS('02_KICH_BAN_NODES'!$B$5:$B$204,A317,'02_KICH_BAN_NODES'!$E$5:$E$204,"Tương tác")=1,IF(COUNTIFS($A$5:$A$404,A317,$D$5:$D$404,"Có")&lt;&gt;0,"Choice tương tác không được đánh dấu đáp án đúng",""),"Choice chưa chọn loại")))))))</f>
        <v/>
      </c>
    </row>
    <row r="318" spans="1:11">
      <c r="A318" s="13"/>
      <c r="B318" s="13"/>
      <c r="C318" s="5"/>
      <c r="D318" s="13"/>
      <c r="E318" s="13"/>
      <c r="F318" s="13"/>
      <c r="G318" s="13"/>
      <c r="H318" s="5"/>
      <c r="I318" s="5"/>
      <c r="J318" s="6" t="str">
        <f t="shared" si="4"/>
        <v/>
      </c>
      <c r="K318" s="6" t="str">
        <f>IF(A318="","",IF(COUNTIFS('02_KICH_BAN_NODES'!$B$5:$B$204,A318,'02_KICH_BAN_NODES'!$D$5:$D$204,"choice")=0,"ChoiceNodeId không tồn tại hoặc không phải choice",IF(COUNTIFS($A$5:$A$404,A318,$B$5:$B$404,B318)&gt;1,"Trùng OptionOrder trong cùng choice",IF(OR(B318="",C318="",D318="",F318="",H318=""),"Thiếu trường bắt buộc",IF(OR(COUNTIF($A$5:$A$404,A318)&lt;2,COUNTIF($A$5:$A$404,A318)&gt;4),"Mỗi choice cần 2–4 option",IF(COUNTIFS('02_KICH_BAN_NODES'!$B$5:$B$204,A318,'02_KICH_BAN_NODES'!$E$5:$E$204,"Kiến thức")=1,IF(COUNTIFS($A$5:$A$404,A318,$D$5:$D$404,"Có")&lt;&gt;1,"Choice kiến thức cần đúng 1 đáp án đúng",""),IF(COUNTIFS('02_KICH_BAN_NODES'!$B$5:$B$204,A318,'02_KICH_BAN_NODES'!$E$5:$E$204,"Tương tác")=1,IF(COUNTIFS($A$5:$A$404,A318,$D$5:$D$404,"Có")&lt;&gt;0,"Choice tương tác không được đánh dấu đáp án đúng",""),"Choice chưa chọn loại")))))))</f>
        <v/>
      </c>
    </row>
    <row r="319" spans="1:11">
      <c r="A319" s="13"/>
      <c r="B319" s="13"/>
      <c r="C319" s="5"/>
      <c r="D319" s="13"/>
      <c r="E319" s="13"/>
      <c r="F319" s="13"/>
      <c r="G319" s="13"/>
      <c r="H319" s="5"/>
      <c r="I319" s="5"/>
      <c r="J319" s="6" t="str">
        <f t="shared" si="4"/>
        <v/>
      </c>
      <c r="K319" s="6" t="str">
        <f>IF(A319="","",IF(COUNTIFS('02_KICH_BAN_NODES'!$B$5:$B$204,A319,'02_KICH_BAN_NODES'!$D$5:$D$204,"choice")=0,"ChoiceNodeId không tồn tại hoặc không phải choice",IF(COUNTIFS($A$5:$A$404,A319,$B$5:$B$404,B319)&gt;1,"Trùng OptionOrder trong cùng choice",IF(OR(B319="",C319="",D319="",F319="",H319=""),"Thiếu trường bắt buộc",IF(OR(COUNTIF($A$5:$A$404,A319)&lt;2,COUNTIF($A$5:$A$404,A319)&gt;4),"Mỗi choice cần 2–4 option",IF(COUNTIFS('02_KICH_BAN_NODES'!$B$5:$B$204,A319,'02_KICH_BAN_NODES'!$E$5:$E$204,"Kiến thức")=1,IF(COUNTIFS($A$5:$A$404,A319,$D$5:$D$404,"Có")&lt;&gt;1,"Choice kiến thức cần đúng 1 đáp án đúng",""),IF(COUNTIFS('02_KICH_BAN_NODES'!$B$5:$B$204,A319,'02_KICH_BAN_NODES'!$E$5:$E$204,"Tương tác")=1,IF(COUNTIFS($A$5:$A$404,A319,$D$5:$D$404,"Có")&lt;&gt;0,"Choice tương tác không được đánh dấu đáp án đúng",""),"Choice chưa chọn loại")))))))</f>
        <v/>
      </c>
    </row>
    <row r="320" spans="1:11">
      <c r="A320" s="13"/>
      <c r="B320" s="13"/>
      <c r="C320" s="5"/>
      <c r="D320" s="13"/>
      <c r="E320" s="13"/>
      <c r="F320" s="13"/>
      <c r="G320" s="13"/>
      <c r="H320" s="5"/>
      <c r="I320" s="5"/>
      <c r="J320" s="6" t="str">
        <f t="shared" si="4"/>
        <v/>
      </c>
      <c r="K320" s="6" t="str">
        <f>IF(A320="","",IF(COUNTIFS('02_KICH_BAN_NODES'!$B$5:$B$204,A320,'02_KICH_BAN_NODES'!$D$5:$D$204,"choice")=0,"ChoiceNodeId không tồn tại hoặc không phải choice",IF(COUNTIFS($A$5:$A$404,A320,$B$5:$B$404,B320)&gt;1,"Trùng OptionOrder trong cùng choice",IF(OR(B320="",C320="",D320="",F320="",H320=""),"Thiếu trường bắt buộc",IF(OR(COUNTIF($A$5:$A$404,A320)&lt;2,COUNTIF($A$5:$A$404,A320)&gt;4),"Mỗi choice cần 2–4 option",IF(COUNTIFS('02_KICH_BAN_NODES'!$B$5:$B$204,A320,'02_KICH_BAN_NODES'!$E$5:$E$204,"Kiến thức")=1,IF(COUNTIFS($A$5:$A$404,A320,$D$5:$D$404,"Có")&lt;&gt;1,"Choice kiến thức cần đúng 1 đáp án đúng",""),IF(COUNTIFS('02_KICH_BAN_NODES'!$B$5:$B$204,A320,'02_KICH_BAN_NODES'!$E$5:$E$204,"Tương tác")=1,IF(COUNTIFS($A$5:$A$404,A320,$D$5:$D$404,"Có")&lt;&gt;0,"Choice tương tác không được đánh dấu đáp án đúng",""),"Choice chưa chọn loại")))))))</f>
        <v/>
      </c>
    </row>
    <row r="321" spans="1:11">
      <c r="A321" s="13"/>
      <c r="B321" s="13"/>
      <c r="C321" s="5"/>
      <c r="D321" s="13"/>
      <c r="E321" s="13"/>
      <c r="F321" s="13"/>
      <c r="G321" s="13"/>
      <c r="H321" s="5"/>
      <c r="I321" s="5"/>
      <c r="J321" s="6" t="str">
        <f t="shared" si="4"/>
        <v/>
      </c>
      <c r="K321" s="6" t="str">
        <f>IF(A321="","",IF(COUNTIFS('02_KICH_BAN_NODES'!$B$5:$B$204,A321,'02_KICH_BAN_NODES'!$D$5:$D$204,"choice")=0,"ChoiceNodeId không tồn tại hoặc không phải choice",IF(COUNTIFS($A$5:$A$404,A321,$B$5:$B$404,B321)&gt;1,"Trùng OptionOrder trong cùng choice",IF(OR(B321="",C321="",D321="",F321="",H321=""),"Thiếu trường bắt buộc",IF(OR(COUNTIF($A$5:$A$404,A321)&lt;2,COUNTIF($A$5:$A$404,A321)&gt;4),"Mỗi choice cần 2–4 option",IF(COUNTIFS('02_KICH_BAN_NODES'!$B$5:$B$204,A321,'02_KICH_BAN_NODES'!$E$5:$E$204,"Kiến thức")=1,IF(COUNTIFS($A$5:$A$404,A321,$D$5:$D$404,"Có")&lt;&gt;1,"Choice kiến thức cần đúng 1 đáp án đúng",""),IF(COUNTIFS('02_KICH_BAN_NODES'!$B$5:$B$204,A321,'02_KICH_BAN_NODES'!$E$5:$E$204,"Tương tác")=1,IF(COUNTIFS($A$5:$A$404,A321,$D$5:$D$404,"Có")&lt;&gt;0,"Choice tương tác không được đánh dấu đáp án đúng",""),"Choice chưa chọn loại")))))))</f>
        <v/>
      </c>
    </row>
    <row r="322" spans="1:11">
      <c r="A322" s="13"/>
      <c r="B322" s="13"/>
      <c r="C322" s="5"/>
      <c r="D322" s="13"/>
      <c r="E322" s="13"/>
      <c r="F322" s="13"/>
      <c r="G322" s="13"/>
      <c r="H322" s="5"/>
      <c r="I322" s="5"/>
      <c r="J322" s="6" t="str">
        <f t="shared" si="4"/>
        <v/>
      </c>
      <c r="K322" s="6" t="str">
        <f>IF(A322="","",IF(COUNTIFS('02_KICH_BAN_NODES'!$B$5:$B$204,A322,'02_KICH_BAN_NODES'!$D$5:$D$204,"choice")=0,"ChoiceNodeId không tồn tại hoặc không phải choice",IF(COUNTIFS($A$5:$A$404,A322,$B$5:$B$404,B322)&gt;1,"Trùng OptionOrder trong cùng choice",IF(OR(B322="",C322="",D322="",F322="",H322=""),"Thiếu trường bắt buộc",IF(OR(COUNTIF($A$5:$A$404,A322)&lt;2,COUNTIF($A$5:$A$404,A322)&gt;4),"Mỗi choice cần 2–4 option",IF(COUNTIFS('02_KICH_BAN_NODES'!$B$5:$B$204,A322,'02_KICH_BAN_NODES'!$E$5:$E$204,"Kiến thức")=1,IF(COUNTIFS($A$5:$A$404,A322,$D$5:$D$404,"Có")&lt;&gt;1,"Choice kiến thức cần đúng 1 đáp án đúng",""),IF(COUNTIFS('02_KICH_BAN_NODES'!$B$5:$B$204,A322,'02_KICH_BAN_NODES'!$E$5:$E$204,"Tương tác")=1,IF(COUNTIFS($A$5:$A$404,A322,$D$5:$D$404,"Có")&lt;&gt;0,"Choice tương tác không được đánh dấu đáp án đúng",""),"Choice chưa chọn loại")))))))</f>
        <v/>
      </c>
    </row>
    <row r="323" spans="1:11">
      <c r="A323" s="13"/>
      <c r="B323" s="13"/>
      <c r="C323" s="5"/>
      <c r="D323" s="13"/>
      <c r="E323" s="13"/>
      <c r="F323" s="13"/>
      <c r="G323" s="13"/>
      <c r="H323" s="5"/>
      <c r="I323" s="5"/>
      <c r="J323" s="6" t="str">
        <f t="shared" si="4"/>
        <v/>
      </c>
      <c r="K323" s="6" t="str">
        <f>IF(A323="","",IF(COUNTIFS('02_KICH_BAN_NODES'!$B$5:$B$204,A323,'02_KICH_BAN_NODES'!$D$5:$D$204,"choice")=0,"ChoiceNodeId không tồn tại hoặc không phải choice",IF(COUNTIFS($A$5:$A$404,A323,$B$5:$B$404,B323)&gt;1,"Trùng OptionOrder trong cùng choice",IF(OR(B323="",C323="",D323="",F323="",H323=""),"Thiếu trường bắt buộc",IF(OR(COUNTIF($A$5:$A$404,A323)&lt;2,COUNTIF($A$5:$A$404,A323)&gt;4),"Mỗi choice cần 2–4 option",IF(COUNTIFS('02_KICH_BAN_NODES'!$B$5:$B$204,A323,'02_KICH_BAN_NODES'!$E$5:$E$204,"Kiến thức")=1,IF(COUNTIFS($A$5:$A$404,A323,$D$5:$D$404,"Có")&lt;&gt;1,"Choice kiến thức cần đúng 1 đáp án đúng",""),IF(COUNTIFS('02_KICH_BAN_NODES'!$B$5:$B$204,A323,'02_KICH_BAN_NODES'!$E$5:$E$204,"Tương tác")=1,IF(COUNTIFS($A$5:$A$404,A323,$D$5:$D$404,"Có")&lt;&gt;0,"Choice tương tác không được đánh dấu đáp án đúng",""),"Choice chưa chọn loại")))))))</f>
        <v/>
      </c>
    </row>
    <row r="324" spans="1:11">
      <c r="A324" s="13"/>
      <c r="B324" s="13"/>
      <c r="C324" s="5"/>
      <c r="D324" s="13"/>
      <c r="E324" s="13"/>
      <c r="F324" s="13"/>
      <c r="G324" s="13"/>
      <c r="H324" s="5"/>
      <c r="I324" s="5"/>
      <c r="J324" s="6" t="str">
        <f t="shared" si="4"/>
        <v/>
      </c>
      <c r="K324" s="6" t="str">
        <f>IF(A324="","",IF(COUNTIFS('02_KICH_BAN_NODES'!$B$5:$B$204,A324,'02_KICH_BAN_NODES'!$D$5:$D$204,"choice")=0,"ChoiceNodeId không tồn tại hoặc không phải choice",IF(COUNTIFS($A$5:$A$404,A324,$B$5:$B$404,B324)&gt;1,"Trùng OptionOrder trong cùng choice",IF(OR(B324="",C324="",D324="",F324="",H324=""),"Thiếu trường bắt buộc",IF(OR(COUNTIF($A$5:$A$404,A324)&lt;2,COUNTIF($A$5:$A$404,A324)&gt;4),"Mỗi choice cần 2–4 option",IF(COUNTIFS('02_KICH_BAN_NODES'!$B$5:$B$204,A324,'02_KICH_BAN_NODES'!$E$5:$E$204,"Kiến thức")=1,IF(COUNTIFS($A$5:$A$404,A324,$D$5:$D$404,"Có")&lt;&gt;1,"Choice kiến thức cần đúng 1 đáp án đúng",""),IF(COUNTIFS('02_KICH_BAN_NODES'!$B$5:$B$204,A324,'02_KICH_BAN_NODES'!$E$5:$E$204,"Tương tác")=1,IF(COUNTIFS($A$5:$A$404,A324,$D$5:$D$404,"Có")&lt;&gt;0,"Choice tương tác không được đánh dấu đáp án đúng",""),"Choice chưa chọn loại")))))))</f>
        <v/>
      </c>
    </row>
    <row r="325" spans="1:11">
      <c r="A325" s="13"/>
      <c r="B325" s="13"/>
      <c r="C325" s="5"/>
      <c r="D325" s="13"/>
      <c r="E325" s="13"/>
      <c r="F325" s="13"/>
      <c r="G325" s="13"/>
      <c r="H325" s="5"/>
      <c r="I325" s="5"/>
      <c r="J325" s="6" t="str">
        <f t="shared" ref="J325:J388" si="5">IF(A325="","",IF(K325="","HỢP LỆ","CẦN SỬA"))</f>
        <v/>
      </c>
      <c r="K325" s="6" t="str">
        <f>IF(A325="","",IF(COUNTIFS('02_KICH_BAN_NODES'!$B$5:$B$204,A325,'02_KICH_BAN_NODES'!$D$5:$D$204,"choice")=0,"ChoiceNodeId không tồn tại hoặc không phải choice",IF(COUNTIFS($A$5:$A$404,A325,$B$5:$B$404,B325)&gt;1,"Trùng OptionOrder trong cùng choice",IF(OR(B325="",C325="",D325="",F325="",H325=""),"Thiếu trường bắt buộc",IF(OR(COUNTIF($A$5:$A$404,A325)&lt;2,COUNTIF($A$5:$A$404,A325)&gt;4),"Mỗi choice cần 2–4 option",IF(COUNTIFS('02_KICH_BAN_NODES'!$B$5:$B$204,A325,'02_KICH_BAN_NODES'!$E$5:$E$204,"Kiến thức")=1,IF(COUNTIFS($A$5:$A$404,A325,$D$5:$D$404,"Có")&lt;&gt;1,"Choice kiến thức cần đúng 1 đáp án đúng",""),IF(COUNTIFS('02_KICH_BAN_NODES'!$B$5:$B$204,A325,'02_KICH_BAN_NODES'!$E$5:$E$204,"Tương tác")=1,IF(COUNTIFS($A$5:$A$404,A325,$D$5:$D$404,"Có")&lt;&gt;0,"Choice tương tác không được đánh dấu đáp án đúng",""),"Choice chưa chọn loại")))))))</f>
        <v/>
      </c>
    </row>
    <row r="326" spans="1:11">
      <c r="A326" s="13"/>
      <c r="B326" s="13"/>
      <c r="C326" s="5"/>
      <c r="D326" s="13"/>
      <c r="E326" s="13"/>
      <c r="F326" s="13"/>
      <c r="G326" s="13"/>
      <c r="H326" s="5"/>
      <c r="I326" s="5"/>
      <c r="J326" s="6" t="str">
        <f t="shared" si="5"/>
        <v/>
      </c>
      <c r="K326" s="6" t="str">
        <f>IF(A326="","",IF(COUNTIFS('02_KICH_BAN_NODES'!$B$5:$B$204,A326,'02_KICH_BAN_NODES'!$D$5:$D$204,"choice")=0,"ChoiceNodeId không tồn tại hoặc không phải choice",IF(COUNTIFS($A$5:$A$404,A326,$B$5:$B$404,B326)&gt;1,"Trùng OptionOrder trong cùng choice",IF(OR(B326="",C326="",D326="",F326="",H326=""),"Thiếu trường bắt buộc",IF(OR(COUNTIF($A$5:$A$404,A326)&lt;2,COUNTIF($A$5:$A$404,A326)&gt;4),"Mỗi choice cần 2–4 option",IF(COUNTIFS('02_KICH_BAN_NODES'!$B$5:$B$204,A326,'02_KICH_BAN_NODES'!$E$5:$E$204,"Kiến thức")=1,IF(COUNTIFS($A$5:$A$404,A326,$D$5:$D$404,"Có")&lt;&gt;1,"Choice kiến thức cần đúng 1 đáp án đúng",""),IF(COUNTIFS('02_KICH_BAN_NODES'!$B$5:$B$204,A326,'02_KICH_BAN_NODES'!$E$5:$E$204,"Tương tác")=1,IF(COUNTIFS($A$5:$A$404,A326,$D$5:$D$404,"Có")&lt;&gt;0,"Choice tương tác không được đánh dấu đáp án đúng",""),"Choice chưa chọn loại")))))))</f>
        <v/>
      </c>
    </row>
    <row r="327" spans="1:11">
      <c r="A327" s="13"/>
      <c r="B327" s="13"/>
      <c r="C327" s="5"/>
      <c r="D327" s="13"/>
      <c r="E327" s="13"/>
      <c r="F327" s="13"/>
      <c r="G327" s="13"/>
      <c r="H327" s="5"/>
      <c r="I327" s="5"/>
      <c r="J327" s="6" t="str">
        <f t="shared" si="5"/>
        <v/>
      </c>
      <c r="K327" s="6" t="str">
        <f>IF(A327="","",IF(COUNTIFS('02_KICH_BAN_NODES'!$B$5:$B$204,A327,'02_KICH_BAN_NODES'!$D$5:$D$204,"choice")=0,"ChoiceNodeId không tồn tại hoặc không phải choice",IF(COUNTIFS($A$5:$A$404,A327,$B$5:$B$404,B327)&gt;1,"Trùng OptionOrder trong cùng choice",IF(OR(B327="",C327="",D327="",F327="",H327=""),"Thiếu trường bắt buộc",IF(OR(COUNTIF($A$5:$A$404,A327)&lt;2,COUNTIF($A$5:$A$404,A327)&gt;4),"Mỗi choice cần 2–4 option",IF(COUNTIFS('02_KICH_BAN_NODES'!$B$5:$B$204,A327,'02_KICH_BAN_NODES'!$E$5:$E$204,"Kiến thức")=1,IF(COUNTIFS($A$5:$A$404,A327,$D$5:$D$404,"Có")&lt;&gt;1,"Choice kiến thức cần đúng 1 đáp án đúng",""),IF(COUNTIFS('02_KICH_BAN_NODES'!$B$5:$B$204,A327,'02_KICH_BAN_NODES'!$E$5:$E$204,"Tương tác")=1,IF(COUNTIFS($A$5:$A$404,A327,$D$5:$D$404,"Có")&lt;&gt;0,"Choice tương tác không được đánh dấu đáp án đúng",""),"Choice chưa chọn loại")))))))</f>
        <v/>
      </c>
    </row>
    <row r="328" spans="1:11">
      <c r="A328" s="13"/>
      <c r="B328" s="13"/>
      <c r="C328" s="5"/>
      <c r="D328" s="13"/>
      <c r="E328" s="13"/>
      <c r="F328" s="13"/>
      <c r="G328" s="13"/>
      <c r="H328" s="5"/>
      <c r="I328" s="5"/>
      <c r="J328" s="6" t="str">
        <f t="shared" si="5"/>
        <v/>
      </c>
      <c r="K328" s="6" t="str">
        <f>IF(A328="","",IF(COUNTIFS('02_KICH_BAN_NODES'!$B$5:$B$204,A328,'02_KICH_BAN_NODES'!$D$5:$D$204,"choice")=0,"ChoiceNodeId không tồn tại hoặc không phải choice",IF(COUNTIFS($A$5:$A$404,A328,$B$5:$B$404,B328)&gt;1,"Trùng OptionOrder trong cùng choice",IF(OR(B328="",C328="",D328="",F328="",H328=""),"Thiếu trường bắt buộc",IF(OR(COUNTIF($A$5:$A$404,A328)&lt;2,COUNTIF($A$5:$A$404,A328)&gt;4),"Mỗi choice cần 2–4 option",IF(COUNTIFS('02_KICH_BAN_NODES'!$B$5:$B$204,A328,'02_KICH_BAN_NODES'!$E$5:$E$204,"Kiến thức")=1,IF(COUNTIFS($A$5:$A$404,A328,$D$5:$D$404,"Có")&lt;&gt;1,"Choice kiến thức cần đúng 1 đáp án đúng",""),IF(COUNTIFS('02_KICH_BAN_NODES'!$B$5:$B$204,A328,'02_KICH_BAN_NODES'!$E$5:$E$204,"Tương tác")=1,IF(COUNTIFS($A$5:$A$404,A328,$D$5:$D$404,"Có")&lt;&gt;0,"Choice tương tác không được đánh dấu đáp án đúng",""),"Choice chưa chọn loại")))))))</f>
        <v/>
      </c>
    </row>
    <row r="329" spans="1:11">
      <c r="A329" s="13"/>
      <c r="B329" s="13"/>
      <c r="C329" s="5"/>
      <c r="D329" s="13"/>
      <c r="E329" s="13"/>
      <c r="F329" s="13"/>
      <c r="G329" s="13"/>
      <c r="H329" s="5"/>
      <c r="I329" s="5"/>
      <c r="J329" s="6" t="str">
        <f t="shared" si="5"/>
        <v/>
      </c>
      <c r="K329" s="6" t="str">
        <f>IF(A329="","",IF(COUNTIFS('02_KICH_BAN_NODES'!$B$5:$B$204,A329,'02_KICH_BAN_NODES'!$D$5:$D$204,"choice")=0,"ChoiceNodeId không tồn tại hoặc không phải choice",IF(COUNTIFS($A$5:$A$404,A329,$B$5:$B$404,B329)&gt;1,"Trùng OptionOrder trong cùng choice",IF(OR(B329="",C329="",D329="",F329="",H329=""),"Thiếu trường bắt buộc",IF(OR(COUNTIF($A$5:$A$404,A329)&lt;2,COUNTIF($A$5:$A$404,A329)&gt;4),"Mỗi choice cần 2–4 option",IF(COUNTIFS('02_KICH_BAN_NODES'!$B$5:$B$204,A329,'02_KICH_BAN_NODES'!$E$5:$E$204,"Kiến thức")=1,IF(COUNTIFS($A$5:$A$404,A329,$D$5:$D$404,"Có")&lt;&gt;1,"Choice kiến thức cần đúng 1 đáp án đúng",""),IF(COUNTIFS('02_KICH_BAN_NODES'!$B$5:$B$204,A329,'02_KICH_BAN_NODES'!$E$5:$E$204,"Tương tác")=1,IF(COUNTIFS($A$5:$A$404,A329,$D$5:$D$404,"Có")&lt;&gt;0,"Choice tương tác không được đánh dấu đáp án đúng",""),"Choice chưa chọn loại")))))))</f>
        <v/>
      </c>
    </row>
    <row r="330" spans="1:11">
      <c r="A330" s="13"/>
      <c r="B330" s="13"/>
      <c r="C330" s="5"/>
      <c r="D330" s="13"/>
      <c r="E330" s="13"/>
      <c r="F330" s="13"/>
      <c r="G330" s="13"/>
      <c r="H330" s="5"/>
      <c r="I330" s="5"/>
      <c r="J330" s="6" t="str">
        <f t="shared" si="5"/>
        <v/>
      </c>
      <c r="K330" s="6" t="str">
        <f>IF(A330="","",IF(COUNTIFS('02_KICH_BAN_NODES'!$B$5:$B$204,A330,'02_KICH_BAN_NODES'!$D$5:$D$204,"choice")=0,"ChoiceNodeId không tồn tại hoặc không phải choice",IF(COUNTIFS($A$5:$A$404,A330,$B$5:$B$404,B330)&gt;1,"Trùng OptionOrder trong cùng choice",IF(OR(B330="",C330="",D330="",F330="",H330=""),"Thiếu trường bắt buộc",IF(OR(COUNTIF($A$5:$A$404,A330)&lt;2,COUNTIF($A$5:$A$404,A330)&gt;4),"Mỗi choice cần 2–4 option",IF(COUNTIFS('02_KICH_BAN_NODES'!$B$5:$B$204,A330,'02_KICH_BAN_NODES'!$E$5:$E$204,"Kiến thức")=1,IF(COUNTIFS($A$5:$A$404,A330,$D$5:$D$404,"Có")&lt;&gt;1,"Choice kiến thức cần đúng 1 đáp án đúng",""),IF(COUNTIFS('02_KICH_BAN_NODES'!$B$5:$B$204,A330,'02_KICH_BAN_NODES'!$E$5:$E$204,"Tương tác")=1,IF(COUNTIFS($A$5:$A$404,A330,$D$5:$D$404,"Có")&lt;&gt;0,"Choice tương tác không được đánh dấu đáp án đúng",""),"Choice chưa chọn loại")))))))</f>
        <v/>
      </c>
    </row>
    <row r="331" spans="1:11">
      <c r="A331" s="13"/>
      <c r="B331" s="13"/>
      <c r="C331" s="5"/>
      <c r="D331" s="13"/>
      <c r="E331" s="13"/>
      <c r="F331" s="13"/>
      <c r="G331" s="13"/>
      <c r="H331" s="5"/>
      <c r="I331" s="5"/>
      <c r="J331" s="6" t="str">
        <f t="shared" si="5"/>
        <v/>
      </c>
      <c r="K331" s="6" t="str">
        <f>IF(A331="","",IF(COUNTIFS('02_KICH_BAN_NODES'!$B$5:$B$204,A331,'02_KICH_BAN_NODES'!$D$5:$D$204,"choice")=0,"ChoiceNodeId không tồn tại hoặc không phải choice",IF(COUNTIFS($A$5:$A$404,A331,$B$5:$B$404,B331)&gt;1,"Trùng OptionOrder trong cùng choice",IF(OR(B331="",C331="",D331="",F331="",H331=""),"Thiếu trường bắt buộc",IF(OR(COUNTIF($A$5:$A$404,A331)&lt;2,COUNTIF($A$5:$A$404,A331)&gt;4),"Mỗi choice cần 2–4 option",IF(COUNTIFS('02_KICH_BAN_NODES'!$B$5:$B$204,A331,'02_KICH_BAN_NODES'!$E$5:$E$204,"Kiến thức")=1,IF(COUNTIFS($A$5:$A$404,A331,$D$5:$D$404,"Có")&lt;&gt;1,"Choice kiến thức cần đúng 1 đáp án đúng",""),IF(COUNTIFS('02_KICH_BAN_NODES'!$B$5:$B$204,A331,'02_KICH_BAN_NODES'!$E$5:$E$204,"Tương tác")=1,IF(COUNTIFS($A$5:$A$404,A331,$D$5:$D$404,"Có")&lt;&gt;0,"Choice tương tác không được đánh dấu đáp án đúng",""),"Choice chưa chọn loại")))))))</f>
        <v/>
      </c>
    </row>
    <row r="332" spans="1:11">
      <c r="A332" s="13"/>
      <c r="B332" s="13"/>
      <c r="C332" s="5"/>
      <c r="D332" s="13"/>
      <c r="E332" s="13"/>
      <c r="F332" s="13"/>
      <c r="G332" s="13"/>
      <c r="H332" s="5"/>
      <c r="I332" s="5"/>
      <c r="J332" s="6" t="str">
        <f t="shared" si="5"/>
        <v/>
      </c>
      <c r="K332" s="6" t="str">
        <f>IF(A332="","",IF(COUNTIFS('02_KICH_BAN_NODES'!$B$5:$B$204,A332,'02_KICH_BAN_NODES'!$D$5:$D$204,"choice")=0,"ChoiceNodeId không tồn tại hoặc không phải choice",IF(COUNTIFS($A$5:$A$404,A332,$B$5:$B$404,B332)&gt;1,"Trùng OptionOrder trong cùng choice",IF(OR(B332="",C332="",D332="",F332="",H332=""),"Thiếu trường bắt buộc",IF(OR(COUNTIF($A$5:$A$404,A332)&lt;2,COUNTIF($A$5:$A$404,A332)&gt;4),"Mỗi choice cần 2–4 option",IF(COUNTIFS('02_KICH_BAN_NODES'!$B$5:$B$204,A332,'02_KICH_BAN_NODES'!$E$5:$E$204,"Kiến thức")=1,IF(COUNTIFS($A$5:$A$404,A332,$D$5:$D$404,"Có")&lt;&gt;1,"Choice kiến thức cần đúng 1 đáp án đúng",""),IF(COUNTIFS('02_KICH_BAN_NODES'!$B$5:$B$204,A332,'02_KICH_BAN_NODES'!$E$5:$E$204,"Tương tác")=1,IF(COUNTIFS($A$5:$A$404,A332,$D$5:$D$404,"Có")&lt;&gt;0,"Choice tương tác không được đánh dấu đáp án đúng",""),"Choice chưa chọn loại")))))))</f>
        <v/>
      </c>
    </row>
    <row r="333" spans="1:11">
      <c r="A333" s="13"/>
      <c r="B333" s="13"/>
      <c r="C333" s="5"/>
      <c r="D333" s="13"/>
      <c r="E333" s="13"/>
      <c r="F333" s="13"/>
      <c r="G333" s="13"/>
      <c r="H333" s="5"/>
      <c r="I333" s="5"/>
      <c r="J333" s="6" t="str">
        <f t="shared" si="5"/>
        <v/>
      </c>
      <c r="K333" s="6" t="str">
        <f>IF(A333="","",IF(COUNTIFS('02_KICH_BAN_NODES'!$B$5:$B$204,A333,'02_KICH_BAN_NODES'!$D$5:$D$204,"choice")=0,"ChoiceNodeId không tồn tại hoặc không phải choice",IF(COUNTIFS($A$5:$A$404,A333,$B$5:$B$404,B333)&gt;1,"Trùng OptionOrder trong cùng choice",IF(OR(B333="",C333="",D333="",F333="",H333=""),"Thiếu trường bắt buộc",IF(OR(COUNTIF($A$5:$A$404,A333)&lt;2,COUNTIF($A$5:$A$404,A333)&gt;4),"Mỗi choice cần 2–4 option",IF(COUNTIFS('02_KICH_BAN_NODES'!$B$5:$B$204,A333,'02_KICH_BAN_NODES'!$E$5:$E$204,"Kiến thức")=1,IF(COUNTIFS($A$5:$A$404,A333,$D$5:$D$404,"Có")&lt;&gt;1,"Choice kiến thức cần đúng 1 đáp án đúng",""),IF(COUNTIFS('02_KICH_BAN_NODES'!$B$5:$B$204,A333,'02_KICH_BAN_NODES'!$E$5:$E$204,"Tương tác")=1,IF(COUNTIFS($A$5:$A$404,A333,$D$5:$D$404,"Có")&lt;&gt;0,"Choice tương tác không được đánh dấu đáp án đúng",""),"Choice chưa chọn loại")))))))</f>
        <v/>
      </c>
    </row>
    <row r="334" spans="1:11">
      <c r="A334" s="13"/>
      <c r="B334" s="13"/>
      <c r="C334" s="5"/>
      <c r="D334" s="13"/>
      <c r="E334" s="13"/>
      <c r="F334" s="13"/>
      <c r="G334" s="13"/>
      <c r="H334" s="5"/>
      <c r="I334" s="5"/>
      <c r="J334" s="6" t="str">
        <f t="shared" si="5"/>
        <v/>
      </c>
      <c r="K334" s="6" t="str">
        <f>IF(A334="","",IF(COUNTIFS('02_KICH_BAN_NODES'!$B$5:$B$204,A334,'02_KICH_BAN_NODES'!$D$5:$D$204,"choice")=0,"ChoiceNodeId không tồn tại hoặc không phải choice",IF(COUNTIFS($A$5:$A$404,A334,$B$5:$B$404,B334)&gt;1,"Trùng OptionOrder trong cùng choice",IF(OR(B334="",C334="",D334="",F334="",H334=""),"Thiếu trường bắt buộc",IF(OR(COUNTIF($A$5:$A$404,A334)&lt;2,COUNTIF($A$5:$A$404,A334)&gt;4),"Mỗi choice cần 2–4 option",IF(COUNTIFS('02_KICH_BAN_NODES'!$B$5:$B$204,A334,'02_KICH_BAN_NODES'!$E$5:$E$204,"Kiến thức")=1,IF(COUNTIFS($A$5:$A$404,A334,$D$5:$D$404,"Có")&lt;&gt;1,"Choice kiến thức cần đúng 1 đáp án đúng",""),IF(COUNTIFS('02_KICH_BAN_NODES'!$B$5:$B$204,A334,'02_KICH_BAN_NODES'!$E$5:$E$204,"Tương tác")=1,IF(COUNTIFS($A$5:$A$404,A334,$D$5:$D$404,"Có")&lt;&gt;0,"Choice tương tác không được đánh dấu đáp án đúng",""),"Choice chưa chọn loại")))))))</f>
        <v/>
      </c>
    </row>
    <row r="335" spans="1:11">
      <c r="A335" s="13"/>
      <c r="B335" s="13"/>
      <c r="C335" s="5"/>
      <c r="D335" s="13"/>
      <c r="E335" s="13"/>
      <c r="F335" s="13"/>
      <c r="G335" s="13"/>
      <c r="H335" s="5"/>
      <c r="I335" s="5"/>
      <c r="J335" s="6" t="str">
        <f t="shared" si="5"/>
        <v/>
      </c>
      <c r="K335" s="6" t="str">
        <f>IF(A335="","",IF(COUNTIFS('02_KICH_BAN_NODES'!$B$5:$B$204,A335,'02_KICH_BAN_NODES'!$D$5:$D$204,"choice")=0,"ChoiceNodeId không tồn tại hoặc không phải choice",IF(COUNTIFS($A$5:$A$404,A335,$B$5:$B$404,B335)&gt;1,"Trùng OptionOrder trong cùng choice",IF(OR(B335="",C335="",D335="",F335="",H335=""),"Thiếu trường bắt buộc",IF(OR(COUNTIF($A$5:$A$404,A335)&lt;2,COUNTIF($A$5:$A$404,A335)&gt;4),"Mỗi choice cần 2–4 option",IF(COUNTIFS('02_KICH_BAN_NODES'!$B$5:$B$204,A335,'02_KICH_BAN_NODES'!$E$5:$E$204,"Kiến thức")=1,IF(COUNTIFS($A$5:$A$404,A335,$D$5:$D$404,"Có")&lt;&gt;1,"Choice kiến thức cần đúng 1 đáp án đúng",""),IF(COUNTIFS('02_KICH_BAN_NODES'!$B$5:$B$204,A335,'02_KICH_BAN_NODES'!$E$5:$E$204,"Tương tác")=1,IF(COUNTIFS($A$5:$A$404,A335,$D$5:$D$404,"Có")&lt;&gt;0,"Choice tương tác không được đánh dấu đáp án đúng",""),"Choice chưa chọn loại")))))))</f>
        <v/>
      </c>
    </row>
    <row r="336" spans="1:11">
      <c r="A336" s="13"/>
      <c r="B336" s="13"/>
      <c r="C336" s="5"/>
      <c r="D336" s="13"/>
      <c r="E336" s="13"/>
      <c r="F336" s="13"/>
      <c r="G336" s="13"/>
      <c r="H336" s="5"/>
      <c r="I336" s="5"/>
      <c r="J336" s="6" t="str">
        <f t="shared" si="5"/>
        <v/>
      </c>
      <c r="K336" s="6" t="str">
        <f>IF(A336="","",IF(COUNTIFS('02_KICH_BAN_NODES'!$B$5:$B$204,A336,'02_KICH_BAN_NODES'!$D$5:$D$204,"choice")=0,"ChoiceNodeId không tồn tại hoặc không phải choice",IF(COUNTIFS($A$5:$A$404,A336,$B$5:$B$404,B336)&gt;1,"Trùng OptionOrder trong cùng choice",IF(OR(B336="",C336="",D336="",F336="",H336=""),"Thiếu trường bắt buộc",IF(OR(COUNTIF($A$5:$A$404,A336)&lt;2,COUNTIF($A$5:$A$404,A336)&gt;4),"Mỗi choice cần 2–4 option",IF(COUNTIFS('02_KICH_BAN_NODES'!$B$5:$B$204,A336,'02_KICH_BAN_NODES'!$E$5:$E$204,"Kiến thức")=1,IF(COUNTIFS($A$5:$A$404,A336,$D$5:$D$404,"Có")&lt;&gt;1,"Choice kiến thức cần đúng 1 đáp án đúng",""),IF(COUNTIFS('02_KICH_BAN_NODES'!$B$5:$B$204,A336,'02_KICH_BAN_NODES'!$E$5:$E$204,"Tương tác")=1,IF(COUNTIFS($A$5:$A$404,A336,$D$5:$D$404,"Có")&lt;&gt;0,"Choice tương tác không được đánh dấu đáp án đúng",""),"Choice chưa chọn loại")))))))</f>
        <v/>
      </c>
    </row>
    <row r="337" spans="1:11">
      <c r="A337" s="13"/>
      <c r="B337" s="13"/>
      <c r="C337" s="5"/>
      <c r="D337" s="13"/>
      <c r="E337" s="13"/>
      <c r="F337" s="13"/>
      <c r="G337" s="13"/>
      <c r="H337" s="5"/>
      <c r="I337" s="5"/>
      <c r="J337" s="6" t="str">
        <f t="shared" si="5"/>
        <v/>
      </c>
      <c r="K337" s="6" t="str">
        <f>IF(A337="","",IF(COUNTIFS('02_KICH_BAN_NODES'!$B$5:$B$204,A337,'02_KICH_BAN_NODES'!$D$5:$D$204,"choice")=0,"ChoiceNodeId không tồn tại hoặc không phải choice",IF(COUNTIFS($A$5:$A$404,A337,$B$5:$B$404,B337)&gt;1,"Trùng OptionOrder trong cùng choice",IF(OR(B337="",C337="",D337="",F337="",H337=""),"Thiếu trường bắt buộc",IF(OR(COUNTIF($A$5:$A$404,A337)&lt;2,COUNTIF($A$5:$A$404,A337)&gt;4),"Mỗi choice cần 2–4 option",IF(COUNTIFS('02_KICH_BAN_NODES'!$B$5:$B$204,A337,'02_KICH_BAN_NODES'!$E$5:$E$204,"Kiến thức")=1,IF(COUNTIFS($A$5:$A$404,A337,$D$5:$D$404,"Có")&lt;&gt;1,"Choice kiến thức cần đúng 1 đáp án đúng",""),IF(COUNTIFS('02_KICH_BAN_NODES'!$B$5:$B$204,A337,'02_KICH_BAN_NODES'!$E$5:$E$204,"Tương tác")=1,IF(COUNTIFS($A$5:$A$404,A337,$D$5:$D$404,"Có")&lt;&gt;0,"Choice tương tác không được đánh dấu đáp án đúng",""),"Choice chưa chọn loại")))))))</f>
        <v/>
      </c>
    </row>
    <row r="338" spans="1:11">
      <c r="A338" s="13"/>
      <c r="B338" s="13"/>
      <c r="C338" s="5"/>
      <c r="D338" s="13"/>
      <c r="E338" s="13"/>
      <c r="F338" s="13"/>
      <c r="G338" s="13"/>
      <c r="H338" s="5"/>
      <c r="I338" s="5"/>
      <c r="J338" s="6" t="str">
        <f t="shared" si="5"/>
        <v/>
      </c>
      <c r="K338" s="6" t="str">
        <f>IF(A338="","",IF(COUNTIFS('02_KICH_BAN_NODES'!$B$5:$B$204,A338,'02_KICH_BAN_NODES'!$D$5:$D$204,"choice")=0,"ChoiceNodeId không tồn tại hoặc không phải choice",IF(COUNTIFS($A$5:$A$404,A338,$B$5:$B$404,B338)&gt;1,"Trùng OptionOrder trong cùng choice",IF(OR(B338="",C338="",D338="",F338="",H338=""),"Thiếu trường bắt buộc",IF(OR(COUNTIF($A$5:$A$404,A338)&lt;2,COUNTIF($A$5:$A$404,A338)&gt;4),"Mỗi choice cần 2–4 option",IF(COUNTIFS('02_KICH_BAN_NODES'!$B$5:$B$204,A338,'02_KICH_BAN_NODES'!$E$5:$E$204,"Kiến thức")=1,IF(COUNTIFS($A$5:$A$404,A338,$D$5:$D$404,"Có")&lt;&gt;1,"Choice kiến thức cần đúng 1 đáp án đúng",""),IF(COUNTIFS('02_KICH_BAN_NODES'!$B$5:$B$204,A338,'02_KICH_BAN_NODES'!$E$5:$E$204,"Tương tác")=1,IF(COUNTIFS($A$5:$A$404,A338,$D$5:$D$404,"Có")&lt;&gt;0,"Choice tương tác không được đánh dấu đáp án đúng",""),"Choice chưa chọn loại")))))))</f>
        <v/>
      </c>
    </row>
    <row r="339" spans="1:11">
      <c r="A339" s="13"/>
      <c r="B339" s="13"/>
      <c r="C339" s="5"/>
      <c r="D339" s="13"/>
      <c r="E339" s="13"/>
      <c r="F339" s="13"/>
      <c r="G339" s="13"/>
      <c r="H339" s="5"/>
      <c r="I339" s="5"/>
      <c r="J339" s="6" t="str">
        <f t="shared" si="5"/>
        <v/>
      </c>
      <c r="K339" s="6" t="str">
        <f>IF(A339="","",IF(COUNTIFS('02_KICH_BAN_NODES'!$B$5:$B$204,A339,'02_KICH_BAN_NODES'!$D$5:$D$204,"choice")=0,"ChoiceNodeId không tồn tại hoặc không phải choice",IF(COUNTIFS($A$5:$A$404,A339,$B$5:$B$404,B339)&gt;1,"Trùng OptionOrder trong cùng choice",IF(OR(B339="",C339="",D339="",F339="",H339=""),"Thiếu trường bắt buộc",IF(OR(COUNTIF($A$5:$A$404,A339)&lt;2,COUNTIF($A$5:$A$404,A339)&gt;4),"Mỗi choice cần 2–4 option",IF(COUNTIFS('02_KICH_BAN_NODES'!$B$5:$B$204,A339,'02_KICH_BAN_NODES'!$E$5:$E$204,"Kiến thức")=1,IF(COUNTIFS($A$5:$A$404,A339,$D$5:$D$404,"Có")&lt;&gt;1,"Choice kiến thức cần đúng 1 đáp án đúng",""),IF(COUNTIFS('02_KICH_BAN_NODES'!$B$5:$B$204,A339,'02_KICH_BAN_NODES'!$E$5:$E$204,"Tương tác")=1,IF(COUNTIFS($A$5:$A$404,A339,$D$5:$D$404,"Có")&lt;&gt;0,"Choice tương tác không được đánh dấu đáp án đúng",""),"Choice chưa chọn loại")))))))</f>
        <v/>
      </c>
    </row>
    <row r="340" spans="1:11">
      <c r="A340" s="13"/>
      <c r="B340" s="13"/>
      <c r="C340" s="5"/>
      <c r="D340" s="13"/>
      <c r="E340" s="13"/>
      <c r="F340" s="13"/>
      <c r="G340" s="13"/>
      <c r="H340" s="5"/>
      <c r="I340" s="5"/>
      <c r="J340" s="6" t="str">
        <f t="shared" si="5"/>
        <v/>
      </c>
      <c r="K340" s="6" t="str">
        <f>IF(A340="","",IF(COUNTIFS('02_KICH_BAN_NODES'!$B$5:$B$204,A340,'02_KICH_BAN_NODES'!$D$5:$D$204,"choice")=0,"ChoiceNodeId không tồn tại hoặc không phải choice",IF(COUNTIFS($A$5:$A$404,A340,$B$5:$B$404,B340)&gt;1,"Trùng OptionOrder trong cùng choice",IF(OR(B340="",C340="",D340="",F340="",H340=""),"Thiếu trường bắt buộc",IF(OR(COUNTIF($A$5:$A$404,A340)&lt;2,COUNTIF($A$5:$A$404,A340)&gt;4),"Mỗi choice cần 2–4 option",IF(COUNTIFS('02_KICH_BAN_NODES'!$B$5:$B$204,A340,'02_KICH_BAN_NODES'!$E$5:$E$204,"Kiến thức")=1,IF(COUNTIFS($A$5:$A$404,A340,$D$5:$D$404,"Có")&lt;&gt;1,"Choice kiến thức cần đúng 1 đáp án đúng",""),IF(COUNTIFS('02_KICH_BAN_NODES'!$B$5:$B$204,A340,'02_KICH_BAN_NODES'!$E$5:$E$204,"Tương tác")=1,IF(COUNTIFS($A$5:$A$404,A340,$D$5:$D$404,"Có")&lt;&gt;0,"Choice tương tác không được đánh dấu đáp án đúng",""),"Choice chưa chọn loại")))))))</f>
        <v/>
      </c>
    </row>
    <row r="341" spans="1:11">
      <c r="A341" s="13"/>
      <c r="B341" s="13"/>
      <c r="C341" s="5"/>
      <c r="D341" s="13"/>
      <c r="E341" s="13"/>
      <c r="F341" s="13"/>
      <c r="G341" s="13"/>
      <c r="H341" s="5"/>
      <c r="I341" s="5"/>
      <c r="J341" s="6" t="str">
        <f t="shared" si="5"/>
        <v/>
      </c>
      <c r="K341" s="6" t="str">
        <f>IF(A341="","",IF(COUNTIFS('02_KICH_BAN_NODES'!$B$5:$B$204,A341,'02_KICH_BAN_NODES'!$D$5:$D$204,"choice")=0,"ChoiceNodeId không tồn tại hoặc không phải choice",IF(COUNTIFS($A$5:$A$404,A341,$B$5:$B$404,B341)&gt;1,"Trùng OptionOrder trong cùng choice",IF(OR(B341="",C341="",D341="",F341="",H341=""),"Thiếu trường bắt buộc",IF(OR(COUNTIF($A$5:$A$404,A341)&lt;2,COUNTIF($A$5:$A$404,A341)&gt;4),"Mỗi choice cần 2–4 option",IF(COUNTIFS('02_KICH_BAN_NODES'!$B$5:$B$204,A341,'02_KICH_BAN_NODES'!$E$5:$E$204,"Kiến thức")=1,IF(COUNTIFS($A$5:$A$404,A341,$D$5:$D$404,"Có")&lt;&gt;1,"Choice kiến thức cần đúng 1 đáp án đúng",""),IF(COUNTIFS('02_KICH_BAN_NODES'!$B$5:$B$204,A341,'02_KICH_BAN_NODES'!$E$5:$E$204,"Tương tác")=1,IF(COUNTIFS($A$5:$A$404,A341,$D$5:$D$404,"Có")&lt;&gt;0,"Choice tương tác không được đánh dấu đáp án đúng",""),"Choice chưa chọn loại")))))))</f>
        <v/>
      </c>
    </row>
    <row r="342" spans="1:11">
      <c r="A342" s="13"/>
      <c r="B342" s="13"/>
      <c r="C342" s="5"/>
      <c r="D342" s="13"/>
      <c r="E342" s="13"/>
      <c r="F342" s="13"/>
      <c r="G342" s="13"/>
      <c r="H342" s="5"/>
      <c r="I342" s="5"/>
      <c r="J342" s="6" t="str">
        <f t="shared" si="5"/>
        <v/>
      </c>
      <c r="K342" s="6" t="str">
        <f>IF(A342="","",IF(COUNTIFS('02_KICH_BAN_NODES'!$B$5:$B$204,A342,'02_KICH_BAN_NODES'!$D$5:$D$204,"choice")=0,"ChoiceNodeId không tồn tại hoặc không phải choice",IF(COUNTIFS($A$5:$A$404,A342,$B$5:$B$404,B342)&gt;1,"Trùng OptionOrder trong cùng choice",IF(OR(B342="",C342="",D342="",F342="",H342=""),"Thiếu trường bắt buộc",IF(OR(COUNTIF($A$5:$A$404,A342)&lt;2,COUNTIF($A$5:$A$404,A342)&gt;4),"Mỗi choice cần 2–4 option",IF(COUNTIFS('02_KICH_BAN_NODES'!$B$5:$B$204,A342,'02_KICH_BAN_NODES'!$E$5:$E$204,"Kiến thức")=1,IF(COUNTIFS($A$5:$A$404,A342,$D$5:$D$404,"Có")&lt;&gt;1,"Choice kiến thức cần đúng 1 đáp án đúng",""),IF(COUNTIFS('02_KICH_BAN_NODES'!$B$5:$B$204,A342,'02_KICH_BAN_NODES'!$E$5:$E$204,"Tương tác")=1,IF(COUNTIFS($A$5:$A$404,A342,$D$5:$D$404,"Có")&lt;&gt;0,"Choice tương tác không được đánh dấu đáp án đúng",""),"Choice chưa chọn loại")))))))</f>
        <v/>
      </c>
    </row>
    <row r="343" spans="1:11">
      <c r="A343" s="13"/>
      <c r="B343" s="13"/>
      <c r="C343" s="5"/>
      <c r="D343" s="13"/>
      <c r="E343" s="13"/>
      <c r="F343" s="13"/>
      <c r="G343" s="13"/>
      <c r="H343" s="5"/>
      <c r="I343" s="5"/>
      <c r="J343" s="6" t="str">
        <f t="shared" si="5"/>
        <v/>
      </c>
      <c r="K343" s="6" t="str">
        <f>IF(A343="","",IF(COUNTIFS('02_KICH_BAN_NODES'!$B$5:$B$204,A343,'02_KICH_BAN_NODES'!$D$5:$D$204,"choice")=0,"ChoiceNodeId không tồn tại hoặc không phải choice",IF(COUNTIFS($A$5:$A$404,A343,$B$5:$B$404,B343)&gt;1,"Trùng OptionOrder trong cùng choice",IF(OR(B343="",C343="",D343="",F343="",H343=""),"Thiếu trường bắt buộc",IF(OR(COUNTIF($A$5:$A$404,A343)&lt;2,COUNTIF($A$5:$A$404,A343)&gt;4),"Mỗi choice cần 2–4 option",IF(COUNTIFS('02_KICH_BAN_NODES'!$B$5:$B$204,A343,'02_KICH_BAN_NODES'!$E$5:$E$204,"Kiến thức")=1,IF(COUNTIFS($A$5:$A$404,A343,$D$5:$D$404,"Có")&lt;&gt;1,"Choice kiến thức cần đúng 1 đáp án đúng",""),IF(COUNTIFS('02_KICH_BAN_NODES'!$B$5:$B$204,A343,'02_KICH_BAN_NODES'!$E$5:$E$204,"Tương tác")=1,IF(COUNTIFS($A$5:$A$404,A343,$D$5:$D$404,"Có")&lt;&gt;0,"Choice tương tác không được đánh dấu đáp án đúng",""),"Choice chưa chọn loại")))))))</f>
        <v/>
      </c>
    </row>
    <row r="344" spans="1:11">
      <c r="A344" s="13"/>
      <c r="B344" s="13"/>
      <c r="C344" s="5"/>
      <c r="D344" s="13"/>
      <c r="E344" s="13"/>
      <c r="F344" s="13"/>
      <c r="G344" s="13"/>
      <c r="H344" s="5"/>
      <c r="I344" s="5"/>
      <c r="J344" s="6" t="str">
        <f t="shared" si="5"/>
        <v/>
      </c>
      <c r="K344" s="6" t="str">
        <f>IF(A344="","",IF(COUNTIFS('02_KICH_BAN_NODES'!$B$5:$B$204,A344,'02_KICH_BAN_NODES'!$D$5:$D$204,"choice")=0,"ChoiceNodeId không tồn tại hoặc không phải choice",IF(COUNTIFS($A$5:$A$404,A344,$B$5:$B$404,B344)&gt;1,"Trùng OptionOrder trong cùng choice",IF(OR(B344="",C344="",D344="",F344="",H344=""),"Thiếu trường bắt buộc",IF(OR(COUNTIF($A$5:$A$404,A344)&lt;2,COUNTIF($A$5:$A$404,A344)&gt;4),"Mỗi choice cần 2–4 option",IF(COUNTIFS('02_KICH_BAN_NODES'!$B$5:$B$204,A344,'02_KICH_BAN_NODES'!$E$5:$E$204,"Kiến thức")=1,IF(COUNTIFS($A$5:$A$404,A344,$D$5:$D$404,"Có")&lt;&gt;1,"Choice kiến thức cần đúng 1 đáp án đúng",""),IF(COUNTIFS('02_KICH_BAN_NODES'!$B$5:$B$204,A344,'02_KICH_BAN_NODES'!$E$5:$E$204,"Tương tác")=1,IF(COUNTIFS($A$5:$A$404,A344,$D$5:$D$404,"Có")&lt;&gt;0,"Choice tương tác không được đánh dấu đáp án đúng",""),"Choice chưa chọn loại")))))))</f>
        <v/>
      </c>
    </row>
    <row r="345" spans="1:11">
      <c r="A345" s="13"/>
      <c r="B345" s="13"/>
      <c r="C345" s="5"/>
      <c r="D345" s="13"/>
      <c r="E345" s="13"/>
      <c r="F345" s="13"/>
      <c r="G345" s="13"/>
      <c r="H345" s="5"/>
      <c r="I345" s="5"/>
      <c r="J345" s="6" t="str">
        <f t="shared" si="5"/>
        <v/>
      </c>
      <c r="K345" s="6" t="str">
        <f>IF(A345="","",IF(COUNTIFS('02_KICH_BAN_NODES'!$B$5:$B$204,A345,'02_KICH_BAN_NODES'!$D$5:$D$204,"choice")=0,"ChoiceNodeId không tồn tại hoặc không phải choice",IF(COUNTIFS($A$5:$A$404,A345,$B$5:$B$404,B345)&gt;1,"Trùng OptionOrder trong cùng choice",IF(OR(B345="",C345="",D345="",F345="",H345=""),"Thiếu trường bắt buộc",IF(OR(COUNTIF($A$5:$A$404,A345)&lt;2,COUNTIF($A$5:$A$404,A345)&gt;4),"Mỗi choice cần 2–4 option",IF(COUNTIFS('02_KICH_BAN_NODES'!$B$5:$B$204,A345,'02_KICH_BAN_NODES'!$E$5:$E$204,"Kiến thức")=1,IF(COUNTIFS($A$5:$A$404,A345,$D$5:$D$404,"Có")&lt;&gt;1,"Choice kiến thức cần đúng 1 đáp án đúng",""),IF(COUNTIFS('02_KICH_BAN_NODES'!$B$5:$B$204,A345,'02_KICH_BAN_NODES'!$E$5:$E$204,"Tương tác")=1,IF(COUNTIFS($A$5:$A$404,A345,$D$5:$D$404,"Có")&lt;&gt;0,"Choice tương tác không được đánh dấu đáp án đúng",""),"Choice chưa chọn loại")))))))</f>
        <v/>
      </c>
    </row>
    <row r="346" spans="1:11">
      <c r="A346" s="13"/>
      <c r="B346" s="13"/>
      <c r="C346" s="5"/>
      <c r="D346" s="13"/>
      <c r="E346" s="13"/>
      <c r="F346" s="13"/>
      <c r="G346" s="13"/>
      <c r="H346" s="5"/>
      <c r="I346" s="5"/>
      <c r="J346" s="6" t="str">
        <f t="shared" si="5"/>
        <v/>
      </c>
      <c r="K346" s="6" t="str">
        <f>IF(A346="","",IF(COUNTIFS('02_KICH_BAN_NODES'!$B$5:$B$204,A346,'02_KICH_BAN_NODES'!$D$5:$D$204,"choice")=0,"ChoiceNodeId không tồn tại hoặc không phải choice",IF(COUNTIFS($A$5:$A$404,A346,$B$5:$B$404,B346)&gt;1,"Trùng OptionOrder trong cùng choice",IF(OR(B346="",C346="",D346="",F346="",H346=""),"Thiếu trường bắt buộc",IF(OR(COUNTIF($A$5:$A$404,A346)&lt;2,COUNTIF($A$5:$A$404,A346)&gt;4),"Mỗi choice cần 2–4 option",IF(COUNTIFS('02_KICH_BAN_NODES'!$B$5:$B$204,A346,'02_KICH_BAN_NODES'!$E$5:$E$204,"Kiến thức")=1,IF(COUNTIFS($A$5:$A$404,A346,$D$5:$D$404,"Có")&lt;&gt;1,"Choice kiến thức cần đúng 1 đáp án đúng",""),IF(COUNTIFS('02_KICH_BAN_NODES'!$B$5:$B$204,A346,'02_KICH_BAN_NODES'!$E$5:$E$204,"Tương tác")=1,IF(COUNTIFS($A$5:$A$404,A346,$D$5:$D$404,"Có")&lt;&gt;0,"Choice tương tác không được đánh dấu đáp án đúng",""),"Choice chưa chọn loại")))))))</f>
        <v/>
      </c>
    </row>
    <row r="347" spans="1:11">
      <c r="A347" s="13"/>
      <c r="B347" s="13"/>
      <c r="C347" s="5"/>
      <c r="D347" s="13"/>
      <c r="E347" s="13"/>
      <c r="F347" s="13"/>
      <c r="G347" s="13"/>
      <c r="H347" s="5"/>
      <c r="I347" s="5"/>
      <c r="J347" s="6" t="str">
        <f t="shared" si="5"/>
        <v/>
      </c>
      <c r="K347" s="6" t="str">
        <f>IF(A347="","",IF(COUNTIFS('02_KICH_BAN_NODES'!$B$5:$B$204,A347,'02_KICH_BAN_NODES'!$D$5:$D$204,"choice")=0,"ChoiceNodeId không tồn tại hoặc không phải choice",IF(COUNTIFS($A$5:$A$404,A347,$B$5:$B$404,B347)&gt;1,"Trùng OptionOrder trong cùng choice",IF(OR(B347="",C347="",D347="",F347="",H347=""),"Thiếu trường bắt buộc",IF(OR(COUNTIF($A$5:$A$404,A347)&lt;2,COUNTIF($A$5:$A$404,A347)&gt;4),"Mỗi choice cần 2–4 option",IF(COUNTIFS('02_KICH_BAN_NODES'!$B$5:$B$204,A347,'02_KICH_BAN_NODES'!$E$5:$E$204,"Kiến thức")=1,IF(COUNTIFS($A$5:$A$404,A347,$D$5:$D$404,"Có")&lt;&gt;1,"Choice kiến thức cần đúng 1 đáp án đúng",""),IF(COUNTIFS('02_KICH_BAN_NODES'!$B$5:$B$204,A347,'02_KICH_BAN_NODES'!$E$5:$E$204,"Tương tác")=1,IF(COUNTIFS($A$5:$A$404,A347,$D$5:$D$404,"Có")&lt;&gt;0,"Choice tương tác không được đánh dấu đáp án đúng",""),"Choice chưa chọn loại")))))))</f>
        <v/>
      </c>
    </row>
    <row r="348" spans="1:11">
      <c r="A348" s="13"/>
      <c r="B348" s="13"/>
      <c r="C348" s="5"/>
      <c r="D348" s="13"/>
      <c r="E348" s="13"/>
      <c r="F348" s="13"/>
      <c r="G348" s="13"/>
      <c r="H348" s="5"/>
      <c r="I348" s="5"/>
      <c r="J348" s="6" t="str">
        <f t="shared" si="5"/>
        <v/>
      </c>
      <c r="K348" s="6" t="str">
        <f>IF(A348="","",IF(COUNTIFS('02_KICH_BAN_NODES'!$B$5:$B$204,A348,'02_KICH_BAN_NODES'!$D$5:$D$204,"choice")=0,"ChoiceNodeId không tồn tại hoặc không phải choice",IF(COUNTIFS($A$5:$A$404,A348,$B$5:$B$404,B348)&gt;1,"Trùng OptionOrder trong cùng choice",IF(OR(B348="",C348="",D348="",F348="",H348=""),"Thiếu trường bắt buộc",IF(OR(COUNTIF($A$5:$A$404,A348)&lt;2,COUNTIF($A$5:$A$404,A348)&gt;4),"Mỗi choice cần 2–4 option",IF(COUNTIFS('02_KICH_BAN_NODES'!$B$5:$B$204,A348,'02_KICH_BAN_NODES'!$E$5:$E$204,"Kiến thức")=1,IF(COUNTIFS($A$5:$A$404,A348,$D$5:$D$404,"Có")&lt;&gt;1,"Choice kiến thức cần đúng 1 đáp án đúng",""),IF(COUNTIFS('02_KICH_BAN_NODES'!$B$5:$B$204,A348,'02_KICH_BAN_NODES'!$E$5:$E$204,"Tương tác")=1,IF(COUNTIFS($A$5:$A$404,A348,$D$5:$D$404,"Có")&lt;&gt;0,"Choice tương tác không được đánh dấu đáp án đúng",""),"Choice chưa chọn loại")))))))</f>
        <v/>
      </c>
    </row>
    <row r="349" spans="1:11">
      <c r="A349" s="13"/>
      <c r="B349" s="13"/>
      <c r="C349" s="5"/>
      <c r="D349" s="13"/>
      <c r="E349" s="13"/>
      <c r="F349" s="13"/>
      <c r="G349" s="13"/>
      <c r="H349" s="5"/>
      <c r="I349" s="5"/>
      <c r="J349" s="6" t="str">
        <f t="shared" si="5"/>
        <v/>
      </c>
      <c r="K349" s="6" t="str">
        <f>IF(A349="","",IF(COUNTIFS('02_KICH_BAN_NODES'!$B$5:$B$204,A349,'02_KICH_BAN_NODES'!$D$5:$D$204,"choice")=0,"ChoiceNodeId không tồn tại hoặc không phải choice",IF(COUNTIFS($A$5:$A$404,A349,$B$5:$B$404,B349)&gt;1,"Trùng OptionOrder trong cùng choice",IF(OR(B349="",C349="",D349="",F349="",H349=""),"Thiếu trường bắt buộc",IF(OR(COUNTIF($A$5:$A$404,A349)&lt;2,COUNTIF($A$5:$A$404,A349)&gt;4),"Mỗi choice cần 2–4 option",IF(COUNTIFS('02_KICH_BAN_NODES'!$B$5:$B$204,A349,'02_KICH_BAN_NODES'!$E$5:$E$204,"Kiến thức")=1,IF(COUNTIFS($A$5:$A$404,A349,$D$5:$D$404,"Có")&lt;&gt;1,"Choice kiến thức cần đúng 1 đáp án đúng",""),IF(COUNTIFS('02_KICH_BAN_NODES'!$B$5:$B$204,A349,'02_KICH_BAN_NODES'!$E$5:$E$204,"Tương tác")=1,IF(COUNTIFS($A$5:$A$404,A349,$D$5:$D$404,"Có")&lt;&gt;0,"Choice tương tác không được đánh dấu đáp án đúng",""),"Choice chưa chọn loại")))))))</f>
        <v/>
      </c>
    </row>
    <row r="350" spans="1:11">
      <c r="A350" s="13"/>
      <c r="B350" s="13"/>
      <c r="C350" s="5"/>
      <c r="D350" s="13"/>
      <c r="E350" s="13"/>
      <c r="F350" s="13"/>
      <c r="G350" s="13"/>
      <c r="H350" s="5"/>
      <c r="I350" s="5"/>
      <c r="J350" s="6" t="str">
        <f t="shared" si="5"/>
        <v/>
      </c>
      <c r="K350" s="6" t="str">
        <f>IF(A350="","",IF(COUNTIFS('02_KICH_BAN_NODES'!$B$5:$B$204,A350,'02_KICH_BAN_NODES'!$D$5:$D$204,"choice")=0,"ChoiceNodeId không tồn tại hoặc không phải choice",IF(COUNTIFS($A$5:$A$404,A350,$B$5:$B$404,B350)&gt;1,"Trùng OptionOrder trong cùng choice",IF(OR(B350="",C350="",D350="",F350="",H350=""),"Thiếu trường bắt buộc",IF(OR(COUNTIF($A$5:$A$404,A350)&lt;2,COUNTIF($A$5:$A$404,A350)&gt;4),"Mỗi choice cần 2–4 option",IF(COUNTIFS('02_KICH_BAN_NODES'!$B$5:$B$204,A350,'02_KICH_BAN_NODES'!$E$5:$E$204,"Kiến thức")=1,IF(COUNTIFS($A$5:$A$404,A350,$D$5:$D$404,"Có")&lt;&gt;1,"Choice kiến thức cần đúng 1 đáp án đúng",""),IF(COUNTIFS('02_KICH_BAN_NODES'!$B$5:$B$204,A350,'02_KICH_BAN_NODES'!$E$5:$E$204,"Tương tác")=1,IF(COUNTIFS($A$5:$A$404,A350,$D$5:$D$404,"Có")&lt;&gt;0,"Choice tương tác không được đánh dấu đáp án đúng",""),"Choice chưa chọn loại")))))))</f>
        <v/>
      </c>
    </row>
    <row r="351" spans="1:11">
      <c r="A351" s="13"/>
      <c r="B351" s="13"/>
      <c r="C351" s="5"/>
      <c r="D351" s="13"/>
      <c r="E351" s="13"/>
      <c r="F351" s="13"/>
      <c r="G351" s="13"/>
      <c r="H351" s="5"/>
      <c r="I351" s="5"/>
      <c r="J351" s="6" t="str">
        <f t="shared" si="5"/>
        <v/>
      </c>
      <c r="K351" s="6" t="str">
        <f>IF(A351="","",IF(COUNTIFS('02_KICH_BAN_NODES'!$B$5:$B$204,A351,'02_KICH_BAN_NODES'!$D$5:$D$204,"choice")=0,"ChoiceNodeId không tồn tại hoặc không phải choice",IF(COUNTIFS($A$5:$A$404,A351,$B$5:$B$404,B351)&gt;1,"Trùng OptionOrder trong cùng choice",IF(OR(B351="",C351="",D351="",F351="",H351=""),"Thiếu trường bắt buộc",IF(OR(COUNTIF($A$5:$A$404,A351)&lt;2,COUNTIF($A$5:$A$404,A351)&gt;4),"Mỗi choice cần 2–4 option",IF(COUNTIFS('02_KICH_BAN_NODES'!$B$5:$B$204,A351,'02_KICH_BAN_NODES'!$E$5:$E$204,"Kiến thức")=1,IF(COUNTIFS($A$5:$A$404,A351,$D$5:$D$404,"Có")&lt;&gt;1,"Choice kiến thức cần đúng 1 đáp án đúng",""),IF(COUNTIFS('02_KICH_BAN_NODES'!$B$5:$B$204,A351,'02_KICH_BAN_NODES'!$E$5:$E$204,"Tương tác")=1,IF(COUNTIFS($A$5:$A$404,A351,$D$5:$D$404,"Có")&lt;&gt;0,"Choice tương tác không được đánh dấu đáp án đúng",""),"Choice chưa chọn loại")))))))</f>
        <v/>
      </c>
    </row>
    <row r="352" spans="1:11">
      <c r="A352" s="13"/>
      <c r="B352" s="13"/>
      <c r="C352" s="5"/>
      <c r="D352" s="13"/>
      <c r="E352" s="13"/>
      <c r="F352" s="13"/>
      <c r="G352" s="13"/>
      <c r="H352" s="5"/>
      <c r="I352" s="5"/>
      <c r="J352" s="6" t="str">
        <f t="shared" si="5"/>
        <v/>
      </c>
      <c r="K352" s="6" t="str">
        <f>IF(A352="","",IF(COUNTIFS('02_KICH_BAN_NODES'!$B$5:$B$204,A352,'02_KICH_BAN_NODES'!$D$5:$D$204,"choice")=0,"ChoiceNodeId không tồn tại hoặc không phải choice",IF(COUNTIFS($A$5:$A$404,A352,$B$5:$B$404,B352)&gt;1,"Trùng OptionOrder trong cùng choice",IF(OR(B352="",C352="",D352="",F352="",H352=""),"Thiếu trường bắt buộc",IF(OR(COUNTIF($A$5:$A$404,A352)&lt;2,COUNTIF($A$5:$A$404,A352)&gt;4),"Mỗi choice cần 2–4 option",IF(COUNTIFS('02_KICH_BAN_NODES'!$B$5:$B$204,A352,'02_KICH_BAN_NODES'!$E$5:$E$204,"Kiến thức")=1,IF(COUNTIFS($A$5:$A$404,A352,$D$5:$D$404,"Có")&lt;&gt;1,"Choice kiến thức cần đúng 1 đáp án đúng",""),IF(COUNTIFS('02_KICH_BAN_NODES'!$B$5:$B$204,A352,'02_KICH_BAN_NODES'!$E$5:$E$204,"Tương tác")=1,IF(COUNTIFS($A$5:$A$404,A352,$D$5:$D$404,"Có")&lt;&gt;0,"Choice tương tác không được đánh dấu đáp án đúng",""),"Choice chưa chọn loại")))))))</f>
        <v/>
      </c>
    </row>
    <row r="353" spans="1:11">
      <c r="A353" s="13"/>
      <c r="B353" s="13"/>
      <c r="C353" s="5"/>
      <c r="D353" s="13"/>
      <c r="E353" s="13"/>
      <c r="F353" s="13"/>
      <c r="G353" s="13"/>
      <c r="H353" s="5"/>
      <c r="I353" s="5"/>
      <c r="J353" s="6" t="str">
        <f t="shared" si="5"/>
        <v/>
      </c>
      <c r="K353" s="6" t="str">
        <f>IF(A353="","",IF(COUNTIFS('02_KICH_BAN_NODES'!$B$5:$B$204,A353,'02_KICH_BAN_NODES'!$D$5:$D$204,"choice")=0,"ChoiceNodeId không tồn tại hoặc không phải choice",IF(COUNTIFS($A$5:$A$404,A353,$B$5:$B$404,B353)&gt;1,"Trùng OptionOrder trong cùng choice",IF(OR(B353="",C353="",D353="",F353="",H353=""),"Thiếu trường bắt buộc",IF(OR(COUNTIF($A$5:$A$404,A353)&lt;2,COUNTIF($A$5:$A$404,A353)&gt;4),"Mỗi choice cần 2–4 option",IF(COUNTIFS('02_KICH_BAN_NODES'!$B$5:$B$204,A353,'02_KICH_BAN_NODES'!$E$5:$E$204,"Kiến thức")=1,IF(COUNTIFS($A$5:$A$404,A353,$D$5:$D$404,"Có")&lt;&gt;1,"Choice kiến thức cần đúng 1 đáp án đúng",""),IF(COUNTIFS('02_KICH_BAN_NODES'!$B$5:$B$204,A353,'02_KICH_BAN_NODES'!$E$5:$E$204,"Tương tác")=1,IF(COUNTIFS($A$5:$A$404,A353,$D$5:$D$404,"Có")&lt;&gt;0,"Choice tương tác không được đánh dấu đáp án đúng",""),"Choice chưa chọn loại")))))))</f>
        <v/>
      </c>
    </row>
    <row r="354" spans="1:11">
      <c r="A354" s="13"/>
      <c r="B354" s="13"/>
      <c r="C354" s="5"/>
      <c r="D354" s="13"/>
      <c r="E354" s="13"/>
      <c r="F354" s="13"/>
      <c r="G354" s="13"/>
      <c r="H354" s="5"/>
      <c r="I354" s="5"/>
      <c r="J354" s="6" t="str">
        <f t="shared" si="5"/>
        <v/>
      </c>
      <c r="K354" s="6" t="str">
        <f>IF(A354="","",IF(COUNTIFS('02_KICH_BAN_NODES'!$B$5:$B$204,A354,'02_KICH_BAN_NODES'!$D$5:$D$204,"choice")=0,"ChoiceNodeId không tồn tại hoặc không phải choice",IF(COUNTIFS($A$5:$A$404,A354,$B$5:$B$404,B354)&gt;1,"Trùng OptionOrder trong cùng choice",IF(OR(B354="",C354="",D354="",F354="",H354=""),"Thiếu trường bắt buộc",IF(OR(COUNTIF($A$5:$A$404,A354)&lt;2,COUNTIF($A$5:$A$404,A354)&gt;4),"Mỗi choice cần 2–4 option",IF(COUNTIFS('02_KICH_BAN_NODES'!$B$5:$B$204,A354,'02_KICH_BAN_NODES'!$E$5:$E$204,"Kiến thức")=1,IF(COUNTIFS($A$5:$A$404,A354,$D$5:$D$404,"Có")&lt;&gt;1,"Choice kiến thức cần đúng 1 đáp án đúng",""),IF(COUNTIFS('02_KICH_BAN_NODES'!$B$5:$B$204,A354,'02_KICH_BAN_NODES'!$E$5:$E$204,"Tương tác")=1,IF(COUNTIFS($A$5:$A$404,A354,$D$5:$D$404,"Có")&lt;&gt;0,"Choice tương tác không được đánh dấu đáp án đúng",""),"Choice chưa chọn loại")))))))</f>
        <v/>
      </c>
    </row>
    <row r="355" spans="1:11">
      <c r="A355" s="13"/>
      <c r="B355" s="13"/>
      <c r="C355" s="5"/>
      <c r="D355" s="13"/>
      <c r="E355" s="13"/>
      <c r="F355" s="13"/>
      <c r="G355" s="13"/>
      <c r="H355" s="5"/>
      <c r="I355" s="5"/>
      <c r="J355" s="6" t="str">
        <f t="shared" si="5"/>
        <v/>
      </c>
      <c r="K355" s="6" t="str">
        <f>IF(A355="","",IF(COUNTIFS('02_KICH_BAN_NODES'!$B$5:$B$204,A355,'02_KICH_BAN_NODES'!$D$5:$D$204,"choice")=0,"ChoiceNodeId không tồn tại hoặc không phải choice",IF(COUNTIFS($A$5:$A$404,A355,$B$5:$B$404,B355)&gt;1,"Trùng OptionOrder trong cùng choice",IF(OR(B355="",C355="",D355="",F355="",H355=""),"Thiếu trường bắt buộc",IF(OR(COUNTIF($A$5:$A$404,A355)&lt;2,COUNTIF($A$5:$A$404,A355)&gt;4),"Mỗi choice cần 2–4 option",IF(COUNTIFS('02_KICH_BAN_NODES'!$B$5:$B$204,A355,'02_KICH_BAN_NODES'!$E$5:$E$204,"Kiến thức")=1,IF(COUNTIFS($A$5:$A$404,A355,$D$5:$D$404,"Có")&lt;&gt;1,"Choice kiến thức cần đúng 1 đáp án đúng",""),IF(COUNTIFS('02_KICH_BAN_NODES'!$B$5:$B$204,A355,'02_KICH_BAN_NODES'!$E$5:$E$204,"Tương tác")=1,IF(COUNTIFS($A$5:$A$404,A355,$D$5:$D$404,"Có")&lt;&gt;0,"Choice tương tác không được đánh dấu đáp án đúng",""),"Choice chưa chọn loại")))))))</f>
        <v/>
      </c>
    </row>
    <row r="356" spans="1:11">
      <c r="A356" s="13"/>
      <c r="B356" s="13"/>
      <c r="C356" s="5"/>
      <c r="D356" s="13"/>
      <c r="E356" s="13"/>
      <c r="F356" s="13"/>
      <c r="G356" s="13"/>
      <c r="H356" s="5"/>
      <c r="I356" s="5"/>
      <c r="J356" s="6" t="str">
        <f t="shared" si="5"/>
        <v/>
      </c>
      <c r="K356" s="6" t="str">
        <f>IF(A356="","",IF(COUNTIFS('02_KICH_BAN_NODES'!$B$5:$B$204,A356,'02_KICH_BAN_NODES'!$D$5:$D$204,"choice")=0,"ChoiceNodeId không tồn tại hoặc không phải choice",IF(COUNTIFS($A$5:$A$404,A356,$B$5:$B$404,B356)&gt;1,"Trùng OptionOrder trong cùng choice",IF(OR(B356="",C356="",D356="",F356="",H356=""),"Thiếu trường bắt buộc",IF(OR(COUNTIF($A$5:$A$404,A356)&lt;2,COUNTIF($A$5:$A$404,A356)&gt;4),"Mỗi choice cần 2–4 option",IF(COUNTIFS('02_KICH_BAN_NODES'!$B$5:$B$204,A356,'02_KICH_BAN_NODES'!$E$5:$E$204,"Kiến thức")=1,IF(COUNTIFS($A$5:$A$404,A356,$D$5:$D$404,"Có")&lt;&gt;1,"Choice kiến thức cần đúng 1 đáp án đúng",""),IF(COUNTIFS('02_KICH_BAN_NODES'!$B$5:$B$204,A356,'02_KICH_BAN_NODES'!$E$5:$E$204,"Tương tác")=1,IF(COUNTIFS($A$5:$A$404,A356,$D$5:$D$404,"Có")&lt;&gt;0,"Choice tương tác không được đánh dấu đáp án đúng",""),"Choice chưa chọn loại")))))))</f>
        <v/>
      </c>
    </row>
    <row r="357" spans="1:11">
      <c r="A357" s="13"/>
      <c r="B357" s="13"/>
      <c r="C357" s="5"/>
      <c r="D357" s="13"/>
      <c r="E357" s="13"/>
      <c r="F357" s="13"/>
      <c r="G357" s="13"/>
      <c r="H357" s="5"/>
      <c r="I357" s="5"/>
      <c r="J357" s="6" t="str">
        <f t="shared" si="5"/>
        <v/>
      </c>
      <c r="K357" s="6" t="str">
        <f>IF(A357="","",IF(COUNTIFS('02_KICH_BAN_NODES'!$B$5:$B$204,A357,'02_KICH_BAN_NODES'!$D$5:$D$204,"choice")=0,"ChoiceNodeId không tồn tại hoặc không phải choice",IF(COUNTIFS($A$5:$A$404,A357,$B$5:$B$404,B357)&gt;1,"Trùng OptionOrder trong cùng choice",IF(OR(B357="",C357="",D357="",F357="",H357=""),"Thiếu trường bắt buộc",IF(OR(COUNTIF($A$5:$A$404,A357)&lt;2,COUNTIF($A$5:$A$404,A357)&gt;4),"Mỗi choice cần 2–4 option",IF(COUNTIFS('02_KICH_BAN_NODES'!$B$5:$B$204,A357,'02_KICH_BAN_NODES'!$E$5:$E$204,"Kiến thức")=1,IF(COUNTIFS($A$5:$A$404,A357,$D$5:$D$404,"Có")&lt;&gt;1,"Choice kiến thức cần đúng 1 đáp án đúng",""),IF(COUNTIFS('02_KICH_BAN_NODES'!$B$5:$B$204,A357,'02_KICH_BAN_NODES'!$E$5:$E$204,"Tương tác")=1,IF(COUNTIFS($A$5:$A$404,A357,$D$5:$D$404,"Có")&lt;&gt;0,"Choice tương tác không được đánh dấu đáp án đúng",""),"Choice chưa chọn loại")))))))</f>
        <v/>
      </c>
    </row>
    <row r="358" spans="1:11">
      <c r="A358" s="13"/>
      <c r="B358" s="13"/>
      <c r="C358" s="5"/>
      <c r="D358" s="13"/>
      <c r="E358" s="13"/>
      <c r="F358" s="13"/>
      <c r="G358" s="13"/>
      <c r="H358" s="5"/>
      <c r="I358" s="5"/>
      <c r="J358" s="6" t="str">
        <f t="shared" si="5"/>
        <v/>
      </c>
      <c r="K358" s="6" t="str">
        <f>IF(A358="","",IF(COUNTIFS('02_KICH_BAN_NODES'!$B$5:$B$204,A358,'02_KICH_BAN_NODES'!$D$5:$D$204,"choice")=0,"ChoiceNodeId không tồn tại hoặc không phải choice",IF(COUNTIFS($A$5:$A$404,A358,$B$5:$B$404,B358)&gt;1,"Trùng OptionOrder trong cùng choice",IF(OR(B358="",C358="",D358="",F358="",H358=""),"Thiếu trường bắt buộc",IF(OR(COUNTIF($A$5:$A$404,A358)&lt;2,COUNTIF($A$5:$A$404,A358)&gt;4),"Mỗi choice cần 2–4 option",IF(COUNTIFS('02_KICH_BAN_NODES'!$B$5:$B$204,A358,'02_KICH_BAN_NODES'!$E$5:$E$204,"Kiến thức")=1,IF(COUNTIFS($A$5:$A$404,A358,$D$5:$D$404,"Có")&lt;&gt;1,"Choice kiến thức cần đúng 1 đáp án đúng",""),IF(COUNTIFS('02_KICH_BAN_NODES'!$B$5:$B$204,A358,'02_KICH_BAN_NODES'!$E$5:$E$204,"Tương tác")=1,IF(COUNTIFS($A$5:$A$404,A358,$D$5:$D$404,"Có")&lt;&gt;0,"Choice tương tác không được đánh dấu đáp án đúng",""),"Choice chưa chọn loại")))))))</f>
        <v/>
      </c>
    </row>
    <row r="359" spans="1:11">
      <c r="A359" s="13"/>
      <c r="B359" s="13"/>
      <c r="C359" s="5"/>
      <c r="D359" s="13"/>
      <c r="E359" s="13"/>
      <c r="F359" s="13"/>
      <c r="G359" s="13"/>
      <c r="H359" s="5"/>
      <c r="I359" s="5"/>
      <c r="J359" s="6" t="str">
        <f t="shared" si="5"/>
        <v/>
      </c>
      <c r="K359" s="6" t="str">
        <f>IF(A359="","",IF(COUNTIFS('02_KICH_BAN_NODES'!$B$5:$B$204,A359,'02_KICH_BAN_NODES'!$D$5:$D$204,"choice")=0,"ChoiceNodeId không tồn tại hoặc không phải choice",IF(COUNTIFS($A$5:$A$404,A359,$B$5:$B$404,B359)&gt;1,"Trùng OptionOrder trong cùng choice",IF(OR(B359="",C359="",D359="",F359="",H359=""),"Thiếu trường bắt buộc",IF(OR(COUNTIF($A$5:$A$404,A359)&lt;2,COUNTIF($A$5:$A$404,A359)&gt;4),"Mỗi choice cần 2–4 option",IF(COUNTIFS('02_KICH_BAN_NODES'!$B$5:$B$204,A359,'02_KICH_BAN_NODES'!$E$5:$E$204,"Kiến thức")=1,IF(COUNTIFS($A$5:$A$404,A359,$D$5:$D$404,"Có")&lt;&gt;1,"Choice kiến thức cần đúng 1 đáp án đúng",""),IF(COUNTIFS('02_KICH_BAN_NODES'!$B$5:$B$204,A359,'02_KICH_BAN_NODES'!$E$5:$E$204,"Tương tác")=1,IF(COUNTIFS($A$5:$A$404,A359,$D$5:$D$404,"Có")&lt;&gt;0,"Choice tương tác không được đánh dấu đáp án đúng",""),"Choice chưa chọn loại")))))))</f>
        <v/>
      </c>
    </row>
    <row r="360" spans="1:11">
      <c r="A360" s="13"/>
      <c r="B360" s="13"/>
      <c r="C360" s="5"/>
      <c r="D360" s="13"/>
      <c r="E360" s="13"/>
      <c r="F360" s="13"/>
      <c r="G360" s="13"/>
      <c r="H360" s="5"/>
      <c r="I360" s="5"/>
      <c r="J360" s="6" t="str">
        <f t="shared" si="5"/>
        <v/>
      </c>
      <c r="K360" s="6" t="str">
        <f>IF(A360="","",IF(COUNTIFS('02_KICH_BAN_NODES'!$B$5:$B$204,A360,'02_KICH_BAN_NODES'!$D$5:$D$204,"choice")=0,"ChoiceNodeId không tồn tại hoặc không phải choice",IF(COUNTIFS($A$5:$A$404,A360,$B$5:$B$404,B360)&gt;1,"Trùng OptionOrder trong cùng choice",IF(OR(B360="",C360="",D360="",F360="",H360=""),"Thiếu trường bắt buộc",IF(OR(COUNTIF($A$5:$A$404,A360)&lt;2,COUNTIF($A$5:$A$404,A360)&gt;4),"Mỗi choice cần 2–4 option",IF(COUNTIFS('02_KICH_BAN_NODES'!$B$5:$B$204,A360,'02_KICH_BAN_NODES'!$E$5:$E$204,"Kiến thức")=1,IF(COUNTIFS($A$5:$A$404,A360,$D$5:$D$404,"Có")&lt;&gt;1,"Choice kiến thức cần đúng 1 đáp án đúng",""),IF(COUNTIFS('02_KICH_BAN_NODES'!$B$5:$B$204,A360,'02_KICH_BAN_NODES'!$E$5:$E$204,"Tương tác")=1,IF(COUNTIFS($A$5:$A$404,A360,$D$5:$D$404,"Có")&lt;&gt;0,"Choice tương tác không được đánh dấu đáp án đúng",""),"Choice chưa chọn loại")))))))</f>
        <v/>
      </c>
    </row>
    <row r="361" spans="1:11">
      <c r="A361" s="13"/>
      <c r="B361" s="13"/>
      <c r="C361" s="5"/>
      <c r="D361" s="13"/>
      <c r="E361" s="13"/>
      <c r="F361" s="13"/>
      <c r="G361" s="13"/>
      <c r="H361" s="5"/>
      <c r="I361" s="5"/>
      <c r="J361" s="6" t="str">
        <f t="shared" si="5"/>
        <v/>
      </c>
      <c r="K361" s="6" t="str">
        <f>IF(A361="","",IF(COUNTIFS('02_KICH_BAN_NODES'!$B$5:$B$204,A361,'02_KICH_BAN_NODES'!$D$5:$D$204,"choice")=0,"ChoiceNodeId không tồn tại hoặc không phải choice",IF(COUNTIFS($A$5:$A$404,A361,$B$5:$B$404,B361)&gt;1,"Trùng OptionOrder trong cùng choice",IF(OR(B361="",C361="",D361="",F361="",H361=""),"Thiếu trường bắt buộc",IF(OR(COUNTIF($A$5:$A$404,A361)&lt;2,COUNTIF($A$5:$A$404,A361)&gt;4),"Mỗi choice cần 2–4 option",IF(COUNTIFS('02_KICH_BAN_NODES'!$B$5:$B$204,A361,'02_KICH_BAN_NODES'!$E$5:$E$204,"Kiến thức")=1,IF(COUNTIFS($A$5:$A$404,A361,$D$5:$D$404,"Có")&lt;&gt;1,"Choice kiến thức cần đúng 1 đáp án đúng",""),IF(COUNTIFS('02_KICH_BAN_NODES'!$B$5:$B$204,A361,'02_KICH_BAN_NODES'!$E$5:$E$204,"Tương tác")=1,IF(COUNTIFS($A$5:$A$404,A361,$D$5:$D$404,"Có")&lt;&gt;0,"Choice tương tác không được đánh dấu đáp án đúng",""),"Choice chưa chọn loại")))))))</f>
        <v/>
      </c>
    </row>
    <row r="362" spans="1:11">
      <c r="A362" s="13"/>
      <c r="B362" s="13"/>
      <c r="C362" s="5"/>
      <c r="D362" s="13"/>
      <c r="E362" s="13"/>
      <c r="F362" s="13"/>
      <c r="G362" s="13"/>
      <c r="H362" s="5"/>
      <c r="I362" s="5"/>
      <c r="J362" s="6" t="str">
        <f t="shared" si="5"/>
        <v/>
      </c>
      <c r="K362" s="6" t="str">
        <f>IF(A362="","",IF(COUNTIFS('02_KICH_BAN_NODES'!$B$5:$B$204,A362,'02_KICH_BAN_NODES'!$D$5:$D$204,"choice")=0,"ChoiceNodeId không tồn tại hoặc không phải choice",IF(COUNTIFS($A$5:$A$404,A362,$B$5:$B$404,B362)&gt;1,"Trùng OptionOrder trong cùng choice",IF(OR(B362="",C362="",D362="",F362="",H362=""),"Thiếu trường bắt buộc",IF(OR(COUNTIF($A$5:$A$404,A362)&lt;2,COUNTIF($A$5:$A$404,A362)&gt;4),"Mỗi choice cần 2–4 option",IF(COUNTIFS('02_KICH_BAN_NODES'!$B$5:$B$204,A362,'02_KICH_BAN_NODES'!$E$5:$E$204,"Kiến thức")=1,IF(COUNTIFS($A$5:$A$404,A362,$D$5:$D$404,"Có")&lt;&gt;1,"Choice kiến thức cần đúng 1 đáp án đúng",""),IF(COUNTIFS('02_KICH_BAN_NODES'!$B$5:$B$204,A362,'02_KICH_BAN_NODES'!$E$5:$E$204,"Tương tác")=1,IF(COUNTIFS($A$5:$A$404,A362,$D$5:$D$404,"Có")&lt;&gt;0,"Choice tương tác không được đánh dấu đáp án đúng",""),"Choice chưa chọn loại")))))))</f>
        <v/>
      </c>
    </row>
    <row r="363" spans="1:11">
      <c r="A363" s="13"/>
      <c r="B363" s="13"/>
      <c r="C363" s="5"/>
      <c r="D363" s="13"/>
      <c r="E363" s="13"/>
      <c r="F363" s="13"/>
      <c r="G363" s="13"/>
      <c r="H363" s="5"/>
      <c r="I363" s="5"/>
      <c r="J363" s="6" t="str">
        <f t="shared" si="5"/>
        <v/>
      </c>
      <c r="K363" s="6" t="str">
        <f>IF(A363="","",IF(COUNTIFS('02_KICH_BAN_NODES'!$B$5:$B$204,A363,'02_KICH_BAN_NODES'!$D$5:$D$204,"choice")=0,"ChoiceNodeId không tồn tại hoặc không phải choice",IF(COUNTIFS($A$5:$A$404,A363,$B$5:$B$404,B363)&gt;1,"Trùng OptionOrder trong cùng choice",IF(OR(B363="",C363="",D363="",F363="",H363=""),"Thiếu trường bắt buộc",IF(OR(COUNTIF($A$5:$A$404,A363)&lt;2,COUNTIF($A$5:$A$404,A363)&gt;4),"Mỗi choice cần 2–4 option",IF(COUNTIFS('02_KICH_BAN_NODES'!$B$5:$B$204,A363,'02_KICH_BAN_NODES'!$E$5:$E$204,"Kiến thức")=1,IF(COUNTIFS($A$5:$A$404,A363,$D$5:$D$404,"Có")&lt;&gt;1,"Choice kiến thức cần đúng 1 đáp án đúng",""),IF(COUNTIFS('02_KICH_BAN_NODES'!$B$5:$B$204,A363,'02_KICH_BAN_NODES'!$E$5:$E$204,"Tương tác")=1,IF(COUNTIFS($A$5:$A$404,A363,$D$5:$D$404,"Có")&lt;&gt;0,"Choice tương tác không được đánh dấu đáp án đúng",""),"Choice chưa chọn loại")))))))</f>
        <v/>
      </c>
    </row>
    <row r="364" spans="1:11">
      <c r="A364" s="13"/>
      <c r="B364" s="13"/>
      <c r="C364" s="5"/>
      <c r="D364" s="13"/>
      <c r="E364" s="13"/>
      <c r="F364" s="13"/>
      <c r="G364" s="13"/>
      <c r="H364" s="5"/>
      <c r="I364" s="5"/>
      <c r="J364" s="6" t="str">
        <f t="shared" si="5"/>
        <v/>
      </c>
      <c r="K364" s="6" t="str">
        <f>IF(A364="","",IF(COUNTIFS('02_KICH_BAN_NODES'!$B$5:$B$204,A364,'02_KICH_BAN_NODES'!$D$5:$D$204,"choice")=0,"ChoiceNodeId không tồn tại hoặc không phải choice",IF(COUNTIFS($A$5:$A$404,A364,$B$5:$B$404,B364)&gt;1,"Trùng OptionOrder trong cùng choice",IF(OR(B364="",C364="",D364="",F364="",H364=""),"Thiếu trường bắt buộc",IF(OR(COUNTIF($A$5:$A$404,A364)&lt;2,COUNTIF($A$5:$A$404,A364)&gt;4),"Mỗi choice cần 2–4 option",IF(COUNTIFS('02_KICH_BAN_NODES'!$B$5:$B$204,A364,'02_KICH_BAN_NODES'!$E$5:$E$204,"Kiến thức")=1,IF(COUNTIFS($A$5:$A$404,A364,$D$5:$D$404,"Có")&lt;&gt;1,"Choice kiến thức cần đúng 1 đáp án đúng",""),IF(COUNTIFS('02_KICH_BAN_NODES'!$B$5:$B$204,A364,'02_KICH_BAN_NODES'!$E$5:$E$204,"Tương tác")=1,IF(COUNTIFS($A$5:$A$404,A364,$D$5:$D$404,"Có")&lt;&gt;0,"Choice tương tác không được đánh dấu đáp án đúng",""),"Choice chưa chọn loại")))))))</f>
        <v/>
      </c>
    </row>
    <row r="365" spans="1:11">
      <c r="A365" s="13"/>
      <c r="B365" s="13"/>
      <c r="C365" s="5"/>
      <c r="D365" s="13"/>
      <c r="E365" s="13"/>
      <c r="F365" s="13"/>
      <c r="G365" s="13"/>
      <c r="H365" s="5"/>
      <c r="I365" s="5"/>
      <c r="J365" s="6" t="str">
        <f t="shared" si="5"/>
        <v/>
      </c>
      <c r="K365" s="6" t="str">
        <f>IF(A365="","",IF(COUNTIFS('02_KICH_BAN_NODES'!$B$5:$B$204,A365,'02_KICH_BAN_NODES'!$D$5:$D$204,"choice")=0,"ChoiceNodeId không tồn tại hoặc không phải choice",IF(COUNTIFS($A$5:$A$404,A365,$B$5:$B$404,B365)&gt;1,"Trùng OptionOrder trong cùng choice",IF(OR(B365="",C365="",D365="",F365="",H365=""),"Thiếu trường bắt buộc",IF(OR(COUNTIF($A$5:$A$404,A365)&lt;2,COUNTIF($A$5:$A$404,A365)&gt;4),"Mỗi choice cần 2–4 option",IF(COUNTIFS('02_KICH_BAN_NODES'!$B$5:$B$204,A365,'02_KICH_BAN_NODES'!$E$5:$E$204,"Kiến thức")=1,IF(COUNTIFS($A$5:$A$404,A365,$D$5:$D$404,"Có")&lt;&gt;1,"Choice kiến thức cần đúng 1 đáp án đúng",""),IF(COUNTIFS('02_KICH_BAN_NODES'!$B$5:$B$204,A365,'02_KICH_BAN_NODES'!$E$5:$E$204,"Tương tác")=1,IF(COUNTIFS($A$5:$A$404,A365,$D$5:$D$404,"Có")&lt;&gt;0,"Choice tương tác không được đánh dấu đáp án đúng",""),"Choice chưa chọn loại")))))))</f>
        <v/>
      </c>
    </row>
    <row r="366" spans="1:11">
      <c r="A366" s="13"/>
      <c r="B366" s="13"/>
      <c r="C366" s="5"/>
      <c r="D366" s="13"/>
      <c r="E366" s="13"/>
      <c r="F366" s="13"/>
      <c r="G366" s="13"/>
      <c r="H366" s="5"/>
      <c r="I366" s="5"/>
      <c r="J366" s="6" t="str">
        <f t="shared" si="5"/>
        <v/>
      </c>
      <c r="K366" s="6" t="str">
        <f>IF(A366="","",IF(COUNTIFS('02_KICH_BAN_NODES'!$B$5:$B$204,A366,'02_KICH_BAN_NODES'!$D$5:$D$204,"choice")=0,"ChoiceNodeId không tồn tại hoặc không phải choice",IF(COUNTIFS($A$5:$A$404,A366,$B$5:$B$404,B366)&gt;1,"Trùng OptionOrder trong cùng choice",IF(OR(B366="",C366="",D366="",F366="",H366=""),"Thiếu trường bắt buộc",IF(OR(COUNTIF($A$5:$A$404,A366)&lt;2,COUNTIF($A$5:$A$404,A366)&gt;4),"Mỗi choice cần 2–4 option",IF(COUNTIFS('02_KICH_BAN_NODES'!$B$5:$B$204,A366,'02_KICH_BAN_NODES'!$E$5:$E$204,"Kiến thức")=1,IF(COUNTIFS($A$5:$A$404,A366,$D$5:$D$404,"Có")&lt;&gt;1,"Choice kiến thức cần đúng 1 đáp án đúng",""),IF(COUNTIFS('02_KICH_BAN_NODES'!$B$5:$B$204,A366,'02_KICH_BAN_NODES'!$E$5:$E$204,"Tương tác")=1,IF(COUNTIFS($A$5:$A$404,A366,$D$5:$D$404,"Có")&lt;&gt;0,"Choice tương tác không được đánh dấu đáp án đúng",""),"Choice chưa chọn loại")))))))</f>
        <v/>
      </c>
    </row>
    <row r="367" spans="1:11">
      <c r="A367" s="13"/>
      <c r="B367" s="13"/>
      <c r="C367" s="5"/>
      <c r="D367" s="13"/>
      <c r="E367" s="13"/>
      <c r="F367" s="13"/>
      <c r="G367" s="13"/>
      <c r="H367" s="5"/>
      <c r="I367" s="5"/>
      <c r="J367" s="6" t="str">
        <f t="shared" si="5"/>
        <v/>
      </c>
      <c r="K367" s="6" t="str">
        <f>IF(A367="","",IF(COUNTIFS('02_KICH_BAN_NODES'!$B$5:$B$204,A367,'02_KICH_BAN_NODES'!$D$5:$D$204,"choice")=0,"ChoiceNodeId không tồn tại hoặc không phải choice",IF(COUNTIFS($A$5:$A$404,A367,$B$5:$B$404,B367)&gt;1,"Trùng OptionOrder trong cùng choice",IF(OR(B367="",C367="",D367="",F367="",H367=""),"Thiếu trường bắt buộc",IF(OR(COUNTIF($A$5:$A$404,A367)&lt;2,COUNTIF($A$5:$A$404,A367)&gt;4),"Mỗi choice cần 2–4 option",IF(COUNTIFS('02_KICH_BAN_NODES'!$B$5:$B$204,A367,'02_KICH_BAN_NODES'!$E$5:$E$204,"Kiến thức")=1,IF(COUNTIFS($A$5:$A$404,A367,$D$5:$D$404,"Có")&lt;&gt;1,"Choice kiến thức cần đúng 1 đáp án đúng",""),IF(COUNTIFS('02_KICH_BAN_NODES'!$B$5:$B$204,A367,'02_KICH_BAN_NODES'!$E$5:$E$204,"Tương tác")=1,IF(COUNTIFS($A$5:$A$404,A367,$D$5:$D$404,"Có")&lt;&gt;0,"Choice tương tác không được đánh dấu đáp án đúng",""),"Choice chưa chọn loại")))))))</f>
        <v/>
      </c>
    </row>
    <row r="368" spans="1:11">
      <c r="A368" s="13"/>
      <c r="B368" s="13"/>
      <c r="C368" s="5"/>
      <c r="D368" s="13"/>
      <c r="E368" s="13"/>
      <c r="F368" s="13"/>
      <c r="G368" s="13"/>
      <c r="H368" s="5"/>
      <c r="I368" s="5"/>
      <c r="J368" s="6" t="str">
        <f t="shared" si="5"/>
        <v/>
      </c>
      <c r="K368" s="6" t="str">
        <f>IF(A368="","",IF(COUNTIFS('02_KICH_BAN_NODES'!$B$5:$B$204,A368,'02_KICH_BAN_NODES'!$D$5:$D$204,"choice")=0,"ChoiceNodeId không tồn tại hoặc không phải choice",IF(COUNTIFS($A$5:$A$404,A368,$B$5:$B$404,B368)&gt;1,"Trùng OptionOrder trong cùng choice",IF(OR(B368="",C368="",D368="",F368="",H368=""),"Thiếu trường bắt buộc",IF(OR(COUNTIF($A$5:$A$404,A368)&lt;2,COUNTIF($A$5:$A$404,A368)&gt;4),"Mỗi choice cần 2–4 option",IF(COUNTIFS('02_KICH_BAN_NODES'!$B$5:$B$204,A368,'02_KICH_BAN_NODES'!$E$5:$E$204,"Kiến thức")=1,IF(COUNTIFS($A$5:$A$404,A368,$D$5:$D$404,"Có")&lt;&gt;1,"Choice kiến thức cần đúng 1 đáp án đúng",""),IF(COUNTIFS('02_KICH_BAN_NODES'!$B$5:$B$204,A368,'02_KICH_BAN_NODES'!$E$5:$E$204,"Tương tác")=1,IF(COUNTIFS($A$5:$A$404,A368,$D$5:$D$404,"Có")&lt;&gt;0,"Choice tương tác không được đánh dấu đáp án đúng",""),"Choice chưa chọn loại")))))))</f>
        <v/>
      </c>
    </row>
    <row r="369" spans="1:11">
      <c r="A369" s="13"/>
      <c r="B369" s="13"/>
      <c r="C369" s="5"/>
      <c r="D369" s="13"/>
      <c r="E369" s="13"/>
      <c r="F369" s="13"/>
      <c r="G369" s="13"/>
      <c r="H369" s="5"/>
      <c r="I369" s="5"/>
      <c r="J369" s="6" t="str">
        <f t="shared" si="5"/>
        <v/>
      </c>
      <c r="K369" s="6" t="str">
        <f>IF(A369="","",IF(COUNTIFS('02_KICH_BAN_NODES'!$B$5:$B$204,A369,'02_KICH_BAN_NODES'!$D$5:$D$204,"choice")=0,"ChoiceNodeId không tồn tại hoặc không phải choice",IF(COUNTIFS($A$5:$A$404,A369,$B$5:$B$404,B369)&gt;1,"Trùng OptionOrder trong cùng choice",IF(OR(B369="",C369="",D369="",F369="",H369=""),"Thiếu trường bắt buộc",IF(OR(COUNTIF($A$5:$A$404,A369)&lt;2,COUNTIF($A$5:$A$404,A369)&gt;4),"Mỗi choice cần 2–4 option",IF(COUNTIFS('02_KICH_BAN_NODES'!$B$5:$B$204,A369,'02_KICH_BAN_NODES'!$E$5:$E$204,"Kiến thức")=1,IF(COUNTIFS($A$5:$A$404,A369,$D$5:$D$404,"Có")&lt;&gt;1,"Choice kiến thức cần đúng 1 đáp án đúng",""),IF(COUNTIFS('02_KICH_BAN_NODES'!$B$5:$B$204,A369,'02_KICH_BAN_NODES'!$E$5:$E$204,"Tương tác")=1,IF(COUNTIFS($A$5:$A$404,A369,$D$5:$D$404,"Có")&lt;&gt;0,"Choice tương tác không được đánh dấu đáp án đúng",""),"Choice chưa chọn loại")))))))</f>
        <v/>
      </c>
    </row>
    <row r="370" spans="1:11">
      <c r="A370" s="13"/>
      <c r="B370" s="13"/>
      <c r="C370" s="5"/>
      <c r="D370" s="13"/>
      <c r="E370" s="13"/>
      <c r="F370" s="13"/>
      <c r="G370" s="13"/>
      <c r="H370" s="5"/>
      <c r="I370" s="5"/>
      <c r="J370" s="6" t="str">
        <f t="shared" si="5"/>
        <v/>
      </c>
      <c r="K370" s="6" t="str">
        <f>IF(A370="","",IF(COUNTIFS('02_KICH_BAN_NODES'!$B$5:$B$204,A370,'02_KICH_BAN_NODES'!$D$5:$D$204,"choice")=0,"ChoiceNodeId không tồn tại hoặc không phải choice",IF(COUNTIFS($A$5:$A$404,A370,$B$5:$B$404,B370)&gt;1,"Trùng OptionOrder trong cùng choice",IF(OR(B370="",C370="",D370="",F370="",H370=""),"Thiếu trường bắt buộc",IF(OR(COUNTIF($A$5:$A$404,A370)&lt;2,COUNTIF($A$5:$A$404,A370)&gt;4),"Mỗi choice cần 2–4 option",IF(COUNTIFS('02_KICH_BAN_NODES'!$B$5:$B$204,A370,'02_KICH_BAN_NODES'!$E$5:$E$204,"Kiến thức")=1,IF(COUNTIFS($A$5:$A$404,A370,$D$5:$D$404,"Có")&lt;&gt;1,"Choice kiến thức cần đúng 1 đáp án đúng",""),IF(COUNTIFS('02_KICH_BAN_NODES'!$B$5:$B$204,A370,'02_KICH_BAN_NODES'!$E$5:$E$204,"Tương tác")=1,IF(COUNTIFS($A$5:$A$404,A370,$D$5:$D$404,"Có")&lt;&gt;0,"Choice tương tác không được đánh dấu đáp án đúng",""),"Choice chưa chọn loại")))))))</f>
        <v/>
      </c>
    </row>
    <row r="371" spans="1:11">
      <c r="A371" s="13"/>
      <c r="B371" s="13"/>
      <c r="C371" s="5"/>
      <c r="D371" s="13"/>
      <c r="E371" s="13"/>
      <c r="F371" s="13"/>
      <c r="G371" s="13"/>
      <c r="H371" s="5"/>
      <c r="I371" s="5"/>
      <c r="J371" s="6" t="str">
        <f t="shared" si="5"/>
        <v/>
      </c>
      <c r="K371" s="6" t="str">
        <f>IF(A371="","",IF(COUNTIFS('02_KICH_BAN_NODES'!$B$5:$B$204,A371,'02_KICH_BAN_NODES'!$D$5:$D$204,"choice")=0,"ChoiceNodeId không tồn tại hoặc không phải choice",IF(COUNTIFS($A$5:$A$404,A371,$B$5:$B$404,B371)&gt;1,"Trùng OptionOrder trong cùng choice",IF(OR(B371="",C371="",D371="",F371="",H371=""),"Thiếu trường bắt buộc",IF(OR(COUNTIF($A$5:$A$404,A371)&lt;2,COUNTIF($A$5:$A$404,A371)&gt;4),"Mỗi choice cần 2–4 option",IF(COUNTIFS('02_KICH_BAN_NODES'!$B$5:$B$204,A371,'02_KICH_BAN_NODES'!$E$5:$E$204,"Kiến thức")=1,IF(COUNTIFS($A$5:$A$404,A371,$D$5:$D$404,"Có")&lt;&gt;1,"Choice kiến thức cần đúng 1 đáp án đúng",""),IF(COUNTIFS('02_KICH_BAN_NODES'!$B$5:$B$204,A371,'02_KICH_BAN_NODES'!$E$5:$E$204,"Tương tác")=1,IF(COUNTIFS($A$5:$A$404,A371,$D$5:$D$404,"Có")&lt;&gt;0,"Choice tương tác không được đánh dấu đáp án đúng",""),"Choice chưa chọn loại")))))))</f>
        <v/>
      </c>
    </row>
    <row r="372" spans="1:11">
      <c r="A372" s="13"/>
      <c r="B372" s="13"/>
      <c r="C372" s="5"/>
      <c r="D372" s="13"/>
      <c r="E372" s="13"/>
      <c r="F372" s="13"/>
      <c r="G372" s="13"/>
      <c r="H372" s="5"/>
      <c r="I372" s="5"/>
      <c r="J372" s="6" t="str">
        <f t="shared" si="5"/>
        <v/>
      </c>
      <c r="K372" s="6" t="str">
        <f>IF(A372="","",IF(COUNTIFS('02_KICH_BAN_NODES'!$B$5:$B$204,A372,'02_KICH_BAN_NODES'!$D$5:$D$204,"choice")=0,"ChoiceNodeId không tồn tại hoặc không phải choice",IF(COUNTIFS($A$5:$A$404,A372,$B$5:$B$404,B372)&gt;1,"Trùng OptionOrder trong cùng choice",IF(OR(B372="",C372="",D372="",F372="",H372=""),"Thiếu trường bắt buộc",IF(OR(COUNTIF($A$5:$A$404,A372)&lt;2,COUNTIF($A$5:$A$404,A372)&gt;4),"Mỗi choice cần 2–4 option",IF(COUNTIFS('02_KICH_BAN_NODES'!$B$5:$B$204,A372,'02_KICH_BAN_NODES'!$E$5:$E$204,"Kiến thức")=1,IF(COUNTIFS($A$5:$A$404,A372,$D$5:$D$404,"Có")&lt;&gt;1,"Choice kiến thức cần đúng 1 đáp án đúng",""),IF(COUNTIFS('02_KICH_BAN_NODES'!$B$5:$B$204,A372,'02_KICH_BAN_NODES'!$E$5:$E$204,"Tương tác")=1,IF(COUNTIFS($A$5:$A$404,A372,$D$5:$D$404,"Có")&lt;&gt;0,"Choice tương tác không được đánh dấu đáp án đúng",""),"Choice chưa chọn loại")))))))</f>
        <v/>
      </c>
    </row>
    <row r="373" spans="1:11">
      <c r="A373" s="13"/>
      <c r="B373" s="13"/>
      <c r="C373" s="5"/>
      <c r="D373" s="13"/>
      <c r="E373" s="13"/>
      <c r="F373" s="13"/>
      <c r="G373" s="13"/>
      <c r="H373" s="5"/>
      <c r="I373" s="5"/>
      <c r="J373" s="6" t="str">
        <f t="shared" si="5"/>
        <v/>
      </c>
      <c r="K373" s="6" t="str">
        <f>IF(A373="","",IF(COUNTIFS('02_KICH_BAN_NODES'!$B$5:$B$204,A373,'02_KICH_BAN_NODES'!$D$5:$D$204,"choice")=0,"ChoiceNodeId không tồn tại hoặc không phải choice",IF(COUNTIFS($A$5:$A$404,A373,$B$5:$B$404,B373)&gt;1,"Trùng OptionOrder trong cùng choice",IF(OR(B373="",C373="",D373="",F373="",H373=""),"Thiếu trường bắt buộc",IF(OR(COUNTIF($A$5:$A$404,A373)&lt;2,COUNTIF($A$5:$A$404,A373)&gt;4),"Mỗi choice cần 2–4 option",IF(COUNTIFS('02_KICH_BAN_NODES'!$B$5:$B$204,A373,'02_KICH_BAN_NODES'!$E$5:$E$204,"Kiến thức")=1,IF(COUNTIFS($A$5:$A$404,A373,$D$5:$D$404,"Có")&lt;&gt;1,"Choice kiến thức cần đúng 1 đáp án đúng",""),IF(COUNTIFS('02_KICH_BAN_NODES'!$B$5:$B$204,A373,'02_KICH_BAN_NODES'!$E$5:$E$204,"Tương tác")=1,IF(COUNTIFS($A$5:$A$404,A373,$D$5:$D$404,"Có")&lt;&gt;0,"Choice tương tác không được đánh dấu đáp án đúng",""),"Choice chưa chọn loại")))))))</f>
        <v/>
      </c>
    </row>
    <row r="374" spans="1:11">
      <c r="A374" s="13"/>
      <c r="B374" s="13"/>
      <c r="C374" s="5"/>
      <c r="D374" s="13"/>
      <c r="E374" s="13"/>
      <c r="F374" s="13"/>
      <c r="G374" s="13"/>
      <c r="H374" s="5"/>
      <c r="I374" s="5"/>
      <c r="J374" s="6" t="str">
        <f t="shared" si="5"/>
        <v/>
      </c>
      <c r="K374" s="6" t="str">
        <f>IF(A374="","",IF(COUNTIFS('02_KICH_BAN_NODES'!$B$5:$B$204,A374,'02_KICH_BAN_NODES'!$D$5:$D$204,"choice")=0,"ChoiceNodeId không tồn tại hoặc không phải choice",IF(COUNTIFS($A$5:$A$404,A374,$B$5:$B$404,B374)&gt;1,"Trùng OptionOrder trong cùng choice",IF(OR(B374="",C374="",D374="",F374="",H374=""),"Thiếu trường bắt buộc",IF(OR(COUNTIF($A$5:$A$404,A374)&lt;2,COUNTIF($A$5:$A$404,A374)&gt;4),"Mỗi choice cần 2–4 option",IF(COUNTIFS('02_KICH_BAN_NODES'!$B$5:$B$204,A374,'02_KICH_BAN_NODES'!$E$5:$E$204,"Kiến thức")=1,IF(COUNTIFS($A$5:$A$404,A374,$D$5:$D$404,"Có")&lt;&gt;1,"Choice kiến thức cần đúng 1 đáp án đúng",""),IF(COUNTIFS('02_KICH_BAN_NODES'!$B$5:$B$204,A374,'02_KICH_BAN_NODES'!$E$5:$E$204,"Tương tác")=1,IF(COUNTIFS($A$5:$A$404,A374,$D$5:$D$404,"Có")&lt;&gt;0,"Choice tương tác không được đánh dấu đáp án đúng",""),"Choice chưa chọn loại")))))))</f>
        <v/>
      </c>
    </row>
    <row r="375" spans="1:11">
      <c r="A375" s="13"/>
      <c r="B375" s="13"/>
      <c r="C375" s="5"/>
      <c r="D375" s="13"/>
      <c r="E375" s="13"/>
      <c r="F375" s="13"/>
      <c r="G375" s="13"/>
      <c r="H375" s="5"/>
      <c r="I375" s="5"/>
      <c r="J375" s="6" t="str">
        <f t="shared" si="5"/>
        <v/>
      </c>
      <c r="K375" s="6" t="str">
        <f>IF(A375="","",IF(COUNTIFS('02_KICH_BAN_NODES'!$B$5:$B$204,A375,'02_KICH_BAN_NODES'!$D$5:$D$204,"choice")=0,"ChoiceNodeId không tồn tại hoặc không phải choice",IF(COUNTIFS($A$5:$A$404,A375,$B$5:$B$404,B375)&gt;1,"Trùng OptionOrder trong cùng choice",IF(OR(B375="",C375="",D375="",F375="",H375=""),"Thiếu trường bắt buộc",IF(OR(COUNTIF($A$5:$A$404,A375)&lt;2,COUNTIF($A$5:$A$404,A375)&gt;4),"Mỗi choice cần 2–4 option",IF(COUNTIFS('02_KICH_BAN_NODES'!$B$5:$B$204,A375,'02_KICH_BAN_NODES'!$E$5:$E$204,"Kiến thức")=1,IF(COUNTIFS($A$5:$A$404,A375,$D$5:$D$404,"Có")&lt;&gt;1,"Choice kiến thức cần đúng 1 đáp án đúng",""),IF(COUNTIFS('02_KICH_BAN_NODES'!$B$5:$B$204,A375,'02_KICH_BAN_NODES'!$E$5:$E$204,"Tương tác")=1,IF(COUNTIFS($A$5:$A$404,A375,$D$5:$D$404,"Có")&lt;&gt;0,"Choice tương tác không được đánh dấu đáp án đúng",""),"Choice chưa chọn loại")))))))</f>
        <v/>
      </c>
    </row>
    <row r="376" spans="1:11">
      <c r="A376" s="13"/>
      <c r="B376" s="13"/>
      <c r="C376" s="5"/>
      <c r="D376" s="13"/>
      <c r="E376" s="13"/>
      <c r="F376" s="13"/>
      <c r="G376" s="13"/>
      <c r="H376" s="5"/>
      <c r="I376" s="5"/>
      <c r="J376" s="6" t="str">
        <f t="shared" si="5"/>
        <v/>
      </c>
      <c r="K376" s="6" t="str">
        <f>IF(A376="","",IF(COUNTIFS('02_KICH_BAN_NODES'!$B$5:$B$204,A376,'02_KICH_BAN_NODES'!$D$5:$D$204,"choice")=0,"ChoiceNodeId không tồn tại hoặc không phải choice",IF(COUNTIFS($A$5:$A$404,A376,$B$5:$B$404,B376)&gt;1,"Trùng OptionOrder trong cùng choice",IF(OR(B376="",C376="",D376="",F376="",H376=""),"Thiếu trường bắt buộc",IF(OR(COUNTIF($A$5:$A$404,A376)&lt;2,COUNTIF($A$5:$A$404,A376)&gt;4),"Mỗi choice cần 2–4 option",IF(COUNTIFS('02_KICH_BAN_NODES'!$B$5:$B$204,A376,'02_KICH_BAN_NODES'!$E$5:$E$204,"Kiến thức")=1,IF(COUNTIFS($A$5:$A$404,A376,$D$5:$D$404,"Có")&lt;&gt;1,"Choice kiến thức cần đúng 1 đáp án đúng",""),IF(COUNTIFS('02_KICH_BAN_NODES'!$B$5:$B$204,A376,'02_KICH_BAN_NODES'!$E$5:$E$204,"Tương tác")=1,IF(COUNTIFS($A$5:$A$404,A376,$D$5:$D$404,"Có")&lt;&gt;0,"Choice tương tác không được đánh dấu đáp án đúng",""),"Choice chưa chọn loại")))))))</f>
        <v/>
      </c>
    </row>
    <row r="377" spans="1:11">
      <c r="A377" s="13"/>
      <c r="B377" s="13"/>
      <c r="C377" s="5"/>
      <c r="D377" s="13"/>
      <c r="E377" s="13"/>
      <c r="F377" s="13"/>
      <c r="G377" s="13"/>
      <c r="H377" s="5"/>
      <c r="I377" s="5"/>
      <c r="J377" s="6" t="str">
        <f t="shared" si="5"/>
        <v/>
      </c>
      <c r="K377" s="6" t="str">
        <f>IF(A377="","",IF(COUNTIFS('02_KICH_BAN_NODES'!$B$5:$B$204,A377,'02_KICH_BAN_NODES'!$D$5:$D$204,"choice")=0,"ChoiceNodeId không tồn tại hoặc không phải choice",IF(COUNTIFS($A$5:$A$404,A377,$B$5:$B$404,B377)&gt;1,"Trùng OptionOrder trong cùng choice",IF(OR(B377="",C377="",D377="",F377="",H377=""),"Thiếu trường bắt buộc",IF(OR(COUNTIF($A$5:$A$404,A377)&lt;2,COUNTIF($A$5:$A$404,A377)&gt;4),"Mỗi choice cần 2–4 option",IF(COUNTIFS('02_KICH_BAN_NODES'!$B$5:$B$204,A377,'02_KICH_BAN_NODES'!$E$5:$E$204,"Kiến thức")=1,IF(COUNTIFS($A$5:$A$404,A377,$D$5:$D$404,"Có")&lt;&gt;1,"Choice kiến thức cần đúng 1 đáp án đúng",""),IF(COUNTIFS('02_KICH_BAN_NODES'!$B$5:$B$204,A377,'02_KICH_BAN_NODES'!$E$5:$E$204,"Tương tác")=1,IF(COUNTIFS($A$5:$A$404,A377,$D$5:$D$404,"Có")&lt;&gt;0,"Choice tương tác không được đánh dấu đáp án đúng",""),"Choice chưa chọn loại")))))))</f>
        <v/>
      </c>
    </row>
    <row r="378" spans="1:11">
      <c r="A378" s="13"/>
      <c r="B378" s="13"/>
      <c r="C378" s="5"/>
      <c r="D378" s="13"/>
      <c r="E378" s="13"/>
      <c r="F378" s="13"/>
      <c r="G378" s="13"/>
      <c r="H378" s="5"/>
      <c r="I378" s="5"/>
      <c r="J378" s="6" t="str">
        <f t="shared" si="5"/>
        <v/>
      </c>
      <c r="K378" s="6" t="str">
        <f>IF(A378="","",IF(COUNTIFS('02_KICH_BAN_NODES'!$B$5:$B$204,A378,'02_KICH_BAN_NODES'!$D$5:$D$204,"choice")=0,"ChoiceNodeId không tồn tại hoặc không phải choice",IF(COUNTIFS($A$5:$A$404,A378,$B$5:$B$404,B378)&gt;1,"Trùng OptionOrder trong cùng choice",IF(OR(B378="",C378="",D378="",F378="",H378=""),"Thiếu trường bắt buộc",IF(OR(COUNTIF($A$5:$A$404,A378)&lt;2,COUNTIF($A$5:$A$404,A378)&gt;4),"Mỗi choice cần 2–4 option",IF(COUNTIFS('02_KICH_BAN_NODES'!$B$5:$B$204,A378,'02_KICH_BAN_NODES'!$E$5:$E$204,"Kiến thức")=1,IF(COUNTIFS($A$5:$A$404,A378,$D$5:$D$404,"Có")&lt;&gt;1,"Choice kiến thức cần đúng 1 đáp án đúng",""),IF(COUNTIFS('02_KICH_BAN_NODES'!$B$5:$B$204,A378,'02_KICH_BAN_NODES'!$E$5:$E$204,"Tương tác")=1,IF(COUNTIFS($A$5:$A$404,A378,$D$5:$D$404,"Có")&lt;&gt;0,"Choice tương tác không được đánh dấu đáp án đúng",""),"Choice chưa chọn loại")))))))</f>
        <v/>
      </c>
    </row>
    <row r="379" spans="1:11">
      <c r="A379" s="13"/>
      <c r="B379" s="13"/>
      <c r="C379" s="5"/>
      <c r="D379" s="13"/>
      <c r="E379" s="13"/>
      <c r="F379" s="13"/>
      <c r="G379" s="13"/>
      <c r="H379" s="5"/>
      <c r="I379" s="5"/>
      <c r="J379" s="6" t="str">
        <f t="shared" si="5"/>
        <v/>
      </c>
      <c r="K379" s="6" t="str">
        <f>IF(A379="","",IF(COUNTIFS('02_KICH_BAN_NODES'!$B$5:$B$204,A379,'02_KICH_BAN_NODES'!$D$5:$D$204,"choice")=0,"ChoiceNodeId không tồn tại hoặc không phải choice",IF(COUNTIFS($A$5:$A$404,A379,$B$5:$B$404,B379)&gt;1,"Trùng OptionOrder trong cùng choice",IF(OR(B379="",C379="",D379="",F379="",H379=""),"Thiếu trường bắt buộc",IF(OR(COUNTIF($A$5:$A$404,A379)&lt;2,COUNTIF($A$5:$A$404,A379)&gt;4),"Mỗi choice cần 2–4 option",IF(COUNTIFS('02_KICH_BAN_NODES'!$B$5:$B$204,A379,'02_KICH_BAN_NODES'!$E$5:$E$204,"Kiến thức")=1,IF(COUNTIFS($A$5:$A$404,A379,$D$5:$D$404,"Có")&lt;&gt;1,"Choice kiến thức cần đúng 1 đáp án đúng",""),IF(COUNTIFS('02_KICH_BAN_NODES'!$B$5:$B$204,A379,'02_KICH_BAN_NODES'!$E$5:$E$204,"Tương tác")=1,IF(COUNTIFS($A$5:$A$404,A379,$D$5:$D$404,"Có")&lt;&gt;0,"Choice tương tác không được đánh dấu đáp án đúng",""),"Choice chưa chọn loại")))))))</f>
        <v/>
      </c>
    </row>
    <row r="380" spans="1:11">
      <c r="A380" s="13"/>
      <c r="B380" s="13"/>
      <c r="C380" s="5"/>
      <c r="D380" s="13"/>
      <c r="E380" s="13"/>
      <c r="F380" s="13"/>
      <c r="G380" s="13"/>
      <c r="H380" s="5"/>
      <c r="I380" s="5"/>
      <c r="J380" s="6" t="str">
        <f t="shared" si="5"/>
        <v/>
      </c>
      <c r="K380" s="6" t="str">
        <f>IF(A380="","",IF(COUNTIFS('02_KICH_BAN_NODES'!$B$5:$B$204,A380,'02_KICH_BAN_NODES'!$D$5:$D$204,"choice")=0,"ChoiceNodeId không tồn tại hoặc không phải choice",IF(COUNTIFS($A$5:$A$404,A380,$B$5:$B$404,B380)&gt;1,"Trùng OptionOrder trong cùng choice",IF(OR(B380="",C380="",D380="",F380="",H380=""),"Thiếu trường bắt buộc",IF(OR(COUNTIF($A$5:$A$404,A380)&lt;2,COUNTIF($A$5:$A$404,A380)&gt;4),"Mỗi choice cần 2–4 option",IF(COUNTIFS('02_KICH_BAN_NODES'!$B$5:$B$204,A380,'02_KICH_BAN_NODES'!$E$5:$E$204,"Kiến thức")=1,IF(COUNTIFS($A$5:$A$404,A380,$D$5:$D$404,"Có")&lt;&gt;1,"Choice kiến thức cần đúng 1 đáp án đúng",""),IF(COUNTIFS('02_KICH_BAN_NODES'!$B$5:$B$204,A380,'02_KICH_BAN_NODES'!$E$5:$E$204,"Tương tác")=1,IF(COUNTIFS($A$5:$A$404,A380,$D$5:$D$404,"Có")&lt;&gt;0,"Choice tương tác không được đánh dấu đáp án đúng",""),"Choice chưa chọn loại")))))))</f>
        <v/>
      </c>
    </row>
    <row r="381" spans="1:11">
      <c r="A381" s="13"/>
      <c r="B381" s="13"/>
      <c r="C381" s="5"/>
      <c r="D381" s="13"/>
      <c r="E381" s="13"/>
      <c r="F381" s="13"/>
      <c r="G381" s="13"/>
      <c r="H381" s="5"/>
      <c r="I381" s="5"/>
      <c r="J381" s="6" t="str">
        <f t="shared" si="5"/>
        <v/>
      </c>
      <c r="K381" s="6" t="str">
        <f>IF(A381="","",IF(COUNTIFS('02_KICH_BAN_NODES'!$B$5:$B$204,A381,'02_KICH_BAN_NODES'!$D$5:$D$204,"choice")=0,"ChoiceNodeId không tồn tại hoặc không phải choice",IF(COUNTIFS($A$5:$A$404,A381,$B$5:$B$404,B381)&gt;1,"Trùng OptionOrder trong cùng choice",IF(OR(B381="",C381="",D381="",F381="",H381=""),"Thiếu trường bắt buộc",IF(OR(COUNTIF($A$5:$A$404,A381)&lt;2,COUNTIF($A$5:$A$404,A381)&gt;4),"Mỗi choice cần 2–4 option",IF(COUNTIFS('02_KICH_BAN_NODES'!$B$5:$B$204,A381,'02_KICH_BAN_NODES'!$E$5:$E$204,"Kiến thức")=1,IF(COUNTIFS($A$5:$A$404,A381,$D$5:$D$404,"Có")&lt;&gt;1,"Choice kiến thức cần đúng 1 đáp án đúng",""),IF(COUNTIFS('02_KICH_BAN_NODES'!$B$5:$B$204,A381,'02_KICH_BAN_NODES'!$E$5:$E$204,"Tương tác")=1,IF(COUNTIFS($A$5:$A$404,A381,$D$5:$D$404,"Có")&lt;&gt;0,"Choice tương tác không được đánh dấu đáp án đúng",""),"Choice chưa chọn loại")))))))</f>
        <v/>
      </c>
    </row>
    <row r="382" spans="1:11">
      <c r="A382" s="13"/>
      <c r="B382" s="13"/>
      <c r="C382" s="5"/>
      <c r="D382" s="13"/>
      <c r="E382" s="13"/>
      <c r="F382" s="13"/>
      <c r="G382" s="13"/>
      <c r="H382" s="5"/>
      <c r="I382" s="5"/>
      <c r="J382" s="6" t="str">
        <f t="shared" si="5"/>
        <v/>
      </c>
      <c r="K382" s="6" t="str">
        <f>IF(A382="","",IF(COUNTIFS('02_KICH_BAN_NODES'!$B$5:$B$204,A382,'02_KICH_BAN_NODES'!$D$5:$D$204,"choice")=0,"ChoiceNodeId không tồn tại hoặc không phải choice",IF(COUNTIFS($A$5:$A$404,A382,$B$5:$B$404,B382)&gt;1,"Trùng OptionOrder trong cùng choice",IF(OR(B382="",C382="",D382="",F382="",H382=""),"Thiếu trường bắt buộc",IF(OR(COUNTIF($A$5:$A$404,A382)&lt;2,COUNTIF($A$5:$A$404,A382)&gt;4),"Mỗi choice cần 2–4 option",IF(COUNTIFS('02_KICH_BAN_NODES'!$B$5:$B$204,A382,'02_KICH_BAN_NODES'!$E$5:$E$204,"Kiến thức")=1,IF(COUNTIFS($A$5:$A$404,A382,$D$5:$D$404,"Có")&lt;&gt;1,"Choice kiến thức cần đúng 1 đáp án đúng",""),IF(COUNTIFS('02_KICH_BAN_NODES'!$B$5:$B$204,A382,'02_KICH_BAN_NODES'!$E$5:$E$204,"Tương tác")=1,IF(COUNTIFS($A$5:$A$404,A382,$D$5:$D$404,"Có")&lt;&gt;0,"Choice tương tác không được đánh dấu đáp án đúng",""),"Choice chưa chọn loại")))))))</f>
        <v/>
      </c>
    </row>
    <row r="383" spans="1:11">
      <c r="A383" s="13"/>
      <c r="B383" s="13"/>
      <c r="C383" s="5"/>
      <c r="D383" s="13"/>
      <c r="E383" s="13"/>
      <c r="F383" s="13"/>
      <c r="G383" s="13"/>
      <c r="H383" s="5"/>
      <c r="I383" s="5"/>
      <c r="J383" s="6" t="str">
        <f t="shared" si="5"/>
        <v/>
      </c>
      <c r="K383" s="6" t="str">
        <f>IF(A383="","",IF(COUNTIFS('02_KICH_BAN_NODES'!$B$5:$B$204,A383,'02_KICH_BAN_NODES'!$D$5:$D$204,"choice")=0,"ChoiceNodeId không tồn tại hoặc không phải choice",IF(COUNTIFS($A$5:$A$404,A383,$B$5:$B$404,B383)&gt;1,"Trùng OptionOrder trong cùng choice",IF(OR(B383="",C383="",D383="",F383="",H383=""),"Thiếu trường bắt buộc",IF(OR(COUNTIF($A$5:$A$404,A383)&lt;2,COUNTIF($A$5:$A$404,A383)&gt;4),"Mỗi choice cần 2–4 option",IF(COUNTIFS('02_KICH_BAN_NODES'!$B$5:$B$204,A383,'02_KICH_BAN_NODES'!$E$5:$E$204,"Kiến thức")=1,IF(COUNTIFS($A$5:$A$404,A383,$D$5:$D$404,"Có")&lt;&gt;1,"Choice kiến thức cần đúng 1 đáp án đúng",""),IF(COUNTIFS('02_KICH_BAN_NODES'!$B$5:$B$204,A383,'02_KICH_BAN_NODES'!$E$5:$E$204,"Tương tác")=1,IF(COUNTIFS($A$5:$A$404,A383,$D$5:$D$404,"Có")&lt;&gt;0,"Choice tương tác không được đánh dấu đáp án đúng",""),"Choice chưa chọn loại")))))))</f>
        <v/>
      </c>
    </row>
    <row r="384" spans="1:11">
      <c r="A384" s="13"/>
      <c r="B384" s="13"/>
      <c r="C384" s="5"/>
      <c r="D384" s="13"/>
      <c r="E384" s="13"/>
      <c r="F384" s="13"/>
      <c r="G384" s="13"/>
      <c r="H384" s="5"/>
      <c r="I384" s="5"/>
      <c r="J384" s="6" t="str">
        <f t="shared" si="5"/>
        <v/>
      </c>
      <c r="K384" s="6" t="str">
        <f>IF(A384="","",IF(COUNTIFS('02_KICH_BAN_NODES'!$B$5:$B$204,A384,'02_KICH_BAN_NODES'!$D$5:$D$204,"choice")=0,"ChoiceNodeId không tồn tại hoặc không phải choice",IF(COUNTIFS($A$5:$A$404,A384,$B$5:$B$404,B384)&gt;1,"Trùng OptionOrder trong cùng choice",IF(OR(B384="",C384="",D384="",F384="",H384=""),"Thiếu trường bắt buộc",IF(OR(COUNTIF($A$5:$A$404,A384)&lt;2,COUNTIF($A$5:$A$404,A384)&gt;4),"Mỗi choice cần 2–4 option",IF(COUNTIFS('02_KICH_BAN_NODES'!$B$5:$B$204,A384,'02_KICH_BAN_NODES'!$E$5:$E$204,"Kiến thức")=1,IF(COUNTIFS($A$5:$A$404,A384,$D$5:$D$404,"Có")&lt;&gt;1,"Choice kiến thức cần đúng 1 đáp án đúng",""),IF(COUNTIFS('02_KICH_BAN_NODES'!$B$5:$B$204,A384,'02_KICH_BAN_NODES'!$E$5:$E$204,"Tương tác")=1,IF(COUNTIFS($A$5:$A$404,A384,$D$5:$D$404,"Có")&lt;&gt;0,"Choice tương tác không được đánh dấu đáp án đúng",""),"Choice chưa chọn loại")))))))</f>
        <v/>
      </c>
    </row>
    <row r="385" spans="1:11">
      <c r="A385" s="13"/>
      <c r="B385" s="13"/>
      <c r="C385" s="5"/>
      <c r="D385" s="13"/>
      <c r="E385" s="13"/>
      <c r="F385" s="13"/>
      <c r="G385" s="13"/>
      <c r="H385" s="5"/>
      <c r="I385" s="5"/>
      <c r="J385" s="6" t="str">
        <f t="shared" si="5"/>
        <v/>
      </c>
      <c r="K385" s="6" t="str">
        <f>IF(A385="","",IF(COUNTIFS('02_KICH_BAN_NODES'!$B$5:$B$204,A385,'02_KICH_BAN_NODES'!$D$5:$D$204,"choice")=0,"ChoiceNodeId không tồn tại hoặc không phải choice",IF(COUNTIFS($A$5:$A$404,A385,$B$5:$B$404,B385)&gt;1,"Trùng OptionOrder trong cùng choice",IF(OR(B385="",C385="",D385="",F385="",H385=""),"Thiếu trường bắt buộc",IF(OR(COUNTIF($A$5:$A$404,A385)&lt;2,COUNTIF($A$5:$A$404,A385)&gt;4),"Mỗi choice cần 2–4 option",IF(COUNTIFS('02_KICH_BAN_NODES'!$B$5:$B$204,A385,'02_KICH_BAN_NODES'!$E$5:$E$204,"Kiến thức")=1,IF(COUNTIFS($A$5:$A$404,A385,$D$5:$D$404,"Có")&lt;&gt;1,"Choice kiến thức cần đúng 1 đáp án đúng",""),IF(COUNTIFS('02_KICH_BAN_NODES'!$B$5:$B$204,A385,'02_KICH_BAN_NODES'!$E$5:$E$204,"Tương tác")=1,IF(COUNTIFS($A$5:$A$404,A385,$D$5:$D$404,"Có")&lt;&gt;0,"Choice tương tác không được đánh dấu đáp án đúng",""),"Choice chưa chọn loại")))))))</f>
        <v/>
      </c>
    </row>
    <row r="386" spans="1:11">
      <c r="A386" s="13"/>
      <c r="B386" s="13"/>
      <c r="C386" s="5"/>
      <c r="D386" s="13"/>
      <c r="E386" s="13"/>
      <c r="F386" s="13"/>
      <c r="G386" s="13"/>
      <c r="H386" s="5"/>
      <c r="I386" s="5"/>
      <c r="J386" s="6" t="str">
        <f t="shared" si="5"/>
        <v/>
      </c>
      <c r="K386" s="6" t="str">
        <f>IF(A386="","",IF(COUNTIFS('02_KICH_BAN_NODES'!$B$5:$B$204,A386,'02_KICH_BAN_NODES'!$D$5:$D$204,"choice")=0,"ChoiceNodeId không tồn tại hoặc không phải choice",IF(COUNTIFS($A$5:$A$404,A386,$B$5:$B$404,B386)&gt;1,"Trùng OptionOrder trong cùng choice",IF(OR(B386="",C386="",D386="",F386="",H386=""),"Thiếu trường bắt buộc",IF(OR(COUNTIF($A$5:$A$404,A386)&lt;2,COUNTIF($A$5:$A$404,A386)&gt;4),"Mỗi choice cần 2–4 option",IF(COUNTIFS('02_KICH_BAN_NODES'!$B$5:$B$204,A386,'02_KICH_BAN_NODES'!$E$5:$E$204,"Kiến thức")=1,IF(COUNTIFS($A$5:$A$404,A386,$D$5:$D$404,"Có")&lt;&gt;1,"Choice kiến thức cần đúng 1 đáp án đúng",""),IF(COUNTIFS('02_KICH_BAN_NODES'!$B$5:$B$204,A386,'02_KICH_BAN_NODES'!$E$5:$E$204,"Tương tác")=1,IF(COUNTIFS($A$5:$A$404,A386,$D$5:$D$404,"Có")&lt;&gt;0,"Choice tương tác không được đánh dấu đáp án đúng",""),"Choice chưa chọn loại")))))))</f>
        <v/>
      </c>
    </row>
    <row r="387" spans="1:11">
      <c r="A387" s="13"/>
      <c r="B387" s="13"/>
      <c r="C387" s="5"/>
      <c r="D387" s="13"/>
      <c r="E387" s="13"/>
      <c r="F387" s="13"/>
      <c r="G387" s="13"/>
      <c r="H387" s="5"/>
      <c r="I387" s="5"/>
      <c r="J387" s="6" t="str">
        <f t="shared" si="5"/>
        <v/>
      </c>
      <c r="K387" s="6" t="str">
        <f>IF(A387="","",IF(COUNTIFS('02_KICH_BAN_NODES'!$B$5:$B$204,A387,'02_KICH_BAN_NODES'!$D$5:$D$204,"choice")=0,"ChoiceNodeId không tồn tại hoặc không phải choice",IF(COUNTIFS($A$5:$A$404,A387,$B$5:$B$404,B387)&gt;1,"Trùng OptionOrder trong cùng choice",IF(OR(B387="",C387="",D387="",F387="",H387=""),"Thiếu trường bắt buộc",IF(OR(COUNTIF($A$5:$A$404,A387)&lt;2,COUNTIF($A$5:$A$404,A387)&gt;4),"Mỗi choice cần 2–4 option",IF(COUNTIFS('02_KICH_BAN_NODES'!$B$5:$B$204,A387,'02_KICH_BAN_NODES'!$E$5:$E$204,"Kiến thức")=1,IF(COUNTIFS($A$5:$A$404,A387,$D$5:$D$404,"Có")&lt;&gt;1,"Choice kiến thức cần đúng 1 đáp án đúng",""),IF(COUNTIFS('02_KICH_BAN_NODES'!$B$5:$B$204,A387,'02_KICH_BAN_NODES'!$E$5:$E$204,"Tương tác")=1,IF(COUNTIFS($A$5:$A$404,A387,$D$5:$D$404,"Có")&lt;&gt;0,"Choice tương tác không được đánh dấu đáp án đúng",""),"Choice chưa chọn loại")))))))</f>
        <v/>
      </c>
    </row>
    <row r="388" spans="1:11">
      <c r="A388" s="13"/>
      <c r="B388" s="13"/>
      <c r="C388" s="5"/>
      <c r="D388" s="13"/>
      <c r="E388" s="13"/>
      <c r="F388" s="13"/>
      <c r="G388" s="13"/>
      <c r="H388" s="5"/>
      <c r="I388" s="5"/>
      <c r="J388" s="6" t="str">
        <f t="shared" si="5"/>
        <v/>
      </c>
      <c r="K388" s="6" t="str">
        <f>IF(A388="","",IF(COUNTIFS('02_KICH_BAN_NODES'!$B$5:$B$204,A388,'02_KICH_BAN_NODES'!$D$5:$D$204,"choice")=0,"ChoiceNodeId không tồn tại hoặc không phải choice",IF(COUNTIFS($A$5:$A$404,A388,$B$5:$B$404,B388)&gt;1,"Trùng OptionOrder trong cùng choice",IF(OR(B388="",C388="",D388="",F388="",H388=""),"Thiếu trường bắt buộc",IF(OR(COUNTIF($A$5:$A$404,A388)&lt;2,COUNTIF($A$5:$A$404,A388)&gt;4),"Mỗi choice cần 2–4 option",IF(COUNTIFS('02_KICH_BAN_NODES'!$B$5:$B$204,A388,'02_KICH_BAN_NODES'!$E$5:$E$204,"Kiến thức")=1,IF(COUNTIFS($A$5:$A$404,A388,$D$5:$D$404,"Có")&lt;&gt;1,"Choice kiến thức cần đúng 1 đáp án đúng",""),IF(COUNTIFS('02_KICH_BAN_NODES'!$B$5:$B$204,A388,'02_KICH_BAN_NODES'!$E$5:$E$204,"Tương tác")=1,IF(COUNTIFS($A$5:$A$404,A388,$D$5:$D$404,"Có")&lt;&gt;0,"Choice tương tác không được đánh dấu đáp án đúng",""),"Choice chưa chọn loại")))))))</f>
        <v/>
      </c>
    </row>
    <row r="389" spans="1:11">
      <c r="A389" s="13"/>
      <c r="B389" s="13"/>
      <c r="C389" s="5"/>
      <c r="D389" s="13"/>
      <c r="E389" s="13"/>
      <c r="F389" s="13"/>
      <c r="G389" s="13"/>
      <c r="H389" s="5"/>
      <c r="I389" s="5"/>
      <c r="J389" s="6" t="str">
        <f t="shared" ref="J389:J452" si="6">IF(A389="","",IF(K389="","HỢP LỆ","CẦN SỬA"))</f>
        <v/>
      </c>
      <c r="K389" s="6" t="str">
        <f>IF(A389="","",IF(COUNTIFS('02_KICH_BAN_NODES'!$B$5:$B$204,A389,'02_KICH_BAN_NODES'!$D$5:$D$204,"choice")=0,"ChoiceNodeId không tồn tại hoặc không phải choice",IF(COUNTIFS($A$5:$A$404,A389,$B$5:$B$404,B389)&gt;1,"Trùng OptionOrder trong cùng choice",IF(OR(B389="",C389="",D389="",F389="",H389=""),"Thiếu trường bắt buộc",IF(OR(COUNTIF($A$5:$A$404,A389)&lt;2,COUNTIF($A$5:$A$404,A389)&gt;4),"Mỗi choice cần 2–4 option",IF(COUNTIFS('02_KICH_BAN_NODES'!$B$5:$B$204,A389,'02_KICH_BAN_NODES'!$E$5:$E$204,"Kiến thức")=1,IF(COUNTIFS($A$5:$A$404,A389,$D$5:$D$404,"Có")&lt;&gt;1,"Choice kiến thức cần đúng 1 đáp án đúng",""),IF(COUNTIFS('02_KICH_BAN_NODES'!$B$5:$B$204,A389,'02_KICH_BAN_NODES'!$E$5:$E$204,"Tương tác")=1,IF(COUNTIFS($A$5:$A$404,A389,$D$5:$D$404,"Có")&lt;&gt;0,"Choice tương tác không được đánh dấu đáp án đúng",""),"Choice chưa chọn loại")))))))</f>
        <v/>
      </c>
    </row>
    <row r="390" spans="1:11">
      <c r="A390" s="13"/>
      <c r="B390" s="13"/>
      <c r="C390" s="5"/>
      <c r="D390" s="13"/>
      <c r="E390" s="13"/>
      <c r="F390" s="13"/>
      <c r="G390" s="13"/>
      <c r="H390" s="5"/>
      <c r="I390" s="5"/>
      <c r="J390" s="6" t="str">
        <f t="shared" si="6"/>
        <v/>
      </c>
      <c r="K390" s="6" t="str">
        <f>IF(A390="","",IF(COUNTIFS('02_KICH_BAN_NODES'!$B$5:$B$204,A390,'02_KICH_BAN_NODES'!$D$5:$D$204,"choice")=0,"ChoiceNodeId không tồn tại hoặc không phải choice",IF(COUNTIFS($A$5:$A$404,A390,$B$5:$B$404,B390)&gt;1,"Trùng OptionOrder trong cùng choice",IF(OR(B390="",C390="",D390="",F390="",H390=""),"Thiếu trường bắt buộc",IF(OR(COUNTIF($A$5:$A$404,A390)&lt;2,COUNTIF($A$5:$A$404,A390)&gt;4),"Mỗi choice cần 2–4 option",IF(COUNTIFS('02_KICH_BAN_NODES'!$B$5:$B$204,A390,'02_KICH_BAN_NODES'!$E$5:$E$204,"Kiến thức")=1,IF(COUNTIFS($A$5:$A$404,A390,$D$5:$D$404,"Có")&lt;&gt;1,"Choice kiến thức cần đúng 1 đáp án đúng",""),IF(COUNTIFS('02_KICH_BAN_NODES'!$B$5:$B$204,A390,'02_KICH_BAN_NODES'!$E$5:$E$204,"Tương tác")=1,IF(COUNTIFS($A$5:$A$404,A390,$D$5:$D$404,"Có")&lt;&gt;0,"Choice tương tác không được đánh dấu đáp án đúng",""),"Choice chưa chọn loại")))))))</f>
        <v/>
      </c>
    </row>
    <row r="391" spans="1:11">
      <c r="A391" s="13"/>
      <c r="B391" s="13"/>
      <c r="C391" s="5"/>
      <c r="D391" s="13"/>
      <c r="E391" s="13"/>
      <c r="F391" s="13"/>
      <c r="G391" s="13"/>
      <c r="H391" s="5"/>
      <c r="I391" s="5"/>
      <c r="J391" s="6" t="str">
        <f t="shared" si="6"/>
        <v/>
      </c>
      <c r="K391" s="6" t="str">
        <f>IF(A391="","",IF(COUNTIFS('02_KICH_BAN_NODES'!$B$5:$B$204,A391,'02_KICH_BAN_NODES'!$D$5:$D$204,"choice")=0,"ChoiceNodeId không tồn tại hoặc không phải choice",IF(COUNTIFS($A$5:$A$404,A391,$B$5:$B$404,B391)&gt;1,"Trùng OptionOrder trong cùng choice",IF(OR(B391="",C391="",D391="",F391="",H391=""),"Thiếu trường bắt buộc",IF(OR(COUNTIF($A$5:$A$404,A391)&lt;2,COUNTIF($A$5:$A$404,A391)&gt;4),"Mỗi choice cần 2–4 option",IF(COUNTIFS('02_KICH_BAN_NODES'!$B$5:$B$204,A391,'02_KICH_BAN_NODES'!$E$5:$E$204,"Kiến thức")=1,IF(COUNTIFS($A$5:$A$404,A391,$D$5:$D$404,"Có")&lt;&gt;1,"Choice kiến thức cần đúng 1 đáp án đúng",""),IF(COUNTIFS('02_KICH_BAN_NODES'!$B$5:$B$204,A391,'02_KICH_BAN_NODES'!$E$5:$E$204,"Tương tác")=1,IF(COUNTIFS($A$5:$A$404,A391,$D$5:$D$404,"Có")&lt;&gt;0,"Choice tương tác không được đánh dấu đáp án đúng",""),"Choice chưa chọn loại")))))))</f>
        <v/>
      </c>
    </row>
    <row r="392" spans="1:11">
      <c r="A392" s="13"/>
      <c r="B392" s="13"/>
      <c r="C392" s="5"/>
      <c r="D392" s="13"/>
      <c r="E392" s="13"/>
      <c r="F392" s="13"/>
      <c r="G392" s="13"/>
      <c r="H392" s="5"/>
      <c r="I392" s="5"/>
      <c r="J392" s="6" t="str">
        <f t="shared" si="6"/>
        <v/>
      </c>
      <c r="K392" s="6" t="str">
        <f>IF(A392="","",IF(COUNTIFS('02_KICH_BAN_NODES'!$B$5:$B$204,A392,'02_KICH_BAN_NODES'!$D$5:$D$204,"choice")=0,"ChoiceNodeId không tồn tại hoặc không phải choice",IF(COUNTIFS($A$5:$A$404,A392,$B$5:$B$404,B392)&gt;1,"Trùng OptionOrder trong cùng choice",IF(OR(B392="",C392="",D392="",F392="",H392=""),"Thiếu trường bắt buộc",IF(OR(COUNTIF($A$5:$A$404,A392)&lt;2,COUNTIF($A$5:$A$404,A392)&gt;4),"Mỗi choice cần 2–4 option",IF(COUNTIFS('02_KICH_BAN_NODES'!$B$5:$B$204,A392,'02_KICH_BAN_NODES'!$E$5:$E$204,"Kiến thức")=1,IF(COUNTIFS($A$5:$A$404,A392,$D$5:$D$404,"Có")&lt;&gt;1,"Choice kiến thức cần đúng 1 đáp án đúng",""),IF(COUNTIFS('02_KICH_BAN_NODES'!$B$5:$B$204,A392,'02_KICH_BAN_NODES'!$E$5:$E$204,"Tương tác")=1,IF(COUNTIFS($A$5:$A$404,A392,$D$5:$D$404,"Có")&lt;&gt;0,"Choice tương tác không được đánh dấu đáp án đúng",""),"Choice chưa chọn loại")))))))</f>
        <v/>
      </c>
    </row>
    <row r="393" spans="1:11">
      <c r="A393" s="13"/>
      <c r="B393" s="13"/>
      <c r="C393" s="5"/>
      <c r="D393" s="13"/>
      <c r="E393" s="13"/>
      <c r="F393" s="13"/>
      <c r="G393" s="13"/>
      <c r="H393" s="5"/>
      <c r="I393" s="5"/>
      <c r="J393" s="6" t="str">
        <f t="shared" si="6"/>
        <v/>
      </c>
      <c r="K393" s="6" t="str">
        <f>IF(A393="","",IF(COUNTIFS('02_KICH_BAN_NODES'!$B$5:$B$204,A393,'02_KICH_BAN_NODES'!$D$5:$D$204,"choice")=0,"ChoiceNodeId không tồn tại hoặc không phải choice",IF(COUNTIFS($A$5:$A$404,A393,$B$5:$B$404,B393)&gt;1,"Trùng OptionOrder trong cùng choice",IF(OR(B393="",C393="",D393="",F393="",H393=""),"Thiếu trường bắt buộc",IF(OR(COUNTIF($A$5:$A$404,A393)&lt;2,COUNTIF($A$5:$A$404,A393)&gt;4),"Mỗi choice cần 2–4 option",IF(COUNTIFS('02_KICH_BAN_NODES'!$B$5:$B$204,A393,'02_KICH_BAN_NODES'!$E$5:$E$204,"Kiến thức")=1,IF(COUNTIFS($A$5:$A$404,A393,$D$5:$D$404,"Có")&lt;&gt;1,"Choice kiến thức cần đúng 1 đáp án đúng",""),IF(COUNTIFS('02_KICH_BAN_NODES'!$B$5:$B$204,A393,'02_KICH_BAN_NODES'!$E$5:$E$204,"Tương tác")=1,IF(COUNTIFS($A$5:$A$404,A393,$D$5:$D$404,"Có")&lt;&gt;0,"Choice tương tác không được đánh dấu đáp án đúng",""),"Choice chưa chọn loại")))))))</f>
        <v/>
      </c>
    </row>
    <row r="394" spans="1:11">
      <c r="A394" s="13"/>
      <c r="B394" s="13"/>
      <c r="C394" s="5"/>
      <c r="D394" s="13"/>
      <c r="E394" s="13"/>
      <c r="F394" s="13"/>
      <c r="G394" s="13"/>
      <c r="H394" s="5"/>
      <c r="I394" s="5"/>
      <c r="J394" s="6" t="str">
        <f t="shared" si="6"/>
        <v/>
      </c>
      <c r="K394" s="6" t="str">
        <f>IF(A394="","",IF(COUNTIFS('02_KICH_BAN_NODES'!$B$5:$B$204,A394,'02_KICH_BAN_NODES'!$D$5:$D$204,"choice")=0,"ChoiceNodeId không tồn tại hoặc không phải choice",IF(COUNTIFS($A$5:$A$404,A394,$B$5:$B$404,B394)&gt;1,"Trùng OptionOrder trong cùng choice",IF(OR(B394="",C394="",D394="",F394="",H394=""),"Thiếu trường bắt buộc",IF(OR(COUNTIF($A$5:$A$404,A394)&lt;2,COUNTIF($A$5:$A$404,A394)&gt;4),"Mỗi choice cần 2–4 option",IF(COUNTIFS('02_KICH_BAN_NODES'!$B$5:$B$204,A394,'02_KICH_BAN_NODES'!$E$5:$E$204,"Kiến thức")=1,IF(COUNTIFS($A$5:$A$404,A394,$D$5:$D$404,"Có")&lt;&gt;1,"Choice kiến thức cần đúng 1 đáp án đúng",""),IF(COUNTIFS('02_KICH_BAN_NODES'!$B$5:$B$204,A394,'02_KICH_BAN_NODES'!$E$5:$E$204,"Tương tác")=1,IF(COUNTIFS($A$5:$A$404,A394,$D$5:$D$404,"Có")&lt;&gt;0,"Choice tương tác không được đánh dấu đáp án đúng",""),"Choice chưa chọn loại")))))))</f>
        <v/>
      </c>
    </row>
    <row r="395" spans="1:11">
      <c r="A395" s="13"/>
      <c r="B395" s="13"/>
      <c r="C395" s="5"/>
      <c r="D395" s="13"/>
      <c r="E395" s="13"/>
      <c r="F395" s="13"/>
      <c r="G395" s="13"/>
      <c r="H395" s="5"/>
      <c r="I395" s="5"/>
      <c r="J395" s="6" t="str">
        <f t="shared" si="6"/>
        <v/>
      </c>
      <c r="K395" s="6" t="str">
        <f>IF(A395="","",IF(COUNTIFS('02_KICH_BAN_NODES'!$B$5:$B$204,A395,'02_KICH_BAN_NODES'!$D$5:$D$204,"choice")=0,"ChoiceNodeId không tồn tại hoặc không phải choice",IF(COUNTIFS($A$5:$A$404,A395,$B$5:$B$404,B395)&gt;1,"Trùng OptionOrder trong cùng choice",IF(OR(B395="",C395="",D395="",F395="",H395=""),"Thiếu trường bắt buộc",IF(OR(COUNTIF($A$5:$A$404,A395)&lt;2,COUNTIF($A$5:$A$404,A395)&gt;4),"Mỗi choice cần 2–4 option",IF(COUNTIFS('02_KICH_BAN_NODES'!$B$5:$B$204,A395,'02_KICH_BAN_NODES'!$E$5:$E$204,"Kiến thức")=1,IF(COUNTIFS($A$5:$A$404,A395,$D$5:$D$404,"Có")&lt;&gt;1,"Choice kiến thức cần đúng 1 đáp án đúng",""),IF(COUNTIFS('02_KICH_BAN_NODES'!$B$5:$B$204,A395,'02_KICH_BAN_NODES'!$E$5:$E$204,"Tương tác")=1,IF(COUNTIFS($A$5:$A$404,A395,$D$5:$D$404,"Có")&lt;&gt;0,"Choice tương tác không được đánh dấu đáp án đúng",""),"Choice chưa chọn loại")))))))</f>
        <v/>
      </c>
    </row>
    <row r="396" spans="1:11">
      <c r="A396" s="13"/>
      <c r="B396" s="13"/>
      <c r="C396" s="5"/>
      <c r="D396" s="13"/>
      <c r="E396" s="13"/>
      <c r="F396" s="13"/>
      <c r="G396" s="13"/>
      <c r="H396" s="5"/>
      <c r="I396" s="5"/>
      <c r="J396" s="6" t="str">
        <f t="shared" si="6"/>
        <v/>
      </c>
      <c r="K396" s="6" t="str">
        <f>IF(A396="","",IF(COUNTIFS('02_KICH_BAN_NODES'!$B$5:$B$204,A396,'02_KICH_BAN_NODES'!$D$5:$D$204,"choice")=0,"ChoiceNodeId không tồn tại hoặc không phải choice",IF(COUNTIFS($A$5:$A$404,A396,$B$5:$B$404,B396)&gt;1,"Trùng OptionOrder trong cùng choice",IF(OR(B396="",C396="",D396="",F396="",H396=""),"Thiếu trường bắt buộc",IF(OR(COUNTIF($A$5:$A$404,A396)&lt;2,COUNTIF($A$5:$A$404,A396)&gt;4),"Mỗi choice cần 2–4 option",IF(COUNTIFS('02_KICH_BAN_NODES'!$B$5:$B$204,A396,'02_KICH_BAN_NODES'!$E$5:$E$204,"Kiến thức")=1,IF(COUNTIFS($A$5:$A$404,A396,$D$5:$D$404,"Có")&lt;&gt;1,"Choice kiến thức cần đúng 1 đáp án đúng",""),IF(COUNTIFS('02_KICH_BAN_NODES'!$B$5:$B$204,A396,'02_KICH_BAN_NODES'!$E$5:$E$204,"Tương tác")=1,IF(COUNTIFS($A$5:$A$404,A396,$D$5:$D$404,"Có")&lt;&gt;0,"Choice tương tác không được đánh dấu đáp án đúng",""),"Choice chưa chọn loại")))))))</f>
        <v/>
      </c>
    </row>
    <row r="397" spans="1:11">
      <c r="A397" s="13"/>
      <c r="B397" s="13"/>
      <c r="C397" s="5"/>
      <c r="D397" s="13"/>
      <c r="E397" s="13"/>
      <c r="F397" s="13"/>
      <c r="G397" s="13"/>
      <c r="H397" s="5"/>
      <c r="I397" s="5"/>
      <c r="J397" s="6" t="str">
        <f t="shared" si="6"/>
        <v/>
      </c>
      <c r="K397" s="6" t="str">
        <f>IF(A397="","",IF(COUNTIFS('02_KICH_BAN_NODES'!$B$5:$B$204,A397,'02_KICH_BAN_NODES'!$D$5:$D$204,"choice")=0,"ChoiceNodeId không tồn tại hoặc không phải choice",IF(COUNTIFS($A$5:$A$404,A397,$B$5:$B$404,B397)&gt;1,"Trùng OptionOrder trong cùng choice",IF(OR(B397="",C397="",D397="",F397="",H397=""),"Thiếu trường bắt buộc",IF(OR(COUNTIF($A$5:$A$404,A397)&lt;2,COUNTIF($A$5:$A$404,A397)&gt;4),"Mỗi choice cần 2–4 option",IF(COUNTIFS('02_KICH_BAN_NODES'!$B$5:$B$204,A397,'02_KICH_BAN_NODES'!$E$5:$E$204,"Kiến thức")=1,IF(COUNTIFS($A$5:$A$404,A397,$D$5:$D$404,"Có")&lt;&gt;1,"Choice kiến thức cần đúng 1 đáp án đúng",""),IF(COUNTIFS('02_KICH_BAN_NODES'!$B$5:$B$204,A397,'02_KICH_BAN_NODES'!$E$5:$E$204,"Tương tác")=1,IF(COUNTIFS($A$5:$A$404,A397,$D$5:$D$404,"Có")&lt;&gt;0,"Choice tương tác không được đánh dấu đáp án đúng",""),"Choice chưa chọn loại")))))))</f>
        <v/>
      </c>
    </row>
    <row r="398" spans="1:11">
      <c r="A398" s="13"/>
      <c r="B398" s="13"/>
      <c r="C398" s="5"/>
      <c r="D398" s="13"/>
      <c r="E398" s="13"/>
      <c r="F398" s="13"/>
      <c r="G398" s="13"/>
      <c r="H398" s="5"/>
      <c r="I398" s="5"/>
      <c r="J398" s="6" t="str">
        <f t="shared" si="6"/>
        <v/>
      </c>
      <c r="K398" s="6" t="str">
        <f>IF(A398="","",IF(COUNTIFS('02_KICH_BAN_NODES'!$B$5:$B$204,A398,'02_KICH_BAN_NODES'!$D$5:$D$204,"choice")=0,"ChoiceNodeId không tồn tại hoặc không phải choice",IF(COUNTIFS($A$5:$A$404,A398,$B$5:$B$404,B398)&gt;1,"Trùng OptionOrder trong cùng choice",IF(OR(B398="",C398="",D398="",F398="",H398=""),"Thiếu trường bắt buộc",IF(OR(COUNTIF($A$5:$A$404,A398)&lt;2,COUNTIF($A$5:$A$404,A398)&gt;4),"Mỗi choice cần 2–4 option",IF(COUNTIFS('02_KICH_BAN_NODES'!$B$5:$B$204,A398,'02_KICH_BAN_NODES'!$E$5:$E$204,"Kiến thức")=1,IF(COUNTIFS($A$5:$A$404,A398,$D$5:$D$404,"Có")&lt;&gt;1,"Choice kiến thức cần đúng 1 đáp án đúng",""),IF(COUNTIFS('02_KICH_BAN_NODES'!$B$5:$B$204,A398,'02_KICH_BAN_NODES'!$E$5:$E$204,"Tương tác")=1,IF(COUNTIFS($A$5:$A$404,A398,$D$5:$D$404,"Có")&lt;&gt;0,"Choice tương tác không được đánh dấu đáp án đúng",""),"Choice chưa chọn loại")))))))</f>
        <v/>
      </c>
    </row>
    <row r="399" spans="1:11">
      <c r="A399" s="13"/>
      <c r="B399" s="13"/>
      <c r="C399" s="5"/>
      <c r="D399" s="13"/>
      <c r="E399" s="13"/>
      <c r="F399" s="13"/>
      <c r="G399" s="13"/>
      <c r="H399" s="5"/>
      <c r="I399" s="5"/>
      <c r="J399" s="6" t="str">
        <f t="shared" si="6"/>
        <v/>
      </c>
      <c r="K399" s="6" t="str">
        <f>IF(A399="","",IF(COUNTIFS('02_KICH_BAN_NODES'!$B$5:$B$204,A399,'02_KICH_BAN_NODES'!$D$5:$D$204,"choice")=0,"ChoiceNodeId không tồn tại hoặc không phải choice",IF(COUNTIFS($A$5:$A$404,A399,$B$5:$B$404,B399)&gt;1,"Trùng OptionOrder trong cùng choice",IF(OR(B399="",C399="",D399="",F399="",H399=""),"Thiếu trường bắt buộc",IF(OR(COUNTIF($A$5:$A$404,A399)&lt;2,COUNTIF($A$5:$A$404,A399)&gt;4),"Mỗi choice cần 2–4 option",IF(COUNTIFS('02_KICH_BAN_NODES'!$B$5:$B$204,A399,'02_KICH_BAN_NODES'!$E$5:$E$204,"Kiến thức")=1,IF(COUNTIFS($A$5:$A$404,A399,$D$5:$D$404,"Có")&lt;&gt;1,"Choice kiến thức cần đúng 1 đáp án đúng",""),IF(COUNTIFS('02_KICH_BAN_NODES'!$B$5:$B$204,A399,'02_KICH_BAN_NODES'!$E$5:$E$204,"Tương tác")=1,IF(COUNTIFS($A$5:$A$404,A399,$D$5:$D$404,"Có")&lt;&gt;0,"Choice tương tác không được đánh dấu đáp án đúng",""),"Choice chưa chọn loại")))))))</f>
        <v/>
      </c>
    </row>
    <row r="400" spans="1:11">
      <c r="A400" s="13"/>
      <c r="B400" s="13"/>
      <c r="C400" s="5"/>
      <c r="D400" s="13"/>
      <c r="E400" s="13"/>
      <c r="F400" s="13"/>
      <c r="G400" s="13"/>
      <c r="H400" s="5"/>
      <c r="I400" s="5"/>
      <c r="J400" s="6" t="str">
        <f t="shared" si="6"/>
        <v/>
      </c>
      <c r="K400" s="6" t="str">
        <f>IF(A400="","",IF(COUNTIFS('02_KICH_BAN_NODES'!$B$5:$B$204,A400,'02_KICH_BAN_NODES'!$D$5:$D$204,"choice")=0,"ChoiceNodeId không tồn tại hoặc không phải choice",IF(COUNTIFS($A$5:$A$404,A400,$B$5:$B$404,B400)&gt;1,"Trùng OptionOrder trong cùng choice",IF(OR(B400="",C400="",D400="",F400="",H400=""),"Thiếu trường bắt buộc",IF(OR(COUNTIF($A$5:$A$404,A400)&lt;2,COUNTIF($A$5:$A$404,A400)&gt;4),"Mỗi choice cần 2–4 option",IF(COUNTIFS('02_KICH_BAN_NODES'!$B$5:$B$204,A400,'02_KICH_BAN_NODES'!$E$5:$E$204,"Kiến thức")=1,IF(COUNTIFS($A$5:$A$404,A400,$D$5:$D$404,"Có")&lt;&gt;1,"Choice kiến thức cần đúng 1 đáp án đúng",""),IF(COUNTIFS('02_KICH_BAN_NODES'!$B$5:$B$204,A400,'02_KICH_BAN_NODES'!$E$5:$E$204,"Tương tác")=1,IF(COUNTIFS($A$5:$A$404,A400,$D$5:$D$404,"Có")&lt;&gt;0,"Choice tương tác không được đánh dấu đáp án đúng",""),"Choice chưa chọn loại")))))))</f>
        <v/>
      </c>
    </row>
    <row r="401" spans="1:11">
      <c r="A401" s="13"/>
      <c r="B401" s="13"/>
      <c r="C401" s="5"/>
      <c r="D401" s="13"/>
      <c r="E401" s="13"/>
      <c r="F401" s="13"/>
      <c r="G401" s="13"/>
      <c r="H401" s="5"/>
      <c r="I401" s="5"/>
      <c r="J401" s="6" t="str">
        <f t="shared" si="6"/>
        <v/>
      </c>
      <c r="K401" s="6" t="str">
        <f>IF(A401="","",IF(COUNTIFS('02_KICH_BAN_NODES'!$B$5:$B$204,A401,'02_KICH_BAN_NODES'!$D$5:$D$204,"choice")=0,"ChoiceNodeId không tồn tại hoặc không phải choice",IF(COUNTIFS($A$5:$A$404,A401,$B$5:$B$404,B401)&gt;1,"Trùng OptionOrder trong cùng choice",IF(OR(B401="",C401="",D401="",F401="",H401=""),"Thiếu trường bắt buộc",IF(OR(COUNTIF($A$5:$A$404,A401)&lt;2,COUNTIF($A$5:$A$404,A401)&gt;4),"Mỗi choice cần 2–4 option",IF(COUNTIFS('02_KICH_BAN_NODES'!$B$5:$B$204,A401,'02_KICH_BAN_NODES'!$E$5:$E$204,"Kiến thức")=1,IF(COUNTIFS($A$5:$A$404,A401,$D$5:$D$404,"Có")&lt;&gt;1,"Choice kiến thức cần đúng 1 đáp án đúng",""),IF(COUNTIFS('02_KICH_BAN_NODES'!$B$5:$B$204,A401,'02_KICH_BAN_NODES'!$E$5:$E$204,"Tương tác")=1,IF(COUNTIFS($A$5:$A$404,A401,$D$5:$D$404,"Có")&lt;&gt;0,"Choice tương tác không được đánh dấu đáp án đúng",""),"Choice chưa chọn loại")))))))</f>
        <v/>
      </c>
    </row>
    <row r="402" spans="1:11">
      <c r="A402" s="13"/>
      <c r="B402" s="13"/>
      <c r="C402" s="5"/>
      <c r="D402" s="13"/>
      <c r="E402" s="13"/>
      <c r="F402" s="13"/>
      <c r="G402" s="13"/>
      <c r="H402" s="5"/>
      <c r="I402" s="5"/>
      <c r="J402" s="6" t="str">
        <f t="shared" si="6"/>
        <v/>
      </c>
      <c r="K402" s="6" t="str">
        <f>IF(A402="","",IF(COUNTIFS('02_KICH_BAN_NODES'!$B$5:$B$204,A402,'02_KICH_BAN_NODES'!$D$5:$D$204,"choice")=0,"ChoiceNodeId không tồn tại hoặc không phải choice",IF(COUNTIFS($A$5:$A$404,A402,$B$5:$B$404,B402)&gt;1,"Trùng OptionOrder trong cùng choice",IF(OR(B402="",C402="",D402="",F402="",H402=""),"Thiếu trường bắt buộc",IF(OR(COUNTIF($A$5:$A$404,A402)&lt;2,COUNTIF($A$5:$A$404,A402)&gt;4),"Mỗi choice cần 2–4 option",IF(COUNTIFS('02_KICH_BAN_NODES'!$B$5:$B$204,A402,'02_KICH_BAN_NODES'!$E$5:$E$204,"Kiến thức")=1,IF(COUNTIFS($A$5:$A$404,A402,$D$5:$D$404,"Có")&lt;&gt;1,"Choice kiến thức cần đúng 1 đáp án đúng",""),IF(COUNTIFS('02_KICH_BAN_NODES'!$B$5:$B$204,A402,'02_KICH_BAN_NODES'!$E$5:$E$204,"Tương tác")=1,IF(COUNTIFS($A$5:$A$404,A402,$D$5:$D$404,"Có")&lt;&gt;0,"Choice tương tác không được đánh dấu đáp án đúng",""),"Choice chưa chọn loại")))))))</f>
        <v/>
      </c>
    </row>
    <row r="403" spans="1:11">
      <c r="A403" s="13"/>
      <c r="B403" s="13"/>
      <c r="C403" s="5"/>
      <c r="D403" s="13"/>
      <c r="E403" s="13"/>
      <c r="F403" s="13"/>
      <c r="G403" s="13"/>
      <c r="H403" s="5"/>
      <c r="I403" s="5"/>
      <c r="J403" s="6" t="str">
        <f t="shared" si="6"/>
        <v/>
      </c>
      <c r="K403" s="6" t="str">
        <f>IF(A403="","",IF(COUNTIFS('02_KICH_BAN_NODES'!$B$5:$B$204,A403,'02_KICH_BAN_NODES'!$D$5:$D$204,"choice")=0,"ChoiceNodeId không tồn tại hoặc không phải choice",IF(COUNTIFS($A$5:$A$404,A403,$B$5:$B$404,B403)&gt;1,"Trùng OptionOrder trong cùng choice",IF(OR(B403="",C403="",D403="",F403="",H403=""),"Thiếu trường bắt buộc",IF(OR(COUNTIF($A$5:$A$404,A403)&lt;2,COUNTIF($A$5:$A$404,A403)&gt;4),"Mỗi choice cần 2–4 option",IF(COUNTIFS('02_KICH_BAN_NODES'!$B$5:$B$204,A403,'02_KICH_BAN_NODES'!$E$5:$E$204,"Kiến thức")=1,IF(COUNTIFS($A$5:$A$404,A403,$D$5:$D$404,"Có")&lt;&gt;1,"Choice kiến thức cần đúng 1 đáp án đúng",""),IF(COUNTIFS('02_KICH_BAN_NODES'!$B$5:$B$204,A403,'02_KICH_BAN_NODES'!$E$5:$E$204,"Tương tác")=1,IF(COUNTIFS($A$5:$A$404,A403,$D$5:$D$404,"Có")&lt;&gt;0,"Choice tương tác không được đánh dấu đáp án đúng",""),"Choice chưa chọn loại")))))))</f>
        <v/>
      </c>
    </row>
    <row r="404" spans="1:11">
      <c r="A404" s="13"/>
      <c r="B404" s="13"/>
      <c r="C404" s="5"/>
      <c r="D404" s="13"/>
      <c r="E404" s="13"/>
      <c r="F404" s="13"/>
      <c r="G404" s="13"/>
      <c r="H404" s="5"/>
      <c r="I404" s="5"/>
      <c r="J404" s="6" t="str">
        <f t="shared" si="6"/>
        <v/>
      </c>
      <c r="K404" s="6" t="str">
        <f>IF(A404="","",IF(COUNTIFS('02_KICH_BAN_NODES'!$B$5:$B$204,A404,'02_KICH_BAN_NODES'!$D$5:$D$204,"choice")=0,"ChoiceNodeId không tồn tại hoặc không phải choice",IF(COUNTIFS($A$5:$A$404,A404,$B$5:$B$404,B404)&gt;1,"Trùng OptionOrder trong cùng choice",IF(OR(B404="",C404="",D404="",F404="",H404=""),"Thiếu trường bắt buộc",IF(OR(COUNTIF($A$5:$A$404,A404)&lt;2,COUNTIF($A$5:$A$404,A404)&gt;4),"Mỗi choice cần 2–4 option",IF(COUNTIFS('02_KICH_BAN_NODES'!$B$5:$B$204,A404,'02_KICH_BAN_NODES'!$E$5:$E$204,"Kiến thức")=1,IF(COUNTIFS($A$5:$A$404,A404,$D$5:$D$404,"Có")&lt;&gt;1,"Choice kiến thức cần đúng 1 đáp án đúng",""),IF(COUNTIFS('02_KICH_BAN_NODES'!$B$5:$B$204,A404,'02_KICH_BAN_NODES'!$E$5:$E$204,"Tương tác")=1,IF(COUNTIFS($A$5:$A$404,A404,$D$5:$D$404,"Có")&lt;&gt;0,"Choice tương tác không được đánh dấu đáp án đúng",""),"Choice chưa chọn loại")))))))</f>
        <v/>
      </c>
    </row>
  </sheetData>
  <mergeCells count="2">
    <mergeCell ref="A1:K1"/>
    <mergeCell ref="A2:K2"/>
  </mergeCells>
  <conditionalFormatting sqref="D5:D404">
    <cfRule type="expression" dxfId="12" priority="4">
      <formula>D5="Có"</formula>
    </cfRule>
    <cfRule type="expression" dxfId="11" priority="5">
      <formula>D5="Không"</formula>
    </cfRule>
  </conditionalFormatting>
  <conditionalFormatting sqref="J5:J404">
    <cfRule type="expression" dxfId="10" priority="1">
      <formula>J5="HỢP LỆ"</formula>
    </cfRule>
    <cfRule type="expression" dxfId="9" priority="2">
      <formula>J5="CẦN SỬA"</formula>
    </cfRule>
  </conditionalFormatting>
  <conditionalFormatting sqref="K5:K404">
    <cfRule type="expression" dxfId="8" priority="3">
      <formula>K5&lt;&gt;""</formula>
    </cfRule>
  </conditionalFormatting>
  <dataValidations count="1">
    <dataValidation type="list" sqref="D5:D404" xr:uid="{00000000-0002-0000-0300-000000000000}">
      <formula1>"Có,Không"</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heetViews>
  <sheetFormatPr defaultRowHeight="14.25"/>
  <cols>
    <col min="1" max="1" width="16" customWidth="1"/>
    <col min="2" max="2" width="22" customWidth="1"/>
    <col min="3" max="3" width="28" customWidth="1"/>
    <col min="4" max="4" width="18" customWidth="1"/>
    <col min="5" max="5" width="40" customWidth="1"/>
    <col min="6" max="6" width="18" customWidth="1"/>
    <col min="7" max="7" width="14" customWidth="1"/>
    <col min="8" max="8" width="32" customWidth="1"/>
    <col min="9" max="9" width="3" customWidth="1"/>
    <col min="10" max="10" width="14" customWidth="1"/>
    <col min="11" max="11" width="38" customWidth="1"/>
    <col min="12" max="12" width="42" customWidth="1"/>
  </cols>
  <sheetData>
    <row r="1" spans="1:12" ht="30" customHeight="1">
      <c r="A1" s="19" t="s">
        <v>166</v>
      </c>
      <c r="B1" s="19"/>
      <c r="C1" s="19"/>
      <c r="D1" s="19"/>
      <c r="E1" s="19"/>
      <c r="F1" s="19"/>
      <c r="G1" s="19"/>
      <c r="H1" s="19"/>
      <c r="I1" s="19"/>
      <c r="J1" s="19"/>
      <c r="K1" s="19"/>
      <c r="L1" s="19"/>
    </row>
    <row r="2" spans="1:12" ht="36" customHeight="1">
      <c r="A2" s="20" t="s">
        <v>167</v>
      </c>
      <c r="B2" s="20"/>
      <c r="C2" s="20"/>
      <c r="D2" s="20"/>
      <c r="E2" s="20"/>
      <c r="F2" s="20"/>
      <c r="G2" s="20"/>
      <c r="H2" s="20"/>
      <c r="I2" s="20"/>
      <c r="J2" s="20"/>
      <c r="K2" s="20"/>
      <c r="L2" s="20"/>
    </row>
    <row r="4" spans="1:12" ht="24" customHeight="1">
      <c r="A4" s="18" t="s">
        <v>168</v>
      </c>
      <c r="B4" s="18"/>
      <c r="C4" s="18"/>
      <c r="D4" s="18" t="s">
        <v>169</v>
      </c>
      <c r="E4" s="18"/>
      <c r="F4" s="18"/>
      <c r="G4" s="18" t="s">
        <v>170</v>
      </c>
      <c r="H4" s="18"/>
      <c r="J4" s="18" t="s">
        <v>171</v>
      </c>
      <c r="K4" s="18"/>
      <c r="L4" s="18"/>
    </row>
    <row r="5" spans="1:12" ht="39.950000000000003" customHeight="1">
      <c r="A5" s="1" t="s">
        <v>150</v>
      </c>
      <c r="B5" s="1" t="s">
        <v>172</v>
      </c>
      <c r="C5" s="1" t="s">
        <v>173</v>
      </c>
      <c r="D5" s="1" t="s">
        <v>174</v>
      </c>
      <c r="E5" s="1" t="s">
        <v>175</v>
      </c>
      <c r="F5" s="1" t="s">
        <v>176</v>
      </c>
      <c r="G5" s="1" t="s">
        <v>177</v>
      </c>
      <c r="H5" s="1" t="s">
        <v>178</v>
      </c>
      <c r="J5" s="1" t="s">
        <v>179</v>
      </c>
      <c r="K5" s="1" t="s">
        <v>180</v>
      </c>
      <c r="L5" s="1" t="s">
        <v>181</v>
      </c>
    </row>
    <row r="6" spans="1:12">
      <c r="A6" s="2" t="s">
        <v>182</v>
      </c>
      <c r="B6" s="2"/>
      <c r="C6" s="2" t="s">
        <v>76</v>
      </c>
      <c r="D6" s="2" t="s">
        <v>183</v>
      </c>
      <c r="E6" s="2" t="s">
        <v>184</v>
      </c>
      <c r="F6" s="2" t="s">
        <v>185</v>
      </c>
      <c r="G6" s="2" t="s">
        <v>186</v>
      </c>
      <c r="H6" s="2" t="s">
        <v>187</v>
      </c>
      <c r="I6" s="2"/>
      <c r="J6" s="2" t="s">
        <v>188</v>
      </c>
      <c r="K6" s="2" t="s">
        <v>189</v>
      </c>
      <c r="L6" s="2" t="s">
        <v>190</v>
      </c>
    </row>
    <row r="7" spans="1:12">
      <c r="A7" s="2" t="s">
        <v>191</v>
      </c>
      <c r="B7" s="2" t="s">
        <v>192</v>
      </c>
      <c r="C7" s="2" t="s">
        <v>193</v>
      </c>
      <c r="D7" s="2" t="s">
        <v>194</v>
      </c>
      <c r="E7" s="2" t="s">
        <v>195</v>
      </c>
      <c r="F7" s="2" t="s">
        <v>185</v>
      </c>
      <c r="G7" s="2" t="s">
        <v>196</v>
      </c>
      <c r="H7" s="2" t="s">
        <v>197</v>
      </c>
      <c r="I7" s="2"/>
      <c r="J7" s="2" t="s">
        <v>198</v>
      </c>
      <c r="K7" s="2" t="s">
        <v>199</v>
      </c>
      <c r="L7" s="2" t="s">
        <v>200</v>
      </c>
    </row>
    <row r="8" spans="1:12" ht="28.5">
      <c r="A8" s="2" t="s">
        <v>201</v>
      </c>
      <c r="B8" s="2" t="s">
        <v>202</v>
      </c>
      <c r="C8" s="2" t="s">
        <v>203</v>
      </c>
      <c r="D8" s="2" t="s">
        <v>204</v>
      </c>
      <c r="E8" s="2" t="s">
        <v>205</v>
      </c>
      <c r="F8" s="2" t="s">
        <v>185</v>
      </c>
      <c r="G8" s="2" t="s">
        <v>206</v>
      </c>
      <c r="H8" s="2" t="s">
        <v>207</v>
      </c>
      <c r="I8" s="2"/>
      <c r="J8" s="2" t="s">
        <v>208</v>
      </c>
      <c r="K8" s="2" t="s">
        <v>209</v>
      </c>
      <c r="L8" s="2" t="s">
        <v>210</v>
      </c>
    </row>
    <row r="9" spans="1:12">
      <c r="A9" s="2" t="s">
        <v>211</v>
      </c>
      <c r="B9" s="2" t="s">
        <v>212</v>
      </c>
      <c r="C9" s="2" t="s">
        <v>213</v>
      </c>
      <c r="D9" s="5"/>
      <c r="E9" s="5"/>
      <c r="F9" s="5"/>
      <c r="G9" s="2" t="s">
        <v>214</v>
      </c>
      <c r="H9" s="2" t="s">
        <v>215</v>
      </c>
      <c r="I9" s="2"/>
      <c r="J9" s="2" t="s">
        <v>216</v>
      </c>
      <c r="K9" s="2" t="s">
        <v>153</v>
      </c>
      <c r="L9" s="2" t="s">
        <v>217</v>
      </c>
    </row>
    <row r="10" spans="1:12">
      <c r="A10" s="2" t="s">
        <v>218</v>
      </c>
      <c r="B10" s="2" t="s">
        <v>219</v>
      </c>
      <c r="C10" s="2" t="s">
        <v>220</v>
      </c>
      <c r="D10" s="5"/>
      <c r="E10" s="5"/>
      <c r="F10" s="5"/>
      <c r="G10" s="2"/>
      <c r="H10" s="2"/>
      <c r="I10" s="2"/>
      <c r="J10" s="2" t="s">
        <v>221</v>
      </c>
      <c r="K10" s="2" t="s">
        <v>222</v>
      </c>
      <c r="L10" s="2" t="s">
        <v>223</v>
      </c>
    </row>
    <row r="11" spans="1:12">
      <c r="A11" s="2" t="s">
        <v>224</v>
      </c>
      <c r="B11" s="2" t="s">
        <v>225</v>
      </c>
      <c r="C11" s="2" t="s">
        <v>226</v>
      </c>
      <c r="D11" s="5"/>
      <c r="E11" s="5"/>
      <c r="F11" s="5"/>
      <c r="G11" s="2"/>
      <c r="H11" s="2"/>
      <c r="I11" s="2"/>
      <c r="J11" s="2"/>
      <c r="K11" s="2"/>
      <c r="L11" s="2"/>
    </row>
    <row r="12" spans="1:12">
      <c r="A12" s="5"/>
      <c r="B12" s="5"/>
      <c r="C12" s="5"/>
      <c r="D12" s="5"/>
      <c r="E12" s="5"/>
      <c r="F12" s="5"/>
      <c r="G12" s="2"/>
      <c r="H12" s="2"/>
      <c r="I12" s="2"/>
      <c r="J12" s="2"/>
      <c r="K12" s="2"/>
      <c r="L12" s="2"/>
    </row>
    <row r="13" spans="1:12">
      <c r="A13" s="5"/>
      <c r="B13" s="5"/>
      <c r="C13" s="5"/>
      <c r="D13" s="5"/>
      <c r="E13" s="5"/>
      <c r="F13" s="5"/>
      <c r="G13" s="2"/>
      <c r="H13" s="2"/>
      <c r="I13" s="2"/>
      <c r="J13" s="2"/>
      <c r="K13" s="2"/>
      <c r="L13" s="2"/>
    </row>
    <row r="14" spans="1:12">
      <c r="A14" s="5"/>
      <c r="B14" s="5"/>
      <c r="C14" s="5"/>
      <c r="D14" s="5"/>
      <c r="E14" s="5"/>
      <c r="F14" s="5"/>
      <c r="G14" s="2"/>
      <c r="H14" s="2"/>
      <c r="I14" s="2"/>
      <c r="J14" s="2"/>
      <c r="K14" s="2"/>
      <c r="L14" s="2"/>
    </row>
    <row r="15" spans="1:12">
      <c r="A15" s="5"/>
      <c r="B15" s="5"/>
      <c r="C15" s="5"/>
      <c r="D15" s="5"/>
      <c r="E15" s="5"/>
      <c r="F15" s="5"/>
      <c r="G15" s="2"/>
      <c r="H15" s="2"/>
      <c r="I15" s="2"/>
      <c r="J15" s="2"/>
      <c r="K15" s="2"/>
      <c r="L15" s="2"/>
    </row>
    <row r="16" spans="1:12">
      <c r="A16" s="5"/>
      <c r="B16" s="5"/>
      <c r="C16" s="5"/>
      <c r="D16" s="5"/>
      <c r="E16" s="5"/>
      <c r="F16" s="5"/>
      <c r="G16" s="2"/>
      <c r="H16" s="2"/>
      <c r="I16" s="2"/>
      <c r="J16" s="2"/>
      <c r="K16" s="2"/>
      <c r="L16" s="2"/>
    </row>
    <row r="17" spans="1:12">
      <c r="A17" s="5"/>
      <c r="B17" s="5"/>
      <c r="C17" s="5"/>
      <c r="D17" s="5"/>
      <c r="E17" s="5"/>
      <c r="F17" s="5"/>
      <c r="G17" s="2"/>
      <c r="H17" s="2"/>
      <c r="I17" s="2"/>
      <c r="J17" s="2"/>
      <c r="K17" s="2"/>
      <c r="L17" s="2"/>
    </row>
    <row r="18" spans="1:12">
      <c r="A18" s="5"/>
      <c r="B18" s="5"/>
      <c r="C18" s="5"/>
      <c r="D18" s="5"/>
      <c r="E18" s="5"/>
      <c r="F18" s="5"/>
      <c r="G18" s="2"/>
      <c r="H18" s="2"/>
      <c r="I18" s="2"/>
      <c r="J18" s="2"/>
      <c r="K18" s="2"/>
      <c r="L18" s="2"/>
    </row>
    <row r="19" spans="1:12">
      <c r="A19" s="5"/>
      <c r="B19" s="5"/>
      <c r="C19" s="5"/>
      <c r="D19" s="5"/>
      <c r="E19" s="5"/>
      <c r="F19" s="5"/>
      <c r="G19" s="2"/>
      <c r="H19" s="2"/>
      <c r="I19" s="2"/>
      <c r="J19" s="2"/>
      <c r="K19" s="2"/>
      <c r="L19" s="2"/>
    </row>
    <row r="20" spans="1:12">
      <c r="A20" s="5"/>
      <c r="B20" s="5"/>
      <c r="C20" s="5"/>
      <c r="D20" s="5"/>
      <c r="E20" s="5"/>
      <c r="F20" s="5"/>
      <c r="G20" s="2"/>
      <c r="H20" s="2"/>
      <c r="I20" s="2"/>
      <c r="J20" s="2"/>
      <c r="K20" s="2"/>
      <c r="L20" s="2"/>
    </row>
  </sheetData>
  <mergeCells count="6">
    <mergeCell ref="A1:L1"/>
    <mergeCell ref="A2:L2"/>
    <mergeCell ref="A4:C4"/>
    <mergeCell ref="D4:F4"/>
    <mergeCell ref="G4:H4"/>
    <mergeCell ref="J4:L4"/>
  </mergeCells>
  <dataValidations count="1">
    <dataValidation type="list" sqref="F6:F20" xr:uid="{00000000-0002-0000-0400-000000000000}">
      <formula1>"Có sẵn,Cần dev bổ sung,Đang làm,Đã duyệt"</formula1>
    </dataValidation>
  </dataValidations>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8"/>
  <sheetViews>
    <sheetView workbookViewId="0"/>
  </sheetViews>
  <sheetFormatPr defaultRowHeight="14.25"/>
  <cols>
    <col min="1" max="2" width="16" customWidth="1"/>
    <col min="3" max="3" width="14" customWidth="1"/>
    <col min="4" max="4" width="18" customWidth="1"/>
    <col min="5" max="5" width="16" customWidth="1"/>
    <col min="6" max="6" width="42" customWidth="1"/>
    <col min="7" max="7" width="4" customWidth="1"/>
    <col min="8" max="8" width="34" customWidth="1"/>
    <col min="9" max="9" width="20" customWidth="1"/>
  </cols>
  <sheetData>
    <row r="1" spans="1:9" ht="30" customHeight="1">
      <c r="A1" s="19" t="s">
        <v>227</v>
      </c>
      <c r="B1" s="19"/>
      <c r="C1" s="19"/>
      <c r="D1" s="19"/>
      <c r="E1" s="19"/>
      <c r="F1" s="19"/>
      <c r="G1" s="19"/>
      <c r="H1" s="19"/>
      <c r="I1" s="19"/>
    </row>
    <row r="2" spans="1:9" ht="36" customHeight="1">
      <c r="A2" s="20" t="s">
        <v>228</v>
      </c>
      <c r="B2" s="20"/>
      <c r="C2" s="20"/>
      <c r="D2" s="20"/>
      <c r="E2" s="20"/>
      <c r="F2" s="20"/>
      <c r="G2" s="20"/>
      <c r="H2" s="20"/>
      <c r="I2" s="20"/>
    </row>
    <row r="4" spans="1:9" ht="24" customHeight="1">
      <c r="A4" s="18" t="s">
        <v>229</v>
      </c>
      <c r="B4" s="18"/>
      <c r="C4" s="18"/>
      <c r="D4" s="18"/>
      <c r="E4" s="18"/>
      <c r="F4" s="18"/>
      <c r="G4" s="18"/>
      <c r="H4" s="18"/>
      <c r="I4" s="18"/>
    </row>
    <row r="5" spans="1:9" ht="39.950000000000003" customHeight="1">
      <c r="A5" s="1" t="s">
        <v>230</v>
      </c>
      <c r="B5" s="1" t="s">
        <v>231</v>
      </c>
      <c r="C5" s="1" t="s">
        <v>232</v>
      </c>
      <c r="D5" s="1" t="s">
        <v>233</v>
      </c>
      <c r="E5" s="1" t="s">
        <v>234</v>
      </c>
      <c r="F5" s="1" t="s">
        <v>235</v>
      </c>
      <c r="G5" s="1" t="s">
        <v>236</v>
      </c>
      <c r="H5" s="1" t="s">
        <v>237</v>
      </c>
    </row>
    <row r="6" spans="1:9" ht="27.95" customHeight="1">
      <c r="A6" s="14">
        <f>COUNT('02_KICH_BAN_NODES'!A5:A204)</f>
        <v>39</v>
      </c>
      <c r="B6" s="14">
        <f>COUNTIF('02_KICH_BAN_NODES'!D5:D204,"scene")</f>
        <v>4</v>
      </c>
      <c r="C6" s="14">
        <f>COUNTIF('02_KICH_BAN_NODES'!D5:D204,"say")</f>
        <v>9</v>
      </c>
      <c r="D6" s="14">
        <f>COUNTIF('02_KICH_BAN_NODES'!D5:D204,"choice")</f>
        <v>21</v>
      </c>
      <c r="E6" s="14">
        <f>COUNTIF('02_KICH_BAN_NODES'!D5:D204,"act")</f>
        <v>4</v>
      </c>
      <c r="F6" s="14">
        <f>COUNTIF('02_KICH_BAN_NODES'!D5:D204,"end")</f>
        <v>1</v>
      </c>
      <c r="G6" s="14">
        <f>COUNTIF('02_KICH_BAN_NODES'!M5:M204,"CẦN SỬA")</f>
        <v>0</v>
      </c>
      <c r="H6" s="14">
        <f>COUNTIF('03_LUA_CHON'!J5:J404,"CẦN SỬA")</f>
        <v>0</v>
      </c>
    </row>
    <row r="8" spans="1:9" ht="24" customHeight="1">
      <c r="A8" s="18" t="s">
        <v>238</v>
      </c>
      <c r="B8" s="18"/>
      <c r="C8" s="18"/>
      <c r="D8" s="18"/>
      <c r="E8" s="18"/>
      <c r="F8" s="18"/>
      <c r="G8" s="18"/>
      <c r="H8" s="18"/>
      <c r="I8" s="18"/>
    </row>
    <row r="9" spans="1:9" ht="39.950000000000003" customHeight="1">
      <c r="A9" s="1" t="s">
        <v>239</v>
      </c>
      <c r="B9" s="1" t="s">
        <v>85</v>
      </c>
      <c r="C9" s="1" t="s">
        <v>240</v>
      </c>
      <c r="D9" s="1" t="s">
        <v>75</v>
      </c>
    </row>
    <row r="10" spans="1:9" ht="29.25">
      <c r="A10" s="2" t="s">
        <v>241</v>
      </c>
      <c r="B10" s="6">
        <f>F6</f>
        <v>1</v>
      </c>
      <c r="C10" s="6" t="str">
        <f>IF(B10=1,"HỢP LỆ","CẦN SỬA")</f>
        <v>HỢP LỆ</v>
      </c>
      <c r="D10" s="2" t="s">
        <v>242</v>
      </c>
    </row>
    <row r="11" spans="1:9" ht="29.25">
      <c r="A11" s="2" t="s">
        <v>243</v>
      </c>
      <c r="B11" s="6">
        <f>G6</f>
        <v>0</v>
      </c>
      <c r="C11" s="6" t="str">
        <f>IF(B11=0,"HỢP LỆ","CẦN SỬA")</f>
        <v>HỢP LỆ</v>
      </c>
      <c r="D11" s="2" t="s">
        <v>244</v>
      </c>
    </row>
    <row r="12" spans="1:9" ht="29.25">
      <c r="A12" s="2" t="s">
        <v>245</v>
      </c>
      <c r="B12" s="6">
        <f>H6</f>
        <v>0</v>
      </c>
      <c r="C12" s="6" t="str">
        <f>IF(B12=0,"HỢP LỆ","CẦN SỬA")</f>
        <v>HỢP LỆ</v>
      </c>
      <c r="D12" s="2" t="s">
        <v>246</v>
      </c>
    </row>
    <row r="13" spans="1:9" ht="29.25">
      <c r="A13" s="2" t="s">
        <v>247</v>
      </c>
      <c r="B13" s="6">
        <f>B6</f>
        <v>4</v>
      </c>
      <c r="C13" s="6" t="str">
        <f>IF(AND(B13&gt;=2,B13&lt;=4),"HỢP LỆ","CẢNH BÁO")</f>
        <v>HỢP LỆ</v>
      </c>
      <c r="D13" s="2" t="s">
        <v>248</v>
      </c>
    </row>
    <row r="14" spans="1:9" ht="29.25">
      <c r="A14" s="2" t="s">
        <v>249</v>
      </c>
      <c r="B14" s="6" t="str">
        <f>'01_THONG_TIN_PHIM'!B22</f>
        <v>KHÔNG</v>
      </c>
      <c r="C14" s="6" t="str">
        <f>IF(B14="CÓ","HỢP LỆ","CẦN SỬA")</f>
        <v>CẦN SỬA</v>
      </c>
      <c r="D14" s="2" t="s">
        <v>250</v>
      </c>
    </row>
    <row r="15" spans="1:9" ht="30">
      <c r="A15" s="2" t="s">
        <v>251</v>
      </c>
      <c r="B15" s="6" t="str">
        <f>IF(AND(C10="HỢP LỆ",C11="HỢP LỆ",C12="HỢP LỆ",C14="HỢP LỆ"),"SẴN SÀNG","CHƯA SẴN SÀNG")</f>
        <v>CHƯA SẴN SÀNG</v>
      </c>
      <c r="C15" s="6" t="str">
        <f>B15</f>
        <v>CHƯA SẴN SÀNG</v>
      </c>
      <c r="D15" s="2" t="s">
        <v>252</v>
      </c>
    </row>
    <row r="17" spans="1:9" ht="24" customHeight="1">
      <c r="A17" s="18" t="s">
        <v>253</v>
      </c>
      <c r="B17" s="18"/>
      <c r="C17" s="18"/>
      <c r="D17" s="18"/>
      <c r="E17" s="18"/>
      <c r="F17" s="18"/>
      <c r="H17" s="18" t="s">
        <v>254</v>
      </c>
      <c r="I17" s="18"/>
    </row>
    <row r="18" spans="1:9" ht="39.950000000000003" customHeight="1">
      <c r="A18" s="1" t="s">
        <v>255</v>
      </c>
      <c r="B18" s="1" t="s">
        <v>147</v>
      </c>
      <c r="C18" s="1" t="s">
        <v>256</v>
      </c>
      <c r="D18" s="1" t="s">
        <v>257</v>
      </c>
      <c r="E18" s="1" t="s">
        <v>135</v>
      </c>
      <c r="F18" s="1" t="s">
        <v>258</v>
      </c>
      <c r="H18" s="1" t="s">
        <v>259</v>
      </c>
      <c r="I18" s="1" t="s">
        <v>260</v>
      </c>
    </row>
    <row r="19" spans="1:9">
      <c r="A19" s="2" t="str">
        <f>IF('02_KICH_BAN_NODES'!D5="choice",'02_KICH_BAN_NODES'!B5,"")</f>
        <v/>
      </c>
      <c r="B19" s="2" t="str">
        <f>IF(A19="","",'02_KICH_BAN_NODES'!E5)</f>
        <v/>
      </c>
      <c r="C19" s="2" t="str">
        <f>IF(A19="","",COUNTIF('03_LUA_CHON'!$A$5:$A$404,A19))</f>
        <v/>
      </c>
      <c r="D19" s="2" t="str">
        <f>IF(A19="","",COUNTIFS('03_LUA_CHON'!$A$5:$A$404,A19,'03_LUA_CHON'!$D$5:$D$404,"Có"))</f>
        <v/>
      </c>
      <c r="E19" s="2" t="str">
        <f t="shared" ref="E19:E50" si="0">IF(A19="","",IF(OR(C19&lt;2,C19&gt;4),"CẦN SỬA",IF(AND(B19="Kiến thức",D19=1),"HỢP LỆ",IF(AND(B19="Tương tác",D19=0),"HỢP LỆ","CẦN SỬA"))))</f>
        <v/>
      </c>
      <c r="F19" s="2" t="str">
        <f t="shared" ref="F19:F50" si="1">IF(A19="","",IF(OR(C19&lt;2,C19&gt;4),"Cần 2–4 option",IF(AND(B19="Kiến thức",D19&lt;&gt;1),"Câu kiến thức cần đúng 1 đáp án đúng",IF(AND(B19="Tương tác",D19&lt;&gt;0),"Câu tương tác không có đáp án đúng",IF(B19="","Thiếu ChoiceMode","")))))</f>
        <v/>
      </c>
      <c r="H19" s="2" t="s">
        <v>261</v>
      </c>
      <c r="I19" s="5" t="s">
        <v>262</v>
      </c>
    </row>
    <row r="20" spans="1:9">
      <c r="A20" s="2" t="str">
        <f>IF('02_KICH_BAN_NODES'!D6="choice",'02_KICH_BAN_NODES'!B6,"")</f>
        <v/>
      </c>
      <c r="B20" s="2" t="str">
        <f>IF(A20="","",'02_KICH_BAN_NODES'!E6)</f>
        <v/>
      </c>
      <c r="C20" s="2" t="str">
        <f>IF(A20="","",COUNTIF('03_LUA_CHON'!$A$5:$A$404,A20))</f>
        <v/>
      </c>
      <c r="D20" s="2" t="str">
        <f>IF(A20="","",COUNTIFS('03_LUA_CHON'!$A$5:$A$404,A20,'03_LUA_CHON'!$D$5:$D$404,"Có"))</f>
        <v/>
      </c>
      <c r="E20" s="2" t="str">
        <f t="shared" si="0"/>
        <v/>
      </c>
      <c r="F20" s="2" t="str">
        <f t="shared" si="1"/>
        <v/>
      </c>
      <c r="H20" s="2" t="s">
        <v>263</v>
      </c>
      <c r="I20" s="5" t="s">
        <v>262</v>
      </c>
    </row>
    <row r="21" spans="1:9">
      <c r="A21" s="2" t="str">
        <f>IF('02_KICH_BAN_NODES'!D7="choice",'02_KICH_BAN_NODES'!B7,"")</f>
        <v/>
      </c>
      <c r="B21" s="2" t="str">
        <f>IF(A21="","",'02_KICH_BAN_NODES'!E7)</f>
        <v/>
      </c>
      <c r="C21" s="2" t="str">
        <f>IF(A21="","",COUNTIF('03_LUA_CHON'!$A$5:$A$404,A21))</f>
        <v/>
      </c>
      <c r="D21" s="2" t="str">
        <f>IF(A21="","",COUNTIFS('03_LUA_CHON'!$A$5:$A$404,A21,'03_LUA_CHON'!$D$5:$D$404,"Có"))</f>
        <v/>
      </c>
      <c r="E21" s="2" t="str">
        <f t="shared" si="0"/>
        <v/>
      </c>
      <c r="F21" s="2" t="str">
        <f t="shared" si="1"/>
        <v/>
      </c>
      <c r="H21" s="2" t="s">
        <v>264</v>
      </c>
      <c r="I21" s="5" t="s">
        <v>262</v>
      </c>
    </row>
    <row r="22" spans="1:9" ht="15">
      <c r="A22" s="2" t="str">
        <f>IF('02_KICH_BAN_NODES'!D8="choice",'02_KICH_BAN_NODES'!B8,"")</f>
        <v>N004</v>
      </c>
      <c r="B22" s="2" t="str">
        <f>IF(A22="","",'02_KICH_BAN_NODES'!E8)</f>
        <v>Tương tác</v>
      </c>
      <c r="C22" s="2">
        <f>IF(A22="","",COUNTIF('03_LUA_CHON'!$A$5:$A$404,A22))</f>
        <v>2</v>
      </c>
      <c r="D22" s="2">
        <f>IF(A22="","",COUNTIFS('03_LUA_CHON'!$A$5:$A$404,A22,'03_LUA_CHON'!$D$5:$D$404,"Có"))</f>
        <v>0</v>
      </c>
      <c r="E22" s="2" t="str">
        <f t="shared" si="0"/>
        <v>HỢP LỆ</v>
      </c>
      <c r="F22" s="2" t="str">
        <f t="shared" si="1"/>
        <v/>
      </c>
      <c r="H22" s="2" t="s">
        <v>265</v>
      </c>
      <c r="I22" s="5" t="s">
        <v>262</v>
      </c>
    </row>
    <row r="23" spans="1:9" ht="15">
      <c r="A23" s="2" t="str">
        <f>IF('02_KICH_BAN_NODES'!D9="choice",'02_KICH_BAN_NODES'!B9,"")</f>
        <v>N005</v>
      </c>
      <c r="B23" s="2" t="str">
        <f>IF(A23="","",'02_KICH_BAN_NODES'!E9)</f>
        <v>Kiến thức</v>
      </c>
      <c r="C23" s="2">
        <f>IF(A23="","",COUNTIF('03_LUA_CHON'!$A$5:$A$404,A23))</f>
        <v>3</v>
      </c>
      <c r="D23" s="2">
        <f>IF(A23="","",COUNTIFS('03_LUA_CHON'!$A$5:$A$404,A23,'03_LUA_CHON'!$D$5:$D$404,"Có"))</f>
        <v>1</v>
      </c>
      <c r="E23" s="2" t="str">
        <f t="shared" si="0"/>
        <v>HỢP LỆ</v>
      </c>
      <c r="F23" s="2" t="str">
        <f t="shared" si="1"/>
        <v/>
      </c>
      <c r="H23" s="2" t="s">
        <v>266</v>
      </c>
      <c r="I23" s="5" t="s">
        <v>262</v>
      </c>
    </row>
    <row r="24" spans="1:9" ht="15">
      <c r="A24" s="2" t="str">
        <f>IF('02_KICH_BAN_NODES'!D10="choice",'02_KICH_BAN_NODES'!B10,"")</f>
        <v>N006</v>
      </c>
      <c r="B24" s="2" t="str">
        <f>IF(A24="","",'02_KICH_BAN_NODES'!E10)</f>
        <v>Kiến thức</v>
      </c>
      <c r="C24" s="2">
        <f>IF(A24="","",COUNTIF('03_LUA_CHON'!$A$5:$A$404,A24))</f>
        <v>3</v>
      </c>
      <c r="D24" s="2">
        <f>IF(A24="","",COUNTIFS('03_LUA_CHON'!$A$5:$A$404,A24,'03_LUA_CHON'!$D$5:$D$404,"Có"))</f>
        <v>1</v>
      </c>
      <c r="E24" s="2" t="str">
        <f t="shared" si="0"/>
        <v>HỢP LỆ</v>
      </c>
      <c r="F24" s="2" t="str">
        <f t="shared" si="1"/>
        <v/>
      </c>
      <c r="H24" s="2" t="s">
        <v>267</v>
      </c>
      <c r="I24" s="5" t="s">
        <v>262</v>
      </c>
    </row>
    <row r="25" spans="1:9" ht="15">
      <c r="A25" s="2" t="str">
        <f>IF('02_KICH_BAN_NODES'!D11="choice",'02_KICH_BAN_NODES'!B11,"")</f>
        <v>N007</v>
      </c>
      <c r="B25" s="2" t="str">
        <f>IF(A25="","",'02_KICH_BAN_NODES'!E11)</f>
        <v>Kiến thức</v>
      </c>
      <c r="C25" s="2">
        <f>IF(A25="","",COUNTIF('03_LUA_CHON'!$A$5:$A$404,A25))</f>
        <v>3</v>
      </c>
      <c r="D25" s="2">
        <f>IF(A25="","",COUNTIFS('03_LUA_CHON'!$A$5:$A$404,A25,'03_LUA_CHON'!$D$5:$D$404,"Có"))</f>
        <v>1</v>
      </c>
      <c r="E25" s="2" t="str">
        <f t="shared" si="0"/>
        <v>HỢP LỆ</v>
      </c>
      <c r="F25" s="2" t="str">
        <f t="shared" si="1"/>
        <v/>
      </c>
      <c r="H25" s="2" t="s">
        <v>268</v>
      </c>
      <c r="I25" s="5" t="s">
        <v>262</v>
      </c>
    </row>
    <row r="26" spans="1:9" ht="15">
      <c r="A26" s="2" t="str">
        <f>IF('02_KICH_BAN_NODES'!D12="choice",'02_KICH_BAN_NODES'!B12,"")</f>
        <v>N008</v>
      </c>
      <c r="B26" s="2" t="str">
        <f>IF(A26="","",'02_KICH_BAN_NODES'!E12)</f>
        <v>Kiến thức</v>
      </c>
      <c r="C26" s="2">
        <f>IF(A26="","",COUNTIF('03_LUA_CHON'!$A$5:$A$404,A26))</f>
        <v>3</v>
      </c>
      <c r="D26" s="2">
        <f>IF(A26="","",COUNTIFS('03_LUA_CHON'!$A$5:$A$404,A26,'03_LUA_CHON'!$D$5:$D$404,"Có"))</f>
        <v>1</v>
      </c>
      <c r="E26" s="2" t="str">
        <f t="shared" si="0"/>
        <v>HỢP LỆ</v>
      </c>
      <c r="F26" s="2" t="str">
        <f t="shared" si="1"/>
        <v/>
      </c>
    </row>
    <row r="27" spans="1:9" ht="15">
      <c r="A27" s="2" t="str">
        <f>IF('02_KICH_BAN_NODES'!D13="choice",'02_KICH_BAN_NODES'!B13,"")</f>
        <v>N009</v>
      </c>
      <c r="B27" s="2" t="str">
        <f>IF(A27="","",'02_KICH_BAN_NODES'!E13)</f>
        <v>Kiến thức</v>
      </c>
      <c r="C27" s="2">
        <f>IF(A27="","",COUNTIF('03_LUA_CHON'!$A$5:$A$404,A27))</f>
        <v>3</v>
      </c>
      <c r="D27" s="2">
        <f>IF(A27="","",COUNTIFS('03_LUA_CHON'!$A$5:$A$404,A27,'03_LUA_CHON'!$D$5:$D$404,"Có"))</f>
        <v>1</v>
      </c>
      <c r="E27" s="2" t="str">
        <f t="shared" si="0"/>
        <v>HỢP LỆ</v>
      </c>
      <c r="F27" s="2" t="str">
        <f t="shared" si="1"/>
        <v/>
      </c>
    </row>
    <row r="28" spans="1:9" ht="15">
      <c r="A28" s="2" t="str">
        <f>IF('02_KICH_BAN_NODES'!D14="choice",'02_KICH_BAN_NODES'!B14,"")</f>
        <v>N010</v>
      </c>
      <c r="B28" s="2" t="str">
        <f>IF(A28="","",'02_KICH_BAN_NODES'!E14)</f>
        <v>Kiến thức</v>
      </c>
      <c r="C28" s="2">
        <f>IF(A28="","",COUNTIF('03_LUA_CHON'!$A$5:$A$404,A28))</f>
        <v>3</v>
      </c>
      <c r="D28" s="2">
        <f>IF(A28="","",COUNTIFS('03_LUA_CHON'!$A$5:$A$404,A28,'03_LUA_CHON'!$D$5:$D$404,"Có"))</f>
        <v>1</v>
      </c>
      <c r="E28" s="2" t="str">
        <f t="shared" si="0"/>
        <v>HỢP LỆ</v>
      </c>
      <c r="F28" s="2" t="str">
        <f t="shared" si="1"/>
        <v/>
      </c>
    </row>
    <row r="29" spans="1:9">
      <c r="A29" s="2" t="str">
        <f>IF('02_KICH_BAN_NODES'!D15="choice",'02_KICH_BAN_NODES'!B15,"")</f>
        <v/>
      </c>
      <c r="B29" s="2" t="str">
        <f>IF(A29="","",'02_KICH_BAN_NODES'!E15)</f>
        <v/>
      </c>
      <c r="C29" s="2" t="str">
        <f>IF(A29="","",COUNTIF('03_LUA_CHON'!$A$5:$A$404,A29))</f>
        <v/>
      </c>
      <c r="D29" s="2" t="str">
        <f>IF(A29="","",COUNTIFS('03_LUA_CHON'!$A$5:$A$404,A29,'03_LUA_CHON'!$D$5:$D$404,"Có"))</f>
        <v/>
      </c>
      <c r="E29" s="2" t="str">
        <f t="shared" si="0"/>
        <v/>
      </c>
      <c r="F29" s="2" t="str">
        <f t="shared" si="1"/>
        <v/>
      </c>
    </row>
    <row r="30" spans="1:9">
      <c r="A30" s="2" t="str">
        <f>IF('02_KICH_BAN_NODES'!D16="choice",'02_KICH_BAN_NODES'!B16,"")</f>
        <v/>
      </c>
      <c r="B30" s="2" t="str">
        <f>IF(A30="","",'02_KICH_BAN_NODES'!E16)</f>
        <v/>
      </c>
      <c r="C30" s="2" t="str">
        <f>IF(A30="","",COUNTIF('03_LUA_CHON'!$A$5:$A$404,A30))</f>
        <v/>
      </c>
      <c r="D30" s="2" t="str">
        <f>IF(A30="","",COUNTIFS('03_LUA_CHON'!$A$5:$A$404,A30,'03_LUA_CHON'!$D$5:$D$404,"Có"))</f>
        <v/>
      </c>
      <c r="E30" s="2" t="str">
        <f t="shared" si="0"/>
        <v/>
      </c>
      <c r="F30" s="2" t="str">
        <f t="shared" si="1"/>
        <v/>
      </c>
    </row>
    <row r="31" spans="1:9">
      <c r="A31" s="2" t="str">
        <f>IF('02_KICH_BAN_NODES'!D17="choice",'02_KICH_BAN_NODES'!B17,"")</f>
        <v/>
      </c>
      <c r="B31" s="2" t="str">
        <f>IF(A31="","",'02_KICH_BAN_NODES'!E17)</f>
        <v/>
      </c>
      <c r="C31" s="2" t="str">
        <f>IF(A31="","",COUNTIF('03_LUA_CHON'!$A$5:$A$404,A31))</f>
        <v/>
      </c>
      <c r="D31" s="2" t="str">
        <f>IF(A31="","",COUNTIFS('03_LUA_CHON'!$A$5:$A$404,A31,'03_LUA_CHON'!$D$5:$D$404,"Có"))</f>
        <v/>
      </c>
      <c r="E31" s="2" t="str">
        <f t="shared" si="0"/>
        <v/>
      </c>
      <c r="F31" s="2" t="str">
        <f t="shared" si="1"/>
        <v/>
      </c>
    </row>
    <row r="32" spans="1:9">
      <c r="A32" s="2" t="str">
        <f>IF('02_KICH_BAN_NODES'!D18="choice",'02_KICH_BAN_NODES'!B18,"")</f>
        <v/>
      </c>
      <c r="B32" s="2" t="str">
        <f>IF(A32="","",'02_KICH_BAN_NODES'!E18)</f>
        <v/>
      </c>
      <c r="C32" s="2" t="str">
        <f>IF(A32="","",COUNTIF('03_LUA_CHON'!$A$5:$A$404,A32))</f>
        <v/>
      </c>
      <c r="D32" s="2" t="str">
        <f>IF(A32="","",COUNTIFS('03_LUA_CHON'!$A$5:$A$404,A32,'03_LUA_CHON'!$D$5:$D$404,"Có"))</f>
        <v/>
      </c>
      <c r="E32" s="2" t="str">
        <f t="shared" si="0"/>
        <v/>
      </c>
      <c r="F32" s="2" t="str">
        <f t="shared" si="1"/>
        <v/>
      </c>
    </row>
    <row r="33" spans="1:6" ht="15">
      <c r="A33" s="2" t="str">
        <f>IF('02_KICH_BAN_NODES'!D19="choice",'02_KICH_BAN_NODES'!B19,"")</f>
        <v>N015</v>
      </c>
      <c r="B33" s="2" t="str">
        <f>IF(A33="","",'02_KICH_BAN_NODES'!E19)</f>
        <v>Kiến thức</v>
      </c>
      <c r="C33" s="2">
        <f>IF(A33="","",COUNTIF('03_LUA_CHON'!$A$5:$A$404,A33))</f>
        <v>3</v>
      </c>
      <c r="D33" s="2">
        <f>IF(A33="","",COUNTIFS('03_LUA_CHON'!$A$5:$A$404,A33,'03_LUA_CHON'!$D$5:$D$404,"Có"))</f>
        <v>1</v>
      </c>
      <c r="E33" s="2" t="str">
        <f t="shared" si="0"/>
        <v>HỢP LỆ</v>
      </c>
      <c r="F33" s="2" t="str">
        <f t="shared" si="1"/>
        <v/>
      </c>
    </row>
    <row r="34" spans="1:6" ht="15">
      <c r="A34" s="2" t="str">
        <f>IF('02_KICH_BAN_NODES'!D20="choice",'02_KICH_BAN_NODES'!B20,"")</f>
        <v>N016</v>
      </c>
      <c r="B34" s="2" t="str">
        <f>IF(A34="","",'02_KICH_BAN_NODES'!E20)</f>
        <v>Kiến thức</v>
      </c>
      <c r="C34" s="2">
        <f>IF(A34="","",COUNTIF('03_LUA_CHON'!$A$5:$A$404,A34))</f>
        <v>3</v>
      </c>
      <c r="D34" s="2">
        <f>IF(A34="","",COUNTIFS('03_LUA_CHON'!$A$5:$A$404,A34,'03_LUA_CHON'!$D$5:$D$404,"Có"))</f>
        <v>1</v>
      </c>
      <c r="E34" s="2" t="str">
        <f t="shared" si="0"/>
        <v>HỢP LỆ</v>
      </c>
      <c r="F34" s="2" t="str">
        <f t="shared" si="1"/>
        <v/>
      </c>
    </row>
    <row r="35" spans="1:6" ht="15">
      <c r="A35" s="2" t="str">
        <f>IF('02_KICH_BAN_NODES'!D21="choice",'02_KICH_BAN_NODES'!B21,"")</f>
        <v>N017</v>
      </c>
      <c r="B35" s="2" t="str">
        <f>IF(A35="","",'02_KICH_BAN_NODES'!E21)</f>
        <v>Kiến thức</v>
      </c>
      <c r="C35" s="2">
        <f>IF(A35="","",COUNTIF('03_LUA_CHON'!$A$5:$A$404,A35))</f>
        <v>3</v>
      </c>
      <c r="D35" s="2">
        <f>IF(A35="","",COUNTIFS('03_LUA_CHON'!$A$5:$A$404,A35,'03_LUA_CHON'!$D$5:$D$404,"Có"))</f>
        <v>1</v>
      </c>
      <c r="E35" s="2" t="str">
        <f t="shared" si="0"/>
        <v>HỢP LỆ</v>
      </c>
      <c r="F35" s="2" t="str">
        <f t="shared" si="1"/>
        <v/>
      </c>
    </row>
    <row r="36" spans="1:6" ht="15">
      <c r="A36" s="2" t="str">
        <f>IF('02_KICH_BAN_NODES'!D22="choice",'02_KICH_BAN_NODES'!B22,"")</f>
        <v>N018</v>
      </c>
      <c r="B36" s="2" t="str">
        <f>IF(A36="","",'02_KICH_BAN_NODES'!E22)</f>
        <v>Kiến thức</v>
      </c>
      <c r="C36" s="2">
        <f>IF(A36="","",COUNTIF('03_LUA_CHON'!$A$5:$A$404,A36))</f>
        <v>3</v>
      </c>
      <c r="D36" s="2">
        <f>IF(A36="","",COUNTIFS('03_LUA_CHON'!$A$5:$A$404,A36,'03_LUA_CHON'!$D$5:$D$404,"Có"))</f>
        <v>1</v>
      </c>
      <c r="E36" s="2" t="str">
        <f t="shared" si="0"/>
        <v>HỢP LỆ</v>
      </c>
      <c r="F36" s="2" t="str">
        <f t="shared" si="1"/>
        <v/>
      </c>
    </row>
    <row r="37" spans="1:6" ht="15">
      <c r="A37" s="2" t="str">
        <f>IF('02_KICH_BAN_NODES'!D23="choice",'02_KICH_BAN_NODES'!B23,"")</f>
        <v>N019</v>
      </c>
      <c r="B37" s="2" t="str">
        <f>IF(A37="","",'02_KICH_BAN_NODES'!E23)</f>
        <v>Kiến thức</v>
      </c>
      <c r="C37" s="2">
        <f>IF(A37="","",COUNTIF('03_LUA_CHON'!$A$5:$A$404,A37))</f>
        <v>3</v>
      </c>
      <c r="D37" s="2">
        <f>IF(A37="","",COUNTIFS('03_LUA_CHON'!$A$5:$A$404,A37,'03_LUA_CHON'!$D$5:$D$404,"Có"))</f>
        <v>1</v>
      </c>
      <c r="E37" s="2" t="str">
        <f t="shared" si="0"/>
        <v>HỢP LỆ</v>
      </c>
      <c r="F37" s="2" t="str">
        <f t="shared" si="1"/>
        <v/>
      </c>
    </row>
    <row r="38" spans="1:6">
      <c r="A38" s="2" t="str">
        <f>IF('02_KICH_BAN_NODES'!D24="choice",'02_KICH_BAN_NODES'!B24,"")</f>
        <v/>
      </c>
      <c r="B38" s="2" t="str">
        <f>IF(A38="","",'02_KICH_BAN_NODES'!E24)</f>
        <v/>
      </c>
      <c r="C38" s="2" t="str">
        <f>IF(A38="","",COUNTIF('03_LUA_CHON'!$A$5:$A$404,A38))</f>
        <v/>
      </c>
      <c r="D38" s="2" t="str">
        <f>IF(A38="","",COUNTIFS('03_LUA_CHON'!$A$5:$A$404,A38,'03_LUA_CHON'!$D$5:$D$404,"Có"))</f>
        <v/>
      </c>
      <c r="E38" s="2" t="str">
        <f t="shared" si="0"/>
        <v/>
      </c>
      <c r="F38" s="2" t="str">
        <f t="shared" si="1"/>
        <v/>
      </c>
    </row>
    <row r="39" spans="1:6">
      <c r="A39" s="2" t="str">
        <f>IF('02_KICH_BAN_NODES'!D25="choice",'02_KICH_BAN_NODES'!B25,"")</f>
        <v/>
      </c>
      <c r="B39" s="2" t="str">
        <f>IF(A39="","",'02_KICH_BAN_NODES'!E25)</f>
        <v/>
      </c>
      <c r="C39" s="2" t="str">
        <f>IF(A39="","",COUNTIF('03_LUA_CHON'!$A$5:$A$404,A39))</f>
        <v/>
      </c>
      <c r="D39" s="2" t="str">
        <f>IF(A39="","",COUNTIFS('03_LUA_CHON'!$A$5:$A$404,A39,'03_LUA_CHON'!$D$5:$D$404,"Có"))</f>
        <v/>
      </c>
      <c r="E39" s="2" t="str">
        <f t="shared" si="0"/>
        <v/>
      </c>
      <c r="F39" s="2" t="str">
        <f t="shared" si="1"/>
        <v/>
      </c>
    </row>
    <row r="40" spans="1:6">
      <c r="A40" s="2" t="str">
        <f>IF('02_KICH_BAN_NODES'!D26="choice",'02_KICH_BAN_NODES'!B26,"")</f>
        <v/>
      </c>
      <c r="B40" s="2" t="str">
        <f>IF(A40="","",'02_KICH_BAN_NODES'!E26)</f>
        <v/>
      </c>
      <c r="C40" s="2" t="str">
        <f>IF(A40="","",COUNTIF('03_LUA_CHON'!$A$5:$A$404,A40))</f>
        <v/>
      </c>
      <c r="D40" s="2" t="str">
        <f>IF(A40="","",COUNTIFS('03_LUA_CHON'!$A$5:$A$404,A40,'03_LUA_CHON'!$D$5:$D$404,"Có"))</f>
        <v/>
      </c>
      <c r="E40" s="2" t="str">
        <f t="shared" si="0"/>
        <v/>
      </c>
      <c r="F40" s="2" t="str">
        <f t="shared" si="1"/>
        <v/>
      </c>
    </row>
    <row r="41" spans="1:6">
      <c r="A41" s="2" t="str">
        <f>IF('02_KICH_BAN_NODES'!D27="choice",'02_KICH_BAN_NODES'!B27,"")</f>
        <v/>
      </c>
      <c r="B41" s="2" t="str">
        <f>IF(A41="","",'02_KICH_BAN_NODES'!E27)</f>
        <v/>
      </c>
      <c r="C41" s="2" t="str">
        <f>IF(A41="","",COUNTIF('03_LUA_CHON'!$A$5:$A$404,A41))</f>
        <v/>
      </c>
      <c r="D41" s="2" t="str">
        <f>IF(A41="","",COUNTIFS('03_LUA_CHON'!$A$5:$A$404,A41,'03_LUA_CHON'!$D$5:$D$404,"Có"))</f>
        <v/>
      </c>
      <c r="E41" s="2" t="str">
        <f t="shared" si="0"/>
        <v/>
      </c>
      <c r="F41" s="2" t="str">
        <f t="shared" si="1"/>
        <v/>
      </c>
    </row>
    <row r="42" spans="1:6" ht="15">
      <c r="A42" s="2" t="str">
        <f>IF('02_KICH_BAN_NODES'!D28="choice",'02_KICH_BAN_NODES'!B28,"")</f>
        <v>N024</v>
      </c>
      <c r="B42" s="2" t="str">
        <f>IF(A42="","",'02_KICH_BAN_NODES'!E28)</f>
        <v>Kiến thức</v>
      </c>
      <c r="C42" s="2">
        <f>IF(A42="","",COUNTIF('03_LUA_CHON'!$A$5:$A$404,A42))</f>
        <v>3</v>
      </c>
      <c r="D42" s="2">
        <f>IF(A42="","",COUNTIFS('03_LUA_CHON'!$A$5:$A$404,A42,'03_LUA_CHON'!$D$5:$D$404,"Có"))</f>
        <v>1</v>
      </c>
      <c r="E42" s="2" t="str">
        <f t="shared" si="0"/>
        <v>HỢP LỆ</v>
      </c>
      <c r="F42" s="2" t="str">
        <f t="shared" si="1"/>
        <v/>
      </c>
    </row>
    <row r="43" spans="1:6" ht="15">
      <c r="A43" s="2" t="str">
        <f>IF('02_KICH_BAN_NODES'!D29="choice",'02_KICH_BAN_NODES'!B29,"")</f>
        <v>N025</v>
      </c>
      <c r="B43" s="2" t="str">
        <f>IF(A43="","",'02_KICH_BAN_NODES'!E29)</f>
        <v>Kiến thức</v>
      </c>
      <c r="C43" s="2">
        <f>IF(A43="","",COUNTIF('03_LUA_CHON'!$A$5:$A$404,A43))</f>
        <v>3</v>
      </c>
      <c r="D43" s="2">
        <f>IF(A43="","",COUNTIFS('03_LUA_CHON'!$A$5:$A$404,A43,'03_LUA_CHON'!$D$5:$D$404,"Có"))</f>
        <v>1</v>
      </c>
      <c r="E43" s="2" t="str">
        <f t="shared" si="0"/>
        <v>HỢP LỆ</v>
      </c>
      <c r="F43" s="2" t="str">
        <f t="shared" si="1"/>
        <v/>
      </c>
    </row>
    <row r="44" spans="1:6" ht="15">
      <c r="A44" s="2" t="str">
        <f>IF('02_KICH_BAN_NODES'!D30="choice",'02_KICH_BAN_NODES'!B30,"")</f>
        <v>N026</v>
      </c>
      <c r="B44" s="2" t="str">
        <f>IF(A44="","",'02_KICH_BAN_NODES'!E30)</f>
        <v>Kiến thức</v>
      </c>
      <c r="C44" s="2">
        <f>IF(A44="","",COUNTIF('03_LUA_CHON'!$A$5:$A$404,A44))</f>
        <v>3</v>
      </c>
      <c r="D44" s="2">
        <f>IF(A44="","",COUNTIFS('03_LUA_CHON'!$A$5:$A$404,A44,'03_LUA_CHON'!$D$5:$D$404,"Có"))</f>
        <v>1</v>
      </c>
      <c r="E44" s="2" t="str">
        <f t="shared" si="0"/>
        <v>HỢP LỆ</v>
      </c>
      <c r="F44" s="2" t="str">
        <f t="shared" si="1"/>
        <v/>
      </c>
    </row>
    <row r="45" spans="1:6" ht="15">
      <c r="A45" s="2" t="str">
        <f>IF('02_KICH_BAN_NODES'!D31="choice",'02_KICH_BAN_NODES'!B31,"")</f>
        <v>N027</v>
      </c>
      <c r="B45" s="2" t="str">
        <f>IF(A45="","",'02_KICH_BAN_NODES'!E31)</f>
        <v>Kiến thức</v>
      </c>
      <c r="C45" s="2">
        <f>IF(A45="","",COUNTIF('03_LUA_CHON'!$A$5:$A$404,A45))</f>
        <v>3</v>
      </c>
      <c r="D45" s="2">
        <f>IF(A45="","",COUNTIFS('03_LUA_CHON'!$A$5:$A$404,A45,'03_LUA_CHON'!$D$5:$D$404,"Có"))</f>
        <v>1</v>
      </c>
      <c r="E45" s="2" t="str">
        <f t="shared" si="0"/>
        <v>HỢP LỆ</v>
      </c>
      <c r="F45" s="2" t="str">
        <f t="shared" si="1"/>
        <v/>
      </c>
    </row>
    <row r="46" spans="1:6" ht="15">
      <c r="A46" s="2" t="str">
        <f>IF('02_KICH_BAN_NODES'!D32="choice",'02_KICH_BAN_NODES'!B32,"")</f>
        <v>N028</v>
      </c>
      <c r="B46" s="2" t="str">
        <f>IF(A46="","",'02_KICH_BAN_NODES'!E32)</f>
        <v>Kiến thức</v>
      </c>
      <c r="C46" s="2">
        <f>IF(A46="","",COUNTIF('03_LUA_CHON'!$A$5:$A$404,A46))</f>
        <v>3</v>
      </c>
      <c r="D46" s="2">
        <f>IF(A46="","",COUNTIFS('03_LUA_CHON'!$A$5:$A$404,A46,'03_LUA_CHON'!$D$5:$D$404,"Có"))</f>
        <v>1</v>
      </c>
      <c r="E46" s="2" t="str">
        <f t="shared" si="0"/>
        <v>HỢP LỆ</v>
      </c>
      <c r="F46" s="2" t="str">
        <f t="shared" si="1"/>
        <v/>
      </c>
    </row>
    <row r="47" spans="1:6" ht="15">
      <c r="A47" s="2" t="str">
        <f>IF('02_KICH_BAN_NODES'!D33="choice",'02_KICH_BAN_NODES'!B33,"")</f>
        <v>N029</v>
      </c>
      <c r="B47" s="2" t="str">
        <f>IF(A47="","",'02_KICH_BAN_NODES'!E33)</f>
        <v>Kiến thức</v>
      </c>
      <c r="C47" s="2">
        <f>IF(A47="","",COUNTIF('03_LUA_CHON'!$A$5:$A$404,A47))</f>
        <v>3</v>
      </c>
      <c r="D47" s="2">
        <f>IF(A47="","",COUNTIFS('03_LUA_CHON'!$A$5:$A$404,A47,'03_LUA_CHON'!$D$5:$D$404,"Có"))</f>
        <v>1</v>
      </c>
      <c r="E47" s="2" t="str">
        <f t="shared" si="0"/>
        <v>HỢP LỆ</v>
      </c>
      <c r="F47" s="2" t="str">
        <f t="shared" si="1"/>
        <v/>
      </c>
    </row>
    <row r="48" spans="1:6">
      <c r="A48" s="2" t="str">
        <f>IF('02_KICH_BAN_NODES'!D34="choice",'02_KICH_BAN_NODES'!B34,"")</f>
        <v/>
      </c>
      <c r="B48" s="2" t="str">
        <f>IF(A48="","",'02_KICH_BAN_NODES'!E34)</f>
        <v/>
      </c>
      <c r="C48" s="2" t="str">
        <f>IF(A48="","",COUNTIF('03_LUA_CHON'!$A$5:$A$404,A48))</f>
        <v/>
      </c>
      <c r="D48" s="2" t="str">
        <f>IF(A48="","",COUNTIFS('03_LUA_CHON'!$A$5:$A$404,A48,'03_LUA_CHON'!$D$5:$D$404,"Có"))</f>
        <v/>
      </c>
      <c r="E48" s="2" t="str">
        <f t="shared" si="0"/>
        <v/>
      </c>
      <c r="F48" s="2" t="str">
        <f t="shared" si="1"/>
        <v/>
      </c>
    </row>
    <row r="49" spans="1:6">
      <c r="A49" s="2" t="str">
        <f>IF('02_KICH_BAN_NODES'!D35="choice",'02_KICH_BAN_NODES'!B35,"")</f>
        <v/>
      </c>
      <c r="B49" s="2" t="str">
        <f>IF(A49="","",'02_KICH_BAN_NODES'!E35)</f>
        <v/>
      </c>
      <c r="C49" s="2" t="str">
        <f>IF(A49="","",COUNTIF('03_LUA_CHON'!$A$5:$A$404,A49))</f>
        <v/>
      </c>
      <c r="D49" s="2" t="str">
        <f>IF(A49="","",COUNTIFS('03_LUA_CHON'!$A$5:$A$404,A49,'03_LUA_CHON'!$D$5:$D$404,"Có"))</f>
        <v/>
      </c>
      <c r="E49" s="2" t="str">
        <f t="shared" si="0"/>
        <v/>
      </c>
      <c r="F49" s="2" t="str">
        <f t="shared" si="1"/>
        <v/>
      </c>
    </row>
    <row r="50" spans="1:6">
      <c r="A50" s="2" t="str">
        <f>IF('02_KICH_BAN_NODES'!D36="choice",'02_KICH_BAN_NODES'!B36,"")</f>
        <v/>
      </c>
      <c r="B50" s="2" t="str">
        <f>IF(A50="","",'02_KICH_BAN_NODES'!E36)</f>
        <v/>
      </c>
      <c r="C50" s="2" t="str">
        <f>IF(A50="","",COUNTIF('03_LUA_CHON'!$A$5:$A$404,A50))</f>
        <v/>
      </c>
      <c r="D50" s="2" t="str">
        <f>IF(A50="","",COUNTIFS('03_LUA_CHON'!$A$5:$A$404,A50,'03_LUA_CHON'!$D$5:$D$404,"Có"))</f>
        <v/>
      </c>
      <c r="E50" s="2" t="str">
        <f t="shared" si="0"/>
        <v/>
      </c>
      <c r="F50" s="2" t="str">
        <f t="shared" si="1"/>
        <v/>
      </c>
    </row>
    <row r="51" spans="1:6">
      <c r="A51" s="2" t="str">
        <f>IF('02_KICH_BAN_NODES'!D37="choice",'02_KICH_BAN_NODES'!B37,"")</f>
        <v/>
      </c>
      <c r="B51" s="2" t="str">
        <f>IF(A51="","",'02_KICH_BAN_NODES'!E37)</f>
        <v/>
      </c>
      <c r="C51" s="2" t="str">
        <f>IF(A51="","",COUNTIF('03_LUA_CHON'!$A$5:$A$404,A51))</f>
        <v/>
      </c>
      <c r="D51" s="2" t="str">
        <f>IF(A51="","",COUNTIFS('03_LUA_CHON'!$A$5:$A$404,A51,'03_LUA_CHON'!$D$5:$D$404,"Có"))</f>
        <v/>
      </c>
      <c r="E51" s="2" t="str">
        <f t="shared" ref="E51:E82" si="2">IF(A51="","",IF(OR(C51&lt;2,C51&gt;4),"CẦN SỬA",IF(AND(B51="Kiến thức",D51=1),"HỢP LỆ",IF(AND(B51="Tương tác",D51=0),"HỢP LỆ","CẦN SỬA"))))</f>
        <v/>
      </c>
      <c r="F51" s="2" t="str">
        <f t="shared" ref="F51:F82" si="3">IF(A51="","",IF(OR(C51&lt;2,C51&gt;4),"Cần 2–4 option",IF(AND(B51="Kiến thức",D51&lt;&gt;1),"Câu kiến thức cần đúng 1 đáp án đúng",IF(AND(B51="Tương tác",D51&lt;&gt;0),"Câu tương tác không có đáp án đúng",IF(B51="","Thiếu ChoiceMode","")))))</f>
        <v/>
      </c>
    </row>
    <row r="52" spans="1:6" ht="15">
      <c r="A52" s="2" t="str">
        <f>IF('02_KICH_BAN_NODES'!D38="choice",'02_KICH_BAN_NODES'!B38,"")</f>
        <v>N034</v>
      </c>
      <c r="B52" s="2" t="str">
        <f>IF(A52="","",'02_KICH_BAN_NODES'!E38)</f>
        <v>Kiến thức</v>
      </c>
      <c r="C52" s="2">
        <f>IF(A52="","",COUNTIF('03_LUA_CHON'!$A$5:$A$404,A52))</f>
        <v>3</v>
      </c>
      <c r="D52" s="2">
        <f>IF(A52="","",COUNTIFS('03_LUA_CHON'!$A$5:$A$404,A52,'03_LUA_CHON'!$D$5:$D$404,"Có"))</f>
        <v>1</v>
      </c>
      <c r="E52" s="2" t="str">
        <f t="shared" si="2"/>
        <v>HỢP LỆ</v>
      </c>
      <c r="F52" s="2" t="str">
        <f t="shared" si="3"/>
        <v/>
      </c>
    </row>
    <row r="53" spans="1:6" ht="15">
      <c r="A53" s="2" t="str">
        <f>IF('02_KICH_BAN_NODES'!D39="choice",'02_KICH_BAN_NODES'!B39,"")</f>
        <v>N035</v>
      </c>
      <c r="B53" s="2" t="str">
        <f>IF(A53="","",'02_KICH_BAN_NODES'!E39)</f>
        <v>Kiến thức</v>
      </c>
      <c r="C53" s="2">
        <f>IF(A53="","",COUNTIF('03_LUA_CHON'!$A$5:$A$404,A53))</f>
        <v>3</v>
      </c>
      <c r="D53" s="2">
        <f>IF(A53="","",COUNTIFS('03_LUA_CHON'!$A$5:$A$404,A53,'03_LUA_CHON'!$D$5:$D$404,"Có"))</f>
        <v>1</v>
      </c>
      <c r="E53" s="2" t="str">
        <f t="shared" si="2"/>
        <v>HỢP LỆ</v>
      </c>
      <c r="F53" s="2" t="str">
        <f t="shared" si="3"/>
        <v/>
      </c>
    </row>
    <row r="54" spans="1:6" ht="15">
      <c r="A54" s="2" t="str">
        <f>IF('02_KICH_BAN_NODES'!D40="choice",'02_KICH_BAN_NODES'!B40,"")</f>
        <v>N036</v>
      </c>
      <c r="B54" s="2" t="str">
        <f>IF(A54="","",'02_KICH_BAN_NODES'!E40)</f>
        <v>Kiến thức</v>
      </c>
      <c r="C54" s="2">
        <f>IF(A54="","",COUNTIF('03_LUA_CHON'!$A$5:$A$404,A54))</f>
        <v>3</v>
      </c>
      <c r="D54" s="2">
        <f>IF(A54="","",COUNTIFS('03_LUA_CHON'!$A$5:$A$404,A54,'03_LUA_CHON'!$D$5:$D$404,"Có"))</f>
        <v>1</v>
      </c>
      <c r="E54" s="2" t="str">
        <f t="shared" si="2"/>
        <v>HỢP LỆ</v>
      </c>
      <c r="F54" s="2" t="str">
        <f t="shared" si="3"/>
        <v/>
      </c>
    </row>
    <row r="55" spans="1:6">
      <c r="A55" s="2" t="str">
        <f>IF('02_KICH_BAN_NODES'!D41="choice",'02_KICH_BAN_NODES'!B41,"")</f>
        <v/>
      </c>
      <c r="B55" s="2" t="str">
        <f>IF(A55="","",'02_KICH_BAN_NODES'!E41)</f>
        <v/>
      </c>
      <c r="C55" s="2" t="str">
        <f>IF(A55="","",COUNTIF('03_LUA_CHON'!$A$5:$A$404,A55))</f>
        <v/>
      </c>
      <c r="D55" s="2" t="str">
        <f>IF(A55="","",COUNTIFS('03_LUA_CHON'!$A$5:$A$404,A55,'03_LUA_CHON'!$D$5:$D$404,"Có"))</f>
        <v/>
      </c>
      <c r="E55" s="2" t="str">
        <f t="shared" si="2"/>
        <v/>
      </c>
      <c r="F55" s="2" t="str">
        <f t="shared" si="3"/>
        <v/>
      </c>
    </row>
    <row r="56" spans="1:6">
      <c r="A56" s="2" t="str">
        <f>IF('02_KICH_BAN_NODES'!D42="choice",'02_KICH_BAN_NODES'!B42,"")</f>
        <v/>
      </c>
      <c r="B56" s="2" t="str">
        <f>IF(A56="","",'02_KICH_BAN_NODES'!E42)</f>
        <v/>
      </c>
      <c r="C56" s="2" t="str">
        <f>IF(A56="","",COUNTIF('03_LUA_CHON'!$A$5:$A$404,A56))</f>
        <v/>
      </c>
      <c r="D56" s="2" t="str">
        <f>IF(A56="","",COUNTIFS('03_LUA_CHON'!$A$5:$A$404,A56,'03_LUA_CHON'!$D$5:$D$404,"Có"))</f>
        <v/>
      </c>
      <c r="E56" s="2" t="str">
        <f t="shared" si="2"/>
        <v/>
      </c>
      <c r="F56" s="2" t="str">
        <f t="shared" si="3"/>
        <v/>
      </c>
    </row>
    <row r="57" spans="1:6">
      <c r="A57" s="2" t="str">
        <f>IF('02_KICH_BAN_NODES'!D43="choice",'02_KICH_BAN_NODES'!B43,"")</f>
        <v/>
      </c>
      <c r="B57" s="2" t="str">
        <f>IF(A57="","",'02_KICH_BAN_NODES'!E43)</f>
        <v/>
      </c>
      <c r="C57" s="2" t="str">
        <f>IF(A57="","",COUNTIF('03_LUA_CHON'!$A$5:$A$404,A57))</f>
        <v/>
      </c>
      <c r="D57" s="2" t="str">
        <f>IF(A57="","",COUNTIFS('03_LUA_CHON'!$A$5:$A$404,A57,'03_LUA_CHON'!$D$5:$D$404,"Có"))</f>
        <v/>
      </c>
      <c r="E57" s="2" t="str">
        <f t="shared" si="2"/>
        <v/>
      </c>
      <c r="F57" s="2" t="str">
        <f t="shared" si="3"/>
        <v/>
      </c>
    </row>
    <row r="58" spans="1:6">
      <c r="A58" s="2" t="str">
        <f>IF('02_KICH_BAN_NODES'!D44="choice",'02_KICH_BAN_NODES'!B44,"")</f>
        <v/>
      </c>
      <c r="B58" s="2" t="str">
        <f>IF(A58="","",'02_KICH_BAN_NODES'!E44)</f>
        <v/>
      </c>
      <c r="C58" s="2" t="str">
        <f>IF(A58="","",COUNTIF('03_LUA_CHON'!$A$5:$A$404,A58))</f>
        <v/>
      </c>
      <c r="D58" s="2" t="str">
        <f>IF(A58="","",COUNTIFS('03_LUA_CHON'!$A$5:$A$404,A58,'03_LUA_CHON'!$D$5:$D$404,"Có"))</f>
        <v/>
      </c>
      <c r="E58" s="2" t="str">
        <f t="shared" si="2"/>
        <v/>
      </c>
      <c r="F58" s="2" t="str">
        <f t="shared" si="3"/>
        <v/>
      </c>
    </row>
    <row r="59" spans="1:6">
      <c r="A59" s="2" t="str">
        <f>IF('02_KICH_BAN_NODES'!D45="choice",'02_KICH_BAN_NODES'!B45,"")</f>
        <v/>
      </c>
      <c r="B59" s="2" t="str">
        <f>IF(A59="","",'02_KICH_BAN_NODES'!E45)</f>
        <v/>
      </c>
      <c r="C59" s="2" t="str">
        <f>IF(A59="","",COUNTIF('03_LUA_CHON'!$A$5:$A$404,A59))</f>
        <v/>
      </c>
      <c r="D59" s="2" t="str">
        <f>IF(A59="","",COUNTIFS('03_LUA_CHON'!$A$5:$A$404,A59,'03_LUA_CHON'!$D$5:$D$404,"Có"))</f>
        <v/>
      </c>
      <c r="E59" s="2" t="str">
        <f t="shared" si="2"/>
        <v/>
      </c>
      <c r="F59" s="2" t="str">
        <f t="shared" si="3"/>
        <v/>
      </c>
    </row>
    <row r="60" spans="1:6">
      <c r="A60" s="2" t="str">
        <f>IF('02_KICH_BAN_NODES'!D46="choice",'02_KICH_BAN_NODES'!B46,"")</f>
        <v/>
      </c>
      <c r="B60" s="2" t="str">
        <f>IF(A60="","",'02_KICH_BAN_NODES'!E46)</f>
        <v/>
      </c>
      <c r="C60" s="2" t="str">
        <f>IF(A60="","",COUNTIF('03_LUA_CHON'!$A$5:$A$404,A60))</f>
        <v/>
      </c>
      <c r="D60" s="2" t="str">
        <f>IF(A60="","",COUNTIFS('03_LUA_CHON'!$A$5:$A$404,A60,'03_LUA_CHON'!$D$5:$D$404,"Có"))</f>
        <v/>
      </c>
      <c r="E60" s="2" t="str">
        <f t="shared" si="2"/>
        <v/>
      </c>
      <c r="F60" s="2" t="str">
        <f t="shared" si="3"/>
        <v/>
      </c>
    </row>
    <row r="61" spans="1:6">
      <c r="A61" s="2" t="str">
        <f>IF('02_KICH_BAN_NODES'!D47="choice",'02_KICH_BAN_NODES'!B47,"")</f>
        <v/>
      </c>
      <c r="B61" s="2" t="str">
        <f>IF(A61="","",'02_KICH_BAN_NODES'!E47)</f>
        <v/>
      </c>
      <c r="C61" s="2" t="str">
        <f>IF(A61="","",COUNTIF('03_LUA_CHON'!$A$5:$A$404,A61))</f>
        <v/>
      </c>
      <c r="D61" s="2" t="str">
        <f>IF(A61="","",COUNTIFS('03_LUA_CHON'!$A$5:$A$404,A61,'03_LUA_CHON'!$D$5:$D$404,"Có"))</f>
        <v/>
      </c>
      <c r="E61" s="2" t="str">
        <f t="shared" si="2"/>
        <v/>
      </c>
      <c r="F61" s="2" t="str">
        <f t="shared" si="3"/>
        <v/>
      </c>
    </row>
    <row r="62" spans="1:6">
      <c r="A62" s="2" t="str">
        <f>IF('02_KICH_BAN_NODES'!D48="choice",'02_KICH_BAN_NODES'!B48,"")</f>
        <v/>
      </c>
      <c r="B62" s="2" t="str">
        <f>IF(A62="","",'02_KICH_BAN_NODES'!E48)</f>
        <v/>
      </c>
      <c r="C62" s="2" t="str">
        <f>IF(A62="","",COUNTIF('03_LUA_CHON'!$A$5:$A$404,A62))</f>
        <v/>
      </c>
      <c r="D62" s="2" t="str">
        <f>IF(A62="","",COUNTIFS('03_LUA_CHON'!$A$5:$A$404,A62,'03_LUA_CHON'!$D$5:$D$404,"Có"))</f>
        <v/>
      </c>
      <c r="E62" s="2" t="str">
        <f t="shared" si="2"/>
        <v/>
      </c>
      <c r="F62" s="2" t="str">
        <f t="shared" si="3"/>
        <v/>
      </c>
    </row>
    <row r="63" spans="1:6">
      <c r="A63" s="2" t="str">
        <f>IF('02_KICH_BAN_NODES'!D49="choice",'02_KICH_BAN_NODES'!B49,"")</f>
        <v/>
      </c>
      <c r="B63" s="2" t="str">
        <f>IF(A63="","",'02_KICH_BAN_NODES'!E49)</f>
        <v/>
      </c>
      <c r="C63" s="2" t="str">
        <f>IF(A63="","",COUNTIF('03_LUA_CHON'!$A$5:$A$404,A63))</f>
        <v/>
      </c>
      <c r="D63" s="2" t="str">
        <f>IF(A63="","",COUNTIFS('03_LUA_CHON'!$A$5:$A$404,A63,'03_LUA_CHON'!$D$5:$D$404,"Có"))</f>
        <v/>
      </c>
      <c r="E63" s="2" t="str">
        <f t="shared" si="2"/>
        <v/>
      </c>
      <c r="F63" s="2" t="str">
        <f t="shared" si="3"/>
        <v/>
      </c>
    </row>
    <row r="64" spans="1:6">
      <c r="A64" s="2" t="str">
        <f>IF('02_KICH_BAN_NODES'!D50="choice",'02_KICH_BAN_NODES'!B50,"")</f>
        <v/>
      </c>
      <c r="B64" s="2" t="str">
        <f>IF(A64="","",'02_KICH_BAN_NODES'!E50)</f>
        <v/>
      </c>
      <c r="C64" s="2" t="str">
        <f>IF(A64="","",COUNTIF('03_LUA_CHON'!$A$5:$A$404,A64))</f>
        <v/>
      </c>
      <c r="D64" s="2" t="str">
        <f>IF(A64="","",COUNTIFS('03_LUA_CHON'!$A$5:$A$404,A64,'03_LUA_CHON'!$D$5:$D$404,"Có"))</f>
        <v/>
      </c>
      <c r="E64" s="2" t="str">
        <f t="shared" si="2"/>
        <v/>
      </c>
      <c r="F64" s="2" t="str">
        <f t="shared" si="3"/>
        <v/>
      </c>
    </row>
    <row r="65" spans="1:6">
      <c r="A65" s="2" t="str">
        <f>IF('02_KICH_BAN_NODES'!D51="choice",'02_KICH_BAN_NODES'!B51,"")</f>
        <v/>
      </c>
      <c r="B65" s="2" t="str">
        <f>IF(A65="","",'02_KICH_BAN_NODES'!E51)</f>
        <v/>
      </c>
      <c r="C65" s="2" t="str">
        <f>IF(A65="","",COUNTIF('03_LUA_CHON'!$A$5:$A$404,A65))</f>
        <v/>
      </c>
      <c r="D65" s="2" t="str">
        <f>IF(A65="","",COUNTIFS('03_LUA_CHON'!$A$5:$A$404,A65,'03_LUA_CHON'!$D$5:$D$404,"Có"))</f>
        <v/>
      </c>
      <c r="E65" s="2" t="str">
        <f t="shared" si="2"/>
        <v/>
      </c>
      <c r="F65" s="2" t="str">
        <f t="shared" si="3"/>
        <v/>
      </c>
    </row>
    <row r="66" spans="1:6">
      <c r="A66" s="2" t="str">
        <f>IF('02_KICH_BAN_NODES'!D52="choice",'02_KICH_BAN_NODES'!B52,"")</f>
        <v/>
      </c>
      <c r="B66" s="2" t="str">
        <f>IF(A66="","",'02_KICH_BAN_NODES'!E52)</f>
        <v/>
      </c>
      <c r="C66" s="2" t="str">
        <f>IF(A66="","",COUNTIF('03_LUA_CHON'!$A$5:$A$404,A66))</f>
        <v/>
      </c>
      <c r="D66" s="2" t="str">
        <f>IF(A66="","",COUNTIFS('03_LUA_CHON'!$A$5:$A$404,A66,'03_LUA_CHON'!$D$5:$D$404,"Có"))</f>
        <v/>
      </c>
      <c r="E66" s="2" t="str">
        <f t="shared" si="2"/>
        <v/>
      </c>
      <c r="F66" s="2" t="str">
        <f t="shared" si="3"/>
        <v/>
      </c>
    </row>
    <row r="67" spans="1:6">
      <c r="A67" s="2" t="str">
        <f>IF('02_KICH_BAN_NODES'!D53="choice",'02_KICH_BAN_NODES'!B53,"")</f>
        <v/>
      </c>
      <c r="B67" s="2" t="str">
        <f>IF(A67="","",'02_KICH_BAN_NODES'!E53)</f>
        <v/>
      </c>
      <c r="C67" s="2" t="str">
        <f>IF(A67="","",COUNTIF('03_LUA_CHON'!$A$5:$A$404,A67))</f>
        <v/>
      </c>
      <c r="D67" s="2" t="str">
        <f>IF(A67="","",COUNTIFS('03_LUA_CHON'!$A$5:$A$404,A67,'03_LUA_CHON'!$D$5:$D$404,"Có"))</f>
        <v/>
      </c>
      <c r="E67" s="2" t="str">
        <f t="shared" si="2"/>
        <v/>
      </c>
      <c r="F67" s="2" t="str">
        <f t="shared" si="3"/>
        <v/>
      </c>
    </row>
    <row r="68" spans="1:6">
      <c r="A68" s="2" t="str">
        <f>IF('02_KICH_BAN_NODES'!D54="choice",'02_KICH_BAN_NODES'!B54,"")</f>
        <v/>
      </c>
      <c r="B68" s="2" t="str">
        <f>IF(A68="","",'02_KICH_BAN_NODES'!E54)</f>
        <v/>
      </c>
      <c r="C68" s="2" t="str">
        <f>IF(A68="","",COUNTIF('03_LUA_CHON'!$A$5:$A$404,A68))</f>
        <v/>
      </c>
      <c r="D68" s="2" t="str">
        <f>IF(A68="","",COUNTIFS('03_LUA_CHON'!$A$5:$A$404,A68,'03_LUA_CHON'!$D$5:$D$404,"Có"))</f>
        <v/>
      </c>
      <c r="E68" s="2" t="str">
        <f t="shared" si="2"/>
        <v/>
      </c>
      <c r="F68" s="2" t="str">
        <f t="shared" si="3"/>
        <v/>
      </c>
    </row>
    <row r="69" spans="1:6">
      <c r="A69" s="2" t="str">
        <f>IF('02_KICH_BAN_NODES'!D55="choice",'02_KICH_BAN_NODES'!B55,"")</f>
        <v/>
      </c>
      <c r="B69" s="2" t="str">
        <f>IF(A69="","",'02_KICH_BAN_NODES'!E55)</f>
        <v/>
      </c>
      <c r="C69" s="2" t="str">
        <f>IF(A69="","",COUNTIF('03_LUA_CHON'!$A$5:$A$404,A69))</f>
        <v/>
      </c>
      <c r="D69" s="2" t="str">
        <f>IF(A69="","",COUNTIFS('03_LUA_CHON'!$A$5:$A$404,A69,'03_LUA_CHON'!$D$5:$D$404,"Có"))</f>
        <v/>
      </c>
      <c r="E69" s="2" t="str">
        <f t="shared" si="2"/>
        <v/>
      </c>
      <c r="F69" s="2" t="str">
        <f t="shared" si="3"/>
        <v/>
      </c>
    </row>
    <row r="70" spans="1:6">
      <c r="A70" s="2" t="str">
        <f>IF('02_KICH_BAN_NODES'!D56="choice",'02_KICH_BAN_NODES'!B56,"")</f>
        <v/>
      </c>
      <c r="B70" s="2" t="str">
        <f>IF(A70="","",'02_KICH_BAN_NODES'!E56)</f>
        <v/>
      </c>
      <c r="C70" s="2" t="str">
        <f>IF(A70="","",COUNTIF('03_LUA_CHON'!$A$5:$A$404,A70))</f>
        <v/>
      </c>
      <c r="D70" s="2" t="str">
        <f>IF(A70="","",COUNTIFS('03_LUA_CHON'!$A$5:$A$404,A70,'03_LUA_CHON'!$D$5:$D$404,"Có"))</f>
        <v/>
      </c>
      <c r="E70" s="2" t="str">
        <f t="shared" si="2"/>
        <v/>
      </c>
      <c r="F70" s="2" t="str">
        <f t="shared" si="3"/>
        <v/>
      </c>
    </row>
    <row r="71" spans="1:6">
      <c r="A71" s="2" t="str">
        <f>IF('02_KICH_BAN_NODES'!D57="choice",'02_KICH_BAN_NODES'!B57,"")</f>
        <v/>
      </c>
      <c r="B71" s="2" t="str">
        <f>IF(A71="","",'02_KICH_BAN_NODES'!E57)</f>
        <v/>
      </c>
      <c r="C71" s="2" t="str">
        <f>IF(A71="","",COUNTIF('03_LUA_CHON'!$A$5:$A$404,A71))</f>
        <v/>
      </c>
      <c r="D71" s="2" t="str">
        <f>IF(A71="","",COUNTIFS('03_LUA_CHON'!$A$5:$A$404,A71,'03_LUA_CHON'!$D$5:$D$404,"Có"))</f>
        <v/>
      </c>
      <c r="E71" s="2" t="str">
        <f t="shared" si="2"/>
        <v/>
      </c>
      <c r="F71" s="2" t="str">
        <f t="shared" si="3"/>
        <v/>
      </c>
    </row>
    <row r="72" spans="1:6">
      <c r="A72" s="2" t="str">
        <f>IF('02_KICH_BAN_NODES'!D58="choice",'02_KICH_BAN_NODES'!B58,"")</f>
        <v/>
      </c>
      <c r="B72" s="2" t="str">
        <f>IF(A72="","",'02_KICH_BAN_NODES'!E58)</f>
        <v/>
      </c>
      <c r="C72" s="2" t="str">
        <f>IF(A72="","",COUNTIF('03_LUA_CHON'!$A$5:$A$404,A72))</f>
        <v/>
      </c>
      <c r="D72" s="2" t="str">
        <f>IF(A72="","",COUNTIFS('03_LUA_CHON'!$A$5:$A$404,A72,'03_LUA_CHON'!$D$5:$D$404,"Có"))</f>
        <v/>
      </c>
      <c r="E72" s="2" t="str">
        <f t="shared" si="2"/>
        <v/>
      </c>
      <c r="F72" s="2" t="str">
        <f t="shared" si="3"/>
        <v/>
      </c>
    </row>
    <row r="73" spans="1:6">
      <c r="A73" s="2" t="str">
        <f>IF('02_KICH_BAN_NODES'!D59="choice",'02_KICH_BAN_NODES'!B59,"")</f>
        <v/>
      </c>
      <c r="B73" s="2" t="str">
        <f>IF(A73="","",'02_KICH_BAN_NODES'!E59)</f>
        <v/>
      </c>
      <c r="C73" s="2" t="str">
        <f>IF(A73="","",COUNTIF('03_LUA_CHON'!$A$5:$A$404,A73))</f>
        <v/>
      </c>
      <c r="D73" s="2" t="str">
        <f>IF(A73="","",COUNTIFS('03_LUA_CHON'!$A$5:$A$404,A73,'03_LUA_CHON'!$D$5:$D$404,"Có"))</f>
        <v/>
      </c>
      <c r="E73" s="2" t="str">
        <f t="shared" si="2"/>
        <v/>
      </c>
      <c r="F73" s="2" t="str">
        <f t="shared" si="3"/>
        <v/>
      </c>
    </row>
    <row r="74" spans="1:6">
      <c r="A74" s="2" t="str">
        <f>IF('02_KICH_BAN_NODES'!D60="choice",'02_KICH_BAN_NODES'!B60,"")</f>
        <v/>
      </c>
      <c r="B74" s="2" t="str">
        <f>IF(A74="","",'02_KICH_BAN_NODES'!E60)</f>
        <v/>
      </c>
      <c r="C74" s="2" t="str">
        <f>IF(A74="","",COUNTIF('03_LUA_CHON'!$A$5:$A$404,A74))</f>
        <v/>
      </c>
      <c r="D74" s="2" t="str">
        <f>IF(A74="","",COUNTIFS('03_LUA_CHON'!$A$5:$A$404,A74,'03_LUA_CHON'!$D$5:$D$404,"Có"))</f>
        <v/>
      </c>
      <c r="E74" s="2" t="str">
        <f t="shared" si="2"/>
        <v/>
      </c>
      <c r="F74" s="2" t="str">
        <f t="shared" si="3"/>
        <v/>
      </c>
    </row>
    <row r="75" spans="1:6">
      <c r="A75" s="2" t="str">
        <f>IF('02_KICH_BAN_NODES'!D61="choice",'02_KICH_BAN_NODES'!B61,"")</f>
        <v/>
      </c>
      <c r="B75" s="2" t="str">
        <f>IF(A75="","",'02_KICH_BAN_NODES'!E61)</f>
        <v/>
      </c>
      <c r="C75" s="2" t="str">
        <f>IF(A75="","",COUNTIF('03_LUA_CHON'!$A$5:$A$404,A75))</f>
        <v/>
      </c>
      <c r="D75" s="2" t="str">
        <f>IF(A75="","",COUNTIFS('03_LUA_CHON'!$A$5:$A$404,A75,'03_LUA_CHON'!$D$5:$D$404,"Có"))</f>
        <v/>
      </c>
      <c r="E75" s="2" t="str">
        <f t="shared" si="2"/>
        <v/>
      </c>
      <c r="F75" s="2" t="str">
        <f t="shared" si="3"/>
        <v/>
      </c>
    </row>
    <row r="76" spans="1:6">
      <c r="A76" s="2" t="str">
        <f>IF('02_KICH_BAN_NODES'!D62="choice",'02_KICH_BAN_NODES'!B62,"")</f>
        <v/>
      </c>
      <c r="B76" s="2" t="str">
        <f>IF(A76="","",'02_KICH_BAN_NODES'!E62)</f>
        <v/>
      </c>
      <c r="C76" s="2" t="str">
        <f>IF(A76="","",COUNTIF('03_LUA_CHON'!$A$5:$A$404,A76))</f>
        <v/>
      </c>
      <c r="D76" s="2" t="str">
        <f>IF(A76="","",COUNTIFS('03_LUA_CHON'!$A$5:$A$404,A76,'03_LUA_CHON'!$D$5:$D$404,"Có"))</f>
        <v/>
      </c>
      <c r="E76" s="2" t="str">
        <f t="shared" si="2"/>
        <v/>
      </c>
      <c r="F76" s="2" t="str">
        <f t="shared" si="3"/>
        <v/>
      </c>
    </row>
    <row r="77" spans="1:6">
      <c r="A77" s="2" t="str">
        <f>IF('02_KICH_BAN_NODES'!D63="choice",'02_KICH_BAN_NODES'!B63,"")</f>
        <v/>
      </c>
      <c r="B77" s="2" t="str">
        <f>IF(A77="","",'02_KICH_BAN_NODES'!E63)</f>
        <v/>
      </c>
      <c r="C77" s="2" t="str">
        <f>IF(A77="","",COUNTIF('03_LUA_CHON'!$A$5:$A$404,A77))</f>
        <v/>
      </c>
      <c r="D77" s="2" t="str">
        <f>IF(A77="","",COUNTIFS('03_LUA_CHON'!$A$5:$A$404,A77,'03_LUA_CHON'!$D$5:$D$404,"Có"))</f>
        <v/>
      </c>
      <c r="E77" s="2" t="str">
        <f t="shared" si="2"/>
        <v/>
      </c>
      <c r="F77" s="2" t="str">
        <f t="shared" si="3"/>
        <v/>
      </c>
    </row>
    <row r="78" spans="1:6">
      <c r="A78" s="2" t="str">
        <f>IF('02_KICH_BAN_NODES'!D64="choice",'02_KICH_BAN_NODES'!B64,"")</f>
        <v/>
      </c>
      <c r="B78" s="2" t="str">
        <f>IF(A78="","",'02_KICH_BAN_NODES'!E64)</f>
        <v/>
      </c>
      <c r="C78" s="2" t="str">
        <f>IF(A78="","",COUNTIF('03_LUA_CHON'!$A$5:$A$404,A78))</f>
        <v/>
      </c>
      <c r="D78" s="2" t="str">
        <f>IF(A78="","",COUNTIFS('03_LUA_CHON'!$A$5:$A$404,A78,'03_LUA_CHON'!$D$5:$D$404,"Có"))</f>
        <v/>
      </c>
      <c r="E78" s="2" t="str">
        <f t="shared" si="2"/>
        <v/>
      </c>
      <c r="F78" s="2" t="str">
        <f t="shared" si="3"/>
        <v/>
      </c>
    </row>
    <row r="79" spans="1:6">
      <c r="A79" s="2" t="str">
        <f>IF('02_KICH_BAN_NODES'!D65="choice",'02_KICH_BAN_NODES'!B65,"")</f>
        <v/>
      </c>
      <c r="B79" s="2" t="str">
        <f>IF(A79="","",'02_KICH_BAN_NODES'!E65)</f>
        <v/>
      </c>
      <c r="C79" s="2" t="str">
        <f>IF(A79="","",COUNTIF('03_LUA_CHON'!$A$5:$A$404,A79))</f>
        <v/>
      </c>
      <c r="D79" s="2" t="str">
        <f>IF(A79="","",COUNTIFS('03_LUA_CHON'!$A$5:$A$404,A79,'03_LUA_CHON'!$D$5:$D$404,"Có"))</f>
        <v/>
      </c>
      <c r="E79" s="2" t="str">
        <f t="shared" si="2"/>
        <v/>
      </c>
      <c r="F79" s="2" t="str">
        <f t="shared" si="3"/>
        <v/>
      </c>
    </row>
    <row r="80" spans="1:6">
      <c r="A80" s="2" t="str">
        <f>IF('02_KICH_BAN_NODES'!D66="choice",'02_KICH_BAN_NODES'!B66,"")</f>
        <v/>
      </c>
      <c r="B80" s="2" t="str">
        <f>IF(A80="","",'02_KICH_BAN_NODES'!E66)</f>
        <v/>
      </c>
      <c r="C80" s="2" t="str">
        <f>IF(A80="","",COUNTIF('03_LUA_CHON'!$A$5:$A$404,A80))</f>
        <v/>
      </c>
      <c r="D80" s="2" t="str">
        <f>IF(A80="","",COUNTIFS('03_LUA_CHON'!$A$5:$A$404,A80,'03_LUA_CHON'!$D$5:$D$404,"Có"))</f>
        <v/>
      </c>
      <c r="E80" s="2" t="str">
        <f t="shared" si="2"/>
        <v/>
      </c>
      <c r="F80" s="2" t="str">
        <f t="shared" si="3"/>
        <v/>
      </c>
    </row>
    <row r="81" spans="1:6">
      <c r="A81" s="2" t="str">
        <f>IF('02_KICH_BAN_NODES'!D67="choice",'02_KICH_BAN_NODES'!B67,"")</f>
        <v/>
      </c>
      <c r="B81" s="2" t="str">
        <f>IF(A81="","",'02_KICH_BAN_NODES'!E67)</f>
        <v/>
      </c>
      <c r="C81" s="2" t="str">
        <f>IF(A81="","",COUNTIF('03_LUA_CHON'!$A$5:$A$404,A81))</f>
        <v/>
      </c>
      <c r="D81" s="2" t="str">
        <f>IF(A81="","",COUNTIFS('03_LUA_CHON'!$A$5:$A$404,A81,'03_LUA_CHON'!$D$5:$D$404,"Có"))</f>
        <v/>
      </c>
      <c r="E81" s="2" t="str">
        <f t="shared" si="2"/>
        <v/>
      </c>
      <c r="F81" s="2" t="str">
        <f t="shared" si="3"/>
        <v/>
      </c>
    </row>
    <row r="82" spans="1:6">
      <c r="A82" s="2" t="str">
        <f>IF('02_KICH_BAN_NODES'!D68="choice",'02_KICH_BAN_NODES'!B68,"")</f>
        <v/>
      </c>
      <c r="B82" s="2" t="str">
        <f>IF(A82="","",'02_KICH_BAN_NODES'!E68)</f>
        <v/>
      </c>
      <c r="C82" s="2" t="str">
        <f>IF(A82="","",COUNTIF('03_LUA_CHON'!$A$5:$A$404,A82))</f>
        <v/>
      </c>
      <c r="D82" s="2" t="str">
        <f>IF(A82="","",COUNTIFS('03_LUA_CHON'!$A$5:$A$404,A82,'03_LUA_CHON'!$D$5:$D$404,"Có"))</f>
        <v/>
      </c>
      <c r="E82" s="2" t="str">
        <f t="shared" si="2"/>
        <v/>
      </c>
      <c r="F82" s="2" t="str">
        <f t="shared" si="3"/>
        <v/>
      </c>
    </row>
    <row r="83" spans="1:6">
      <c r="A83" s="2" t="str">
        <f>IF('02_KICH_BAN_NODES'!D69="choice",'02_KICH_BAN_NODES'!B69,"")</f>
        <v/>
      </c>
      <c r="B83" s="2" t="str">
        <f>IF(A83="","",'02_KICH_BAN_NODES'!E69)</f>
        <v/>
      </c>
      <c r="C83" s="2" t="str">
        <f>IF(A83="","",COUNTIF('03_LUA_CHON'!$A$5:$A$404,A83))</f>
        <v/>
      </c>
      <c r="D83" s="2" t="str">
        <f>IF(A83="","",COUNTIFS('03_LUA_CHON'!$A$5:$A$404,A83,'03_LUA_CHON'!$D$5:$D$404,"Có"))</f>
        <v/>
      </c>
      <c r="E83" s="2" t="str">
        <f t="shared" ref="E83:E114" si="4">IF(A83="","",IF(OR(C83&lt;2,C83&gt;4),"CẦN SỬA",IF(AND(B83="Kiến thức",D83=1),"HỢP LỆ",IF(AND(B83="Tương tác",D83=0),"HỢP LỆ","CẦN SỬA"))))</f>
        <v/>
      </c>
      <c r="F83" s="2" t="str">
        <f t="shared" ref="F83:F114" si="5">IF(A83="","",IF(OR(C83&lt;2,C83&gt;4),"Cần 2–4 option",IF(AND(B83="Kiến thức",D83&lt;&gt;1),"Câu kiến thức cần đúng 1 đáp án đúng",IF(AND(B83="Tương tác",D83&lt;&gt;0),"Câu tương tác không có đáp án đúng",IF(B83="","Thiếu ChoiceMode","")))))</f>
        <v/>
      </c>
    </row>
    <row r="84" spans="1:6">
      <c r="A84" s="2" t="str">
        <f>IF('02_KICH_BAN_NODES'!D70="choice",'02_KICH_BAN_NODES'!B70,"")</f>
        <v/>
      </c>
      <c r="B84" s="2" t="str">
        <f>IF(A84="","",'02_KICH_BAN_NODES'!E70)</f>
        <v/>
      </c>
      <c r="C84" s="2" t="str">
        <f>IF(A84="","",COUNTIF('03_LUA_CHON'!$A$5:$A$404,A84))</f>
        <v/>
      </c>
      <c r="D84" s="2" t="str">
        <f>IF(A84="","",COUNTIFS('03_LUA_CHON'!$A$5:$A$404,A84,'03_LUA_CHON'!$D$5:$D$404,"Có"))</f>
        <v/>
      </c>
      <c r="E84" s="2" t="str">
        <f t="shared" si="4"/>
        <v/>
      </c>
      <c r="F84" s="2" t="str">
        <f t="shared" si="5"/>
        <v/>
      </c>
    </row>
    <row r="85" spans="1:6">
      <c r="A85" s="2" t="str">
        <f>IF('02_KICH_BAN_NODES'!D71="choice",'02_KICH_BAN_NODES'!B71,"")</f>
        <v/>
      </c>
      <c r="B85" s="2" t="str">
        <f>IF(A85="","",'02_KICH_BAN_NODES'!E71)</f>
        <v/>
      </c>
      <c r="C85" s="2" t="str">
        <f>IF(A85="","",COUNTIF('03_LUA_CHON'!$A$5:$A$404,A85))</f>
        <v/>
      </c>
      <c r="D85" s="2" t="str">
        <f>IF(A85="","",COUNTIFS('03_LUA_CHON'!$A$5:$A$404,A85,'03_LUA_CHON'!$D$5:$D$404,"Có"))</f>
        <v/>
      </c>
      <c r="E85" s="2" t="str">
        <f t="shared" si="4"/>
        <v/>
      </c>
      <c r="F85" s="2" t="str">
        <f t="shared" si="5"/>
        <v/>
      </c>
    </row>
    <row r="86" spans="1:6">
      <c r="A86" s="2" t="str">
        <f>IF('02_KICH_BAN_NODES'!D72="choice",'02_KICH_BAN_NODES'!B72,"")</f>
        <v/>
      </c>
      <c r="B86" s="2" t="str">
        <f>IF(A86="","",'02_KICH_BAN_NODES'!E72)</f>
        <v/>
      </c>
      <c r="C86" s="2" t="str">
        <f>IF(A86="","",COUNTIF('03_LUA_CHON'!$A$5:$A$404,A86))</f>
        <v/>
      </c>
      <c r="D86" s="2" t="str">
        <f>IF(A86="","",COUNTIFS('03_LUA_CHON'!$A$5:$A$404,A86,'03_LUA_CHON'!$D$5:$D$404,"Có"))</f>
        <v/>
      </c>
      <c r="E86" s="2" t="str">
        <f t="shared" si="4"/>
        <v/>
      </c>
      <c r="F86" s="2" t="str">
        <f t="shared" si="5"/>
        <v/>
      </c>
    </row>
    <row r="87" spans="1:6">
      <c r="A87" s="2" t="str">
        <f>IF('02_KICH_BAN_NODES'!D73="choice",'02_KICH_BAN_NODES'!B73,"")</f>
        <v/>
      </c>
      <c r="B87" s="2" t="str">
        <f>IF(A87="","",'02_KICH_BAN_NODES'!E73)</f>
        <v/>
      </c>
      <c r="C87" s="2" t="str">
        <f>IF(A87="","",COUNTIF('03_LUA_CHON'!$A$5:$A$404,A87))</f>
        <v/>
      </c>
      <c r="D87" s="2" t="str">
        <f>IF(A87="","",COUNTIFS('03_LUA_CHON'!$A$5:$A$404,A87,'03_LUA_CHON'!$D$5:$D$404,"Có"))</f>
        <v/>
      </c>
      <c r="E87" s="2" t="str">
        <f t="shared" si="4"/>
        <v/>
      </c>
      <c r="F87" s="2" t="str">
        <f t="shared" si="5"/>
        <v/>
      </c>
    </row>
    <row r="88" spans="1:6">
      <c r="A88" s="2" t="str">
        <f>IF('02_KICH_BAN_NODES'!D74="choice",'02_KICH_BAN_NODES'!B74,"")</f>
        <v/>
      </c>
      <c r="B88" s="2" t="str">
        <f>IF(A88="","",'02_KICH_BAN_NODES'!E74)</f>
        <v/>
      </c>
      <c r="C88" s="2" t="str">
        <f>IF(A88="","",COUNTIF('03_LUA_CHON'!$A$5:$A$404,A88))</f>
        <v/>
      </c>
      <c r="D88" s="2" t="str">
        <f>IF(A88="","",COUNTIFS('03_LUA_CHON'!$A$5:$A$404,A88,'03_LUA_CHON'!$D$5:$D$404,"Có"))</f>
        <v/>
      </c>
      <c r="E88" s="2" t="str">
        <f t="shared" si="4"/>
        <v/>
      </c>
      <c r="F88" s="2" t="str">
        <f t="shared" si="5"/>
        <v/>
      </c>
    </row>
    <row r="89" spans="1:6">
      <c r="A89" s="2" t="str">
        <f>IF('02_KICH_BAN_NODES'!D75="choice",'02_KICH_BAN_NODES'!B75,"")</f>
        <v/>
      </c>
      <c r="B89" s="2" t="str">
        <f>IF(A89="","",'02_KICH_BAN_NODES'!E75)</f>
        <v/>
      </c>
      <c r="C89" s="2" t="str">
        <f>IF(A89="","",COUNTIF('03_LUA_CHON'!$A$5:$A$404,A89))</f>
        <v/>
      </c>
      <c r="D89" s="2" t="str">
        <f>IF(A89="","",COUNTIFS('03_LUA_CHON'!$A$5:$A$404,A89,'03_LUA_CHON'!$D$5:$D$404,"Có"))</f>
        <v/>
      </c>
      <c r="E89" s="2" t="str">
        <f t="shared" si="4"/>
        <v/>
      </c>
      <c r="F89" s="2" t="str">
        <f t="shared" si="5"/>
        <v/>
      </c>
    </row>
    <row r="90" spans="1:6">
      <c r="A90" s="2" t="str">
        <f>IF('02_KICH_BAN_NODES'!D76="choice",'02_KICH_BAN_NODES'!B76,"")</f>
        <v/>
      </c>
      <c r="B90" s="2" t="str">
        <f>IF(A90="","",'02_KICH_BAN_NODES'!E76)</f>
        <v/>
      </c>
      <c r="C90" s="2" t="str">
        <f>IF(A90="","",COUNTIF('03_LUA_CHON'!$A$5:$A$404,A90))</f>
        <v/>
      </c>
      <c r="D90" s="2" t="str">
        <f>IF(A90="","",COUNTIFS('03_LUA_CHON'!$A$5:$A$404,A90,'03_LUA_CHON'!$D$5:$D$404,"Có"))</f>
        <v/>
      </c>
      <c r="E90" s="2" t="str">
        <f t="shared" si="4"/>
        <v/>
      </c>
      <c r="F90" s="2" t="str">
        <f t="shared" si="5"/>
        <v/>
      </c>
    </row>
    <row r="91" spans="1:6">
      <c r="A91" s="2" t="str">
        <f>IF('02_KICH_BAN_NODES'!D77="choice",'02_KICH_BAN_NODES'!B77,"")</f>
        <v/>
      </c>
      <c r="B91" s="2" t="str">
        <f>IF(A91="","",'02_KICH_BAN_NODES'!E77)</f>
        <v/>
      </c>
      <c r="C91" s="2" t="str">
        <f>IF(A91="","",COUNTIF('03_LUA_CHON'!$A$5:$A$404,A91))</f>
        <v/>
      </c>
      <c r="D91" s="2" t="str">
        <f>IF(A91="","",COUNTIFS('03_LUA_CHON'!$A$5:$A$404,A91,'03_LUA_CHON'!$D$5:$D$404,"Có"))</f>
        <v/>
      </c>
      <c r="E91" s="2" t="str">
        <f t="shared" si="4"/>
        <v/>
      </c>
      <c r="F91" s="2" t="str">
        <f t="shared" si="5"/>
        <v/>
      </c>
    </row>
    <row r="92" spans="1:6">
      <c r="A92" s="2" t="str">
        <f>IF('02_KICH_BAN_NODES'!D78="choice",'02_KICH_BAN_NODES'!B78,"")</f>
        <v/>
      </c>
      <c r="B92" s="2" t="str">
        <f>IF(A92="","",'02_KICH_BAN_NODES'!E78)</f>
        <v/>
      </c>
      <c r="C92" s="2" t="str">
        <f>IF(A92="","",COUNTIF('03_LUA_CHON'!$A$5:$A$404,A92))</f>
        <v/>
      </c>
      <c r="D92" s="2" t="str">
        <f>IF(A92="","",COUNTIFS('03_LUA_CHON'!$A$5:$A$404,A92,'03_LUA_CHON'!$D$5:$D$404,"Có"))</f>
        <v/>
      </c>
      <c r="E92" s="2" t="str">
        <f t="shared" si="4"/>
        <v/>
      </c>
      <c r="F92" s="2" t="str">
        <f t="shared" si="5"/>
        <v/>
      </c>
    </row>
    <row r="93" spans="1:6">
      <c r="A93" s="2" t="str">
        <f>IF('02_KICH_BAN_NODES'!D79="choice",'02_KICH_BAN_NODES'!B79,"")</f>
        <v/>
      </c>
      <c r="B93" s="2" t="str">
        <f>IF(A93="","",'02_KICH_BAN_NODES'!E79)</f>
        <v/>
      </c>
      <c r="C93" s="2" t="str">
        <f>IF(A93="","",COUNTIF('03_LUA_CHON'!$A$5:$A$404,A93))</f>
        <v/>
      </c>
      <c r="D93" s="2" t="str">
        <f>IF(A93="","",COUNTIFS('03_LUA_CHON'!$A$5:$A$404,A93,'03_LUA_CHON'!$D$5:$D$404,"Có"))</f>
        <v/>
      </c>
      <c r="E93" s="2" t="str">
        <f t="shared" si="4"/>
        <v/>
      </c>
      <c r="F93" s="2" t="str">
        <f t="shared" si="5"/>
        <v/>
      </c>
    </row>
    <row r="94" spans="1:6">
      <c r="A94" s="2" t="str">
        <f>IF('02_KICH_BAN_NODES'!D80="choice",'02_KICH_BAN_NODES'!B80,"")</f>
        <v/>
      </c>
      <c r="B94" s="2" t="str">
        <f>IF(A94="","",'02_KICH_BAN_NODES'!E80)</f>
        <v/>
      </c>
      <c r="C94" s="2" t="str">
        <f>IF(A94="","",COUNTIF('03_LUA_CHON'!$A$5:$A$404,A94))</f>
        <v/>
      </c>
      <c r="D94" s="2" t="str">
        <f>IF(A94="","",COUNTIFS('03_LUA_CHON'!$A$5:$A$404,A94,'03_LUA_CHON'!$D$5:$D$404,"Có"))</f>
        <v/>
      </c>
      <c r="E94" s="2" t="str">
        <f t="shared" si="4"/>
        <v/>
      </c>
      <c r="F94" s="2" t="str">
        <f t="shared" si="5"/>
        <v/>
      </c>
    </row>
    <row r="95" spans="1:6">
      <c r="A95" s="2" t="str">
        <f>IF('02_KICH_BAN_NODES'!D81="choice",'02_KICH_BAN_NODES'!B81,"")</f>
        <v/>
      </c>
      <c r="B95" s="2" t="str">
        <f>IF(A95="","",'02_KICH_BAN_NODES'!E81)</f>
        <v/>
      </c>
      <c r="C95" s="2" t="str">
        <f>IF(A95="","",COUNTIF('03_LUA_CHON'!$A$5:$A$404,A95))</f>
        <v/>
      </c>
      <c r="D95" s="2" t="str">
        <f>IF(A95="","",COUNTIFS('03_LUA_CHON'!$A$5:$A$404,A95,'03_LUA_CHON'!$D$5:$D$404,"Có"))</f>
        <v/>
      </c>
      <c r="E95" s="2" t="str">
        <f t="shared" si="4"/>
        <v/>
      </c>
      <c r="F95" s="2" t="str">
        <f t="shared" si="5"/>
        <v/>
      </c>
    </row>
    <row r="96" spans="1:6">
      <c r="A96" s="2" t="str">
        <f>IF('02_KICH_BAN_NODES'!D82="choice",'02_KICH_BAN_NODES'!B82,"")</f>
        <v/>
      </c>
      <c r="B96" s="2" t="str">
        <f>IF(A96="","",'02_KICH_BAN_NODES'!E82)</f>
        <v/>
      </c>
      <c r="C96" s="2" t="str">
        <f>IF(A96="","",COUNTIF('03_LUA_CHON'!$A$5:$A$404,A96))</f>
        <v/>
      </c>
      <c r="D96" s="2" t="str">
        <f>IF(A96="","",COUNTIFS('03_LUA_CHON'!$A$5:$A$404,A96,'03_LUA_CHON'!$D$5:$D$404,"Có"))</f>
        <v/>
      </c>
      <c r="E96" s="2" t="str">
        <f t="shared" si="4"/>
        <v/>
      </c>
      <c r="F96" s="2" t="str">
        <f t="shared" si="5"/>
        <v/>
      </c>
    </row>
    <row r="97" spans="1:6">
      <c r="A97" s="2" t="str">
        <f>IF('02_KICH_BAN_NODES'!D83="choice",'02_KICH_BAN_NODES'!B83,"")</f>
        <v/>
      </c>
      <c r="B97" s="2" t="str">
        <f>IF(A97="","",'02_KICH_BAN_NODES'!E83)</f>
        <v/>
      </c>
      <c r="C97" s="2" t="str">
        <f>IF(A97="","",COUNTIF('03_LUA_CHON'!$A$5:$A$404,A97))</f>
        <v/>
      </c>
      <c r="D97" s="2" t="str">
        <f>IF(A97="","",COUNTIFS('03_LUA_CHON'!$A$5:$A$404,A97,'03_LUA_CHON'!$D$5:$D$404,"Có"))</f>
        <v/>
      </c>
      <c r="E97" s="2" t="str">
        <f t="shared" si="4"/>
        <v/>
      </c>
      <c r="F97" s="2" t="str">
        <f t="shared" si="5"/>
        <v/>
      </c>
    </row>
    <row r="98" spans="1:6">
      <c r="A98" s="2" t="str">
        <f>IF('02_KICH_BAN_NODES'!D84="choice",'02_KICH_BAN_NODES'!B84,"")</f>
        <v/>
      </c>
      <c r="B98" s="2" t="str">
        <f>IF(A98="","",'02_KICH_BAN_NODES'!E84)</f>
        <v/>
      </c>
      <c r="C98" s="2" t="str">
        <f>IF(A98="","",COUNTIF('03_LUA_CHON'!$A$5:$A$404,A98))</f>
        <v/>
      </c>
      <c r="D98" s="2" t="str">
        <f>IF(A98="","",COUNTIFS('03_LUA_CHON'!$A$5:$A$404,A98,'03_LUA_CHON'!$D$5:$D$404,"Có"))</f>
        <v/>
      </c>
      <c r="E98" s="2" t="str">
        <f t="shared" si="4"/>
        <v/>
      </c>
      <c r="F98" s="2" t="str">
        <f t="shared" si="5"/>
        <v/>
      </c>
    </row>
    <row r="99" spans="1:6">
      <c r="A99" s="2" t="str">
        <f>IF('02_KICH_BAN_NODES'!D85="choice",'02_KICH_BAN_NODES'!B85,"")</f>
        <v/>
      </c>
      <c r="B99" s="2" t="str">
        <f>IF(A99="","",'02_KICH_BAN_NODES'!E85)</f>
        <v/>
      </c>
      <c r="C99" s="2" t="str">
        <f>IF(A99="","",COUNTIF('03_LUA_CHON'!$A$5:$A$404,A99))</f>
        <v/>
      </c>
      <c r="D99" s="2" t="str">
        <f>IF(A99="","",COUNTIFS('03_LUA_CHON'!$A$5:$A$404,A99,'03_LUA_CHON'!$D$5:$D$404,"Có"))</f>
        <v/>
      </c>
      <c r="E99" s="2" t="str">
        <f t="shared" si="4"/>
        <v/>
      </c>
      <c r="F99" s="2" t="str">
        <f t="shared" si="5"/>
        <v/>
      </c>
    </row>
    <row r="100" spans="1:6">
      <c r="A100" s="2" t="str">
        <f>IF('02_KICH_BAN_NODES'!D86="choice",'02_KICH_BAN_NODES'!B86,"")</f>
        <v/>
      </c>
      <c r="B100" s="2" t="str">
        <f>IF(A100="","",'02_KICH_BAN_NODES'!E86)</f>
        <v/>
      </c>
      <c r="C100" s="2" t="str">
        <f>IF(A100="","",COUNTIF('03_LUA_CHON'!$A$5:$A$404,A100))</f>
        <v/>
      </c>
      <c r="D100" s="2" t="str">
        <f>IF(A100="","",COUNTIFS('03_LUA_CHON'!$A$5:$A$404,A100,'03_LUA_CHON'!$D$5:$D$404,"Có"))</f>
        <v/>
      </c>
      <c r="E100" s="2" t="str">
        <f t="shared" si="4"/>
        <v/>
      </c>
      <c r="F100" s="2" t="str">
        <f t="shared" si="5"/>
        <v/>
      </c>
    </row>
    <row r="101" spans="1:6">
      <c r="A101" s="2" t="str">
        <f>IF('02_KICH_BAN_NODES'!D87="choice",'02_KICH_BAN_NODES'!B87,"")</f>
        <v/>
      </c>
      <c r="B101" s="2" t="str">
        <f>IF(A101="","",'02_KICH_BAN_NODES'!E87)</f>
        <v/>
      </c>
      <c r="C101" s="2" t="str">
        <f>IF(A101="","",COUNTIF('03_LUA_CHON'!$A$5:$A$404,A101))</f>
        <v/>
      </c>
      <c r="D101" s="2" t="str">
        <f>IF(A101="","",COUNTIFS('03_LUA_CHON'!$A$5:$A$404,A101,'03_LUA_CHON'!$D$5:$D$404,"Có"))</f>
        <v/>
      </c>
      <c r="E101" s="2" t="str">
        <f t="shared" si="4"/>
        <v/>
      </c>
      <c r="F101" s="2" t="str">
        <f t="shared" si="5"/>
        <v/>
      </c>
    </row>
    <row r="102" spans="1:6">
      <c r="A102" s="2" t="str">
        <f>IF('02_KICH_BAN_NODES'!D88="choice",'02_KICH_BAN_NODES'!B88,"")</f>
        <v/>
      </c>
      <c r="B102" s="2" t="str">
        <f>IF(A102="","",'02_KICH_BAN_NODES'!E88)</f>
        <v/>
      </c>
      <c r="C102" s="2" t="str">
        <f>IF(A102="","",COUNTIF('03_LUA_CHON'!$A$5:$A$404,A102))</f>
        <v/>
      </c>
      <c r="D102" s="2" t="str">
        <f>IF(A102="","",COUNTIFS('03_LUA_CHON'!$A$5:$A$404,A102,'03_LUA_CHON'!$D$5:$D$404,"Có"))</f>
        <v/>
      </c>
      <c r="E102" s="2" t="str">
        <f t="shared" si="4"/>
        <v/>
      </c>
      <c r="F102" s="2" t="str">
        <f t="shared" si="5"/>
        <v/>
      </c>
    </row>
    <row r="103" spans="1:6">
      <c r="A103" s="2" t="str">
        <f>IF('02_KICH_BAN_NODES'!D89="choice",'02_KICH_BAN_NODES'!B89,"")</f>
        <v/>
      </c>
      <c r="B103" s="2" t="str">
        <f>IF(A103="","",'02_KICH_BAN_NODES'!E89)</f>
        <v/>
      </c>
      <c r="C103" s="2" t="str">
        <f>IF(A103="","",COUNTIF('03_LUA_CHON'!$A$5:$A$404,A103))</f>
        <v/>
      </c>
      <c r="D103" s="2" t="str">
        <f>IF(A103="","",COUNTIFS('03_LUA_CHON'!$A$5:$A$404,A103,'03_LUA_CHON'!$D$5:$D$404,"Có"))</f>
        <v/>
      </c>
      <c r="E103" s="2" t="str">
        <f t="shared" si="4"/>
        <v/>
      </c>
      <c r="F103" s="2" t="str">
        <f t="shared" si="5"/>
        <v/>
      </c>
    </row>
    <row r="104" spans="1:6">
      <c r="A104" s="2" t="str">
        <f>IF('02_KICH_BAN_NODES'!D90="choice",'02_KICH_BAN_NODES'!B90,"")</f>
        <v/>
      </c>
      <c r="B104" s="2" t="str">
        <f>IF(A104="","",'02_KICH_BAN_NODES'!E90)</f>
        <v/>
      </c>
      <c r="C104" s="2" t="str">
        <f>IF(A104="","",COUNTIF('03_LUA_CHON'!$A$5:$A$404,A104))</f>
        <v/>
      </c>
      <c r="D104" s="2" t="str">
        <f>IF(A104="","",COUNTIFS('03_LUA_CHON'!$A$5:$A$404,A104,'03_LUA_CHON'!$D$5:$D$404,"Có"))</f>
        <v/>
      </c>
      <c r="E104" s="2" t="str">
        <f t="shared" si="4"/>
        <v/>
      </c>
      <c r="F104" s="2" t="str">
        <f t="shared" si="5"/>
        <v/>
      </c>
    </row>
    <row r="105" spans="1:6">
      <c r="A105" s="2" t="str">
        <f>IF('02_KICH_BAN_NODES'!D91="choice",'02_KICH_BAN_NODES'!B91,"")</f>
        <v/>
      </c>
      <c r="B105" s="2" t="str">
        <f>IF(A105="","",'02_KICH_BAN_NODES'!E91)</f>
        <v/>
      </c>
      <c r="C105" s="2" t="str">
        <f>IF(A105="","",COUNTIF('03_LUA_CHON'!$A$5:$A$404,A105))</f>
        <v/>
      </c>
      <c r="D105" s="2" t="str">
        <f>IF(A105="","",COUNTIFS('03_LUA_CHON'!$A$5:$A$404,A105,'03_LUA_CHON'!$D$5:$D$404,"Có"))</f>
        <v/>
      </c>
      <c r="E105" s="2" t="str">
        <f t="shared" si="4"/>
        <v/>
      </c>
      <c r="F105" s="2" t="str">
        <f t="shared" si="5"/>
        <v/>
      </c>
    </row>
    <row r="106" spans="1:6">
      <c r="A106" s="2" t="str">
        <f>IF('02_KICH_BAN_NODES'!D92="choice",'02_KICH_BAN_NODES'!B92,"")</f>
        <v/>
      </c>
      <c r="B106" s="2" t="str">
        <f>IF(A106="","",'02_KICH_BAN_NODES'!E92)</f>
        <v/>
      </c>
      <c r="C106" s="2" t="str">
        <f>IF(A106="","",COUNTIF('03_LUA_CHON'!$A$5:$A$404,A106))</f>
        <v/>
      </c>
      <c r="D106" s="2" t="str">
        <f>IF(A106="","",COUNTIFS('03_LUA_CHON'!$A$5:$A$404,A106,'03_LUA_CHON'!$D$5:$D$404,"Có"))</f>
        <v/>
      </c>
      <c r="E106" s="2" t="str">
        <f t="shared" si="4"/>
        <v/>
      </c>
      <c r="F106" s="2" t="str">
        <f t="shared" si="5"/>
        <v/>
      </c>
    </row>
    <row r="107" spans="1:6">
      <c r="A107" s="2" t="str">
        <f>IF('02_KICH_BAN_NODES'!D93="choice",'02_KICH_BAN_NODES'!B93,"")</f>
        <v/>
      </c>
      <c r="B107" s="2" t="str">
        <f>IF(A107="","",'02_KICH_BAN_NODES'!E93)</f>
        <v/>
      </c>
      <c r="C107" s="2" t="str">
        <f>IF(A107="","",COUNTIF('03_LUA_CHON'!$A$5:$A$404,A107))</f>
        <v/>
      </c>
      <c r="D107" s="2" t="str">
        <f>IF(A107="","",COUNTIFS('03_LUA_CHON'!$A$5:$A$404,A107,'03_LUA_CHON'!$D$5:$D$404,"Có"))</f>
        <v/>
      </c>
      <c r="E107" s="2" t="str">
        <f t="shared" si="4"/>
        <v/>
      </c>
      <c r="F107" s="2" t="str">
        <f t="shared" si="5"/>
        <v/>
      </c>
    </row>
    <row r="108" spans="1:6">
      <c r="A108" s="2" t="str">
        <f>IF('02_KICH_BAN_NODES'!D94="choice",'02_KICH_BAN_NODES'!B94,"")</f>
        <v/>
      </c>
      <c r="B108" s="2" t="str">
        <f>IF(A108="","",'02_KICH_BAN_NODES'!E94)</f>
        <v/>
      </c>
      <c r="C108" s="2" t="str">
        <f>IF(A108="","",COUNTIF('03_LUA_CHON'!$A$5:$A$404,A108))</f>
        <v/>
      </c>
      <c r="D108" s="2" t="str">
        <f>IF(A108="","",COUNTIFS('03_LUA_CHON'!$A$5:$A$404,A108,'03_LUA_CHON'!$D$5:$D$404,"Có"))</f>
        <v/>
      </c>
      <c r="E108" s="2" t="str">
        <f t="shared" si="4"/>
        <v/>
      </c>
      <c r="F108" s="2" t="str">
        <f t="shared" si="5"/>
        <v/>
      </c>
    </row>
    <row r="109" spans="1:6">
      <c r="A109" s="2" t="str">
        <f>IF('02_KICH_BAN_NODES'!D95="choice",'02_KICH_BAN_NODES'!B95,"")</f>
        <v/>
      </c>
      <c r="B109" s="2" t="str">
        <f>IF(A109="","",'02_KICH_BAN_NODES'!E95)</f>
        <v/>
      </c>
      <c r="C109" s="2" t="str">
        <f>IF(A109="","",COUNTIF('03_LUA_CHON'!$A$5:$A$404,A109))</f>
        <v/>
      </c>
      <c r="D109" s="2" t="str">
        <f>IF(A109="","",COUNTIFS('03_LUA_CHON'!$A$5:$A$404,A109,'03_LUA_CHON'!$D$5:$D$404,"Có"))</f>
        <v/>
      </c>
      <c r="E109" s="2" t="str">
        <f t="shared" si="4"/>
        <v/>
      </c>
      <c r="F109" s="2" t="str">
        <f t="shared" si="5"/>
        <v/>
      </c>
    </row>
    <row r="110" spans="1:6">
      <c r="A110" s="2" t="str">
        <f>IF('02_KICH_BAN_NODES'!D96="choice",'02_KICH_BAN_NODES'!B96,"")</f>
        <v/>
      </c>
      <c r="B110" s="2" t="str">
        <f>IF(A110="","",'02_KICH_BAN_NODES'!E96)</f>
        <v/>
      </c>
      <c r="C110" s="2" t="str">
        <f>IF(A110="","",COUNTIF('03_LUA_CHON'!$A$5:$A$404,A110))</f>
        <v/>
      </c>
      <c r="D110" s="2" t="str">
        <f>IF(A110="","",COUNTIFS('03_LUA_CHON'!$A$5:$A$404,A110,'03_LUA_CHON'!$D$5:$D$404,"Có"))</f>
        <v/>
      </c>
      <c r="E110" s="2" t="str">
        <f t="shared" si="4"/>
        <v/>
      </c>
      <c r="F110" s="2" t="str">
        <f t="shared" si="5"/>
        <v/>
      </c>
    </row>
    <row r="111" spans="1:6">
      <c r="A111" s="2" t="str">
        <f>IF('02_KICH_BAN_NODES'!D97="choice",'02_KICH_BAN_NODES'!B97,"")</f>
        <v/>
      </c>
      <c r="B111" s="2" t="str">
        <f>IF(A111="","",'02_KICH_BAN_NODES'!E97)</f>
        <v/>
      </c>
      <c r="C111" s="2" t="str">
        <f>IF(A111="","",COUNTIF('03_LUA_CHON'!$A$5:$A$404,A111))</f>
        <v/>
      </c>
      <c r="D111" s="2" t="str">
        <f>IF(A111="","",COUNTIFS('03_LUA_CHON'!$A$5:$A$404,A111,'03_LUA_CHON'!$D$5:$D$404,"Có"))</f>
        <v/>
      </c>
      <c r="E111" s="2" t="str">
        <f t="shared" si="4"/>
        <v/>
      </c>
      <c r="F111" s="2" t="str">
        <f t="shared" si="5"/>
        <v/>
      </c>
    </row>
    <row r="112" spans="1:6">
      <c r="A112" s="2" t="str">
        <f>IF('02_KICH_BAN_NODES'!D98="choice",'02_KICH_BAN_NODES'!B98,"")</f>
        <v/>
      </c>
      <c r="B112" s="2" t="str">
        <f>IF(A112="","",'02_KICH_BAN_NODES'!E98)</f>
        <v/>
      </c>
      <c r="C112" s="2" t="str">
        <f>IF(A112="","",COUNTIF('03_LUA_CHON'!$A$5:$A$404,A112))</f>
        <v/>
      </c>
      <c r="D112" s="2" t="str">
        <f>IF(A112="","",COUNTIFS('03_LUA_CHON'!$A$5:$A$404,A112,'03_LUA_CHON'!$D$5:$D$404,"Có"))</f>
        <v/>
      </c>
      <c r="E112" s="2" t="str">
        <f t="shared" si="4"/>
        <v/>
      </c>
      <c r="F112" s="2" t="str">
        <f t="shared" si="5"/>
        <v/>
      </c>
    </row>
    <row r="113" spans="1:6">
      <c r="A113" s="2" t="str">
        <f>IF('02_KICH_BAN_NODES'!D99="choice",'02_KICH_BAN_NODES'!B99,"")</f>
        <v/>
      </c>
      <c r="B113" s="2" t="str">
        <f>IF(A113="","",'02_KICH_BAN_NODES'!E99)</f>
        <v/>
      </c>
      <c r="C113" s="2" t="str">
        <f>IF(A113="","",COUNTIF('03_LUA_CHON'!$A$5:$A$404,A113))</f>
        <v/>
      </c>
      <c r="D113" s="2" t="str">
        <f>IF(A113="","",COUNTIFS('03_LUA_CHON'!$A$5:$A$404,A113,'03_LUA_CHON'!$D$5:$D$404,"Có"))</f>
        <v/>
      </c>
      <c r="E113" s="2" t="str">
        <f t="shared" si="4"/>
        <v/>
      </c>
      <c r="F113" s="2" t="str">
        <f t="shared" si="5"/>
        <v/>
      </c>
    </row>
    <row r="114" spans="1:6">
      <c r="A114" s="2" t="str">
        <f>IF('02_KICH_BAN_NODES'!D100="choice",'02_KICH_BAN_NODES'!B100,"")</f>
        <v/>
      </c>
      <c r="B114" s="2" t="str">
        <f>IF(A114="","",'02_KICH_BAN_NODES'!E100)</f>
        <v/>
      </c>
      <c r="C114" s="2" t="str">
        <f>IF(A114="","",COUNTIF('03_LUA_CHON'!$A$5:$A$404,A114))</f>
        <v/>
      </c>
      <c r="D114" s="2" t="str">
        <f>IF(A114="","",COUNTIFS('03_LUA_CHON'!$A$5:$A$404,A114,'03_LUA_CHON'!$D$5:$D$404,"Có"))</f>
        <v/>
      </c>
      <c r="E114" s="2" t="str">
        <f t="shared" si="4"/>
        <v/>
      </c>
      <c r="F114" s="2" t="str">
        <f t="shared" si="5"/>
        <v/>
      </c>
    </row>
    <row r="115" spans="1:6">
      <c r="A115" s="2" t="str">
        <f>IF('02_KICH_BAN_NODES'!D101="choice",'02_KICH_BAN_NODES'!B101,"")</f>
        <v/>
      </c>
      <c r="B115" s="2" t="str">
        <f>IF(A115="","",'02_KICH_BAN_NODES'!E101)</f>
        <v/>
      </c>
      <c r="C115" s="2" t="str">
        <f>IF(A115="","",COUNTIF('03_LUA_CHON'!$A$5:$A$404,A115))</f>
        <v/>
      </c>
      <c r="D115" s="2" t="str">
        <f>IF(A115="","",COUNTIFS('03_LUA_CHON'!$A$5:$A$404,A115,'03_LUA_CHON'!$D$5:$D$404,"Có"))</f>
        <v/>
      </c>
      <c r="E115" s="2" t="str">
        <f t="shared" ref="E115:E146" si="6">IF(A115="","",IF(OR(C115&lt;2,C115&gt;4),"CẦN SỬA",IF(AND(B115="Kiến thức",D115=1),"HỢP LỆ",IF(AND(B115="Tương tác",D115=0),"HỢP LỆ","CẦN SỬA"))))</f>
        <v/>
      </c>
      <c r="F115" s="2" t="str">
        <f t="shared" ref="F115:F146" si="7">IF(A115="","",IF(OR(C115&lt;2,C115&gt;4),"Cần 2–4 option",IF(AND(B115="Kiến thức",D115&lt;&gt;1),"Câu kiến thức cần đúng 1 đáp án đúng",IF(AND(B115="Tương tác",D115&lt;&gt;0),"Câu tương tác không có đáp án đúng",IF(B115="","Thiếu ChoiceMode","")))))</f>
        <v/>
      </c>
    </row>
    <row r="116" spans="1:6">
      <c r="A116" s="2" t="str">
        <f>IF('02_KICH_BAN_NODES'!D102="choice",'02_KICH_BAN_NODES'!B102,"")</f>
        <v/>
      </c>
      <c r="B116" s="2" t="str">
        <f>IF(A116="","",'02_KICH_BAN_NODES'!E102)</f>
        <v/>
      </c>
      <c r="C116" s="2" t="str">
        <f>IF(A116="","",COUNTIF('03_LUA_CHON'!$A$5:$A$404,A116))</f>
        <v/>
      </c>
      <c r="D116" s="2" t="str">
        <f>IF(A116="","",COUNTIFS('03_LUA_CHON'!$A$5:$A$404,A116,'03_LUA_CHON'!$D$5:$D$404,"Có"))</f>
        <v/>
      </c>
      <c r="E116" s="2" t="str">
        <f t="shared" si="6"/>
        <v/>
      </c>
      <c r="F116" s="2" t="str">
        <f t="shared" si="7"/>
        <v/>
      </c>
    </row>
    <row r="117" spans="1:6">
      <c r="A117" s="2" t="str">
        <f>IF('02_KICH_BAN_NODES'!D103="choice",'02_KICH_BAN_NODES'!B103,"")</f>
        <v/>
      </c>
      <c r="B117" s="2" t="str">
        <f>IF(A117="","",'02_KICH_BAN_NODES'!E103)</f>
        <v/>
      </c>
      <c r="C117" s="2" t="str">
        <f>IF(A117="","",COUNTIF('03_LUA_CHON'!$A$5:$A$404,A117))</f>
        <v/>
      </c>
      <c r="D117" s="2" t="str">
        <f>IF(A117="","",COUNTIFS('03_LUA_CHON'!$A$5:$A$404,A117,'03_LUA_CHON'!$D$5:$D$404,"Có"))</f>
        <v/>
      </c>
      <c r="E117" s="2" t="str">
        <f t="shared" si="6"/>
        <v/>
      </c>
      <c r="F117" s="2" t="str">
        <f t="shared" si="7"/>
        <v/>
      </c>
    </row>
    <row r="118" spans="1:6">
      <c r="A118" s="2" t="str">
        <f>IF('02_KICH_BAN_NODES'!D104="choice",'02_KICH_BAN_NODES'!B104,"")</f>
        <v/>
      </c>
      <c r="B118" s="2" t="str">
        <f>IF(A118="","",'02_KICH_BAN_NODES'!E104)</f>
        <v/>
      </c>
      <c r="C118" s="2" t="str">
        <f>IF(A118="","",COUNTIF('03_LUA_CHON'!$A$5:$A$404,A118))</f>
        <v/>
      </c>
      <c r="D118" s="2" t="str">
        <f>IF(A118="","",COUNTIFS('03_LUA_CHON'!$A$5:$A$404,A118,'03_LUA_CHON'!$D$5:$D$404,"Có"))</f>
        <v/>
      </c>
      <c r="E118" s="2" t="str">
        <f t="shared" si="6"/>
        <v/>
      </c>
      <c r="F118" s="2" t="str">
        <f t="shared" si="7"/>
        <v/>
      </c>
    </row>
    <row r="119" spans="1:6">
      <c r="A119" s="2" t="str">
        <f>IF('02_KICH_BAN_NODES'!D105="choice",'02_KICH_BAN_NODES'!B105,"")</f>
        <v/>
      </c>
      <c r="B119" s="2" t="str">
        <f>IF(A119="","",'02_KICH_BAN_NODES'!E105)</f>
        <v/>
      </c>
      <c r="C119" s="2" t="str">
        <f>IF(A119="","",COUNTIF('03_LUA_CHON'!$A$5:$A$404,A119))</f>
        <v/>
      </c>
      <c r="D119" s="2" t="str">
        <f>IF(A119="","",COUNTIFS('03_LUA_CHON'!$A$5:$A$404,A119,'03_LUA_CHON'!$D$5:$D$404,"Có"))</f>
        <v/>
      </c>
      <c r="E119" s="2" t="str">
        <f t="shared" si="6"/>
        <v/>
      </c>
      <c r="F119" s="2" t="str">
        <f t="shared" si="7"/>
        <v/>
      </c>
    </row>
    <row r="120" spans="1:6">
      <c r="A120" s="2" t="str">
        <f>IF('02_KICH_BAN_NODES'!D106="choice",'02_KICH_BAN_NODES'!B106,"")</f>
        <v/>
      </c>
      <c r="B120" s="2" t="str">
        <f>IF(A120="","",'02_KICH_BAN_NODES'!E106)</f>
        <v/>
      </c>
      <c r="C120" s="2" t="str">
        <f>IF(A120="","",COUNTIF('03_LUA_CHON'!$A$5:$A$404,A120))</f>
        <v/>
      </c>
      <c r="D120" s="2" t="str">
        <f>IF(A120="","",COUNTIFS('03_LUA_CHON'!$A$5:$A$404,A120,'03_LUA_CHON'!$D$5:$D$404,"Có"))</f>
        <v/>
      </c>
      <c r="E120" s="2" t="str">
        <f t="shared" si="6"/>
        <v/>
      </c>
      <c r="F120" s="2" t="str">
        <f t="shared" si="7"/>
        <v/>
      </c>
    </row>
    <row r="121" spans="1:6">
      <c r="A121" s="2" t="str">
        <f>IF('02_KICH_BAN_NODES'!D107="choice",'02_KICH_BAN_NODES'!B107,"")</f>
        <v/>
      </c>
      <c r="B121" s="2" t="str">
        <f>IF(A121="","",'02_KICH_BAN_NODES'!E107)</f>
        <v/>
      </c>
      <c r="C121" s="2" t="str">
        <f>IF(A121="","",COUNTIF('03_LUA_CHON'!$A$5:$A$404,A121))</f>
        <v/>
      </c>
      <c r="D121" s="2" t="str">
        <f>IF(A121="","",COUNTIFS('03_LUA_CHON'!$A$5:$A$404,A121,'03_LUA_CHON'!$D$5:$D$404,"Có"))</f>
        <v/>
      </c>
      <c r="E121" s="2" t="str">
        <f t="shared" si="6"/>
        <v/>
      </c>
      <c r="F121" s="2" t="str">
        <f t="shared" si="7"/>
        <v/>
      </c>
    </row>
    <row r="122" spans="1:6">
      <c r="A122" s="2" t="str">
        <f>IF('02_KICH_BAN_NODES'!D108="choice",'02_KICH_BAN_NODES'!B108,"")</f>
        <v/>
      </c>
      <c r="B122" s="2" t="str">
        <f>IF(A122="","",'02_KICH_BAN_NODES'!E108)</f>
        <v/>
      </c>
      <c r="C122" s="2" t="str">
        <f>IF(A122="","",COUNTIF('03_LUA_CHON'!$A$5:$A$404,A122))</f>
        <v/>
      </c>
      <c r="D122" s="2" t="str">
        <f>IF(A122="","",COUNTIFS('03_LUA_CHON'!$A$5:$A$404,A122,'03_LUA_CHON'!$D$5:$D$404,"Có"))</f>
        <v/>
      </c>
      <c r="E122" s="2" t="str">
        <f t="shared" si="6"/>
        <v/>
      </c>
      <c r="F122" s="2" t="str">
        <f t="shared" si="7"/>
        <v/>
      </c>
    </row>
    <row r="123" spans="1:6">
      <c r="A123" s="2" t="str">
        <f>IF('02_KICH_BAN_NODES'!D109="choice",'02_KICH_BAN_NODES'!B109,"")</f>
        <v/>
      </c>
      <c r="B123" s="2" t="str">
        <f>IF(A123="","",'02_KICH_BAN_NODES'!E109)</f>
        <v/>
      </c>
      <c r="C123" s="2" t="str">
        <f>IF(A123="","",COUNTIF('03_LUA_CHON'!$A$5:$A$404,A123))</f>
        <v/>
      </c>
      <c r="D123" s="2" t="str">
        <f>IF(A123="","",COUNTIFS('03_LUA_CHON'!$A$5:$A$404,A123,'03_LUA_CHON'!$D$5:$D$404,"Có"))</f>
        <v/>
      </c>
      <c r="E123" s="2" t="str">
        <f t="shared" si="6"/>
        <v/>
      </c>
      <c r="F123" s="2" t="str">
        <f t="shared" si="7"/>
        <v/>
      </c>
    </row>
    <row r="124" spans="1:6">
      <c r="A124" s="2" t="str">
        <f>IF('02_KICH_BAN_NODES'!D110="choice",'02_KICH_BAN_NODES'!B110,"")</f>
        <v/>
      </c>
      <c r="B124" s="2" t="str">
        <f>IF(A124="","",'02_KICH_BAN_NODES'!E110)</f>
        <v/>
      </c>
      <c r="C124" s="2" t="str">
        <f>IF(A124="","",COUNTIF('03_LUA_CHON'!$A$5:$A$404,A124))</f>
        <v/>
      </c>
      <c r="D124" s="2" t="str">
        <f>IF(A124="","",COUNTIFS('03_LUA_CHON'!$A$5:$A$404,A124,'03_LUA_CHON'!$D$5:$D$404,"Có"))</f>
        <v/>
      </c>
      <c r="E124" s="2" t="str">
        <f t="shared" si="6"/>
        <v/>
      </c>
      <c r="F124" s="2" t="str">
        <f t="shared" si="7"/>
        <v/>
      </c>
    </row>
    <row r="125" spans="1:6">
      <c r="A125" s="2" t="str">
        <f>IF('02_KICH_BAN_NODES'!D111="choice",'02_KICH_BAN_NODES'!B111,"")</f>
        <v/>
      </c>
      <c r="B125" s="2" t="str">
        <f>IF(A125="","",'02_KICH_BAN_NODES'!E111)</f>
        <v/>
      </c>
      <c r="C125" s="2" t="str">
        <f>IF(A125="","",COUNTIF('03_LUA_CHON'!$A$5:$A$404,A125))</f>
        <v/>
      </c>
      <c r="D125" s="2" t="str">
        <f>IF(A125="","",COUNTIFS('03_LUA_CHON'!$A$5:$A$404,A125,'03_LUA_CHON'!$D$5:$D$404,"Có"))</f>
        <v/>
      </c>
      <c r="E125" s="2" t="str">
        <f t="shared" si="6"/>
        <v/>
      </c>
      <c r="F125" s="2" t="str">
        <f t="shared" si="7"/>
        <v/>
      </c>
    </row>
    <row r="126" spans="1:6">
      <c r="A126" s="2" t="str">
        <f>IF('02_KICH_BAN_NODES'!D112="choice",'02_KICH_BAN_NODES'!B112,"")</f>
        <v/>
      </c>
      <c r="B126" s="2" t="str">
        <f>IF(A126="","",'02_KICH_BAN_NODES'!E112)</f>
        <v/>
      </c>
      <c r="C126" s="2" t="str">
        <f>IF(A126="","",COUNTIF('03_LUA_CHON'!$A$5:$A$404,A126))</f>
        <v/>
      </c>
      <c r="D126" s="2" t="str">
        <f>IF(A126="","",COUNTIFS('03_LUA_CHON'!$A$5:$A$404,A126,'03_LUA_CHON'!$D$5:$D$404,"Có"))</f>
        <v/>
      </c>
      <c r="E126" s="2" t="str">
        <f t="shared" si="6"/>
        <v/>
      </c>
      <c r="F126" s="2" t="str">
        <f t="shared" si="7"/>
        <v/>
      </c>
    </row>
    <row r="127" spans="1:6">
      <c r="A127" s="2" t="str">
        <f>IF('02_KICH_BAN_NODES'!D113="choice",'02_KICH_BAN_NODES'!B113,"")</f>
        <v/>
      </c>
      <c r="B127" s="2" t="str">
        <f>IF(A127="","",'02_KICH_BAN_NODES'!E113)</f>
        <v/>
      </c>
      <c r="C127" s="2" t="str">
        <f>IF(A127="","",COUNTIF('03_LUA_CHON'!$A$5:$A$404,A127))</f>
        <v/>
      </c>
      <c r="D127" s="2" t="str">
        <f>IF(A127="","",COUNTIFS('03_LUA_CHON'!$A$5:$A$404,A127,'03_LUA_CHON'!$D$5:$D$404,"Có"))</f>
        <v/>
      </c>
      <c r="E127" s="2" t="str">
        <f t="shared" si="6"/>
        <v/>
      </c>
      <c r="F127" s="2" t="str">
        <f t="shared" si="7"/>
        <v/>
      </c>
    </row>
    <row r="128" spans="1:6">
      <c r="A128" s="2" t="str">
        <f>IF('02_KICH_BAN_NODES'!D114="choice",'02_KICH_BAN_NODES'!B114,"")</f>
        <v/>
      </c>
      <c r="B128" s="2" t="str">
        <f>IF(A128="","",'02_KICH_BAN_NODES'!E114)</f>
        <v/>
      </c>
      <c r="C128" s="2" t="str">
        <f>IF(A128="","",COUNTIF('03_LUA_CHON'!$A$5:$A$404,A128))</f>
        <v/>
      </c>
      <c r="D128" s="2" t="str">
        <f>IF(A128="","",COUNTIFS('03_LUA_CHON'!$A$5:$A$404,A128,'03_LUA_CHON'!$D$5:$D$404,"Có"))</f>
        <v/>
      </c>
      <c r="E128" s="2" t="str">
        <f t="shared" si="6"/>
        <v/>
      </c>
      <c r="F128" s="2" t="str">
        <f t="shared" si="7"/>
        <v/>
      </c>
    </row>
    <row r="129" spans="1:6">
      <c r="A129" s="2" t="str">
        <f>IF('02_KICH_BAN_NODES'!D115="choice",'02_KICH_BAN_NODES'!B115,"")</f>
        <v/>
      </c>
      <c r="B129" s="2" t="str">
        <f>IF(A129="","",'02_KICH_BAN_NODES'!E115)</f>
        <v/>
      </c>
      <c r="C129" s="2" t="str">
        <f>IF(A129="","",COUNTIF('03_LUA_CHON'!$A$5:$A$404,A129))</f>
        <v/>
      </c>
      <c r="D129" s="2" t="str">
        <f>IF(A129="","",COUNTIFS('03_LUA_CHON'!$A$5:$A$404,A129,'03_LUA_CHON'!$D$5:$D$404,"Có"))</f>
        <v/>
      </c>
      <c r="E129" s="2" t="str">
        <f t="shared" si="6"/>
        <v/>
      </c>
      <c r="F129" s="2" t="str">
        <f t="shared" si="7"/>
        <v/>
      </c>
    </row>
    <row r="130" spans="1:6">
      <c r="A130" s="2" t="str">
        <f>IF('02_KICH_BAN_NODES'!D116="choice",'02_KICH_BAN_NODES'!B116,"")</f>
        <v/>
      </c>
      <c r="B130" s="2" t="str">
        <f>IF(A130="","",'02_KICH_BAN_NODES'!E116)</f>
        <v/>
      </c>
      <c r="C130" s="2" t="str">
        <f>IF(A130="","",COUNTIF('03_LUA_CHON'!$A$5:$A$404,A130))</f>
        <v/>
      </c>
      <c r="D130" s="2" t="str">
        <f>IF(A130="","",COUNTIFS('03_LUA_CHON'!$A$5:$A$404,A130,'03_LUA_CHON'!$D$5:$D$404,"Có"))</f>
        <v/>
      </c>
      <c r="E130" s="2" t="str">
        <f t="shared" si="6"/>
        <v/>
      </c>
      <c r="F130" s="2" t="str">
        <f t="shared" si="7"/>
        <v/>
      </c>
    </row>
    <row r="131" spans="1:6">
      <c r="A131" s="2" t="str">
        <f>IF('02_KICH_BAN_NODES'!D117="choice",'02_KICH_BAN_NODES'!B117,"")</f>
        <v/>
      </c>
      <c r="B131" s="2" t="str">
        <f>IF(A131="","",'02_KICH_BAN_NODES'!E117)</f>
        <v/>
      </c>
      <c r="C131" s="2" t="str">
        <f>IF(A131="","",COUNTIF('03_LUA_CHON'!$A$5:$A$404,A131))</f>
        <v/>
      </c>
      <c r="D131" s="2" t="str">
        <f>IF(A131="","",COUNTIFS('03_LUA_CHON'!$A$5:$A$404,A131,'03_LUA_CHON'!$D$5:$D$404,"Có"))</f>
        <v/>
      </c>
      <c r="E131" s="2" t="str">
        <f t="shared" si="6"/>
        <v/>
      </c>
      <c r="F131" s="2" t="str">
        <f t="shared" si="7"/>
        <v/>
      </c>
    </row>
    <row r="132" spans="1:6">
      <c r="A132" s="2" t="str">
        <f>IF('02_KICH_BAN_NODES'!D118="choice",'02_KICH_BAN_NODES'!B118,"")</f>
        <v/>
      </c>
      <c r="B132" s="2" t="str">
        <f>IF(A132="","",'02_KICH_BAN_NODES'!E118)</f>
        <v/>
      </c>
      <c r="C132" s="2" t="str">
        <f>IF(A132="","",COUNTIF('03_LUA_CHON'!$A$5:$A$404,A132))</f>
        <v/>
      </c>
      <c r="D132" s="2" t="str">
        <f>IF(A132="","",COUNTIFS('03_LUA_CHON'!$A$5:$A$404,A132,'03_LUA_CHON'!$D$5:$D$404,"Có"))</f>
        <v/>
      </c>
      <c r="E132" s="2" t="str">
        <f t="shared" si="6"/>
        <v/>
      </c>
      <c r="F132" s="2" t="str">
        <f t="shared" si="7"/>
        <v/>
      </c>
    </row>
    <row r="133" spans="1:6">
      <c r="A133" s="2" t="str">
        <f>IF('02_KICH_BAN_NODES'!D119="choice",'02_KICH_BAN_NODES'!B119,"")</f>
        <v/>
      </c>
      <c r="B133" s="2" t="str">
        <f>IF(A133="","",'02_KICH_BAN_NODES'!E119)</f>
        <v/>
      </c>
      <c r="C133" s="2" t="str">
        <f>IF(A133="","",COUNTIF('03_LUA_CHON'!$A$5:$A$404,A133))</f>
        <v/>
      </c>
      <c r="D133" s="2" t="str">
        <f>IF(A133="","",COUNTIFS('03_LUA_CHON'!$A$5:$A$404,A133,'03_LUA_CHON'!$D$5:$D$404,"Có"))</f>
        <v/>
      </c>
      <c r="E133" s="2" t="str">
        <f t="shared" si="6"/>
        <v/>
      </c>
      <c r="F133" s="2" t="str">
        <f t="shared" si="7"/>
        <v/>
      </c>
    </row>
    <row r="134" spans="1:6">
      <c r="A134" s="2" t="str">
        <f>IF('02_KICH_BAN_NODES'!D120="choice",'02_KICH_BAN_NODES'!B120,"")</f>
        <v/>
      </c>
      <c r="B134" s="2" t="str">
        <f>IF(A134="","",'02_KICH_BAN_NODES'!E120)</f>
        <v/>
      </c>
      <c r="C134" s="2" t="str">
        <f>IF(A134="","",COUNTIF('03_LUA_CHON'!$A$5:$A$404,A134))</f>
        <v/>
      </c>
      <c r="D134" s="2" t="str">
        <f>IF(A134="","",COUNTIFS('03_LUA_CHON'!$A$5:$A$404,A134,'03_LUA_CHON'!$D$5:$D$404,"Có"))</f>
        <v/>
      </c>
      <c r="E134" s="2" t="str">
        <f t="shared" si="6"/>
        <v/>
      </c>
      <c r="F134" s="2" t="str">
        <f t="shared" si="7"/>
        <v/>
      </c>
    </row>
    <row r="135" spans="1:6">
      <c r="A135" s="2" t="str">
        <f>IF('02_KICH_BAN_NODES'!D121="choice",'02_KICH_BAN_NODES'!B121,"")</f>
        <v/>
      </c>
      <c r="B135" s="2" t="str">
        <f>IF(A135="","",'02_KICH_BAN_NODES'!E121)</f>
        <v/>
      </c>
      <c r="C135" s="2" t="str">
        <f>IF(A135="","",COUNTIF('03_LUA_CHON'!$A$5:$A$404,A135))</f>
        <v/>
      </c>
      <c r="D135" s="2" t="str">
        <f>IF(A135="","",COUNTIFS('03_LUA_CHON'!$A$5:$A$404,A135,'03_LUA_CHON'!$D$5:$D$404,"Có"))</f>
        <v/>
      </c>
      <c r="E135" s="2" t="str">
        <f t="shared" si="6"/>
        <v/>
      </c>
      <c r="F135" s="2" t="str">
        <f t="shared" si="7"/>
        <v/>
      </c>
    </row>
    <row r="136" spans="1:6">
      <c r="A136" s="2" t="str">
        <f>IF('02_KICH_BAN_NODES'!D122="choice",'02_KICH_BAN_NODES'!B122,"")</f>
        <v/>
      </c>
      <c r="B136" s="2" t="str">
        <f>IF(A136="","",'02_KICH_BAN_NODES'!E122)</f>
        <v/>
      </c>
      <c r="C136" s="2" t="str">
        <f>IF(A136="","",COUNTIF('03_LUA_CHON'!$A$5:$A$404,A136))</f>
        <v/>
      </c>
      <c r="D136" s="2" t="str">
        <f>IF(A136="","",COUNTIFS('03_LUA_CHON'!$A$5:$A$404,A136,'03_LUA_CHON'!$D$5:$D$404,"Có"))</f>
        <v/>
      </c>
      <c r="E136" s="2" t="str">
        <f t="shared" si="6"/>
        <v/>
      </c>
      <c r="F136" s="2" t="str">
        <f t="shared" si="7"/>
        <v/>
      </c>
    </row>
    <row r="137" spans="1:6">
      <c r="A137" s="2" t="str">
        <f>IF('02_KICH_BAN_NODES'!D123="choice",'02_KICH_BAN_NODES'!B123,"")</f>
        <v/>
      </c>
      <c r="B137" s="2" t="str">
        <f>IF(A137="","",'02_KICH_BAN_NODES'!E123)</f>
        <v/>
      </c>
      <c r="C137" s="2" t="str">
        <f>IF(A137="","",COUNTIF('03_LUA_CHON'!$A$5:$A$404,A137))</f>
        <v/>
      </c>
      <c r="D137" s="2" t="str">
        <f>IF(A137="","",COUNTIFS('03_LUA_CHON'!$A$5:$A$404,A137,'03_LUA_CHON'!$D$5:$D$404,"Có"))</f>
        <v/>
      </c>
      <c r="E137" s="2" t="str">
        <f t="shared" si="6"/>
        <v/>
      </c>
      <c r="F137" s="2" t="str">
        <f t="shared" si="7"/>
        <v/>
      </c>
    </row>
    <row r="138" spans="1:6">
      <c r="A138" s="2" t="str">
        <f>IF('02_KICH_BAN_NODES'!D124="choice",'02_KICH_BAN_NODES'!B124,"")</f>
        <v/>
      </c>
      <c r="B138" s="2" t="str">
        <f>IF(A138="","",'02_KICH_BAN_NODES'!E124)</f>
        <v/>
      </c>
      <c r="C138" s="2" t="str">
        <f>IF(A138="","",COUNTIF('03_LUA_CHON'!$A$5:$A$404,A138))</f>
        <v/>
      </c>
      <c r="D138" s="2" t="str">
        <f>IF(A138="","",COUNTIFS('03_LUA_CHON'!$A$5:$A$404,A138,'03_LUA_CHON'!$D$5:$D$404,"Có"))</f>
        <v/>
      </c>
      <c r="E138" s="2" t="str">
        <f t="shared" si="6"/>
        <v/>
      </c>
      <c r="F138" s="2" t="str">
        <f t="shared" si="7"/>
        <v/>
      </c>
    </row>
    <row r="139" spans="1:6">
      <c r="A139" s="2" t="str">
        <f>IF('02_KICH_BAN_NODES'!D125="choice",'02_KICH_BAN_NODES'!B125,"")</f>
        <v/>
      </c>
      <c r="B139" s="2" t="str">
        <f>IF(A139="","",'02_KICH_BAN_NODES'!E125)</f>
        <v/>
      </c>
      <c r="C139" s="2" t="str">
        <f>IF(A139="","",COUNTIF('03_LUA_CHON'!$A$5:$A$404,A139))</f>
        <v/>
      </c>
      <c r="D139" s="2" t="str">
        <f>IF(A139="","",COUNTIFS('03_LUA_CHON'!$A$5:$A$404,A139,'03_LUA_CHON'!$D$5:$D$404,"Có"))</f>
        <v/>
      </c>
      <c r="E139" s="2" t="str">
        <f t="shared" si="6"/>
        <v/>
      </c>
      <c r="F139" s="2" t="str">
        <f t="shared" si="7"/>
        <v/>
      </c>
    </row>
    <row r="140" spans="1:6">
      <c r="A140" s="2" t="str">
        <f>IF('02_KICH_BAN_NODES'!D126="choice",'02_KICH_BAN_NODES'!B126,"")</f>
        <v/>
      </c>
      <c r="B140" s="2" t="str">
        <f>IF(A140="","",'02_KICH_BAN_NODES'!E126)</f>
        <v/>
      </c>
      <c r="C140" s="2" t="str">
        <f>IF(A140="","",COUNTIF('03_LUA_CHON'!$A$5:$A$404,A140))</f>
        <v/>
      </c>
      <c r="D140" s="2" t="str">
        <f>IF(A140="","",COUNTIFS('03_LUA_CHON'!$A$5:$A$404,A140,'03_LUA_CHON'!$D$5:$D$404,"Có"))</f>
        <v/>
      </c>
      <c r="E140" s="2" t="str">
        <f t="shared" si="6"/>
        <v/>
      </c>
      <c r="F140" s="2" t="str">
        <f t="shared" si="7"/>
        <v/>
      </c>
    </row>
    <row r="141" spans="1:6">
      <c r="A141" s="2" t="str">
        <f>IF('02_KICH_BAN_NODES'!D127="choice",'02_KICH_BAN_NODES'!B127,"")</f>
        <v/>
      </c>
      <c r="B141" s="2" t="str">
        <f>IF(A141="","",'02_KICH_BAN_NODES'!E127)</f>
        <v/>
      </c>
      <c r="C141" s="2" t="str">
        <f>IF(A141="","",COUNTIF('03_LUA_CHON'!$A$5:$A$404,A141))</f>
        <v/>
      </c>
      <c r="D141" s="2" t="str">
        <f>IF(A141="","",COUNTIFS('03_LUA_CHON'!$A$5:$A$404,A141,'03_LUA_CHON'!$D$5:$D$404,"Có"))</f>
        <v/>
      </c>
      <c r="E141" s="2" t="str">
        <f t="shared" si="6"/>
        <v/>
      </c>
      <c r="F141" s="2" t="str">
        <f t="shared" si="7"/>
        <v/>
      </c>
    </row>
    <row r="142" spans="1:6">
      <c r="A142" s="2" t="str">
        <f>IF('02_KICH_BAN_NODES'!D128="choice",'02_KICH_BAN_NODES'!B128,"")</f>
        <v/>
      </c>
      <c r="B142" s="2" t="str">
        <f>IF(A142="","",'02_KICH_BAN_NODES'!E128)</f>
        <v/>
      </c>
      <c r="C142" s="2" t="str">
        <f>IF(A142="","",COUNTIF('03_LUA_CHON'!$A$5:$A$404,A142))</f>
        <v/>
      </c>
      <c r="D142" s="2" t="str">
        <f>IF(A142="","",COUNTIFS('03_LUA_CHON'!$A$5:$A$404,A142,'03_LUA_CHON'!$D$5:$D$404,"Có"))</f>
        <v/>
      </c>
      <c r="E142" s="2" t="str">
        <f t="shared" si="6"/>
        <v/>
      </c>
      <c r="F142" s="2" t="str">
        <f t="shared" si="7"/>
        <v/>
      </c>
    </row>
    <row r="143" spans="1:6">
      <c r="A143" s="2" t="str">
        <f>IF('02_KICH_BAN_NODES'!D129="choice",'02_KICH_BAN_NODES'!B129,"")</f>
        <v/>
      </c>
      <c r="B143" s="2" t="str">
        <f>IF(A143="","",'02_KICH_BAN_NODES'!E129)</f>
        <v/>
      </c>
      <c r="C143" s="2" t="str">
        <f>IF(A143="","",COUNTIF('03_LUA_CHON'!$A$5:$A$404,A143))</f>
        <v/>
      </c>
      <c r="D143" s="2" t="str">
        <f>IF(A143="","",COUNTIFS('03_LUA_CHON'!$A$5:$A$404,A143,'03_LUA_CHON'!$D$5:$D$404,"Có"))</f>
        <v/>
      </c>
      <c r="E143" s="2" t="str">
        <f t="shared" si="6"/>
        <v/>
      </c>
      <c r="F143" s="2" t="str">
        <f t="shared" si="7"/>
        <v/>
      </c>
    </row>
    <row r="144" spans="1:6">
      <c r="A144" s="2" t="str">
        <f>IF('02_KICH_BAN_NODES'!D130="choice",'02_KICH_BAN_NODES'!B130,"")</f>
        <v/>
      </c>
      <c r="B144" s="2" t="str">
        <f>IF(A144="","",'02_KICH_BAN_NODES'!E130)</f>
        <v/>
      </c>
      <c r="C144" s="2" t="str">
        <f>IF(A144="","",COUNTIF('03_LUA_CHON'!$A$5:$A$404,A144))</f>
        <v/>
      </c>
      <c r="D144" s="2" t="str">
        <f>IF(A144="","",COUNTIFS('03_LUA_CHON'!$A$5:$A$404,A144,'03_LUA_CHON'!$D$5:$D$404,"Có"))</f>
        <v/>
      </c>
      <c r="E144" s="2" t="str">
        <f t="shared" si="6"/>
        <v/>
      </c>
      <c r="F144" s="2" t="str">
        <f t="shared" si="7"/>
        <v/>
      </c>
    </row>
    <row r="145" spans="1:6">
      <c r="A145" s="2" t="str">
        <f>IF('02_KICH_BAN_NODES'!D131="choice",'02_KICH_BAN_NODES'!B131,"")</f>
        <v/>
      </c>
      <c r="B145" s="2" t="str">
        <f>IF(A145="","",'02_KICH_BAN_NODES'!E131)</f>
        <v/>
      </c>
      <c r="C145" s="2" t="str">
        <f>IF(A145="","",COUNTIF('03_LUA_CHON'!$A$5:$A$404,A145))</f>
        <v/>
      </c>
      <c r="D145" s="2" t="str">
        <f>IF(A145="","",COUNTIFS('03_LUA_CHON'!$A$5:$A$404,A145,'03_LUA_CHON'!$D$5:$D$404,"Có"))</f>
        <v/>
      </c>
      <c r="E145" s="2" t="str">
        <f t="shared" si="6"/>
        <v/>
      </c>
      <c r="F145" s="2" t="str">
        <f t="shared" si="7"/>
        <v/>
      </c>
    </row>
    <row r="146" spans="1:6">
      <c r="A146" s="2" t="str">
        <f>IF('02_KICH_BAN_NODES'!D132="choice",'02_KICH_BAN_NODES'!B132,"")</f>
        <v/>
      </c>
      <c r="B146" s="2" t="str">
        <f>IF(A146="","",'02_KICH_BAN_NODES'!E132)</f>
        <v/>
      </c>
      <c r="C146" s="2" t="str">
        <f>IF(A146="","",COUNTIF('03_LUA_CHON'!$A$5:$A$404,A146))</f>
        <v/>
      </c>
      <c r="D146" s="2" t="str">
        <f>IF(A146="","",COUNTIFS('03_LUA_CHON'!$A$5:$A$404,A146,'03_LUA_CHON'!$D$5:$D$404,"Có"))</f>
        <v/>
      </c>
      <c r="E146" s="2" t="str">
        <f t="shared" si="6"/>
        <v/>
      </c>
      <c r="F146" s="2" t="str">
        <f t="shared" si="7"/>
        <v/>
      </c>
    </row>
    <row r="147" spans="1:6">
      <c r="A147" s="2" t="str">
        <f>IF('02_KICH_BAN_NODES'!D133="choice",'02_KICH_BAN_NODES'!B133,"")</f>
        <v/>
      </c>
      <c r="B147" s="2" t="str">
        <f>IF(A147="","",'02_KICH_BAN_NODES'!E133)</f>
        <v/>
      </c>
      <c r="C147" s="2" t="str">
        <f>IF(A147="","",COUNTIF('03_LUA_CHON'!$A$5:$A$404,A147))</f>
        <v/>
      </c>
      <c r="D147" s="2" t="str">
        <f>IF(A147="","",COUNTIFS('03_LUA_CHON'!$A$5:$A$404,A147,'03_LUA_CHON'!$D$5:$D$404,"Có"))</f>
        <v/>
      </c>
      <c r="E147" s="2" t="str">
        <f t="shared" ref="E147:E178" si="8">IF(A147="","",IF(OR(C147&lt;2,C147&gt;4),"CẦN SỬA",IF(AND(B147="Kiến thức",D147=1),"HỢP LỆ",IF(AND(B147="Tương tác",D147=0),"HỢP LỆ","CẦN SỬA"))))</f>
        <v/>
      </c>
      <c r="F147" s="2" t="str">
        <f t="shared" ref="F147:F178" si="9">IF(A147="","",IF(OR(C147&lt;2,C147&gt;4),"Cần 2–4 option",IF(AND(B147="Kiến thức",D147&lt;&gt;1),"Câu kiến thức cần đúng 1 đáp án đúng",IF(AND(B147="Tương tác",D147&lt;&gt;0),"Câu tương tác không có đáp án đúng",IF(B147="","Thiếu ChoiceMode","")))))</f>
        <v/>
      </c>
    </row>
    <row r="148" spans="1:6">
      <c r="A148" s="2" t="str">
        <f>IF('02_KICH_BAN_NODES'!D134="choice",'02_KICH_BAN_NODES'!B134,"")</f>
        <v/>
      </c>
      <c r="B148" s="2" t="str">
        <f>IF(A148="","",'02_KICH_BAN_NODES'!E134)</f>
        <v/>
      </c>
      <c r="C148" s="2" t="str">
        <f>IF(A148="","",COUNTIF('03_LUA_CHON'!$A$5:$A$404,A148))</f>
        <v/>
      </c>
      <c r="D148" s="2" t="str">
        <f>IF(A148="","",COUNTIFS('03_LUA_CHON'!$A$5:$A$404,A148,'03_LUA_CHON'!$D$5:$D$404,"Có"))</f>
        <v/>
      </c>
      <c r="E148" s="2" t="str">
        <f t="shared" si="8"/>
        <v/>
      </c>
      <c r="F148" s="2" t="str">
        <f t="shared" si="9"/>
        <v/>
      </c>
    </row>
    <row r="149" spans="1:6">
      <c r="A149" s="2" t="str">
        <f>IF('02_KICH_BAN_NODES'!D135="choice",'02_KICH_BAN_NODES'!B135,"")</f>
        <v/>
      </c>
      <c r="B149" s="2" t="str">
        <f>IF(A149="","",'02_KICH_BAN_NODES'!E135)</f>
        <v/>
      </c>
      <c r="C149" s="2" t="str">
        <f>IF(A149="","",COUNTIF('03_LUA_CHON'!$A$5:$A$404,A149))</f>
        <v/>
      </c>
      <c r="D149" s="2" t="str">
        <f>IF(A149="","",COUNTIFS('03_LUA_CHON'!$A$5:$A$404,A149,'03_LUA_CHON'!$D$5:$D$404,"Có"))</f>
        <v/>
      </c>
      <c r="E149" s="2" t="str">
        <f t="shared" si="8"/>
        <v/>
      </c>
      <c r="F149" s="2" t="str">
        <f t="shared" si="9"/>
        <v/>
      </c>
    </row>
    <row r="150" spans="1:6">
      <c r="A150" s="2" t="str">
        <f>IF('02_KICH_BAN_NODES'!D136="choice",'02_KICH_BAN_NODES'!B136,"")</f>
        <v/>
      </c>
      <c r="B150" s="2" t="str">
        <f>IF(A150="","",'02_KICH_BAN_NODES'!E136)</f>
        <v/>
      </c>
      <c r="C150" s="2" t="str">
        <f>IF(A150="","",COUNTIF('03_LUA_CHON'!$A$5:$A$404,A150))</f>
        <v/>
      </c>
      <c r="D150" s="2" t="str">
        <f>IF(A150="","",COUNTIFS('03_LUA_CHON'!$A$5:$A$404,A150,'03_LUA_CHON'!$D$5:$D$404,"Có"))</f>
        <v/>
      </c>
      <c r="E150" s="2" t="str">
        <f t="shared" si="8"/>
        <v/>
      </c>
      <c r="F150" s="2" t="str">
        <f t="shared" si="9"/>
        <v/>
      </c>
    </row>
    <row r="151" spans="1:6">
      <c r="A151" s="2" t="str">
        <f>IF('02_KICH_BAN_NODES'!D137="choice",'02_KICH_BAN_NODES'!B137,"")</f>
        <v/>
      </c>
      <c r="B151" s="2" t="str">
        <f>IF(A151="","",'02_KICH_BAN_NODES'!E137)</f>
        <v/>
      </c>
      <c r="C151" s="2" t="str">
        <f>IF(A151="","",COUNTIF('03_LUA_CHON'!$A$5:$A$404,A151))</f>
        <v/>
      </c>
      <c r="D151" s="2" t="str">
        <f>IF(A151="","",COUNTIFS('03_LUA_CHON'!$A$5:$A$404,A151,'03_LUA_CHON'!$D$5:$D$404,"Có"))</f>
        <v/>
      </c>
      <c r="E151" s="2" t="str">
        <f t="shared" si="8"/>
        <v/>
      </c>
      <c r="F151" s="2" t="str">
        <f t="shared" si="9"/>
        <v/>
      </c>
    </row>
    <row r="152" spans="1:6">
      <c r="A152" s="2" t="str">
        <f>IF('02_KICH_BAN_NODES'!D138="choice",'02_KICH_BAN_NODES'!B138,"")</f>
        <v/>
      </c>
      <c r="B152" s="2" t="str">
        <f>IF(A152="","",'02_KICH_BAN_NODES'!E138)</f>
        <v/>
      </c>
      <c r="C152" s="2" t="str">
        <f>IF(A152="","",COUNTIF('03_LUA_CHON'!$A$5:$A$404,A152))</f>
        <v/>
      </c>
      <c r="D152" s="2" t="str">
        <f>IF(A152="","",COUNTIFS('03_LUA_CHON'!$A$5:$A$404,A152,'03_LUA_CHON'!$D$5:$D$404,"Có"))</f>
        <v/>
      </c>
      <c r="E152" s="2" t="str">
        <f t="shared" si="8"/>
        <v/>
      </c>
      <c r="F152" s="2" t="str">
        <f t="shared" si="9"/>
        <v/>
      </c>
    </row>
    <row r="153" spans="1:6">
      <c r="A153" s="2" t="str">
        <f>IF('02_KICH_BAN_NODES'!D139="choice",'02_KICH_BAN_NODES'!B139,"")</f>
        <v/>
      </c>
      <c r="B153" s="2" t="str">
        <f>IF(A153="","",'02_KICH_BAN_NODES'!E139)</f>
        <v/>
      </c>
      <c r="C153" s="2" t="str">
        <f>IF(A153="","",COUNTIF('03_LUA_CHON'!$A$5:$A$404,A153))</f>
        <v/>
      </c>
      <c r="D153" s="2" t="str">
        <f>IF(A153="","",COUNTIFS('03_LUA_CHON'!$A$5:$A$404,A153,'03_LUA_CHON'!$D$5:$D$404,"Có"))</f>
        <v/>
      </c>
      <c r="E153" s="2" t="str">
        <f t="shared" si="8"/>
        <v/>
      </c>
      <c r="F153" s="2" t="str">
        <f t="shared" si="9"/>
        <v/>
      </c>
    </row>
    <row r="154" spans="1:6">
      <c r="A154" s="2" t="str">
        <f>IF('02_KICH_BAN_NODES'!D140="choice",'02_KICH_BAN_NODES'!B140,"")</f>
        <v/>
      </c>
      <c r="B154" s="2" t="str">
        <f>IF(A154="","",'02_KICH_BAN_NODES'!E140)</f>
        <v/>
      </c>
      <c r="C154" s="2" t="str">
        <f>IF(A154="","",COUNTIF('03_LUA_CHON'!$A$5:$A$404,A154))</f>
        <v/>
      </c>
      <c r="D154" s="2" t="str">
        <f>IF(A154="","",COUNTIFS('03_LUA_CHON'!$A$5:$A$404,A154,'03_LUA_CHON'!$D$5:$D$404,"Có"))</f>
        <v/>
      </c>
      <c r="E154" s="2" t="str">
        <f t="shared" si="8"/>
        <v/>
      </c>
      <c r="F154" s="2" t="str">
        <f t="shared" si="9"/>
        <v/>
      </c>
    </row>
    <row r="155" spans="1:6">
      <c r="A155" s="2" t="str">
        <f>IF('02_KICH_BAN_NODES'!D141="choice",'02_KICH_BAN_NODES'!B141,"")</f>
        <v/>
      </c>
      <c r="B155" s="2" t="str">
        <f>IF(A155="","",'02_KICH_BAN_NODES'!E141)</f>
        <v/>
      </c>
      <c r="C155" s="2" t="str">
        <f>IF(A155="","",COUNTIF('03_LUA_CHON'!$A$5:$A$404,A155))</f>
        <v/>
      </c>
      <c r="D155" s="2" t="str">
        <f>IF(A155="","",COUNTIFS('03_LUA_CHON'!$A$5:$A$404,A155,'03_LUA_CHON'!$D$5:$D$404,"Có"))</f>
        <v/>
      </c>
      <c r="E155" s="2" t="str">
        <f t="shared" si="8"/>
        <v/>
      </c>
      <c r="F155" s="2" t="str">
        <f t="shared" si="9"/>
        <v/>
      </c>
    </row>
    <row r="156" spans="1:6">
      <c r="A156" s="2" t="str">
        <f>IF('02_KICH_BAN_NODES'!D142="choice",'02_KICH_BAN_NODES'!B142,"")</f>
        <v/>
      </c>
      <c r="B156" s="2" t="str">
        <f>IF(A156="","",'02_KICH_BAN_NODES'!E142)</f>
        <v/>
      </c>
      <c r="C156" s="2" t="str">
        <f>IF(A156="","",COUNTIF('03_LUA_CHON'!$A$5:$A$404,A156))</f>
        <v/>
      </c>
      <c r="D156" s="2" t="str">
        <f>IF(A156="","",COUNTIFS('03_LUA_CHON'!$A$5:$A$404,A156,'03_LUA_CHON'!$D$5:$D$404,"Có"))</f>
        <v/>
      </c>
      <c r="E156" s="2" t="str">
        <f t="shared" si="8"/>
        <v/>
      </c>
      <c r="F156" s="2" t="str">
        <f t="shared" si="9"/>
        <v/>
      </c>
    </row>
    <row r="157" spans="1:6">
      <c r="A157" s="2" t="str">
        <f>IF('02_KICH_BAN_NODES'!D143="choice",'02_KICH_BAN_NODES'!B143,"")</f>
        <v/>
      </c>
      <c r="B157" s="2" t="str">
        <f>IF(A157="","",'02_KICH_BAN_NODES'!E143)</f>
        <v/>
      </c>
      <c r="C157" s="2" t="str">
        <f>IF(A157="","",COUNTIF('03_LUA_CHON'!$A$5:$A$404,A157))</f>
        <v/>
      </c>
      <c r="D157" s="2" t="str">
        <f>IF(A157="","",COUNTIFS('03_LUA_CHON'!$A$5:$A$404,A157,'03_LUA_CHON'!$D$5:$D$404,"Có"))</f>
        <v/>
      </c>
      <c r="E157" s="2" t="str">
        <f t="shared" si="8"/>
        <v/>
      </c>
      <c r="F157" s="2" t="str">
        <f t="shared" si="9"/>
        <v/>
      </c>
    </row>
    <row r="158" spans="1:6">
      <c r="A158" s="2" t="str">
        <f>IF('02_KICH_BAN_NODES'!D144="choice",'02_KICH_BAN_NODES'!B144,"")</f>
        <v/>
      </c>
      <c r="B158" s="2" t="str">
        <f>IF(A158="","",'02_KICH_BAN_NODES'!E144)</f>
        <v/>
      </c>
      <c r="C158" s="2" t="str">
        <f>IF(A158="","",COUNTIF('03_LUA_CHON'!$A$5:$A$404,A158))</f>
        <v/>
      </c>
      <c r="D158" s="2" t="str">
        <f>IF(A158="","",COUNTIFS('03_LUA_CHON'!$A$5:$A$404,A158,'03_LUA_CHON'!$D$5:$D$404,"Có"))</f>
        <v/>
      </c>
      <c r="E158" s="2" t="str">
        <f t="shared" si="8"/>
        <v/>
      </c>
      <c r="F158" s="2" t="str">
        <f t="shared" si="9"/>
        <v/>
      </c>
    </row>
    <row r="159" spans="1:6">
      <c r="A159" s="2" t="str">
        <f>IF('02_KICH_BAN_NODES'!D145="choice",'02_KICH_BAN_NODES'!B145,"")</f>
        <v/>
      </c>
      <c r="B159" s="2" t="str">
        <f>IF(A159="","",'02_KICH_BAN_NODES'!E145)</f>
        <v/>
      </c>
      <c r="C159" s="2" t="str">
        <f>IF(A159="","",COUNTIF('03_LUA_CHON'!$A$5:$A$404,A159))</f>
        <v/>
      </c>
      <c r="D159" s="2" t="str">
        <f>IF(A159="","",COUNTIFS('03_LUA_CHON'!$A$5:$A$404,A159,'03_LUA_CHON'!$D$5:$D$404,"Có"))</f>
        <v/>
      </c>
      <c r="E159" s="2" t="str">
        <f t="shared" si="8"/>
        <v/>
      </c>
      <c r="F159" s="2" t="str">
        <f t="shared" si="9"/>
        <v/>
      </c>
    </row>
    <row r="160" spans="1:6">
      <c r="A160" s="2" t="str">
        <f>IF('02_KICH_BAN_NODES'!D146="choice",'02_KICH_BAN_NODES'!B146,"")</f>
        <v/>
      </c>
      <c r="B160" s="2" t="str">
        <f>IF(A160="","",'02_KICH_BAN_NODES'!E146)</f>
        <v/>
      </c>
      <c r="C160" s="2" t="str">
        <f>IF(A160="","",COUNTIF('03_LUA_CHON'!$A$5:$A$404,A160))</f>
        <v/>
      </c>
      <c r="D160" s="2" t="str">
        <f>IF(A160="","",COUNTIFS('03_LUA_CHON'!$A$5:$A$404,A160,'03_LUA_CHON'!$D$5:$D$404,"Có"))</f>
        <v/>
      </c>
      <c r="E160" s="2" t="str">
        <f t="shared" si="8"/>
        <v/>
      </c>
      <c r="F160" s="2" t="str">
        <f t="shared" si="9"/>
        <v/>
      </c>
    </row>
    <row r="161" spans="1:6">
      <c r="A161" s="2" t="str">
        <f>IF('02_KICH_BAN_NODES'!D147="choice",'02_KICH_BAN_NODES'!B147,"")</f>
        <v/>
      </c>
      <c r="B161" s="2" t="str">
        <f>IF(A161="","",'02_KICH_BAN_NODES'!E147)</f>
        <v/>
      </c>
      <c r="C161" s="2" t="str">
        <f>IF(A161="","",COUNTIF('03_LUA_CHON'!$A$5:$A$404,A161))</f>
        <v/>
      </c>
      <c r="D161" s="2" t="str">
        <f>IF(A161="","",COUNTIFS('03_LUA_CHON'!$A$5:$A$404,A161,'03_LUA_CHON'!$D$5:$D$404,"Có"))</f>
        <v/>
      </c>
      <c r="E161" s="2" t="str">
        <f t="shared" si="8"/>
        <v/>
      </c>
      <c r="F161" s="2" t="str">
        <f t="shared" si="9"/>
        <v/>
      </c>
    </row>
    <row r="162" spans="1:6">
      <c r="A162" s="2" t="str">
        <f>IF('02_KICH_BAN_NODES'!D148="choice",'02_KICH_BAN_NODES'!B148,"")</f>
        <v/>
      </c>
      <c r="B162" s="2" t="str">
        <f>IF(A162="","",'02_KICH_BAN_NODES'!E148)</f>
        <v/>
      </c>
      <c r="C162" s="2" t="str">
        <f>IF(A162="","",COUNTIF('03_LUA_CHON'!$A$5:$A$404,A162))</f>
        <v/>
      </c>
      <c r="D162" s="2" t="str">
        <f>IF(A162="","",COUNTIFS('03_LUA_CHON'!$A$5:$A$404,A162,'03_LUA_CHON'!$D$5:$D$404,"Có"))</f>
        <v/>
      </c>
      <c r="E162" s="2" t="str">
        <f t="shared" si="8"/>
        <v/>
      </c>
      <c r="F162" s="2" t="str">
        <f t="shared" si="9"/>
        <v/>
      </c>
    </row>
    <row r="163" spans="1:6">
      <c r="A163" s="2" t="str">
        <f>IF('02_KICH_BAN_NODES'!D149="choice",'02_KICH_BAN_NODES'!B149,"")</f>
        <v/>
      </c>
      <c r="B163" s="2" t="str">
        <f>IF(A163="","",'02_KICH_BAN_NODES'!E149)</f>
        <v/>
      </c>
      <c r="C163" s="2" t="str">
        <f>IF(A163="","",COUNTIF('03_LUA_CHON'!$A$5:$A$404,A163))</f>
        <v/>
      </c>
      <c r="D163" s="2" t="str">
        <f>IF(A163="","",COUNTIFS('03_LUA_CHON'!$A$5:$A$404,A163,'03_LUA_CHON'!$D$5:$D$404,"Có"))</f>
        <v/>
      </c>
      <c r="E163" s="2" t="str">
        <f t="shared" si="8"/>
        <v/>
      </c>
      <c r="F163" s="2" t="str">
        <f t="shared" si="9"/>
        <v/>
      </c>
    </row>
    <row r="164" spans="1:6">
      <c r="A164" s="2" t="str">
        <f>IF('02_KICH_BAN_NODES'!D150="choice",'02_KICH_BAN_NODES'!B150,"")</f>
        <v/>
      </c>
      <c r="B164" s="2" t="str">
        <f>IF(A164="","",'02_KICH_BAN_NODES'!E150)</f>
        <v/>
      </c>
      <c r="C164" s="2" t="str">
        <f>IF(A164="","",COUNTIF('03_LUA_CHON'!$A$5:$A$404,A164))</f>
        <v/>
      </c>
      <c r="D164" s="2" t="str">
        <f>IF(A164="","",COUNTIFS('03_LUA_CHON'!$A$5:$A$404,A164,'03_LUA_CHON'!$D$5:$D$404,"Có"))</f>
        <v/>
      </c>
      <c r="E164" s="2" t="str">
        <f t="shared" si="8"/>
        <v/>
      </c>
      <c r="F164" s="2" t="str">
        <f t="shared" si="9"/>
        <v/>
      </c>
    </row>
    <row r="165" spans="1:6">
      <c r="A165" s="2" t="str">
        <f>IF('02_KICH_BAN_NODES'!D151="choice",'02_KICH_BAN_NODES'!B151,"")</f>
        <v/>
      </c>
      <c r="B165" s="2" t="str">
        <f>IF(A165="","",'02_KICH_BAN_NODES'!E151)</f>
        <v/>
      </c>
      <c r="C165" s="2" t="str">
        <f>IF(A165="","",COUNTIF('03_LUA_CHON'!$A$5:$A$404,A165))</f>
        <v/>
      </c>
      <c r="D165" s="2" t="str">
        <f>IF(A165="","",COUNTIFS('03_LUA_CHON'!$A$5:$A$404,A165,'03_LUA_CHON'!$D$5:$D$404,"Có"))</f>
        <v/>
      </c>
      <c r="E165" s="2" t="str">
        <f t="shared" si="8"/>
        <v/>
      </c>
      <c r="F165" s="2" t="str">
        <f t="shared" si="9"/>
        <v/>
      </c>
    </row>
    <row r="166" spans="1:6">
      <c r="A166" s="2" t="str">
        <f>IF('02_KICH_BAN_NODES'!D152="choice",'02_KICH_BAN_NODES'!B152,"")</f>
        <v/>
      </c>
      <c r="B166" s="2" t="str">
        <f>IF(A166="","",'02_KICH_BAN_NODES'!E152)</f>
        <v/>
      </c>
      <c r="C166" s="2" t="str">
        <f>IF(A166="","",COUNTIF('03_LUA_CHON'!$A$5:$A$404,A166))</f>
        <v/>
      </c>
      <c r="D166" s="2" t="str">
        <f>IF(A166="","",COUNTIFS('03_LUA_CHON'!$A$5:$A$404,A166,'03_LUA_CHON'!$D$5:$D$404,"Có"))</f>
        <v/>
      </c>
      <c r="E166" s="2" t="str">
        <f t="shared" si="8"/>
        <v/>
      </c>
      <c r="F166" s="2" t="str">
        <f t="shared" si="9"/>
        <v/>
      </c>
    </row>
    <row r="167" spans="1:6">
      <c r="A167" s="2" t="str">
        <f>IF('02_KICH_BAN_NODES'!D153="choice",'02_KICH_BAN_NODES'!B153,"")</f>
        <v/>
      </c>
      <c r="B167" s="2" t="str">
        <f>IF(A167="","",'02_KICH_BAN_NODES'!E153)</f>
        <v/>
      </c>
      <c r="C167" s="2" t="str">
        <f>IF(A167="","",COUNTIF('03_LUA_CHON'!$A$5:$A$404,A167))</f>
        <v/>
      </c>
      <c r="D167" s="2" t="str">
        <f>IF(A167="","",COUNTIFS('03_LUA_CHON'!$A$5:$A$404,A167,'03_LUA_CHON'!$D$5:$D$404,"Có"))</f>
        <v/>
      </c>
      <c r="E167" s="2" t="str">
        <f t="shared" si="8"/>
        <v/>
      </c>
      <c r="F167" s="2" t="str">
        <f t="shared" si="9"/>
        <v/>
      </c>
    </row>
    <row r="168" spans="1:6">
      <c r="A168" s="2" t="str">
        <f>IF('02_KICH_BAN_NODES'!D154="choice",'02_KICH_BAN_NODES'!B154,"")</f>
        <v/>
      </c>
      <c r="B168" s="2" t="str">
        <f>IF(A168="","",'02_KICH_BAN_NODES'!E154)</f>
        <v/>
      </c>
      <c r="C168" s="2" t="str">
        <f>IF(A168="","",COUNTIF('03_LUA_CHON'!$A$5:$A$404,A168))</f>
        <v/>
      </c>
      <c r="D168" s="2" t="str">
        <f>IF(A168="","",COUNTIFS('03_LUA_CHON'!$A$5:$A$404,A168,'03_LUA_CHON'!$D$5:$D$404,"Có"))</f>
        <v/>
      </c>
      <c r="E168" s="2" t="str">
        <f t="shared" si="8"/>
        <v/>
      </c>
      <c r="F168" s="2" t="str">
        <f t="shared" si="9"/>
        <v/>
      </c>
    </row>
    <row r="169" spans="1:6">
      <c r="A169" s="2" t="str">
        <f>IF('02_KICH_BAN_NODES'!D155="choice",'02_KICH_BAN_NODES'!B155,"")</f>
        <v/>
      </c>
      <c r="B169" s="2" t="str">
        <f>IF(A169="","",'02_KICH_BAN_NODES'!E155)</f>
        <v/>
      </c>
      <c r="C169" s="2" t="str">
        <f>IF(A169="","",COUNTIF('03_LUA_CHON'!$A$5:$A$404,A169))</f>
        <v/>
      </c>
      <c r="D169" s="2" t="str">
        <f>IF(A169="","",COUNTIFS('03_LUA_CHON'!$A$5:$A$404,A169,'03_LUA_CHON'!$D$5:$D$404,"Có"))</f>
        <v/>
      </c>
      <c r="E169" s="2" t="str">
        <f t="shared" si="8"/>
        <v/>
      </c>
      <c r="F169" s="2" t="str">
        <f t="shared" si="9"/>
        <v/>
      </c>
    </row>
    <row r="170" spans="1:6">
      <c r="A170" s="2" t="str">
        <f>IF('02_KICH_BAN_NODES'!D156="choice",'02_KICH_BAN_NODES'!B156,"")</f>
        <v/>
      </c>
      <c r="B170" s="2" t="str">
        <f>IF(A170="","",'02_KICH_BAN_NODES'!E156)</f>
        <v/>
      </c>
      <c r="C170" s="2" t="str">
        <f>IF(A170="","",COUNTIF('03_LUA_CHON'!$A$5:$A$404,A170))</f>
        <v/>
      </c>
      <c r="D170" s="2" t="str">
        <f>IF(A170="","",COUNTIFS('03_LUA_CHON'!$A$5:$A$404,A170,'03_LUA_CHON'!$D$5:$D$404,"Có"))</f>
        <v/>
      </c>
      <c r="E170" s="2" t="str">
        <f t="shared" si="8"/>
        <v/>
      </c>
      <c r="F170" s="2" t="str">
        <f t="shared" si="9"/>
        <v/>
      </c>
    </row>
    <row r="171" spans="1:6">
      <c r="A171" s="2" t="str">
        <f>IF('02_KICH_BAN_NODES'!D157="choice",'02_KICH_BAN_NODES'!B157,"")</f>
        <v/>
      </c>
      <c r="B171" s="2" t="str">
        <f>IF(A171="","",'02_KICH_BAN_NODES'!E157)</f>
        <v/>
      </c>
      <c r="C171" s="2" t="str">
        <f>IF(A171="","",COUNTIF('03_LUA_CHON'!$A$5:$A$404,A171))</f>
        <v/>
      </c>
      <c r="D171" s="2" t="str">
        <f>IF(A171="","",COUNTIFS('03_LUA_CHON'!$A$5:$A$404,A171,'03_LUA_CHON'!$D$5:$D$404,"Có"))</f>
        <v/>
      </c>
      <c r="E171" s="2" t="str">
        <f t="shared" si="8"/>
        <v/>
      </c>
      <c r="F171" s="2" t="str">
        <f t="shared" si="9"/>
        <v/>
      </c>
    </row>
    <row r="172" spans="1:6">
      <c r="A172" s="2" t="str">
        <f>IF('02_KICH_BAN_NODES'!D158="choice",'02_KICH_BAN_NODES'!B158,"")</f>
        <v/>
      </c>
      <c r="B172" s="2" t="str">
        <f>IF(A172="","",'02_KICH_BAN_NODES'!E158)</f>
        <v/>
      </c>
      <c r="C172" s="2" t="str">
        <f>IF(A172="","",COUNTIF('03_LUA_CHON'!$A$5:$A$404,A172))</f>
        <v/>
      </c>
      <c r="D172" s="2" t="str">
        <f>IF(A172="","",COUNTIFS('03_LUA_CHON'!$A$5:$A$404,A172,'03_LUA_CHON'!$D$5:$D$404,"Có"))</f>
        <v/>
      </c>
      <c r="E172" s="2" t="str">
        <f t="shared" si="8"/>
        <v/>
      </c>
      <c r="F172" s="2" t="str">
        <f t="shared" si="9"/>
        <v/>
      </c>
    </row>
    <row r="173" spans="1:6">
      <c r="A173" s="2" t="str">
        <f>IF('02_KICH_BAN_NODES'!D159="choice",'02_KICH_BAN_NODES'!B159,"")</f>
        <v/>
      </c>
      <c r="B173" s="2" t="str">
        <f>IF(A173="","",'02_KICH_BAN_NODES'!E159)</f>
        <v/>
      </c>
      <c r="C173" s="2" t="str">
        <f>IF(A173="","",COUNTIF('03_LUA_CHON'!$A$5:$A$404,A173))</f>
        <v/>
      </c>
      <c r="D173" s="2" t="str">
        <f>IF(A173="","",COUNTIFS('03_LUA_CHON'!$A$5:$A$404,A173,'03_LUA_CHON'!$D$5:$D$404,"Có"))</f>
        <v/>
      </c>
      <c r="E173" s="2" t="str">
        <f t="shared" si="8"/>
        <v/>
      </c>
      <c r="F173" s="2" t="str">
        <f t="shared" si="9"/>
        <v/>
      </c>
    </row>
    <row r="174" spans="1:6">
      <c r="A174" s="2" t="str">
        <f>IF('02_KICH_BAN_NODES'!D160="choice",'02_KICH_BAN_NODES'!B160,"")</f>
        <v/>
      </c>
      <c r="B174" s="2" t="str">
        <f>IF(A174="","",'02_KICH_BAN_NODES'!E160)</f>
        <v/>
      </c>
      <c r="C174" s="2" t="str">
        <f>IF(A174="","",COUNTIF('03_LUA_CHON'!$A$5:$A$404,A174))</f>
        <v/>
      </c>
      <c r="D174" s="2" t="str">
        <f>IF(A174="","",COUNTIFS('03_LUA_CHON'!$A$5:$A$404,A174,'03_LUA_CHON'!$D$5:$D$404,"Có"))</f>
        <v/>
      </c>
      <c r="E174" s="2" t="str">
        <f t="shared" si="8"/>
        <v/>
      </c>
      <c r="F174" s="2" t="str">
        <f t="shared" si="9"/>
        <v/>
      </c>
    </row>
    <row r="175" spans="1:6">
      <c r="A175" s="2" t="str">
        <f>IF('02_KICH_BAN_NODES'!D161="choice",'02_KICH_BAN_NODES'!B161,"")</f>
        <v/>
      </c>
      <c r="B175" s="2" t="str">
        <f>IF(A175="","",'02_KICH_BAN_NODES'!E161)</f>
        <v/>
      </c>
      <c r="C175" s="2" t="str">
        <f>IF(A175="","",COUNTIF('03_LUA_CHON'!$A$5:$A$404,A175))</f>
        <v/>
      </c>
      <c r="D175" s="2" t="str">
        <f>IF(A175="","",COUNTIFS('03_LUA_CHON'!$A$5:$A$404,A175,'03_LUA_CHON'!$D$5:$D$404,"Có"))</f>
        <v/>
      </c>
      <c r="E175" s="2" t="str">
        <f t="shared" si="8"/>
        <v/>
      </c>
      <c r="F175" s="2" t="str">
        <f t="shared" si="9"/>
        <v/>
      </c>
    </row>
    <row r="176" spans="1:6">
      <c r="A176" s="2" t="str">
        <f>IF('02_KICH_BAN_NODES'!D162="choice",'02_KICH_BAN_NODES'!B162,"")</f>
        <v/>
      </c>
      <c r="B176" s="2" t="str">
        <f>IF(A176="","",'02_KICH_BAN_NODES'!E162)</f>
        <v/>
      </c>
      <c r="C176" s="2" t="str">
        <f>IF(A176="","",COUNTIF('03_LUA_CHON'!$A$5:$A$404,A176))</f>
        <v/>
      </c>
      <c r="D176" s="2" t="str">
        <f>IF(A176="","",COUNTIFS('03_LUA_CHON'!$A$5:$A$404,A176,'03_LUA_CHON'!$D$5:$D$404,"Có"))</f>
        <v/>
      </c>
      <c r="E176" s="2" t="str">
        <f t="shared" si="8"/>
        <v/>
      </c>
      <c r="F176" s="2" t="str">
        <f t="shared" si="9"/>
        <v/>
      </c>
    </row>
    <row r="177" spans="1:6">
      <c r="A177" s="2" t="str">
        <f>IF('02_KICH_BAN_NODES'!D163="choice",'02_KICH_BAN_NODES'!B163,"")</f>
        <v/>
      </c>
      <c r="B177" s="2" t="str">
        <f>IF(A177="","",'02_KICH_BAN_NODES'!E163)</f>
        <v/>
      </c>
      <c r="C177" s="2" t="str">
        <f>IF(A177="","",COUNTIF('03_LUA_CHON'!$A$5:$A$404,A177))</f>
        <v/>
      </c>
      <c r="D177" s="2" t="str">
        <f>IF(A177="","",COUNTIFS('03_LUA_CHON'!$A$5:$A$404,A177,'03_LUA_CHON'!$D$5:$D$404,"Có"))</f>
        <v/>
      </c>
      <c r="E177" s="2" t="str">
        <f t="shared" si="8"/>
        <v/>
      </c>
      <c r="F177" s="2" t="str">
        <f t="shared" si="9"/>
        <v/>
      </c>
    </row>
    <row r="178" spans="1:6">
      <c r="A178" s="2" t="str">
        <f>IF('02_KICH_BAN_NODES'!D164="choice",'02_KICH_BAN_NODES'!B164,"")</f>
        <v/>
      </c>
      <c r="B178" s="2" t="str">
        <f>IF(A178="","",'02_KICH_BAN_NODES'!E164)</f>
        <v/>
      </c>
      <c r="C178" s="2" t="str">
        <f>IF(A178="","",COUNTIF('03_LUA_CHON'!$A$5:$A$404,A178))</f>
        <v/>
      </c>
      <c r="D178" s="2" t="str">
        <f>IF(A178="","",COUNTIFS('03_LUA_CHON'!$A$5:$A$404,A178,'03_LUA_CHON'!$D$5:$D$404,"Có"))</f>
        <v/>
      </c>
      <c r="E178" s="2" t="str">
        <f t="shared" si="8"/>
        <v/>
      </c>
      <c r="F178" s="2" t="str">
        <f t="shared" si="9"/>
        <v/>
      </c>
    </row>
    <row r="179" spans="1:6">
      <c r="A179" s="2" t="str">
        <f>IF('02_KICH_BAN_NODES'!D165="choice",'02_KICH_BAN_NODES'!B165,"")</f>
        <v/>
      </c>
      <c r="B179" s="2" t="str">
        <f>IF(A179="","",'02_KICH_BAN_NODES'!E165)</f>
        <v/>
      </c>
      <c r="C179" s="2" t="str">
        <f>IF(A179="","",COUNTIF('03_LUA_CHON'!$A$5:$A$404,A179))</f>
        <v/>
      </c>
      <c r="D179" s="2" t="str">
        <f>IF(A179="","",COUNTIFS('03_LUA_CHON'!$A$5:$A$404,A179,'03_LUA_CHON'!$D$5:$D$404,"Có"))</f>
        <v/>
      </c>
      <c r="E179" s="2" t="str">
        <f t="shared" ref="E179:E210" si="10">IF(A179="","",IF(OR(C179&lt;2,C179&gt;4),"CẦN SỬA",IF(AND(B179="Kiến thức",D179=1),"HỢP LỆ",IF(AND(B179="Tương tác",D179=0),"HỢP LỆ","CẦN SỬA"))))</f>
        <v/>
      </c>
      <c r="F179" s="2" t="str">
        <f t="shared" ref="F179:F210" si="11">IF(A179="","",IF(OR(C179&lt;2,C179&gt;4),"Cần 2–4 option",IF(AND(B179="Kiến thức",D179&lt;&gt;1),"Câu kiến thức cần đúng 1 đáp án đúng",IF(AND(B179="Tương tác",D179&lt;&gt;0),"Câu tương tác không có đáp án đúng",IF(B179="","Thiếu ChoiceMode","")))))</f>
        <v/>
      </c>
    </row>
    <row r="180" spans="1:6">
      <c r="A180" s="2" t="str">
        <f>IF('02_KICH_BAN_NODES'!D166="choice",'02_KICH_BAN_NODES'!B166,"")</f>
        <v/>
      </c>
      <c r="B180" s="2" t="str">
        <f>IF(A180="","",'02_KICH_BAN_NODES'!E166)</f>
        <v/>
      </c>
      <c r="C180" s="2" t="str">
        <f>IF(A180="","",COUNTIF('03_LUA_CHON'!$A$5:$A$404,A180))</f>
        <v/>
      </c>
      <c r="D180" s="2" t="str">
        <f>IF(A180="","",COUNTIFS('03_LUA_CHON'!$A$5:$A$404,A180,'03_LUA_CHON'!$D$5:$D$404,"Có"))</f>
        <v/>
      </c>
      <c r="E180" s="2" t="str">
        <f t="shared" si="10"/>
        <v/>
      </c>
      <c r="F180" s="2" t="str">
        <f t="shared" si="11"/>
        <v/>
      </c>
    </row>
    <row r="181" spans="1:6">
      <c r="A181" s="2" t="str">
        <f>IF('02_KICH_BAN_NODES'!D167="choice",'02_KICH_BAN_NODES'!B167,"")</f>
        <v/>
      </c>
      <c r="B181" s="2" t="str">
        <f>IF(A181="","",'02_KICH_BAN_NODES'!E167)</f>
        <v/>
      </c>
      <c r="C181" s="2" t="str">
        <f>IF(A181="","",COUNTIF('03_LUA_CHON'!$A$5:$A$404,A181))</f>
        <v/>
      </c>
      <c r="D181" s="2" t="str">
        <f>IF(A181="","",COUNTIFS('03_LUA_CHON'!$A$5:$A$404,A181,'03_LUA_CHON'!$D$5:$D$404,"Có"))</f>
        <v/>
      </c>
      <c r="E181" s="2" t="str">
        <f t="shared" si="10"/>
        <v/>
      </c>
      <c r="F181" s="2" t="str">
        <f t="shared" si="11"/>
        <v/>
      </c>
    </row>
    <row r="182" spans="1:6">
      <c r="A182" s="2" t="str">
        <f>IF('02_KICH_BAN_NODES'!D168="choice",'02_KICH_BAN_NODES'!B168,"")</f>
        <v/>
      </c>
      <c r="B182" s="2" t="str">
        <f>IF(A182="","",'02_KICH_BAN_NODES'!E168)</f>
        <v/>
      </c>
      <c r="C182" s="2" t="str">
        <f>IF(A182="","",COUNTIF('03_LUA_CHON'!$A$5:$A$404,A182))</f>
        <v/>
      </c>
      <c r="D182" s="2" t="str">
        <f>IF(A182="","",COUNTIFS('03_LUA_CHON'!$A$5:$A$404,A182,'03_LUA_CHON'!$D$5:$D$404,"Có"))</f>
        <v/>
      </c>
      <c r="E182" s="2" t="str">
        <f t="shared" si="10"/>
        <v/>
      </c>
      <c r="F182" s="2" t="str">
        <f t="shared" si="11"/>
        <v/>
      </c>
    </row>
    <row r="183" spans="1:6">
      <c r="A183" s="2" t="str">
        <f>IF('02_KICH_BAN_NODES'!D169="choice",'02_KICH_BAN_NODES'!B169,"")</f>
        <v/>
      </c>
      <c r="B183" s="2" t="str">
        <f>IF(A183="","",'02_KICH_BAN_NODES'!E169)</f>
        <v/>
      </c>
      <c r="C183" s="2" t="str">
        <f>IF(A183="","",COUNTIF('03_LUA_CHON'!$A$5:$A$404,A183))</f>
        <v/>
      </c>
      <c r="D183" s="2" t="str">
        <f>IF(A183="","",COUNTIFS('03_LUA_CHON'!$A$5:$A$404,A183,'03_LUA_CHON'!$D$5:$D$404,"Có"))</f>
        <v/>
      </c>
      <c r="E183" s="2" t="str">
        <f t="shared" si="10"/>
        <v/>
      </c>
      <c r="F183" s="2" t="str">
        <f t="shared" si="11"/>
        <v/>
      </c>
    </row>
    <row r="184" spans="1:6">
      <c r="A184" s="2" t="str">
        <f>IF('02_KICH_BAN_NODES'!D170="choice",'02_KICH_BAN_NODES'!B170,"")</f>
        <v/>
      </c>
      <c r="B184" s="2" t="str">
        <f>IF(A184="","",'02_KICH_BAN_NODES'!E170)</f>
        <v/>
      </c>
      <c r="C184" s="2" t="str">
        <f>IF(A184="","",COUNTIF('03_LUA_CHON'!$A$5:$A$404,A184))</f>
        <v/>
      </c>
      <c r="D184" s="2" t="str">
        <f>IF(A184="","",COUNTIFS('03_LUA_CHON'!$A$5:$A$404,A184,'03_LUA_CHON'!$D$5:$D$404,"Có"))</f>
        <v/>
      </c>
      <c r="E184" s="2" t="str">
        <f t="shared" si="10"/>
        <v/>
      </c>
      <c r="F184" s="2" t="str">
        <f t="shared" si="11"/>
        <v/>
      </c>
    </row>
    <row r="185" spans="1:6">
      <c r="A185" s="2" t="str">
        <f>IF('02_KICH_BAN_NODES'!D171="choice",'02_KICH_BAN_NODES'!B171,"")</f>
        <v/>
      </c>
      <c r="B185" s="2" t="str">
        <f>IF(A185="","",'02_KICH_BAN_NODES'!E171)</f>
        <v/>
      </c>
      <c r="C185" s="2" t="str">
        <f>IF(A185="","",COUNTIF('03_LUA_CHON'!$A$5:$A$404,A185))</f>
        <v/>
      </c>
      <c r="D185" s="2" t="str">
        <f>IF(A185="","",COUNTIFS('03_LUA_CHON'!$A$5:$A$404,A185,'03_LUA_CHON'!$D$5:$D$404,"Có"))</f>
        <v/>
      </c>
      <c r="E185" s="2" t="str">
        <f t="shared" si="10"/>
        <v/>
      </c>
      <c r="F185" s="2" t="str">
        <f t="shared" si="11"/>
        <v/>
      </c>
    </row>
    <row r="186" spans="1:6">
      <c r="A186" s="2" t="str">
        <f>IF('02_KICH_BAN_NODES'!D172="choice",'02_KICH_BAN_NODES'!B172,"")</f>
        <v/>
      </c>
      <c r="B186" s="2" t="str">
        <f>IF(A186="","",'02_KICH_BAN_NODES'!E172)</f>
        <v/>
      </c>
      <c r="C186" s="2" t="str">
        <f>IF(A186="","",COUNTIF('03_LUA_CHON'!$A$5:$A$404,A186))</f>
        <v/>
      </c>
      <c r="D186" s="2" t="str">
        <f>IF(A186="","",COUNTIFS('03_LUA_CHON'!$A$5:$A$404,A186,'03_LUA_CHON'!$D$5:$D$404,"Có"))</f>
        <v/>
      </c>
      <c r="E186" s="2" t="str">
        <f t="shared" si="10"/>
        <v/>
      </c>
      <c r="F186" s="2" t="str">
        <f t="shared" si="11"/>
        <v/>
      </c>
    </row>
    <row r="187" spans="1:6">
      <c r="A187" s="2" t="str">
        <f>IF('02_KICH_BAN_NODES'!D173="choice",'02_KICH_BAN_NODES'!B173,"")</f>
        <v/>
      </c>
      <c r="B187" s="2" t="str">
        <f>IF(A187="","",'02_KICH_BAN_NODES'!E173)</f>
        <v/>
      </c>
      <c r="C187" s="2" t="str">
        <f>IF(A187="","",COUNTIF('03_LUA_CHON'!$A$5:$A$404,A187))</f>
        <v/>
      </c>
      <c r="D187" s="2" t="str">
        <f>IF(A187="","",COUNTIFS('03_LUA_CHON'!$A$5:$A$404,A187,'03_LUA_CHON'!$D$5:$D$404,"Có"))</f>
        <v/>
      </c>
      <c r="E187" s="2" t="str">
        <f t="shared" si="10"/>
        <v/>
      </c>
      <c r="F187" s="2" t="str">
        <f t="shared" si="11"/>
        <v/>
      </c>
    </row>
    <row r="188" spans="1:6">
      <c r="A188" s="2" t="str">
        <f>IF('02_KICH_BAN_NODES'!D174="choice",'02_KICH_BAN_NODES'!B174,"")</f>
        <v/>
      </c>
      <c r="B188" s="2" t="str">
        <f>IF(A188="","",'02_KICH_BAN_NODES'!E174)</f>
        <v/>
      </c>
      <c r="C188" s="2" t="str">
        <f>IF(A188="","",COUNTIF('03_LUA_CHON'!$A$5:$A$404,A188))</f>
        <v/>
      </c>
      <c r="D188" s="2" t="str">
        <f>IF(A188="","",COUNTIFS('03_LUA_CHON'!$A$5:$A$404,A188,'03_LUA_CHON'!$D$5:$D$404,"Có"))</f>
        <v/>
      </c>
      <c r="E188" s="2" t="str">
        <f t="shared" si="10"/>
        <v/>
      </c>
      <c r="F188" s="2" t="str">
        <f t="shared" si="11"/>
        <v/>
      </c>
    </row>
    <row r="189" spans="1:6">
      <c r="A189" s="2" t="str">
        <f>IF('02_KICH_BAN_NODES'!D175="choice",'02_KICH_BAN_NODES'!B175,"")</f>
        <v/>
      </c>
      <c r="B189" s="2" t="str">
        <f>IF(A189="","",'02_KICH_BAN_NODES'!E175)</f>
        <v/>
      </c>
      <c r="C189" s="2" t="str">
        <f>IF(A189="","",COUNTIF('03_LUA_CHON'!$A$5:$A$404,A189))</f>
        <v/>
      </c>
      <c r="D189" s="2" t="str">
        <f>IF(A189="","",COUNTIFS('03_LUA_CHON'!$A$5:$A$404,A189,'03_LUA_CHON'!$D$5:$D$404,"Có"))</f>
        <v/>
      </c>
      <c r="E189" s="2" t="str">
        <f t="shared" si="10"/>
        <v/>
      </c>
      <c r="F189" s="2" t="str">
        <f t="shared" si="11"/>
        <v/>
      </c>
    </row>
    <row r="190" spans="1:6">
      <c r="A190" s="2" t="str">
        <f>IF('02_KICH_BAN_NODES'!D176="choice",'02_KICH_BAN_NODES'!B176,"")</f>
        <v/>
      </c>
      <c r="B190" s="2" t="str">
        <f>IF(A190="","",'02_KICH_BAN_NODES'!E176)</f>
        <v/>
      </c>
      <c r="C190" s="2" t="str">
        <f>IF(A190="","",COUNTIF('03_LUA_CHON'!$A$5:$A$404,A190))</f>
        <v/>
      </c>
      <c r="D190" s="2" t="str">
        <f>IF(A190="","",COUNTIFS('03_LUA_CHON'!$A$5:$A$404,A190,'03_LUA_CHON'!$D$5:$D$404,"Có"))</f>
        <v/>
      </c>
      <c r="E190" s="2" t="str">
        <f t="shared" si="10"/>
        <v/>
      </c>
      <c r="F190" s="2" t="str">
        <f t="shared" si="11"/>
        <v/>
      </c>
    </row>
    <row r="191" spans="1:6">
      <c r="A191" s="2" t="str">
        <f>IF('02_KICH_BAN_NODES'!D177="choice",'02_KICH_BAN_NODES'!B177,"")</f>
        <v/>
      </c>
      <c r="B191" s="2" t="str">
        <f>IF(A191="","",'02_KICH_BAN_NODES'!E177)</f>
        <v/>
      </c>
      <c r="C191" s="2" t="str">
        <f>IF(A191="","",COUNTIF('03_LUA_CHON'!$A$5:$A$404,A191))</f>
        <v/>
      </c>
      <c r="D191" s="2" t="str">
        <f>IF(A191="","",COUNTIFS('03_LUA_CHON'!$A$5:$A$404,A191,'03_LUA_CHON'!$D$5:$D$404,"Có"))</f>
        <v/>
      </c>
      <c r="E191" s="2" t="str">
        <f t="shared" si="10"/>
        <v/>
      </c>
      <c r="F191" s="2" t="str">
        <f t="shared" si="11"/>
        <v/>
      </c>
    </row>
    <row r="192" spans="1:6">
      <c r="A192" s="2" t="str">
        <f>IF('02_KICH_BAN_NODES'!D178="choice",'02_KICH_BAN_NODES'!B178,"")</f>
        <v/>
      </c>
      <c r="B192" s="2" t="str">
        <f>IF(A192="","",'02_KICH_BAN_NODES'!E178)</f>
        <v/>
      </c>
      <c r="C192" s="2" t="str">
        <f>IF(A192="","",COUNTIF('03_LUA_CHON'!$A$5:$A$404,A192))</f>
        <v/>
      </c>
      <c r="D192" s="2" t="str">
        <f>IF(A192="","",COUNTIFS('03_LUA_CHON'!$A$5:$A$404,A192,'03_LUA_CHON'!$D$5:$D$404,"Có"))</f>
        <v/>
      </c>
      <c r="E192" s="2" t="str">
        <f t="shared" si="10"/>
        <v/>
      </c>
      <c r="F192" s="2" t="str">
        <f t="shared" si="11"/>
        <v/>
      </c>
    </row>
    <row r="193" spans="1:6">
      <c r="A193" s="2" t="str">
        <f>IF('02_KICH_BAN_NODES'!D179="choice",'02_KICH_BAN_NODES'!B179,"")</f>
        <v/>
      </c>
      <c r="B193" s="2" t="str">
        <f>IF(A193="","",'02_KICH_BAN_NODES'!E179)</f>
        <v/>
      </c>
      <c r="C193" s="2" t="str">
        <f>IF(A193="","",COUNTIF('03_LUA_CHON'!$A$5:$A$404,A193))</f>
        <v/>
      </c>
      <c r="D193" s="2" t="str">
        <f>IF(A193="","",COUNTIFS('03_LUA_CHON'!$A$5:$A$404,A193,'03_LUA_CHON'!$D$5:$D$404,"Có"))</f>
        <v/>
      </c>
      <c r="E193" s="2" t="str">
        <f t="shared" si="10"/>
        <v/>
      </c>
      <c r="F193" s="2" t="str">
        <f t="shared" si="11"/>
        <v/>
      </c>
    </row>
    <row r="194" spans="1:6">
      <c r="A194" s="2" t="str">
        <f>IF('02_KICH_BAN_NODES'!D180="choice",'02_KICH_BAN_NODES'!B180,"")</f>
        <v/>
      </c>
      <c r="B194" s="2" t="str">
        <f>IF(A194="","",'02_KICH_BAN_NODES'!E180)</f>
        <v/>
      </c>
      <c r="C194" s="2" t="str">
        <f>IF(A194="","",COUNTIF('03_LUA_CHON'!$A$5:$A$404,A194))</f>
        <v/>
      </c>
      <c r="D194" s="2" t="str">
        <f>IF(A194="","",COUNTIFS('03_LUA_CHON'!$A$5:$A$404,A194,'03_LUA_CHON'!$D$5:$D$404,"Có"))</f>
        <v/>
      </c>
      <c r="E194" s="2" t="str">
        <f t="shared" si="10"/>
        <v/>
      </c>
      <c r="F194" s="2" t="str">
        <f t="shared" si="11"/>
        <v/>
      </c>
    </row>
    <row r="195" spans="1:6">
      <c r="A195" s="2" t="str">
        <f>IF('02_KICH_BAN_NODES'!D181="choice",'02_KICH_BAN_NODES'!B181,"")</f>
        <v/>
      </c>
      <c r="B195" s="2" t="str">
        <f>IF(A195="","",'02_KICH_BAN_NODES'!E181)</f>
        <v/>
      </c>
      <c r="C195" s="2" t="str">
        <f>IF(A195="","",COUNTIF('03_LUA_CHON'!$A$5:$A$404,A195))</f>
        <v/>
      </c>
      <c r="D195" s="2" t="str">
        <f>IF(A195="","",COUNTIFS('03_LUA_CHON'!$A$5:$A$404,A195,'03_LUA_CHON'!$D$5:$D$404,"Có"))</f>
        <v/>
      </c>
      <c r="E195" s="2" t="str">
        <f t="shared" si="10"/>
        <v/>
      </c>
      <c r="F195" s="2" t="str">
        <f t="shared" si="11"/>
        <v/>
      </c>
    </row>
    <row r="196" spans="1:6">
      <c r="A196" s="2" t="str">
        <f>IF('02_KICH_BAN_NODES'!D182="choice",'02_KICH_BAN_NODES'!B182,"")</f>
        <v/>
      </c>
      <c r="B196" s="2" t="str">
        <f>IF(A196="","",'02_KICH_BAN_NODES'!E182)</f>
        <v/>
      </c>
      <c r="C196" s="2" t="str">
        <f>IF(A196="","",COUNTIF('03_LUA_CHON'!$A$5:$A$404,A196))</f>
        <v/>
      </c>
      <c r="D196" s="2" t="str">
        <f>IF(A196="","",COUNTIFS('03_LUA_CHON'!$A$5:$A$404,A196,'03_LUA_CHON'!$D$5:$D$404,"Có"))</f>
        <v/>
      </c>
      <c r="E196" s="2" t="str">
        <f t="shared" si="10"/>
        <v/>
      </c>
      <c r="F196" s="2" t="str">
        <f t="shared" si="11"/>
        <v/>
      </c>
    </row>
    <row r="197" spans="1:6">
      <c r="A197" s="2" t="str">
        <f>IF('02_KICH_BAN_NODES'!D183="choice",'02_KICH_BAN_NODES'!B183,"")</f>
        <v/>
      </c>
      <c r="B197" s="2" t="str">
        <f>IF(A197="","",'02_KICH_BAN_NODES'!E183)</f>
        <v/>
      </c>
      <c r="C197" s="2" t="str">
        <f>IF(A197="","",COUNTIF('03_LUA_CHON'!$A$5:$A$404,A197))</f>
        <v/>
      </c>
      <c r="D197" s="2" t="str">
        <f>IF(A197="","",COUNTIFS('03_LUA_CHON'!$A$5:$A$404,A197,'03_LUA_CHON'!$D$5:$D$404,"Có"))</f>
        <v/>
      </c>
      <c r="E197" s="2" t="str">
        <f t="shared" si="10"/>
        <v/>
      </c>
      <c r="F197" s="2" t="str">
        <f t="shared" si="11"/>
        <v/>
      </c>
    </row>
    <row r="198" spans="1:6">
      <c r="A198" s="2" t="str">
        <f>IF('02_KICH_BAN_NODES'!D184="choice",'02_KICH_BAN_NODES'!B184,"")</f>
        <v/>
      </c>
      <c r="B198" s="2" t="str">
        <f>IF(A198="","",'02_KICH_BAN_NODES'!E184)</f>
        <v/>
      </c>
      <c r="C198" s="2" t="str">
        <f>IF(A198="","",COUNTIF('03_LUA_CHON'!$A$5:$A$404,A198))</f>
        <v/>
      </c>
      <c r="D198" s="2" t="str">
        <f>IF(A198="","",COUNTIFS('03_LUA_CHON'!$A$5:$A$404,A198,'03_LUA_CHON'!$D$5:$D$404,"Có"))</f>
        <v/>
      </c>
      <c r="E198" s="2" t="str">
        <f t="shared" si="10"/>
        <v/>
      </c>
      <c r="F198" s="2" t="str">
        <f t="shared" si="11"/>
        <v/>
      </c>
    </row>
    <row r="199" spans="1:6">
      <c r="A199" s="2" t="str">
        <f>IF('02_KICH_BAN_NODES'!D185="choice",'02_KICH_BAN_NODES'!B185,"")</f>
        <v/>
      </c>
      <c r="B199" s="2" t="str">
        <f>IF(A199="","",'02_KICH_BAN_NODES'!E185)</f>
        <v/>
      </c>
      <c r="C199" s="2" t="str">
        <f>IF(A199="","",COUNTIF('03_LUA_CHON'!$A$5:$A$404,A199))</f>
        <v/>
      </c>
      <c r="D199" s="2" t="str">
        <f>IF(A199="","",COUNTIFS('03_LUA_CHON'!$A$5:$A$404,A199,'03_LUA_CHON'!$D$5:$D$404,"Có"))</f>
        <v/>
      </c>
      <c r="E199" s="2" t="str">
        <f t="shared" si="10"/>
        <v/>
      </c>
      <c r="F199" s="2" t="str">
        <f t="shared" si="11"/>
        <v/>
      </c>
    </row>
    <row r="200" spans="1:6">
      <c r="A200" s="2" t="str">
        <f>IF('02_KICH_BAN_NODES'!D186="choice",'02_KICH_BAN_NODES'!B186,"")</f>
        <v/>
      </c>
      <c r="B200" s="2" t="str">
        <f>IF(A200="","",'02_KICH_BAN_NODES'!E186)</f>
        <v/>
      </c>
      <c r="C200" s="2" t="str">
        <f>IF(A200="","",COUNTIF('03_LUA_CHON'!$A$5:$A$404,A200))</f>
        <v/>
      </c>
      <c r="D200" s="2" t="str">
        <f>IF(A200="","",COUNTIFS('03_LUA_CHON'!$A$5:$A$404,A200,'03_LUA_CHON'!$D$5:$D$404,"Có"))</f>
        <v/>
      </c>
      <c r="E200" s="2" t="str">
        <f t="shared" si="10"/>
        <v/>
      </c>
      <c r="F200" s="2" t="str">
        <f t="shared" si="11"/>
        <v/>
      </c>
    </row>
    <row r="201" spans="1:6">
      <c r="A201" s="2" t="str">
        <f>IF('02_KICH_BAN_NODES'!D187="choice",'02_KICH_BAN_NODES'!B187,"")</f>
        <v/>
      </c>
      <c r="B201" s="2" t="str">
        <f>IF(A201="","",'02_KICH_BAN_NODES'!E187)</f>
        <v/>
      </c>
      <c r="C201" s="2" t="str">
        <f>IF(A201="","",COUNTIF('03_LUA_CHON'!$A$5:$A$404,A201))</f>
        <v/>
      </c>
      <c r="D201" s="2" t="str">
        <f>IF(A201="","",COUNTIFS('03_LUA_CHON'!$A$5:$A$404,A201,'03_LUA_CHON'!$D$5:$D$404,"Có"))</f>
        <v/>
      </c>
      <c r="E201" s="2" t="str">
        <f t="shared" si="10"/>
        <v/>
      </c>
      <c r="F201" s="2" t="str">
        <f t="shared" si="11"/>
        <v/>
      </c>
    </row>
    <row r="202" spans="1:6">
      <c r="A202" s="2" t="str">
        <f>IF('02_KICH_BAN_NODES'!D188="choice",'02_KICH_BAN_NODES'!B188,"")</f>
        <v/>
      </c>
      <c r="B202" s="2" t="str">
        <f>IF(A202="","",'02_KICH_BAN_NODES'!E188)</f>
        <v/>
      </c>
      <c r="C202" s="2" t="str">
        <f>IF(A202="","",COUNTIF('03_LUA_CHON'!$A$5:$A$404,A202))</f>
        <v/>
      </c>
      <c r="D202" s="2" t="str">
        <f>IF(A202="","",COUNTIFS('03_LUA_CHON'!$A$5:$A$404,A202,'03_LUA_CHON'!$D$5:$D$404,"Có"))</f>
        <v/>
      </c>
      <c r="E202" s="2" t="str">
        <f t="shared" si="10"/>
        <v/>
      </c>
      <c r="F202" s="2" t="str">
        <f t="shared" si="11"/>
        <v/>
      </c>
    </row>
    <row r="203" spans="1:6">
      <c r="A203" s="2" t="str">
        <f>IF('02_KICH_BAN_NODES'!D189="choice",'02_KICH_BAN_NODES'!B189,"")</f>
        <v/>
      </c>
      <c r="B203" s="2" t="str">
        <f>IF(A203="","",'02_KICH_BAN_NODES'!E189)</f>
        <v/>
      </c>
      <c r="C203" s="2" t="str">
        <f>IF(A203="","",COUNTIF('03_LUA_CHON'!$A$5:$A$404,A203))</f>
        <v/>
      </c>
      <c r="D203" s="2" t="str">
        <f>IF(A203="","",COUNTIFS('03_LUA_CHON'!$A$5:$A$404,A203,'03_LUA_CHON'!$D$5:$D$404,"Có"))</f>
        <v/>
      </c>
      <c r="E203" s="2" t="str">
        <f t="shared" si="10"/>
        <v/>
      </c>
      <c r="F203" s="2" t="str">
        <f t="shared" si="11"/>
        <v/>
      </c>
    </row>
    <row r="204" spans="1:6">
      <c r="A204" s="2" t="str">
        <f>IF('02_KICH_BAN_NODES'!D190="choice",'02_KICH_BAN_NODES'!B190,"")</f>
        <v/>
      </c>
      <c r="B204" s="2" t="str">
        <f>IF(A204="","",'02_KICH_BAN_NODES'!E190)</f>
        <v/>
      </c>
      <c r="C204" s="2" t="str">
        <f>IF(A204="","",COUNTIF('03_LUA_CHON'!$A$5:$A$404,A204))</f>
        <v/>
      </c>
      <c r="D204" s="2" t="str">
        <f>IF(A204="","",COUNTIFS('03_LUA_CHON'!$A$5:$A$404,A204,'03_LUA_CHON'!$D$5:$D$404,"Có"))</f>
        <v/>
      </c>
      <c r="E204" s="2" t="str">
        <f t="shared" si="10"/>
        <v/>
      </c>
      <c r="F204" s="2" t="str">
        <f t="shared" si="11"/>
        <v/>
      </c>
    </row>
    <row r="205" spans="1:6">
      <c r="A205" s="2" t="str">
        <f>IF('02_KICH_BAN_NODES'!D191="choice",'02_KICH_BAN_NODES'!B191,"")</f>
        <v/>
      </c>
      <c r="B205" s="2" t="str">
        <f>IF(A205="","",'02_KICH_BAN_NODES'!E191)</f>
        <v/>
      </c>
      <c r="C205" s="2" t="str">
        <f>IF(A205="","",COUNTIF('03_LUA_CHON'!$A$5:$A$404,A205))</f>
        <v/>
      </c>
      <c r="D205" s="2" t="str">
        <f>IF(A205="","",COUNTIFS('03_LUA_CHON'!$A$5:$A$404,A205,'03_LUA_CHON'!$D$5:$D$404,"Có"))</f>
        <v/>
      </c>
      <c r="E205" s="2" t="str">
        <f t="shared" si="10"/>
        <v/>
      </c>
      <c r="F205" s="2" t="str">
        <f t="shared" si="11"/>
        <v/>
      </c>
    </row>
    <row r="206" spans="1:6">
      <c r="A206" s="2" t="str">
        <f>IF('02_KICH_BAN_NODES'!D192="choice",'02_KICH_BAN_NODES'!B192,"")</f>
        <v/>
      </c>
      <c r="B206" s="2" t="str">
        <f>IF(A206="","",'02_KICH_BAN_NODES'!E192)</f>
        <v/>
      </c>
      <c r="C206" s="2" t="str">
        <f>IF(A206="","",COUNTIF('03_LUA_CHON'!$A$5:$A$404,A206))</f>
        <v/>
      </c>
      <c r="D206" s="2" t="str">
        <f>IF(A206="","",COUNTIFS('03_LUA_CHON'!$A$5:$A$404,A206,'03_LUA_CHON'!$D$5:$D$404,"Có"))</f>
        <v/>
      </c>
      <c r="E206" s="2" t="str">
        <f t="shared" si="10"/>
        <v/>
      </c>
      <c r="F206" s="2" t="str">
        <f t="shared" si="11"/>
        <v/>
      </c>
    </row>
    <row r="207" spans="1:6">
      <c r="A207" s="2" t="str">
        <f>IF('02_KICH_BAN_NODES'!D193="choice",'02_KICH_BAN_NODES'!B193,"")</f>
        <v/>
      </c>
      <c r="B207" s="2" t="str">
        <f>IF(A207="","",'02_KICH_BAN_NODES'!E193)</f>
        <v/>
      </c>
      <c r="C207" s="2" t="str">
        <f>IF(A207="","",COUNTIF('03_LUA_CHON'!$A$5:$A$404,A207))</f>
        <v/>
      </c>
      <c r="D207" s="2" t="str">
        <f>IF(A207="","",COUNTIFS('03_LUA_CHON'!$A$5:$A$404,A207,'03_LUA_CHON'!$D$5:$D$404,"Có"))</f>
        <v/>
      </c>
      <c r="E207" s="2" t="str">
        <f t="shared" si="10"/>
        <v/>
      </c>
      <c r="F207" s="2" t="str">
        <f t="shared" si="11"/>
        <v/>
      </c>
    </row>
    <row r="208" spans="1:6">
      <c r="A208" s="2" t="str">
        <f>IF('02_KICH_BAN_NODES'!D194="choice",'02_KICH_BAN_NODES'!B194,"")</f>
        <v/>
      </c>
      <c r="B208" s="2" t="str">
        <f>IF(A208="","",'02_KICH_BAN_NODES'!E194)</f>
        <v/>
      </c>
      <c r="C208" s="2" t="str">
        <f>IF(A208="","",COUNTIF('03_LUA_CHON'!$A$5:$A$404,A208))</f>
        <v/>
      </c>
      <c r="D208" s="2" t="str">
        <f>IF(A208="","",COUNTIFS('03_LUA_CHON'!$A$5:$A$404,A208,'03_LUA_CHON'!$D$5:$D$404,"Có"))</f>
        <v/>
      </c>
      <c r="E208" s="2" t="str">
        <f t="shared" si="10"/>
        <v/>
      </c>
      <c r="F208" s="2" t="str">
        <f t="shared" si="11"/>
        <v/>
      </c>
    </row>
    <row r="209" spans="1:6">
      <c r="A209" s="2" t="str">
        <f>IF('02_KICH_BAN_NODES'!D195="choice",'02_KICH_BAN_NODES'!B195,"")</f>
        <v/>
      </c>
      <c r="B209" s="2" t="str">
        <f>IF(A209="","",'02_KICH_BAN_NODES'!E195)</f>
        <v/>
      </c>
      <c r="C209" s="2" t="str">
        <f>IF(A209="","",COUNTIF('03_LUA_CHON'!$A$5:$A$404,A209))</f>
        <v/>
      </c>
      <c r="D209" s="2" t="str">
        <f>IF(A209="","",COUNTIFS('03_LUA_CHON'!$A$5:$A$404,A209,'03_LUA_CHON'!$D$5:$D$404,"Có"))</f>
        <v/>
      </c>
      <c r="E209" s="2" t="str">
        <f t="shared" si="10"/>
        <v/>
      </c>
      <c r="F209" s="2" t="str">
        <f t="shared" si="11"/>
        <v/>
      </c>
    </row>
    <row r="210" spans="1:6">
      <c r="A210" s="2" t="str">
        <f>IF('02_KICH_BAN_NODES'!D196="choice",'02_KICH_BAN_NODES'!B196,"")</f>
        <v/>
      </c>
      <c r="B210" s="2" t="str">
        <f>IF(A210="","",'02_KICH_BAN_NODES'!E196)</f>
        <v/>
      </c>
      <c r="C210" s="2" t="str">
        <f>IF(A210="","",COUNTIF('03_LUA_CHON'!$A$5:$A$404,A210))</f>
        <v/>
      </c>
      <c r="D210" s="2" t="str">
        <f>IF(A210="","",COUNTIFS('03_LUA_CHON'!$A$5:$A$404,A210,'03_LUA_CHON'!$D$5:$D$404,"Có"))</f>
        <v/>
      </c>
      <c r="E210" s="2" t="str">
        <f t="shared" si="10"/>
        <v/>
      </c>
      <c r="F210" s="2" t="str">
        <f t="shared" si="11"/>
        <v/>
      </c>
    </row>
    <row r="211" spans="1:6">
      <c r="A211" s="2" t="str">
        <f>IF('02_KICH_BAN_NODES'!D197="choice",'02_KICH_BAN_NODES'!B197,"")</f>
        <v/>
      </c>
      <c r="B211" s="2" t="str">
        <f>IF(A211="","",'02_KICH_BAN_NODES'!E197)</f>
        <v/>
      </c>
      <c r="C211" s="2" t="str">
        <f>IF(A211="","",COUNTIF('03_LUA_CHON'!$A$5:$A$404,A211))</f>
        <v/>
      </c>
      <c r="D211" s="2" t="str">
        <f>IF(A211="","",COUNTIFS('03_LUA_CHON'!$A$5:$A$404,A211,'03_LUA_CHON'!$D$5:$D$404,"Có"))</f>
        <v/>
      </c>
      <c r="E211" s="2" t="str">
        <f t="shared" ref="E211:E242" si="12">IF(A211="","",IF(OR(C211&lt;2,C211&gt;4),"CẦN SỬA",IF(AND(B211="Kiến thức",D211=1),"HỢP LỆ",IF(AND(B211="Tương tác",D211=0),"HỢP LỆ","CẦN SỬA"))))</f>
        <v/>
      </c>
      <c r="F211" s="2" t="str">
        <f t="shared" ref="F211:F218" si="13">IF(A211="","",IF(OR(C211&lt;2,C211&gt;4),"Cần 2–4 option",IF(AND(B211="Kiến thức",D211&lt;&gt;1),"Câu kiến thức cần đúng 1 đáp án đúng",IF(AND(B211="Tương tác",D211&lt;&gt;0),"Câu tương tác không có đáp án đúng",IF(B211="","Thiếu ChoiceMode","")))))</f>
        <v/>
      </c>
    </row>
    <row r="212" spans="1:6">
      <c r="A212" s="2" t="str">
        <f>IF('02_KICH_BAN_NODES'!D198="choice",'02_KICH_BAN_NODES'!B198,"")</f>
        <v/>
      </c>
      <c r="B212" s="2" t="str">
        <f>IF(A212="","",'02_KICH_BAN_NODES'!E198)</f>
        <v/>
      </c>
      <c r="C212" s="2" t="str">
        <f>IF(A212="","",COUNTIF('03_LUA_CHON'!$A$5:$A$404,A212))</f>
        <v/>
      </c>
      <c r="D212" s="2" t="str">
        <f>IF(A212="","",COUNTIFS('03_LUA_CHON'!$A$5:$A$404,A212,'03_LUA_CHON'!$D$5:$D$404,"Có"))</f>
        <v/>
      </c>
      <c r="E212" s="2" t="str">
        <f t="shared" si="12"/>
        <v/>
      </c>
      <c r="F212" s="2" t="str">
        <f t="shared" si="13"/>
        <v/>
      </c>
    </row>
    <row r="213" spans="1:6">
      <c r="A213" s="2" t="str">
        <f>IF('02_KICH_BAN_NODES'!D199="choice",'02_KICH_BAN_NODES'!B199,"")</f>
        <v/>
      </c>
      <c r="B213" s="2" t="str">
        <f>IF(A213="","",'02_KICH_BAN_NODES'!E199)</f>
        <v/>
      </c>
      <c r="C213" s="2" t="str">
        <f>IF(A213="","",COUNTIF('03_LUA_CHON'!$A$5:$A$404,A213))</f>
        <v/>
      </c>
      <c r="D213" s="2" t="str">
        <f>IF(A213="","",COUNTIFS('03_LUA_CHON'!$A$5:$A$404,A213,'03_LUA_CHON'!$D$5:$D$404,"Có"))</f>
        <v/>
      </c>
      <c r="E213" s="2" t="str">
        <f t="shared" si="12"/>
        <v/>
      </c>
      <c r="F213" s="2" t="str">
        <f t="shared" si="13"/>
        <v/>
      </c>
    </row>
    <row r="214" spans="1:6">
      <c r="A214" s="2" t="str">
        <f>IF('02_KICH_BAN_NODES'!D200="choice",'02_KICH_BAN_NODES'!B200,"")</f>
        <v/>
      </c>
      <c r="B214" s="2" t="str">
        <f>IF(A214="","",'02_KICH_BAN_NODES'!E200)</f>
        <v/>
      </c>
      <c r="C214" s="2" t="str">
        <f>IF(A214="","",COUNTIF('03_LUA_CHON'!$A$5:$A$404,A214))</f>
        <v/>
      </c>
      <c r="D214" s="2" t="str">
        <f>IF(A214="","",COUNTIFS('03_LUA_CHON'!$A$5:$A$404,A214,'03_LUA_CHON'!$D$5:$D$404,"Có"))</f>
        <v/>
      </c>
      <c r="E214" s="2" t="str">
        <f t="shared" si="12"/>
        <v/>
      </c>
      <c r="F214" s="2" t="str">
        <f t="shared" si="13"/>
        <v/>
      </c>
    </row>
    <row r="215" spans="1:6">
      <c r="A215" s="2" t="str">
        <f>IF('02_KICH_BAN_NODES'!D201="choice",'02_KICH_BAN_NODES'!B201,"")</f>
        <v/>
      </c>
      <c r="B215" s="2" t="str">
        <f>IF(A215="","",'02_KICH_BAN_NODES'!E201)</f>
        <v/>
      </c>
      <c r="C215" s="2" t="str">
        <f>IF(A215="","",COUNTIF('03_LUA_CHON'!$A$5:$A$404,A215))</f>
        <v/>
      </c>
      <c r="D215" s="2" t="str">
        <f>IF(A215="","",COUNTIFS('03_LUA_CHON'!$A$5:$A$404,A215,'03_LUA_CHON'!$D$5:$D$404,"Có"))</f>
        <v/>
      </c>
      <c r="E215" s="2" t="str">
        <f t="shared" si="12"/>
        <v/>
      </c>
      <c r="F215" s="2" t="str">
        <f t="shared" si="13"/>
        <v/>
      </c>
    </row>
    <row r="216" spans="1:6">
      <c r="A216" s="2" t="str">
        <f>IF('02_KICH_BAN_NODES'!D202="choice",'02_KICH_BAN_NODES'!B202,"")</f>
        <v/>
      </c>
      <c r="B216" s="2" t="str">
        <f>IF(A216="","",'02_KICH_BAN_NODES'!E202)</f>
        <v/>
      </c>
      <c r="C216" s="2" t="str">
        <f>IF(A216="","",COUNTIF('03_LUA_CHON'!$A$5:$A$404,A216))</f>
        <v/>
      </c>
      <c r="D216" s="2" t="str">
        <f>IF(A216="","",COUNTIFS('03_LUA_CHON'!$A$5:$A$404,A216,'03_LUA_CHON'!$D$5:$D$404,"Có"))</f>
        <v/>
      </c>
      <c r="E216" s="2" t="str">
        <f t="shared" si="12"/>
        <v/>
      </c>
      <c r="F216" s="2" t="str">
        <f t="shared" si="13"/>
        <v/>
      </c>
    </row>
    <row r="217" spans="1:6">
      <c r="A217" s="2" t="str">
        <f>IF('02_KICH_BAN_NODES'!D203="choice",'02_KICH_BAN_NODES'!B203,"")</f>
        <v/>
      </c>
      <c r="B217" s="2" t="str">
        <f>IF(A217="","",'02_KICH_BAN_NODES'!E203)</f>
        <v/>
      </c>
      <c r="C217" s="2" t="str">
        <f>IF(A217="","",COUNTIF('03_LUA_CHON'!$A$5:$A$404,A217))</f>
        <v/>
      </c>
      <c r="D217" s="2" t="str">
        <f>IF(A217="","",COUNTIFS('03_LUA_CHON'!$A$5:$A$404,A217,'03_LUA_CHON'!$D$5:$D$404,"Có"))</f>
        <v/>
      </c>
      <c r="E217" s="2" t="str">
        <f t="shared" si="12"/>
        <v/>
      </c>
      <c r="F217" s="2" t="str">
        <f t="shared" si="13"/>
        <v/>
      </c>
    </row>
    <row r="218" spans="1:6">
      <c r="A218" s="2" t="str">
        <f>IF('02_KICH_BAN_NODES'!D204="choice",'02_KICH_BAN_NODES'!B204,"")</f>
        <v/>
      </c>
      <c r="B218" s="2" t="str">
        <f>IF(A218="","",'02_KICH_BAN_NODES'!E204)</f>
        <v/>
      </c>
      <c r="C218" s="2" t="str">
        <f>IF(A218="","",COUNTIF('03_LUA_CHON'!$A$5:$A$404,A218))</f>
        <v/>
      </c>
      <c r="D218" s="2" t="str">
        <f>IF(A218="","",COUNTIFS('03_LUA_CHON'!$A$5:$A$404,A218,'03_LUA_CHON'!$D$5:$D$404,"Có"))</f>
        <v/>
      </c>
      <c r="E218" s="2" t="str">
        <f t="shared" si="12"/>
        <v/>
      </c>
      <c r="F218" s="2" t="str">
        <f t="shared" si="13"/>
        <v/>
      </c>
    </row>
  </sheetData>
  <mergeCells count="6">
    <mergeCell ref="A1:I1"/>
    <mergeCell ref="A2:I2"/>
    <mergeCell ref="A4:I4"/>
    <mergeCell ref="A8:I8"/>
    <mergeCell ref="A17:F17"/>
    <mergeCell ref="H17:I17"/>
  </mergeCells>
  <conditionalFormatting sqref="B15:C15">
    <cfRule type="expression" dxfId="7" priority="4">
      <formula>B15="SẴN SÀNG"</formula>
    </cfRule>
  </conditionalFormatting>
  <conditionalFormatting sqref="C10:C15">
    <cfRule type="expression" dxfId="6" priority="1">
      <formula>C10="HỢP LỆ"</formula>
    </cfRule>
    <cfRule type="expression" dxfId="5" priority="2">
      <formula>OR(C10="CẦN SỬA",C10="CHƯA SẴN SÀNG")</formula>
    </cfRule>
    <cfRule type="expression" dxfId="4" priority="3">
      <formula>C10="CẢNH BÁO"</formula>
    </cfRule>
  </conditionalFormatting>
  <conditionalFormatting sqref="E19:E218">
    <cfRule type="expression" dxfId="3" priority="5">
      <formula>E19="HỢP LỆ"</formula>
    </cfRule>
    <cfRule type="expression" dxfId="2" priority="6">
      <formula>E19="CẦN SỬA"</formula>
    </cfRule>
  </conditionalFormatting>
  <conditionalFormatting sqref="I19:I25">
    <cfRule type="expression" dxfId="1" priority="7">
      <formula>I19="Đạt"</formula>
    </cfRule>
    <cfRule type="expression" dxfId="0" priority="8">
      <formula>I19="Cần sửa"</formula>
    </cfRule>
  </conditionalFormatting>
  <dataValidations count="1">
    <dataValidation type="list" sqref="I19:I25" xr:uid="{00000000-0002-0000-0500-000000000000}">
      <formula1>"Chưa kiểm tra,Đạt,Cần sửa,Không áp dụng"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workbookViewId="0"/>
  </sheetViews>
  <sheetFormatPr defaultRowHeight="14.25"/>
  <cols>
    <col min="1" max="1" width="18" customWidth="1"/>
    <col min="2" max="2" width="48" customWidth="1"/>
    <col min="3" max="3" width="46" customWidth="1"/>
    <col min="4" max="4" width="24" customWidth="1"/>
    <col min="5" max="5" width="28" customWidth="1"/>
    <col min="6" max="6" width="18" customWidth="1"/>
    <col min="7" max="8" width="30" customWidth="1"/>
  </cols>
  <sheetData>
    <row r="1" spans="1:8" ht="30" customHeight="1">
      <c r="A1" s="19" t="s">
        <v>269</v>
      </c>
      <c r="B1" s="19"/>
      <c r="C1" s="19"/>
      <c r="D1" s="19"/>
      <c r="E1" s="19"/>
      <c r="F1" s="19"/>
      <c r="G1" s="19"/>
      <c r="H1" s="19"/>
    </row>
    <row r="2" spans="1:8" ht="36" customHeight="1">
      <c r="A2" s="20" t="s">
        <v>270</v>
      </c>
      <c r="B2" s="20"/>
      <c r="C2" s="20"/>
      <c r="D2" s="20"/>
      <c r="E2" s="20"/>
      <c r="F2" s="20"/>
      <c r="G2" s="20"/>
      <c r="H2" s="20"/>
    </row>
    <row r="4" spans="1:8" ht="24" customHeight="1">
      <c r="A4" s="18" t="s">
        <v>271</v>
      </c>
      <c r="B4" s="18"/>
      <c r="C4" s="18"/>
      <c r="D4" s="18"/>
      <c r="E4" s="18"/>
      <c r="F4" s="18"/>
      <c r="G4" s="18"/>
      <c r="H4" s="18"/>
    </row>
    <row r="5" spans="1:8" ht="39.950000000000003" customHeight="1">
      <c r="A5" s="1" t="s">
        <v>272</v>
      </c>
      <c r="B5" s="1" t="s">
        <v>273</v>
      </c>
      <c r="C5" s="1" t="s">
        <v>274</v>
      </c>
      <c r="D5" s="1" t="s">
        <v>49</v>
      </c>
      <c r="E5" s="1" t="s">
        <v>139</v>
      </c>
    </row>
    <row r="6" spans="1:8" ht="28.5">
      <c r="A6" s="2" t="s">
        <v>275</v>
      </c>
      <c r="B6" s="2" t="s">
        <v>95</v>
      </c>
      <c r="C6" s="2" t="s">
        <v>276</v>
      </c>
      <c r="D6" s="2" t="s">
        <v>96</v>
      </c>
      <c r="E6" s="2" t="s">
        <v>277</v>
      </c>
    </row>
    <row r="7" spans="1:8">
      <c r="A7" s="2" t="s">
        <v>278</v>
      </c>
      <c r="B7" s="2" t="s">
        <v>99</v>
      </c>
      <c r="C7" s="2" t="s">
        <v>279</v>
      </c>
      <c r="D7" s="2" t="s">
        <v>96</v>
      </c>
      <c r="E7" s="2" t="s">
        <v>280</v>
      </c>
    </row>
    <row r="8" spans="1:8">
      <c r="A8" s="2" t="s">
        <v>281</v>
      </c>
      <c r="B8" s="2" t="s">
        <v>102</v>
      </c>
      <c r="C8" s="2" t="s">
        <v>282</v>
      </c>
      <c r="D8" s="2" t="s">
        <v>96</v>
      </c>
      <c r="E8" s="2" t="s">
        <v>283</v>
      </c>
    </row>
    <row r="9" spans="1:8" ht="28.5">
      <c r="A9" s="2" t="s">
        <v>284</v>
      </c>
      <c r="B9" s="2" t="s">
        <v>285</v>
      </c>
      <c r="C9" s="2" t="s">
        <v>286</v>
      </c>
      <c r="D9" s="2" t="s">
        <v>96</v>
      </c>
      <c r="E9" s="2" t="s">
        <v>287</v>
      </c>
    </row>
    <row r="10" spans="1:8">
      <c r="A10" s="2" t="s">
        <v>288</v>
      </c>
      <c r="B10" s="2" t="s">
        <v>289</v>
      </c>
      <c r="C10" s="2" t="s">
        <v>290</v>
      </c>
      <c r="D10" s="2" t="s">
        <v>96</v>
      </c>
      <c r="E10" s="2" t="s">
        <v>291</v>
      </c>
    </row>
    <row r="12" spans="1:8" ht="24" customHeight="1">
      <c r="A12" s="18" t="s">
        <v>292</v>
      </c>
      <c r="B12" s="18"/>
      <c r="C12" s="18"/>
      <c r="D12" s="18"/>
      <c r="E12" s="18"/>
      <c r="F12" s="18"/>
      <c r="G12" s="18"/>
      <c r="H12" s="18"/>
    </row>
    <row r="13" spans="1:8" ht="39.950000000000003" customHeight="1">
      <c r="A13" s="1" t="s">
        <v>179</v>
      </c>
      <c r="B13" s="1" t="s">
        <v>293</v>
      </c>
      <c r="C13" s="1" t="s">
        <v>181</v>
      </c>
      <c r="D13" s="1" t="s">
        <v>294</v>
      </c>
      <c r="E13" s="1" t="s">
        <v>295</v>
      </c>
      <c r="F13" s="1" t="s">
        <v>70</v>
      </c>
      <c r="G13" s="1" t="s">
        <v>239</v>
      </c>
      <c r="H13" s="1" t="s">
        <v>139</v>
      </c>
    </row>
    <row r="14" spans="1:8">
      <c r="A14" s="2" t="s">
        <v>188</v>
      </c>
      <c r="B14" s="2" t="s">
        <v>296</v>
      </c>
      <c r="C14" s="2" t="s">
        <v>297</v>
      </c>
      <c r="D14" s="2" t="s">
        <v>127</v>
      </c>
      <c r="E14" s="2" t="s">
        <v>127</v>
      </c>
      <c r="F14" s="2" t="s">
        <v>298</v>
      </c>
      <c r="G14" s="2" t="s">
        <v>299</v>
      </c>
      <c r="H14" s="2" t="s">
        <v>300</v>
      </c>
    </row>
    <row r="15" spans="1:8">
      <c r="A15" s="2" t="s">
        <v>198</v>
      </c>
      <c r="B15" s="2" t="s">
        <v>301</v>
      </c>
      <c r="C15" s="2" t="s">
        <v>302</v>
      </c>
      <c r="D15" s="2" t="s">
        <v>303</v>
      </c>
      <c r="E15" s="2" t="s">
        <v>127</v>
      </c>
      <c r="F15" s="2" t="s">
        <v>298</v>
      </c>
      <c r="G15" s="2" t="s">
        <v>304</v>
      </c>
      <c r="H15" s="2" t="s">
        <v>305</v>
      </c>
    </row>
    <row r="16" spans="1:8" ht="28.5">
      <c r="A16" s="2" t="s">
        <v>208</v>
      </c>
      <c r="B16" s="2" t="s">
        <v>306</v>
      </c>
      <c r="C16" s="2" t="s">
        <v>307</v>
      </c>
      <c r="D16" s="2" t="s">
        <v>127</v>
      </c>
      <c r="E16" s="2" t="s">
        <v>308</v>
      </c>
      <c r="F16" s="2" t="s">
        <v>309</v>
      </c>
      <c r="G16" s="2" t="s">
        <v>310</v>
      </c>
      <c r="H16" s="2" t="s">
        <v>311</v>
      </c>
    </row>
    <row r="17" spans="1:8">
      <c r="A17" s="2" t="s">
        <v>216</v>
      </c>
      <c r="B17" s="2" t="s">
        <v>153</v>
      </c>
      <c r="C17" s="2" t="s">
        <v>312</v>
      </c>
      <c r="D17" s="2" t="s">
        <v>127</v>
      </c>
      <c r="E17" s="2" t="s">
        <v>127</v>
      </c>
      <c r="F17" s="2" t="s">
        <v>298</v>
      </c>
      <c r="G17" s="2" t="s">
        <v>313</v>
      </c>
      <c r="H17" s="2" t="s">
        <v>314</v>
      </c>
    </row>
    <row r="18" spans="1:8">
      <c r="A18" s="2" t="s">
        <v>221</v>
      </c>
      <c r="B18" s="2" t="s">
        <v>127</v>
      </c>
      <c r="C18" s="2" t="s">
        <v>315</v>
      </c>
      <c r="D18" s="2" t="s">
        <v>316</v>
      </c>
      <c r="E18" s="2" t="s">
        <v>127</v>
      </c>
      <c r="F18" s="2" t="s">
        <v>298</v>
      </c>
      <c r="G18" s="2" t="s">
        <v>317</v>
      </c>
      <c r="H18" s="2" t="s">
        <v>318</v>
      </c>
    </row>
    <row r="20" spans="1:8" ht="24" customHeight="1">
      <c r="A20" s="18" t="s">
        <v>319</v>
      </c>
      <c r="B20" s="18"/>
      <c r="C20" s="18"/>
      <c r="D20" s="18"/>
      <c r="E20" s="18"/>
      <c r="F20" s="18"/>
      <c r="G20" s="18"/>
      <c r="H20" s="18"/>
    </row>
    <row r="21" spans="1:8" ht="39.950000000000003" customHeight="1">
      <c r="A21" s="1" t="s">
        <v>320</v>
      </c>
      <c r="B21" s="1" t="s">
        <v>321</v>
      </c>
      <c r="C21" s="1" t="s">
        <v>44</v>
      </c>
      <c r="D21" s="1" t="s">
        <v>93</v>
      </c>
      <c r="E21" s="1" t="s">
        <v>49</v>
      </c>
      <c r="F21" s="1" t="s">
        <v>322</v>
      </c>
    </row>
    <row r="22" spans="1:8" ht="42.75">
      <c r="A22" s="2" t="s">
        <v>323</v>
      </c>
      <c r="B22" s="2" t="s">
        <v>324</v>
      </c>
      <c r="C22" s="2" t="s">
        <v>325</v>
      </c>
      <c r="D22" s="2" t="s">
        <v>326</v>
      </c>
      <c r="E22" s="2" t="s">
        <v>96</v>
      </c>
      <c r="F22" s="2" t="s">
        <v>327</v>
      </c>
    </row>
    <row r="23" spans="1:8" ht="42.75">
      <c r="A23" s="2" t="s">
        <v>328</v>
      </c>
      <c r="B23" s="2" t="s">
        <v>329</v>
      </c>
      <c r="C23" s="2" t="s">
        <v>330</v>
      </c>
      <c r="D23" s="2" t="s">
        <v>331</v>
      </c>
      <c r="E23" s="2" t="s">
        <v>96</v>
      </c>
      <c r="F23" s="2" t="s">
        <v>332</v>
      </c>
    </row>
    <row r="24" spans="1:8">
      <c r="A24" s="2" t="s">
        <v>162</v>
      </c>
      <c r="B24" s="2" t="s">
        <v>162</v>
      </c>
      <c r="C24" s="2" t="s">
        <v>333</v>
      </c>
      <c r="D24" s="2" t="s">
        <v>334</v>
      </c>
      <c r="E24" s="2" t="s">
        <v>127</v>
      </c>
      <c r="F24" s="2" t="s">
        <v>335</v>
      </c>
    </row>
    <row r="25" spans="1:8">
      <c r="A25" s="2" t="s">
        <v>336</v>
      </c>
      <c r="B25" s="2" t="s">
        <v>337</v>
      </c>
      <c r="C25" s="2" t="s">
        <v>338</v>
      </c>
      <c r="D25" s="2" t="s">
        <v>201</v>
      </c>
      <c r="E25" s="2" t="s">
        <v>96</v>
      </c>
      <c r="F25" s="2" t="s">
        <v>339</v>
      </c>
    </row>
    <row r="26" spans="1:8">
      <c r="A26" s="2" t="s">
        <v>164</v>
      </c>
      <c r="B26" s="2" t="s">
        <v>340</v>
      </c>
      <c r="C26" s="2" t="s">
        <v>341</v>
      </c>
      <c r="D26" s="2" t="s">
        <v>196</v>
      </c>
      <c r="E26" s="2" t="s">
        <v>127</v>
      </c>
      <c r="F26" s="2" t="s">
        <v>342</v>
      </c>
    </row>
    <row r="27" spans="1:8" ht="28.5">
      <c r="A27" s="2" t="s">
        <v>343</v>
      </c>
      <c r="B27" s="2" t="s">
        <v>344</v>
      </c>
      <c r="C27" s="2" t="s">
        <v>345</v>
      </c>
      <c r="D27" s="2" t="s">
        <v>346</v>
      </c>
      <c r="E27" s="2" t="s">
        <v>96</v>
      </c>
      <c r="F27" s="2" t="s">
        <v>347</v>
      </c>
    </row>
    <row r="29" spans="1:8" ht="24" customHeight="1">
      <c r="A29" s="18" t="s">
        <v>348</v>
      </c>
      <c r="B29" s="18"/>
      <c r="C29" s="18"/>
      <c r="D29" s="18"/>
      <c r="E29" s="18"/>
      <c r="F29" s="18"/>
      <c r="G29" s="18"/>
      <c r="H29" s="18"/>
    </row>
    <row r="30" spans="1:8" ht="39.950000000000003" customHeight="1">
      <c r="A30" s="1" t="s">
        <v>3</v>
      </c>
      <c r="B30" s="1" t="s">
        <v>349</v>
      </c>
      <c r="C30" s="1" t="s">
        <v>350</v>
      </c>
      <c r="D30" s="1"/>
      <c r="E30" s="1"/>
      <c r="F30" s="1"/>
      <c r="G30" s="1"/>
      <c r="H30" s="1"/>
    </row>
    <row r="31" spans="1:8">
      <c r="A31" s="9">
        <v>1</v>
      </c>
      <c r="B31" s="2" t="s">
        <v>351</v>
      </c>
      <c r="C31" s="2" t="s">
        <v>352</v>
      </c>
      <c r="D31" s="2"/>
      <c r="E31" s="2"/>
      <c r="F31" s="2"/>
      <c r="G31" s="2"/>
      <c r="H31" s="2"/>
    </row>
    <row r="32" spans="1:8" ht="28.5">
      <c r="A32" s="9">
        <v>2</v>
      </c>
      <c r="B32" s="2" t="s">
        <v>353</v>
      </c>
      <c r="C32" s="2" t="s">
        <v>354</v>
      </c>
      <c r="D32" s="2"/>
      <c r="E32" s="2"/>
      <c r="F32" s="2"/>
      <c r="G32" s="2"/>
      <c r="H32" s="2"/>
    </row>
    <row r="33" spans="1:8" ht="28.5">
      <c r="A33" s="9">
        <v>3</v>
      </c>
      <c r="B33" s="2" t="s">
        <v>355</v>
      </c>
      <c r="C33" s="2" t="s">
        <v>356</v>
      </c>
      <c r="D33" s="2"/>
      <c r="E33" s="2"/>
      <c r="F33" s="2"/>
      <c r="G33" s="2"/>
      <c r="H33" s="2"/>
    </row>
    <row r="34" spans="1:8" ht="28.5">
      <c r="A34" s="9">
        <v>4</v>
      </c>
      <c r="B34" s="2" t="s">
        <v>357</v>
      </c>
      <c r="C34" s="2" t="s">
        <v>358</v>
      </c>
      <c r="D34" s="2"/>
      <c r="E34" s="2"/>
      <c r="F34" s="2"/>
      <c r="G34" s="2"/>
      <c r="H34" s="2"/>
    </row>
    <row r="35" spans="1:8" ht="28.5">
      <c r="A35" s="9">
        <v>5</v>
      </c>
      <c r="B35" s="2" t="s">
        <v>359</v>
      </c>
      <c r="C35" s="2" t="s">
        <v>360</v>
      </c>
      <c r="D35" s="2"/>
      <c r="E35" s="2"/>
      <c r="F35" s="2"/>
      <c r="G35" s="2"/>
      <c r="H35" s="2"/>
    </row>
    <row r="36" spans="1:8">
      <c r="A36" s="9">
        <v>6</v>
      </c>
      <c r="B36" s="2" t="s">
        <v>361</v>
      </c>
      <c r="C36" s="2" t="s">
        <v>362</v>
      </c>
      <c r="D36" s="2"/>
      <c r="E36" s="2"/>
      <c r="F36" s="2"/>
      <c r="G36" s="2"/>
      <c r="H36" s="2"/>
    </row>
    <row r="37" spans="1:8">
      <c r="A37" s="9">
        <v>7</v>
      </c>
      <c r="B37" s="2" t="s">
        <v>363</v>
      </c>
      <c r="C37" s="2" t="s">
        <v>364</v>
      </c>
      <c r="D37" s="2"/>
      <c r="E37" s="2"/>
      <c r="F37" s="2"/>
      <c r="G37" s="2"/>
      <c r="H37" s="2"/>
    </row>
    <row r="39" spans="1:8" ht="24" customHeight="1">
      <c r="A39" s="18" t="s">
        <v>365</v>
      </c>
      <c r="B39" s="18"/>
      <c r="C39" s="18"/>
      <c r="D39" s="18"/>
      <c r="E39" s="18"/>
      <c r="F39" s="18"/>
      <c r="G39" s="18"/>
      <c r="H39" s="18"/>
    </row>
    <row r="40" spans="1:8" ht="39.950000000000003" customHeight="1">
      <c r="A40" s="1" t="s">
        <v>366</v>
      </c>
      <c r="B40" s="1" t="s">
        <v>367</v>
      </c>
      <c r="C40" s="1"/>
      <c r="D40" s="1"/>
      <c r="E40" s="1"/>
      <c r="F40" s="1"/>
      <c r="G40" s="1"/>
      <c r="H40" s="1"/>
    </row>
    <row r="41" spans="1:8" ht="28.5">
      <c r="A41" s="2" t="s">
        <v>188</v>
      </c>
      <c r="B41" s="6" t="s">
        <v>368</v>
      </c>
      <c r="C41" s="2"/>
      <c r="D41" s="2"/>
      <c r="E41" s="2"/>
      <c r="F41" s="2"/>
      <c r="G41" s="2"/>
      <c r="H41" s="2"/>
    </row>
    <row r="42" spans="1:8" ht="28.5">
      <c r="A42" s="2" t="s">
        <v>198</v>
      </c>
      <c r="B42" s="6" t="s">
        <v>369</v>
      </c>
      <c r="C42" s="2"/>
      <c r="D42" s="2"/>
      <c r="E42" s="2"/>
      <c r="F42" s="2"/>
      <c r="G42" s="2"/>
      <c r="H42" s="2"/>
    </row>
    <row r="43" spans="1:8" ht="28.5">
      <c r="A43" s="2" t="s">
        <v>208</v>
      </c>
      <c r="B43" s="6" t="s">
        <v>370</v>
      </c>
      <c r="C43" s="2"/>
      <c r="D43" s="2"/>
      <c r="E43" s="2"/>
      <c r="F43" s="2"/>
      <c r="G43" s="2"/>
      <c r="H43" s="2"/>
    </row>
    <row r="44" spans="1:8">
      <c r="A44" s="2" t="s">
        <v>216</v>
      </c>
      <c r="B44" s="6" t="s">
        <v>371</v>
      </c>
      <c r="C44" s="2"/>
      <c r="D44" s="2"/>
      <c r="E44" s="2"/>
      <c r="F44" s="2"/>
      <c r="G44" s="2"/>
      <c r="H44" s="2"/>
    </row>
    <row r="45" spans="1:8">
      <c r="A45" s="2" t="s">
        <v>221</v>
      </c>
      <c r="B45" s="6" t="s">
        <v>223</v>
      </c>
      <c r="C45" s="2"/>
      <c r="D45" s="2"/>
      <c r="E45" s="2"/>
      <c r="F45" s="2"/>
      <c r="G45" s="2"/>
      <c r="H45" s="2"/>
    </row>
  </sheetData>
  <mergeCells count="7">
    <mergeCell ref="A29:H29"/>
    <mergeCell ref="A39:H39"/>
    <mergeCell ref="A1:H1"/>
    <mergeCell ref="A2:H2"/>
    <mergeCell ref="A4:H4"/>
    <mergeCell ref="A12:H1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00_HUONG_DAN</vt:lpstr>
      <vt:lpstr>01_THONG_TIN_PHIM</vt:lpstr>
      <vt:lpstr>02_KICH_BAN_NODES</vt:lpstr>
      <vt:lpstr>03_LUA_CHON</vt:lpstr>
      <vt:lpstr>04_DANH_MUC</vt:lpstr>
      <vt:lpstr>05_KIEM_TRA_QA</vt:lpstr>
      <vt:lpstr>06_DEV_MAPPING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Hoàng Lê Vũ</cp:lastModifiedBy>
  <dcterms:modified xsi:type="dcterms:W3CDTF">2026-07-14T14:49:18Z</dcterms:modified>
</cp:coreProperties>
</file>