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oang\Downloads\"/>
    </mc:Choice>
  </mc:AlternateContent>
  <xr:revisionPtr revIDLastSave="0" documentId="13_ncr:1_{EA529956-866C-4DBF-9D1A-33638B52F481}" xr6:coauthVersionLast="47" xr6:coauthVersionMax="47" xr10:uidLastSave="{00000000-0000-0000-0000-000000000000}"/>
  <bookViews>
    <workbookView xWindow="22932" yWindow="-108" windowWidth="23256" windowHeight="12456" activeTab="1" xr2:uid="{00000000-000D-0000-FFFF-FFFF00000000}"/>
  </bookViews>
  <sheets>
    <sheet name="00_HUONG_DAN" sheetId="1" r:id="rId1"/>
    <sheet name="01_THONG_TIN_PHIM" sheetId="2" r:id="rId2"/>
    <sheet name="02_KICH_BAN_NODES" sheetId="3" r:id="rId3"/>
    <sheet name="03_LUA_CHON" sheetId="4" r:id="rId4"/>
    <sheet name="04_DANH_MUC" sheetId="5" r:id="rId5"/>
    <sheet name="05_KIEM_TRA_QA" sheetId="6" r:id="rId6"/>
    <sheet name="06_DEV_MAPPING"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18" i="6" l="1"/>
  <c r="F218" i="6" s="1"/>
  <c r="C217" i="6"/>
  <c r="B217" i="6"/>
  <c r="A217" i="6"/>
  <c r="F217" i="6" s="1"/>
  <c r="E216" i="6"/>
  <c r="D216" i="6"/>
  <c r="C216" i="6"/>
  <c r="A216" i="6"/>
  <c r="B216" i="6" s="1"/>
  <c r="A215" i="6"/>
  <c r="F215" i="6" s="1"/>
  <c r="E214" i="6"/>
  <c r="A214" i="6"/>
  <c r="F214" i="6" s="1"/>
  <c r="F213" i="6"/>
  <c r="E213" i="6"/>
  <c r="A213" i="6"/>
  <c r="D213" i="6" s="1"/>
  <c r="A212" i="6"/>
  <c r="F212" i="6" s="1"/>
  <c r="A211" i="6"/>
  <c r="F211" i="6" s="1"/>
  <c r="F210" i="6"/>
  <c r="E210" i="6"/>
  <c r="D210" i="6"/>
  <c r="C210" i="6"/>
  <c r="B210" i="6"/>
  <c r="A210" i="6"/>
  <c r="E209" i="6"/>
  <c r="C209" i="6"/>
  <c r="B209" i="6"/>
  <c r="A209" i="6"/>
  <c r="F209" i="6" s="1"/>
  <c r="E208" i="6"/>
  <c r="D208" i="6"/>
  <c r="C208" i="6"/>
  <c r="A208" i="6"/>
  <c r="B208" i="6" s="1"/>
  <c r="F207" i="6"/>
  <c r="E207" i="6"/>
  <c r="D207" i="6"/>
  <c r="A207" i="6"/>
  <c r="C207" i="6" s="1"/>
  <c r="E206" i="6"/>
  <c r="A206" i="6"/>
  <c r="F206" i="6" s="1"/>
  <c r="F205" i="6"/>
  <c r="E205" i="6"/>
  <c r="A205" i="6"/>
  <c r="D205" i="6" s="1"/>
  <c r="A204" i="6"/>
  <c r="F204" i="6" s="1"/>
  <c r="A203" i="6"/>
  <c r="F203" i="6" s="1"/>
  <c r="F202" i="6"/>
  <c r="E202" i="6"/>
  <c r="D202" i="6"/>
  <c r="C202" i="6"/>
  <c r="B202" i="6"/>
  <c r="A202" i="6"/>
  <c r="E201" i="6"/>
  <c r="C201" i="6"/>
  <c r="B201" i="6"/>
  <c r="A201" i="6"/>
  <c r="F201" i="6" s="1"/>
  <c r="E200" i="6"/>
  <c r="D200" i="6"/>
  <c r="C200" i="6"/>
  <c r="A200" i="6"/>
  <c r="B200" i="6" s="1"/>
  <c r="E199" i="6"/>
  <c r="D199" i="6"/>
  <c r="A199" i="6"/>
  <c r="F199" i="6" s="1"/>
  <c r="E198" i="6"/>
  <c r="A198" i="6"/>
  <c r="F198" i="6" s="1"/>
  <c r="F197" i="6"/>
  <c r="E197" i="6"/>
  <c r="A197" i="6"/>
  <c r="D197" i="6" s="1"/>
  <c r="A196" i="6"/>
  <c r="F196" i="6" s="1"/>
  <c r="C195" i="6"/>
  <c r="A195" i="6"/>
  <c r="F195" i="6" s="1"/>
  <c r="F194" i="6"/>
  <c r="E194" i="6"/>
  <c r="D194" i="6"/>
  <c r="C194" i="6"/>
  <c r="B194" i="6"/>
  <c r="A194" i="6"/>
  <c r="E193" i="6"/>
  <c r="C193" i="6"/>
  <c r="B193" i="6"/>
  <c r="A193" i="6"/>
  <c r="F193" i="6" s="1"/>
  <c r="E192" i="6"/>
  <c r="D192" i="6"/>
  <c r="C192" i="6"/>
  <c r="A192" i="6"/>
  <c r="B192" i="6" s="1"/>
  <c r="E191" i="6"/>
  <c r="D191" i="6"/>
  <c r="A191" i="6"/>
  <c r="F191" i="6" s="1"/>
  <c r="E190" i="6"/>
  <c r="A190" i="6"/>
  <c r="F190" i="6" s="1"/>
  <c r="F189" i="6"/>
  <c r="E189" i="6"/>
  <c r="A189" i="6"/>
  <c r="D189" i="6" s="1"/>
  <c r="A188" i="6"/>
  <c r="F188" i="6" s="1"/>
  <c r="C187" i="6"/>
  <c r="B187" i="6"/>
  <c r="A187" i="6"/>
  <c r="F187" i="6" s="1"/>
  <c r="F186" i="6"/>
  <c r="E186" i="6"/>
  <c r="D186" i="6"/>
  <c r="C186" i="6"/>
  <c r="B186" i="6"/>
  <c r="A186" i="6"/>
  <c r="E185" i="6"/>
  <c r="C185" i="6"/>
  <c r="B185" i="6"/>
  <c r="A185" i="6"/>
  <c r="F185" i="6" s="1"/>
  <c r="A184" i="6"/>
  <c r="B184" i="6" s="1"/>
  <c r="E183" i="6"/>
  <c r="D183" i="6"/>
  <c r="A183" i="6"/>
  <c r="F183" i="6" s="1"/>
  <c r="E182" i="6"/>
  <c r="D182" i="6"/>
  <c r="A182" i="6"/>
  <c r="F182" i="6" s="1"/>
  <c r="F181" i="6"/>
  <c r="E181" i="6"/>
  <c r="C181" i="6"/>
  <c r="A181" i="6"/>
  <c r="D181" i="6" s="1"/>
  <c r="A180" i="6"/>
  <c r="F180" i="6" s="1"/>
  <c r="F179" i="6"/>
  <c r="C179" i="6"/>
  <c r="B179" i="6"/>
  <c r="A179" i="6"/>
  <c r="E179" i="6" s="1"/>
  <c r="F178" i="6"/>
  <c r="E178" i="6"/>
  <c r="D178" i="6"/>
  <c r="C178" i="6"/>
  <c r="B178" i="6"/>
  <c r="A178" i="6"/>
  <c r="E177" i="6"/>
  <c r="C177" i="6"/>
  <c r="B177" i="6"/>
  <c r="A177" i="6"/>
  <c r="F177" i="6" s="1"/>
  <c r="A176" i="6"/>
  <c r="B176" i="6" s="1"/>
  <c r="E175" i="6"/>
  <c r="D175" i="6"/>
  <c r="A175" i="6"/>
  <c r="F175" i="6" s="1"/>
  <c r="E174" i="6"/>
  <c r="D174" i="6"/>
  <c r="A174" i="6"/>
  <c r="F174" i="6" s="1"/>
  <c r="F173" i="6"/>
  <c r="C173" i="6"/>
  <c r="A173" i="6"/>
  <c r="D173" i="6" s="1"/>
  <c r="A172" i="6"/>
  <c r="F172" i="6" s="1"/>
  <c r="F171" i="6"/>
  <c r="C171" i="6"/>
  <c r="B171" i="6"/>
  <c r="A171" i="6"/>
  <c r="E171" i="6" s="1"/>
  <c r="F170" i="6"/>
  <c r="E170" i="6"/>
  <c r="D170" i="6"/>
  <c r="C170" i="6"/>
  <c r="B170" i="6"/>
  <c r="A170" i="6"/>
  <c r="E169" i="6"/>
  <c r="C169" i="6"/>
  <c r="B169" i="6"/>
  <c r="A169" i="6"/>
  <c r="F169" i="6" s="1"/>
  <c r="A168" i="6"/>
  <c r="B168" i="6" s="1"/>
  <c r="F167" i="6"/>
  <c r="E167" i="6"/>
  <c r="D167" i="6"/>
  <c r="A167" i="6"/>
  <c r="C167" i="6" s="1"/>
  <c r="E166" i="6"/>
  <c r="D166" i="6"/>
  <c r="A166" i="6"/>
  <c r="F166" i="6" s="1"/>
  <c r="F165" i="6"/>
  <c r="C165" i="6"/>
  <c r="B165" i="6"/>
  <c r="A165" i="6"/>
  <c r="D165" i="6" s="1"/>
  <c r="A164" i="6"/>
  <c r="F164" i="6" s="1"/>
  <c r="F163" i="6"/>
  <c r="C163" i="6"/>
  <c r="B163" i="6"/>
  <c r="A163" i="6"/>
  <c r="E163" i="6" s="1"/>
  <c r="F162" i="6"/>
  <c r="E162" i="6"/>
  <c r="D162" i="6"/>
  <c r="C162" i="6"/>
  <c r="B162" i="6"/>
  <c r="A162" i="6"/>
  <c r="E161" i="6"/>
  <c r="C161" i="6"/>
  <c r="B161" i="6"/>
  <c r="A161" i="6"/>
  <c r="F161" i="6" s="1"/>
  <c r="A160" i="6"/>
  <c r="B160" i="6" s="1"/>
  <c r="F159" i="6"/>
  <c r="E159" i="6"/>
  <c r="D159" i="6"/>
  <c r="A159" i="6"/>
  <c r="C159" i="6" s="1"/>
  <c r="E158" i="6"/>
  <c r="D158" i="6"/>
  <c r="A158" i="6"/>
  <c r="F158" i="6" s="1"/>
  <c r="F157" i="6"/>
  <c r="C157" i="6"/>
  <c r="B157" i="6"/>
  <c r="A157" i="6"/>
  <c r="D157" i="6" s="1"/>
  <c r="A156" i="6"/>
  <c r="F156" i="6" s="1"/>
  <c r="F155" i="6"/>
  <c r="C155" i="6"/>
  <c r="B155" i="6"/>
  <c r="A155" i="6"/>
  <c r="E155" i="6" s="1"/>
  <c r="E154" i="6"/>
  <c r="D154" i="6"/>
  <c r="A154" i="6"/>
  <c r="F154" i="6" s="1"/>
  <c r="C153" i="6"/>
  <c r="B153" i="6"/>
  <c r="A153" i="6"/>
  <c r="F153" i="6" s="1"/>
  <c r="A152" i="6"/>
  <c r="B152" i="6" s="1"/>
  <c r="F151" i="6"/>
  <c r="E151" i="6"/>
  <c r="D151" i="6"/>
  <c r="C151" i="6"/>
  <c r="A151" i="6"/>
  <c r="B151" i="6" s="1"/>
  <c r="E150" i="6"/>
  <c r="D150" i="6"/>
  <c r="A150" i="6"/>
  <c r="F150" i="6" s="1"/>
  <c r="F149" i="6"/>
  <c r="C149" i="6"/>
  <c r="B149" i="6"/>
  <c r="A149" i="6"/>
  <c r="D149" i="6" s="1"/>
  <c r="A148" i="6"/>
  <c r="F148" i="6" s="1"/>
  <c r="F147" i="6"/>
  <c r="C147" i="6"/>
  <c r="B147" i="6"/>
  <c r="A147" i="6"/>
  <c r="E147" i="6" s="1"/>
  <c r="E146" i="6"/>
  <c r="D146" i="6"/>
  <c r="A146" i="6"/>
  <c r="F146" i="6" s="1"/>
  <c r="C145" i="6"/>
  <c r="B145" i="6"/>
  <c r="A145" i="6"/>
  <c r="F145" i="6" s="1"/>
  <c r="A144" i="6"/>
  <c r="B144" i="6" s="1"/>
  <c r="F143" i="6"/>
  <c r="E143" i="6"/>
  <c r="D143" i="6"/>
  <c r="C143" i="6"/>
  <c r="A143" i="6"/>
  <c r="B143" i="6" s="1"/>
  <c r="E142" i="6"/>
  <c r="D142" i="6"/>
  <c r="A142" i="6"/>
  <c r="F142" i="6" s="1"/>
  <c r="F141" i="6"/>
  <c r="C141" i="6"/>
  <c r="B141" i="6"/>
  <c r="A141" i="6"/>
  <c r="D141" i="6" s="1"/>
  <c r="A140" i="6"/>
  <c r="F140" i="6" s="1"/>
  <c r="F139" i="6"/>
  <c r="C139" i="6"/>
  <c r="B139" i="6"/>
  <c r="A139" i="6"/>
  <c r="E139" i="6" s="1"/>
  <c r="E138" i="6"/>
  <c r="D138" i="6"/>
  <c r="A138" i="6"/>
  <c r="F138" i="6" s="1"/>
  <c r="C137" i="6"/>
  <c r="B137" i="6"/>
  <c r="A137" i="6"/>
  <c r="F137" i="6" s="1"/>
  <c r="A136" i="6"/>
  <c r="B136" i="6" s="1"/>
  <c r="F135" i="6"/>
  <c r="E135" i="6"/>
  <c r="D135" i="6"/>
  <c r="C135" i="6"/>
  <c r="A135" i="6"/>
  <c r="B135" i="6" s="1"/>
  <c r="E134" i="6"/>
  <c r="D134" i="6"/>
  <c r="A134" i="6"/>
  <c r="F134" i="6" s="1"/>
  <c r="F133" i="6"/>
  <c r="C133" i="6"/>
  <c r="B133" i="6"/>
  <c r="A133" i="6"/>
  <c r="D133" i="6" s="1"/>
  <c r="A132" i="6"/>
  <c r="F132" i="6" s="1"/>
  <c r="F131" i="6"/>
  <c r="C131" i="6"/>
  <c r="B131" i="6"/>
  <c r="A131" i="6"/>
  <c r="E131" i="6" s="1"/>
  <c r="E130" i="6"/>
  <c r="D130" i="6"/>
  <c r="A130" i="6"/>
  <c r="F130" i="6" s="1"/>
  <c r="C129" i="6"/>
  <c r="B129" i="6"/>
  <c r="A129" i="6"/>
  <c r="F129" i="6" s="1"/>
  <c r="A128" i="6"/>
  <c r="B128" i="6" s="1"/>
  <c r="F127" i="6"/>
  <c r="E127" i="6"/>
  <c r="D127" i="6"/>
  <c r="C127" i="6"/>
  <c r="A127" i="6"/>
  <c r="B127" i="6" s="1"/>
  <c r="E126" i="6"/>
  <c r="D126" i="6"/>
  <c r="A126" i="6"/>
  <c r="F126" i="6" s="1"/>
  <c r="F125" i="6"/>
  <c r="C125" i="6"/>
  <c r="B125" i="6"/>
  <c r="A125" i="6"/>
  <c r="D125" i="6" s="1"/>
  <c r="A124" i="6"/>
  <c r="F124" i="6" s="1"/>
  <c r="F123" i="6"/>
  <c r="C123" i="6"/>
  <c r="B123" i="6"/>
  <c r="A123" i="6"/>
  <c r="E123" i="6" s="1"/>
  <c r="E122" i="6"/>
  <c r="D122" i="6"/>
  <c r="A122" i="6"/>
  <c r="F122" i="6" s="1"/>
  <c r="C121" i="6"/>
  <c r="B121" i="6"/>
  <c r="A121" i="6"/>
  <c r="F121" i="6" s="1"/>
  <c r="A120" i="6"/>
  <c r="B120" i="6" s="1"/>
  <c r="F119" i="6"/>
  <c r="E119" i="6"/>
  <c r="D119" i="6"/>
  <c r="C119" i="6"/>
  <c r="A119" i="6"/>
  <c r="B119" i="6" s="1"/>
  <c r="E118" i="6"/>
  <c r="D118" i="6"/>
  <c r="A118" i="6"/>
  <c r="F118" i="6" s="1"/>
  <c r="F117" i="6"/>
  <c r="C117" i="6"/>
  <c r="B117" i="6"/>
  <c r="A117" i="6"/>
  <c r="D117" i="6" s="1"/>
  <c r="A116" i="6"/>
  <c r="F116" i="6" s="1"/>
  <c r="F115" i="6"/>
  <c r="C115" i="6"/>
  <c r="B115" i="6"/>
  <c r="A115" i="6"/>
  <c r="E115" i="6" s="1"/>
  <c r="E114" i="6"/>
  <c r="D114" i="6"/>
  <c r="A114" i="6"/>
  <c r="F114" i="6" s="1"/>
  <c r="C113" i="6"/>
  <c r="B113" i="6"/>
  <c r="A113" i="6"/>
  <c r="F113" i="6" s="1"/>
  <c r="A112" i="6"/>
  <c r="B112" i="6" s="1"/>
  <c r="F111" i="6"/>
  <c r="E111" i="6"/>
  <c r="D111" i="6"/>
  <c r="C111" i="6"/>
  <c r="A111" i="6"/>
  <c r="B111" i="6" s="1"/>
  <c r="E110" i="6"/>
  <c r="D110" i="6"/>
  <c r="A110" i="6"/>
  <c r="F110" i="6" s="1"/>
  <c r="F109" i="6"/>
  <c r="C109" i="6"/>
  <c r="B109" i="6"/>
  <c r="A109" i="6"/>
  <c r="D109" i="6" s="1"/>
  <c r="A108" i="6"/>
  <c r="F108" i="6" s="1"/>
  <c r="F107" i="6"/>
  <c r="C107" i="6"/>
  <c r="B107" i="6"/>
  <c r="A107" i="6"/>
  <c r="E107" i="6" s="1"/>
  <c r="E106" i="6"/>
  <c r="D106" i="6"/>
  <c r="A106" i="6"/>
  <c r="F106" i="6" s="1"/>
  <c r="C105" i="6"/>
  <c r="B105" i="6"/>
  <c r="A105" i="6"/>
  <c r="F105" i="6" s="1"/>
  <c r="A104" i="6"/>
  <c r="B104" i="6" s="1"/>
  <c r="F103" i="6"/>
  <c r="E103" i="6"/>
  <c r="D103" i="6"/>
  <c r="C103" i="6"/>
  <c r="A103" i="6"/>
  <c r="B103" i="6" s="1"/>
  <c r="E102" i="6"/>
  <c r="D102" i="6"/>
  <c r="A102" i="6"/>
  <c r="F102" i="6" s="1"/>
  <c r="F101" i="6"/>
  <c r="C101" i="6"/>
  <c r="B101" i="6"/>
  <c r="A101" i="6"/>
  <c r="D101" i="6" s="1"/>
  <c r="A100" i="6"/>
  <c r="F100" i="6" s="1"/>
  <c r="F99" i="6"/>
  <c r="C99" i="6"/>
  <c r="B99" i="6"/>
  <c r="A99" i="6"/>
  <c r="E99" i="6" s="1"/>
  <c r="E98" i="6"/>
  <c r="D98" i="6"/>
  <c r="A98" i="6"/>
  <c r="F98" i="6" s="1"/>
  <c r="C97" i="6"/>
  <c r="B97" i="6"/>
  <c r="A97" i="6"/>
  <c r="F97" i="6" s="1"/>
  <c r="A96" i="6"/>
  <c r="B96" i="6" s="1"/>
  <c r="F95" i="6"/>
  <c r="E95" i="6"/>
  <c r="D95" i="6"/>
  <c r="C95" i="6"/>
  <c r="A95" i="6"/>
  <c r="B95" i="6" s="1"/>
  <c r="E94" i="6"/>
  <c r="D94" i="6"/>
  <c r="A94" i="6"/>
  <c r="F94" i="6" s="1"/>
  <c r="F93" i="6"/>
  <c r="C93" i="6"/>
  <c r="B93" i="6"/>
  <c r="A93" i="6"/>
  <c r="D93" i="6" s="1"/>
  <c r="A92" i="6"/>
  <c r="F92" i="6" s="1"/>
  <c r="F91" i="6"/>
  <c r="C91" i="6"/>
  <c r="B91" i="6"/>
  <c r="A91" i="6"/>
  <c r="E91" i="6" s="1"/>
  <c r="E90" i="6"/>
  <c r="D90" i="6"/>
  <c r="A90" i="6"/>
  <c r="F90" i="6" s="1"/>
  <c r="C89" i="6"/>
  <c r="B89" i="6"/>
  <c r="A89" i="6"/>
  <c r="F89" i="6" s="1"/>
  <c r="A88" i="6"/>
  <c r="B88" i="6" s="1"/>
  <c r="F87" i="6"/>
  <c r="E87" i="6"/>
  <c r="D87" i="6"/>
  <c r="C87" i="6"/>
  <c r="A87" i="6"/>
  <c r="B87" i="6" s="1"/>
  <c r="E86" i="6"/>
  <c r="D86" i="6"/>
  <c r="A86" i="6"/>
  <c r="F86" i="6" s="1"/>
  <c r="F85" i="6"/>
  <c r="C85" i="6"/>
  <c r="B85" i="6"/>
  <c r="A85" i="6"/>
  <c r="D85" i="6" s="1"/>
  <c r="A84" i="6"/>
  <c r="F84" i="6" s="1"/>
  <c r="F83" i="6"/>
  <c r="C83" i="6"/>
  <c r="B83" i="6"/>
  <c r="A83" i="6"/>
  <c r="E83" i="6" s="1"/>
  <c r="E82" i="6"/>
  <c r="D82" i="6"/>
  <c r="A82" i="6"/>
  <c r="F82" i="6" s="1"/>
  <c r="C81" i="6"/>
  <c r="B81" i="6"/>
  <c r="A81" i="6"/>
  <c r="F81" i="6" s="1"/>
  <c r="A80" i="6"/>
  <c r="B80" i="6" s="1"/>
  <c r="F79" i="6"/>
  <c r="E79" i="6"/>
  <c r="D79" i="6"/>
  <c r="C79" i="6"/>
  <c r="A79" i="6"/>
  <c r="B79" i="6" s="1"/>
  <c r="E78" i="6"/>
  <c r="D78" i="6"/>
  <c r="A78" i="6"/>
  <c r="F78" i="6" s="1"/>
  <c r="F77" i="6"/>
  <c r="C77" i="6"/>
  <c r="B77" i="6"/>
  <c r="A77" i="6"/>
  <c r="D77" i="6" s="1"/>
  <c r="A76" i="6"/>
  <c r="F76" i="6" s="1"/>
  <c r="F75" i="6"/>
  <c r="C75" i="6"/>
  <c r="B75" i="6"/>
  <c r="A75" i="6"/>
  <c r="E75" i="6" s="1"/>
  <c r="E74" i="6"/>
  <c r="D74" i="6"/>
  <c r="A74" i="6"/>
  <c r="F74" i="6" s="1"/>
  <c r="C73" i="6"/>
  <c r="B73" i="6"/>
  <c r="A73" i="6"/>
  <c r="F73" i="6" s="1"/>
  <c r="A72" i="6"/>
  <c r="B72" i="6" s="1"/>
  <c r="F71" i="6"/>
  <c r="E71" i="6"/>
  <c r="D71" i="6"/>
  <c r="C71" i="6"/>
  <c r="A71" i="6"/>
  <c r="B71" i="6" s="1"/>
  <c r="E70" i="6"/>
  <c r="D70" i="6"/>
  <c r="A70" i="6"/>
  <c r="F70" i="6" s="1"/>
  <c r="F69" i="6"/>
  <c r="C69" i="6"/>
  <c r="B69" i="6"/>
  <c r="A69" i="6"/>
  <c r="D69" i="6" s="1"/>
  <c r="A68" i="6"/>
  <c r="F68" i="6" s="1"/>
  <c r="F67" i="6"/>
  <c r="C67" i="6"/>
  <c r="B67" i="6"/>
  <c r="A67" i="6"/>
  <c r="E67" i="6" s="1"/>
  <c r="E66" i="6"/>
  <c r="D66" i="6"/>
  <c r="A66" i="6"/>
  <c r="F66" i="6" s="1"/>
  <c r="C65" i="6"/>
  <c r="B65" i="6"/>
  <c r="A65" i="6"/>
  <c r="F65" i="6" s="1"/>
  <c r="A64" i="6"/>
  <c r="B64" i="6" s="1"/>
  <c r="F63" i="6"/>
  <c r="E63" i="6"/>
  <c r="D63" i="6"/>
  <c r="C63" i="6"/>
  <c r="A63" i="6"/>
  <c r="B63" i="6" s="1"/>
  <c r="E62" i="6"/>
  <c r="D62" i="6"/>
  <c r="A62" i="6"/>
  <c r="F62" i="6" s="1"/>
  <c r="F61" i="6"/>
  <c r="C61" i="6"/>
  <c r="B61" i="6"/>
  <c r="A61" i="6"/>
  <c r="D61" i="6" s="1"/>
  <c r="A60" i="6"/>
  <c r="F60" i="6" s="1"/>
  <c r="F59" i="6"/>
  <c r="C59" i="6"/>
  <c r="B59" i="6"/>
  <c r="A59" i="6"/>
  <c r="E59" i="6" s="1"/>
  <c r="E58" i="6"/>
  <c r="D58" i="6"/>
  <c r="A58" i="6"/>
  <c r="F58" i="6" s="1"/>
  <c r="C57" i="6"/>
  <c r="B57" i="6"/>
  <c r="A57" i="6"/>
  <c r="F57" i="6" s="1"/>
  <c r="A56" i="6"/>
  <c r="B56" i="6" s="1"/>
  <c r="F55" i="6"/>
  <c r="E55" i="6"/>
  <c r="D55" i="6"/>
  <c r="C55" i="6"/>
  <c r="A55" i="6"/>
  <c r="B55" i="6" s="1"/>
  <c r="E54" i="6"/>
  <c r="D54" i="6"/>
  <c r="A54" i="6"/>
  <c r="F54" i="6" s="1"/>
  <c r="F53" i="6"/>
  <c r="C53" i="6"/>
  <c r="B53" i="6"/>
  <c r="A53" i="6"/>
  <c r="D53" i="6" s="1"/>
  <c r="A52" i="6"/>
  <c r="F52" i="6" s="1"/>
  <c r="F51" i="6"/>
  <c r="C51" i="6"/>
  <c r="B51" i="6"/>
  <c r="A51" i="6"/>
  <c r="E51" i="6" s="1"/>
  <c r="E50" i="6"/>
  <c r="D50" i="6"/>
  <c r="A50" i="6"/>
  <c r="F50" i="6" s="1"/>
  <c r="C49" i="6"/>
  <c r="B49" i="6"/>
  <c r="A49" i="6"/>
  <c r="F49" i="6" s="1"/>
  <c r="A48" i="6"/>
  <c r="B48" i="6" s="1"/>
  <c r="F47" i="6"/>
  <c r="E47" i="6"/>
  <c r="D47" i="6"/>
  <c r="C47" i="6"/>
  <c r="A47" i="6"/>
  <c r="B47" i="6" s="1"/>
  <c r="E46" i="6"/>
  <c r="D46" i="6"/>
  <c r="A46" i="6"/>
  <c r="F46" i="6" s="1"/>
  <c r="F45" i="6"/>
  <c r="C45" i="6"/>
  <c r="B45" i="6"/>
  <c r="A45" i="6"/>
  <c r="D45" i="6" s="1"/>
  <c r="A44" i="6"/>
  <c r="C43" i="6"/>
  <c r="B43" i="6"/>
  <c r="A43" i="6"/>
  <c r="D42" i="6"/>
  <c r="A42" i="6"/>
  <c r="C41" i="6"/>
  <c r="B41" i="6"/>
  <c r="A41" i="6"/>
  <c r="A40" i="6"/>
  <c r="B40" i="6" s="1"/>
  <c r="F39" i="6"/>
  <c r="E39" i="6"/>
  <c r="D39" i="6"/>
  <c r="C39" i="6"/>
  <c r="A39" i="6"/>
  <c r="B39" i="6" s="1"/>
  <c r="E38" i="6"/>
  <c r="A38" i="6"/>
  <c r="F38" i="6" s="1"/>
  <c r="F37" i="6"/>
  <c r="C37" i="6"/>
  <c r="B37" i="6"/>
  <c r="A37" i="6"/>
  <c r="D37" i="6" s="1"/>
  <c r="A36" i="6"/>
  <c r="C35" i="6"/>
  <c r="B35" i="6"/>
  <c r="A35" i="6"/>
  <c r="D34" i="6"/>
  <c r="A34" i="6"/>
  <c r="C33" i="6"/>
  <c r="B33" i="6"/>
  <c r="A33" i="6"/>
  <c r="A32" i="6"/>
  <c r="B32" i="6" s="1"/>
  <c r="C31" i="6"/>
  <c r="A31" i="6"/>
  <c r="E30" i="6"/>
  <c r="A30" i="6"/>
  <c r="F30" i="6" s="1"/>
  <c r="F29" i="6"/>
  <c r="C29" i="6"/>
  <c r="B29" i="6"/>
  <c r="A29" i="6"/>
  <c r="D29" i="6" s="1"/>
  <c r="A28" i="6"/>
  <c r="F28" i="6" s="1"/>
  <c r="F27" i="6"/>
  <c r="C27" i="6"/>
  <c r="B27" i="6"/>
  <c r="A27" i="6"/>
  <c r="E27" i="6" s="1"/>
  <c r="D26" i="6"/>
  <c r="A26" i="6"/>
  <c r="C25" i="6"/>
  <c r="B25" i="6"/>
  <c r="A25" i="6"/>
  <c r="A24" i="6"/>
  <c r="B24" i="6" s="1"/>
  <c r="C23" i="6"/>
  <c r="A23" i="6"/>
  <c r="A22" i="6"/>
  <c r="F21" i="6"/>
  <c r="C21" i="6"/>
  <c r="B21" i="6"/>
  <c r="A21" i="6"/>
  <c r="D21" i="6" s="1"/>
  <c r="A20" i="6"/>
  <c r="F20" i="6" s="1"/>
  <c r="F19" i="6"/>
  <c r="E19" i="6"/>
  <c r="C19" i="6"/>
  <c r="B19" i="6"/>
  <c r="A19" i="6"/>
  <c r="D19" i="6" s="1"/>
  <c r="F6" i="6"/>
  <c r="B10" i="6" s="1"/>
  <c r="C10" i="6" s="1"/>
  <c r="E6" i="6"/>
  <c r="D6" i="6"/>
  <c r="C6" i="6"/>
  <c r="B6" i="6"/>
  <c r="B13" i="6" s="1"/>
  <c r="C13" i="6" s="1"/>
  <c r="A6" i="6"/>
  <c r="K404" i="4"/>
  <c r="J404" i="4"/>
  <c r="K403" i="4"/>
  <c r="J403" i="4"/>
  <c r="K402" i="4"/>
  <c r="J402" i="4"/>
  <c r="K401" i="4"/>
  <c r="J401" i="4"/>
  <c r="K400" i="4"/>
  <c r="J400" i="4"/>
  <c r="K399" i="4"/>
  <c r="J399" i="4"/>
  <c r="K398" i="4"/>
  <c r="J398" i="4"/>
  <c r="K397" i="4"/>
  <c r="J397" i="4"/>
  <c r="K396" i="4"/>
  <c r="J396" i="4"/>
  <c r="K395" i="4"/>
  <c r="J395" i="4"/>
  <c r="K394" i="4"/>
  <c r="J394" i="4"/>
  <c r="K393" i="4"/>
  <c r="J393" i="4"/>
  <c r="K392" i="4"/>
  <c r="J392" i="4"/>
  <c r="K391" i="4"/>
  <c r="J391" i="4"/>
  <c r="K390" i="4"/>
  <c r="J390" i="4"/>
  <c r="K389" i="4"/>
  <c r="J389" i="4"/>
  <c r="K388" i="4"/>
  <c r="J388" i="4"/>
  <c r="K387" i="4"/>
  <c r="J387" i="4"/>
  <c r="K386" i="4"/>
  <c r="J386" i="4"/>
  <c r="K385" i="4"/>
  <c r="J385" i="4"/>
  <c r="K384" i="4"/>
  <c r="J384" i="4"/>
  <c r="K383" i="4"/>
  <c r="J383" i="4"/>
  <c r="K382" i="4"/>
  <c r="J382" i="4"/>
  <c r="K381" i="4"/>
  <c r="J381" i="4"/>
  <c r="K380" i="4"/>
  <c r="J380" i="4"/>
  <c r="K379" i="4"/>
  <c r="J379" i="4"/>
  <c r="K378" i="4"/>
  <c r="J378" i="4"/>
  <c r="K377" i="4"/>
  <c r="J377" i="4"/>
  <c r="K376" i="4"/>
  <c r="J376" i="4"/>
  <c r="K375" i="4"/>
  <c r="J375" i="4"/>
  <c r="K374" i="4"/>
  <c r="J374" i="4"/>
  <c r="K373" i="4"/>
  <c r="J373" i="4"/>
  <c r="K372" i="4"/>
  <c r="J372" i="4"/>
  <c r="K371" i="4"/>
  <c r="J371" i="4"/>
  <c r="K370" i="4"/>
  <c r="J370" i="4"/>
  <c r="K369" i="4"/>
  <c r="J369" i="4"/>
  <c r="K368" i="4"/>
  <c r="J368" i="4"/>
  <c r="K367" i="4"/>
  <c r="J367" i="4"/>
  <c r="K366" i="4"/>
  <c r="J366" i="4"/>
  <c r="K365" i="4"/>
  <c r="J365" i="4"/>
  <c r="K364" i="4"/>
  <c r="J364" i="4"/>
  <c r="K363" i="4"/>
  <c r="J363" i="4"/>
  <c r="K362" i="4"/>
  <c r="J362" i="4"/>
  <c r="K361" i="4"/>
  <c r="J361" i="4"/>
  <c r="K360" i="4"/>
  <c r="J360" i="4"/>
  <c r="K359" i="4"/>
  <c r="J359" i="4"/>
  <c r="K358" i="4"/>
  <c r="J358" i="4"/>
  <c r="K357" i="4"/>
  <c r="J357" i="4"/>
  <c r="K356" i="4"/>
  <c r="J356" i="4"/>
  <c r="K355" i="4"/>
  <c r="J355" i="4"/>
  <c r="K354" i="4"/>
  <c r="J354" i="4"/>
  <c r="K353" i="4"/>
  <c r="J353" i="4"/>
  <c r="K352" i="4"/>
  <c r="J352" i="4"/>
  <c r="K351" i="4"/>
  <c r="J351" i="4"/>
  <c r="K350" i="4"/>
  <c r="J350" i="4"/>
  <c r="K349" i="4"/>
  <c r="J349" i="4"/>
  <c r="K348" i="4"/>
  <c r="J348" i="4"/>
  <c r="K347" i="4"/>
  <c r="J347" i="4"/>
  <c r="K346" i="4"/>
  <c r="J346" i="4"/>
  <c r="K345" i="4"/>
  <c r="J345" i="4"/>
  <c r="K344" i="4"/>
  <c r="J344" i="4"/>
  <c r="K343" i="4"/>
  <c r="J343" i="4"/>
  <c r="K342" i="4"/>
  <c r="J342" i="4"/>
  <c r="K341" i="4"/>
  <c r="J341" i="4"/>
  <c r="K340" i="4"/>
  <c r="J340" i="4"/>
  <c r="K339" i="4"/>
  <c r="J339" i="4"/>
  <c r="K338" i="4"/>
  <c r="J338" i="4"/>
  <c r="K337" i="4"/>
  <c r="J337" i="4"/>
  <c r="K336" i="4"/>
  <c r="J336" i="4"/>
  <c r="K335" i="4"/>
  <c r="J335" i="4"/>
  <c r="K334" i="4"/>
  <c r="J334" i="4"/>
  <c r="K333" i="4"/>
  <c r="J333" i="4"/>
  <c r="K332" i="4"/>
  <c r="J332" i="4"/>
  <c r="K331" i="4"/>
  <c r="J331" i="4"/>
  <c r="K330" i="4"/>
  <c r="J330" i="4"/>
  <c r="K329" i="4"/>
  <c r="J329" i="4"/>
  <c r="K328" i="4"/>
  <c r="J328" i="4"/>
  <c r="K327" i="4"/>
  <c r="J327" i="4"/>
  <c r="K326" i="4"/>
  <c r="J326" i="4"/>
  <c r="K325" i="4"/>
  <c r="J325" i="4"/>
  <c r="K324" i="4"/>
  <c r="J324" i="4"/>
  <c r="K323" i="4"/>
  <c r="J323" i="4"/>
  <c r="K322" i="4"/>
  <c r="J322" i="4"/>
  <c r="K321" i="4"/>
  <c r="J321" i="4"/>
  <c r="K320" i="4"/>
  <c r="J320" i="4"/>
  <c r="K319" i="4"/>
  <c r="J319" i="4"/>
  <c r="K318" i="4"/>
  <c r="J318" i="4"/>
  <c r="K317" i="4"/>
  <c r="J317" i="4"/>
  <c r="K316" i="4"/>
  <c r="J316" i="4"/>
  <c r="K315" i="4"/>
  <c r="J315" i="4"/>
  <c r="K314" i="4"/>
  <c r="J314" i="4"/>
  <c r="K313" i="4"/>
  <c r="J313" i="4"/>
  <c r="K312" i="4"/>
  <c r="J312" i="4"/>
  <c r="K311" i="4"/>
  <c r="J311" i="4"/>
  <c r="K310" i="4"/>
  <c r="J310" i="4"/>
  <c r="K309" i="4"/>
  <c r="J309" i="4"/>
  <c r="K308" i="4"/>
  <c r="J308" i="4"/>
  <c r="K307" i="4"/>
  <c r="J307" i="4"/>
  <c r="K306" i="4"/>
  <c r="J306" i="4"/>
  <c r="K305" i="4"/>
  <c r="J305" i="4"/>
  <c r="K304" i="4"/>
  <c r="J304" i="4"/>
  <c r="K303" i="4"/>
  <c r="J303" i="4"/>
  <c r="K302" i="4"/>
  <c r="J302" i="4"/>
  <c r="K301" i="4"/>
  <c r="J301" i="4"/>
  <c r="K300" i="4"/>
  <c r="J300" i="4"/>
  <c r="K299" i="4"/>
  <c r="J299" i="4"/>
  <c r="K298" i="4"/>
  <c r="J298" i="4"/>
  <c r="K297" i="4"/>
  <c r="J297" i="4"/>
  <c r="K296" i="4"/>
  <c r="J296" i="4"/>
  <c r="K295" i="4"/>
  <c r="J295" i="4"/>
  <c r="K294" i="4"/>
  <c r="J294" i="4"/>
  <c r="K293" i="4"/>
  <c r="J293" i="4"/>
  <c r="K292" i="4"/>
  <c r="J292" i="4"/>
  <c r="K291" i="4"/>
  <c r="J291" i="4"/>
  <c r="K290" i="4"/>
  <c r="J290" i="4"/>
  <c r="K289" i="4"/>
  <c r="J289" i="4"/>
  <c r="K288" i="4"/>
  <c r="J288" i="4"/>
  <c r="K287" i="4"/>
  <c r="J287" i="4"/>
  <c r="K286" i="4"/>
  <c r="J286" i="4"/>
  <c r="K285" i="4"/>
  <c r="J285" i="4"/>
  <c r="K284" i="4"/>
  <c r="J284" i="4"/>
  <c r="K283" i="4"/>
  <c r="J283" i="4"/>
  <c r="K282" i="4"/>
  <c r="J282" i="4"/>
  <c r="K281" i="4"/>
  <c r="J281" i="4"/>
  <c r="K280" i="4"/>
  <c r="J280" i="4"/>
  <c r="K279" i="4"/>
  <c r="J279" i="4"/>
  <c r="K278" i="4"/>
  <c r="J278" i="4"/>
  <c r="K277" i="4"/>
  <c r="J277" i="4"/>
  <c r="K276" i="4"/>
  <c r="J276" i="4"/>
  <c r="K275" i="4"/>
  <c r="J275" i="4"/>
  <c r="K274" i="4"/>
  <c r="J274" i="4"/>
  <c r="K273" i="4"/>
  <c r="J273" i="4"/>
  <c r="K272" i="4"/>
  <c r="J272" i="4"/>
  <c r="K271" i="4"/>
  <c r="J271" i="4"/>
  <c r="K270" i="4"/>
  <c r="J270" i="4"/>
  <c r="K269" i="4"/>
  <c r="J269" i="4"/>
  <c r="K268" i="4"/>
  <c r="J268" i="4"/>
  <c r="K267" i="4"/>
  <c r="J267" i="4"/>
  <c r="K266" i="4"/>
  <c r="J266" i="4"/>
  <c r="K265" i="4"/>
  <c r="J265" i="4"/>
  <c r="K264" i="4"/>
  <c r="J264" i="4"/>
  <c r="K263" i="4"/>
  <c r="J263" i="4"/>
  <c r="K262" i="4"/>
  <c r="J262" i="4"/>
  <c r="K261" i="4"/>
  <c r="J261" i="4"/>
  <c r="K260" i="4"/>
  <c r="J260" i="4"/>
  <c r="K259" i="4"/>
  <c r="J259" i="4"/>
  <c r="K258" i="4"/>
  <c r="J258" i="4"/>
  <c r="K257" i="4"/>
  <c r="J257" i="4"/>
  <c r="K256" i="4"/>
  <c r="J256" i="4"/>
  <c r="K255" i="4"/>
  <c r="J255" i="4"/>
  <c r="K254" i="4"/>
  <c r="J254" i="4"/>
  <c r="K253" i="4"/>
  <c r="J253" i="4"/>
  <c r="K252" i="4"/>
  <c r="J252" i="4"/>
  <c r="K251" i="4"/>
  <c r="J251" i="4"/>
  <c r="K250" i="4"/>
  <c r="J250" i="4"/>
  <c r="K249" i="4"/>
  <c r="J249" i="4"/>
  <c r="K248" i="4"/>
  <c r="J248" i="4"/>
  <c r="K247" i="4"/>
  <c r="J247" i="4"/>
  <c r="K246" i="4"/>
  <c r="J246" i="4"/>
  <c r="K245" i="4"/>
  <c r="J245" i="4"/>
  <c r="K244" i="4"/>
  <c r="J244" i="4"/>
  <c r="K243" i="4"/>
  <c r="J243" i="4"/>
  <c r="K242" i="4"/>
  <c r="J242" i="4"/>
  <c r="K241" i="4"/>
  <c r="J241" i="4"/>
  <c r="K240" i="4"/>
  <c r="J240" i="4"/>
  <c r="K239" i="4"/>
  <c r="J239" i="4"/>
  <c r="K238" i="4"/>
  <c r="J238" i="4"/>
  <c r="K237" i="4"/>
  <c r="J237" i="4"/>
  <c r="K236" i="4"/>
  <c r="J236" i="4"/>
  <c r="K235" i="4"/>
  <c r="J235" i="4"/>
  <c r="K234" i="4"/>
  <c r="J234" i="4"/>
  <c r="K233" i="4"/>
  <c r="J233" i="4"/>
  <c r="K232" i="4"/>
  <c r="J232" i="4"/>
  <c r="K231" i="4"/>
  <c r="J231" i="4"/>
  <c r="K230" i="4"/>
  <c r="J230" i="4"/>
  <c r="K229" i="4"/>
  <c r="J229" i="4"/>
  <c r="K228" i="4"/>
  <c r="J228" i="4"/>
  <c r="K227" i="4"/>
  <c r="J227" i="4"/>
  <c r="K226" i="4"/>
  <c r="J226" i="4"/>
  <c r="K225" i="4"/>
  <c r="J225" i="4"/>
  <c r="K224" i="4"/>
  <c r="J224" i="4"/>
  <c r="K223" i="4"/>
  <c r="J223" i="4"/>
  <c r="K222" i="4"/>
  <c r="J222" i="4"/>
  <c r="K221" i="4"/>
  <c r="J221" i="4"/>
  <c r="K220" i="4"/>
  <c r="J220" i="4"/>
  <c r="K219" i="4"/>
  <c r="J219" i="4"/>
  <c r="K218" i="4"/>
  <c r="J218" i="4"/>
  <c r="K217" i="4"/>
  <c r="J217" i="4"/>
  <c r="K216" i="4"/>
  <c r="J216" i="4"/>
  <c r="K215" i="4"/>
  <c r="J215" i="4"/>
  <c r="K214" i="4"/>
  <c r="J214" i="4"/>
  <c r="K213" i="4"/>
  <c r="J213" i="4"/>
  <c r="K212" i="4"/>
  <c r="J212" i="4"/>
  <c r="K211" i="4"/>
  <c r="J211" i="4"/>
  <c r="K210" i="4"/>
  <c r="J210" i="4"/>
  <c r="K209" i="4"/>
  <c r="J209" i="4"/>
  <c r="K208" i="4"/>
  <c r="J208" i="4"/>
  <c r="K207" i="4"/>
  <c r="J207" i="4"/>
  <c r="K206" i="4"/>
  <c r="J206" i="4"/>
  <c r="K205" i="4"/>
  <c r="J205" i="4"/>
  <c r="K204" i="4"/>
  <c r="J204" i="4"/>
  <c r="K203" i="4"/>
  <c r="J203" i="4"/>
  <c r="K202" i="4"/>
  <c r="J202" i="4"/>
  <c r="K201" i="4"/>
  <c r="J201" i="4"/>
  <c r="K200" i="4"/>
  <c r="J200" i="4"/>
  <c r="K199" i="4"/>
  <c r="J199" i="4"/>
  <c r="K198" i="4"/>
  <c r="J198" i="4"/>
  <c r="K197" i="4"/>
  <c r="J197" i="4"/>
  <c r="K196" i="4"/>
  <c r="J196" i="4"/>
  <c r="K195" i="4"/>
  <c r="J195" i="4"/>
  <c r="K194" i="4"/>
  <c r="J194" i="4"/>
  <c r="K193" i="4"/>
  <c r="J193" i="4"/>
  <c r="K192" i="4"/>
  <c r="J192" i="4"/>
  <c r="K191" i="4"/>
  <c r="J191" i="4"/>
  <c r="K190" i="4"/>
  <c r="J190" i="4"/>
  <c r="K189" i="4"/>
  <c r="J189" i="4"/>
  <c r="K188" i="4"/>
  <c r="J188" i="4"/>
  <c r="K187" i="4"/>
  <c r="J187" i="4"/>
  <c r="K186" i="4"/>
  <c r="J186" i="4"/>
  <c r="K185" i="4"/>
  <c r="J185" i="4"/>
  <c r="K184" i="4"/>
  <c r="J184" i="4"/>
  <c r="K183" i="4"/>
  <c r="J183" i="4"/>
  <c r="K182" i="4"/>
  <c r="J182" i="4"/>
  <c r="K181" i="4"/>
  <c r="J181" i="4"/>
  <c r="K180" i="4"/>
  <c r="J180" i="4"/>
  <c r="K179" i="4"/>
  <c r="J179" i="4"/>
  <c r="K178" i="4"/>
  <c r="J178" i="4"/>
  <c r="K177" i="4"/>
  <c r="J177" i="4"/>
  <c r="K176" i="4"/>
  <c r="J176" i="4"/>
  <c r="K175" i="4"/>
  <c r="J175" i="4"/>
  <c r="K174" i="4"/>
  <c r="J174" i="4"/>
  <c r="K173" i="4"/>
  <c r="J173" i="4"/>
  <c r="K172" i="4"/>
  <c r="J172" i="4"/>
  <c r="K171" i="4"/>
  <c r="J171" i="4"/>
  <c r="K170" i="4"/>
  <c r="J170" i="4"/>
  <c r="K169" i="4"/>
  <c r="J169" i="4"/>
  <c r="K168" i="4"/>
  <c r="J168" i="4"/>
  <c r="K167" i="4"/>
  <c r="J167" i="4"/>
  <c r="K166" i="4"/>
  <c r="J166" i="4"/>
  <c r="K165" i="4"/>
  <c r="J165" i="4"/>
  <c r="K164" i="4"/>
  <c r="J164" i="4"/>
  <c r="K163" i="4"/>
  <c r="J163" i="4"/>
  <c r="K162" i="4"/>
  <c r="J162" i="4"/>
  <c r="K161" i="4"/>
  <c r="J161" i="4"/>
  <c r="K160" i="4"/>
  <c r="J160" i="4"/>
  <c r="K159" i="4"/>
  <c r="J159" i="4"/>
  <c r="K158" i="4"/>
  <c r="J158" i="4"/>
  <c r="K157" i="4"/>
  <c r="J157" i="4"/>
  <c r="K156" i="4"/>
  <c r="J156" i="4"/>
  <c r="K155" i="4"/>
  <c r="J155" i="4"/>
  <c r="K154" i="4"/>
  <c r="J154" i="4"/>
  <c r="K153" i="4"/>
  <c r="J153" i="4"/>
  <c r="K152" i="4"/>
  <c r="J152" i="4"/>
  <c r="K151" i="4"/>
  <c r="J151" i="4"/>
  <c r="K150" i="4"/>
  <c r="J150" i="4"/>
  <c r="K149" i="4"/>
  <c r="J149" i="4"/>
  <c r="K148" i="4"/>
  <c r="J148" i="4"/>
  <c r="K147" i="4"/>
  <c r="J147" i="4"/>
  <c r="K146" i="4"/>
  <c r="J146" i="4"/>
  <c r="K145" i="4"/>
  <c r="J145" i="4"/>
  <c r="K144" i="4"/>
  <c r="J144" i="4"/>
  <c r="K143" i="4"/>
  <c r="J143" i="4"/>
  <c r="K142" i="4"/>
  <c r="J142" i="4"/>
  <c r="K141" i="4"/>
  <c r="J141" i="4"/>
  <c r="K140" i="4"/>
  <c r="J140" i="4"/>
  <c r="K139" i="4"/>
  <c r="J139" i="4"/>
  <c r="K138" i="4"/>
  <c r="J138" i="4"/>
  <c r="K137" i="4"/>
  <c r="J137" i="4"/>
  <c r="K136" i="4"/>
  <c r="J136" i="4"/>
  <c r="K135" i="4"/>
  <c r="J135" i="4"/>
  <c r="K134" i="4"/>
  <c r="J134" i="4"/>
  <c r="K133" i="4"/>
  <c r="J133" i="4"/>
  <c r="K132" i="4"/>
  <c r="J132" i="4"/>
  <c r="K131" i="4"/>
  <c r="J131" i="4"/>
  <c r="K130" i="4"/>
  <c r="J130" i="4"/>
  <c r="K129" i="4"/>
  <c r="J129" i="4"/>
  <c r="K128" i="4"/>
  <c r="J128" i="4"/>
  <c r="K127" i="4"/>
  <c r="J127" i="4"/>
  <c r="K126" i="4"/>
  <c r="J126" i="4"/>
  <c r="K125" i="4"/>
  <c r="J125" i="4"/>
  <c r="K124" i="4"/>
  <c r="J124" i="4"/>
  <c r="K123" i="4"/>
  <c r="J123" i="4"/>
  <c r="K122" i="4"/>
  <c r="J122" i="4"/>
  <c r="K121" i="4"/>
  <c r="J121" i="4"/>
  <c r="K120" i="4"/>
  <c r="J120" i="4"/>
  <c r="K119" i="4"/>
  <c r="J119" i="4"/>
  <c r="K118" i="4"/>
  <c r="J118" i="4"/>
  <c r="K117" i="4"/>
  <c r="J117" i="4"/>
  <c r="K116" i="4"/>
  <c r="J116" i="4"/>
  <c r="K115" i="4"/>
  <c r="J115" i="4"/>
  <c r="K114" i="4"/>
  <c r="J114" i="4"/>
  <c r="K113" i="4"/>
  <c r="J113" i="4"/>
  <c r="K112" i="4"/>
  <c r="J112" i="4"/>
  <c r="K111" i="4"/>
  <c r="J111" i="4"/>
  <c r="K110" i="4"/>
  <c r="J110" i="4"/>
  <c r="K109" i="4"/>
  <c r="J109" i="4"/>
  <c r="K108" i="4"/>
  <c r="J108" i="4"/>
  <c r="K107" i="4"/>
  <c r="J107" i="4"/>
  <c r="K106" i="4"/>
  <c r="J106" i="4"/>
  <c r="K105" i="4"/>
  <c r="J105" i="4"/>
  <c r="K104" i="4"/>
  <c r="J104" i="4"/>
  <c r="K103" i="4"/>
  <c r="J103" i="4"/>
  <c r="K102" i="4"/>
  <c r="J102" i="4"/>
  <c r="K101" i="4"/>
  <c r="J101" i="4"/>
  <c r="K100" i="4"/>
  <c r="J100" i="4"/>
  <c r="K99" i="4"/>
  <c r="J99" i="4"/>
  <c r="K98" i="4"/>
  <c r="J98" i="4"/>
  <c r="K97" i="4"/>
  <c r="J97" i="4"/>
  <c r="K96" i="4"/>
  <c r="J96" i="4"/>
  <c r="K95" i="4"/>
  <c r="J95" i="4"/>
  <c r="K94" i="4"/>
  <c r="J94" i="4"/>
  <c r="K93" i="4"/>
  <c r="J93" i="4"/>
  <c r="K92" i="4"/>
  <c r="J92" i="4"/>
  <c r="K91" i="4"/>
  <c r="J91" i="4"/>
  <c r="K90" i="4"/>
  <c r="J90" i="4"/>
  <c r="K89" i="4"/>
  <c r="J89" i="4"/>
  <c r="K88" i="4"/>
  <c r="J88" i="4"/>
  <c r="K87" i="4"/>
  <c r="J87" i="4"/>
  <c r="K86" i="4"/>
  <c r="J86" i="4"/>
  <c r="K85" i="4"/>
  <c r="J85" i="4"/>
  <c r="K84" i="4"/>
  <c r="J84" i="4"/>
  <c r="K83" i="4"/>
  <c r="J83" i="4"/>
  <c r="K82" i="4"/>
  <c r="J82" i="4"/>
  <c r="K81" i="4"/>
  <c r="J81" i="4"/>
  <c r="K80" i="4"/>
  <c r="J80" i="4"/>
  <c r="K79" i="4"/>
  <c r="J79" i="4"/>
  <c r="K78" i="4"/>
  <c r="J78" i="4"/>
  <c r="K77" i="4"/>
  <c r="J77" i="4"/>
  <c r="K76" i="4"/>
  <c r="J76" i="4"/>
  <c r="K75" i="4"/>
  <c r="J75" i="4"/>
  <c r="K74" i="4"/>
  <c r="J74" i="4"/>
  <c r="K73" i="4"/>
  <c r="J73" i="4"/>
  <c r="K72" i="4"/>
  <c r="J72" i="4"/>
  <c r="K71" i="4"/>
  <c r="J71" i="4"/>
  <c r="K70" i="4"/>
  <c r="J70" i="4"/>
  <c r="K69" i="4"/>
  <c r="J69" i="4"/>
  <c r="K68" i="4"/>
  <c r="J68" i="4"/>
  <c r="K67" i="4"/>
  <c r="J67" i="4"/>
  <c r="K66" i="4"/>
  <c r="J66" i="4"/>
  <c r="K65" i="4"/>
  <c r="J65" i="4"/>
  <c r="K64" i="4"/>
  <c r="J64" i="4"/>
  <c r="K63" i="4"/>
  <c r="J63" i="4"/>
  <c r="K62" i="4"/>
  <c r="J62" i="4"/>
  <c r="K61" i="4"/>
  <c r="J61" i="4"/>
  <c r="K60" i="4"/>
  <c r="J60" i="4"/>
  <c r="K59" i="4"/>
  <c r="J59" i="4"/>
  <c r="K58" i="4"/>
  <c r="J58" i="4"/>
  <c r="K57" i="4"/>
  <c r="J57" i="4"/>
  <c r="K56" i="4"/>
  <c r="J56" i="4"/>
  <c r="K55" i="4"/>
  <c r="J55" i="4"/>
  <c r="K54" i="4"/>
  <c r="J54" i="4"/>
  <c r="K53" i="4"/>
  <c r="J53" i="4"/>
  <c r="K52" i="4"/>
  <c r="J52" i="4"/>
  <c r="K51" i="4"/>
  <c r="J51" i="4"/>
  <c r="K50" i="4"/>
  <c r="J50" i="4"/>
  <c r="K49" i="4"/>
  <c r="J49" i="4"/>
  <c r="K48" i="4"/>
  <c r="J48" i="4" s="1"/>
  <c r="K47" i="4"/>
  <c r="J47" i="4" s="1"/>
  <c r="K46" i="4"/>
  <c r="J46" i="4"/>
  <c r="K45" i="4"/>
  <c r="J45" i="4" s="1"/>
  <c r="K44" i="4"/>
  <c r="J44" i="4" s="1"/>
  <c r="K43" i="4"/>
  <c r="J43" i="4" s="1"/>
  <c r="K42" i="4"/>
  <c r="J42" i="4"/>
  <c r="K41" i="4"/>
  <c r="J41" i="4" s="1"/>
  <c r="K40" i="4"/>
  <c r="J40" i="4" s="1"/>
  <c r="K39" i="4"/>
  <c r="J39" i="4" s="1"/>
  <c r="K38" i="4"/>
  <c r="J38" i="4"/>
  <c r="K37" i="4"/>
  <c r="J37" i="4" s="1"/>
  <c r="K36" i="4"/>
  <c r="J36" i="4" s="1"/>
  <c r="K35" i="4"/>
  <c r="J35" i="4" s="1"/>
  <c r="K34" i="4"/>
  <c r="J34" i="4"/>
  <c r="K33" i="4"/>
  <c r="J33" i="4" s="1"/>
  <c r="K32" i="4"/>
  <c r="J32" i="4" s="1"/>
  <c r="K31" i="4"/>
  <c r="J31" i="4" s="1"/>
  <c r="K30" i="4"/>
  <c r="J30" i="4"/>
  <c r="K29" i="4"/>
  <c r="J29" i="4" s="1"/>
  <c r="K28" i="4"/>
  <c r="J28" i="4" s="1"/>
  <c r="K27" i="4"/>
  <c r="J27" i="4" s="1"/>
  <c r="K26" i="4"/>
  <c r="J26" i="4"/>
  <c r="K25" i="4"/>
  <c r="J25" i="4" s="1"/>
  <c r="K24" i="4"/>
  <c r="J24" i="4" s="1"/>
  <c r="K23" i="4"/>
  <c r="J23" i="4" s="1"/>
  <c r="K22" i="4"/>
  <c r="J22" i="4"/>
  <c r="K21" i="4"/>
  <c r="J21" i="4" s="1"/>
  <c r="K20" i="4"/>
  <c r="J20" i="4" s="1"/>
  <c r="K19" i="4"/>
  <c r="J19" i="4" s="1"/>
  <c r="K18" i="4"/>
  <c r="J18" i="4"/>
  <c r="K17" i="4"/>
  <c r="J17" i="4" s="1"/>
  <c r="K16" i="4"/>
  <c r="J16" i="4" s="1"/>
  <c r="K15" i="4"/>
  <c r="J15" i="4" s="1"/>
  <c r="K14" i="4"/>
  <c r="J14" i="4"/>
  <c r="K13" i="4"/>
  <c r="J13" i="4" s="1"/>
  <c r="K12" i="4"/>
  <c r="J12" i="4" s="1"/>
  <c r="K11" i="4"/>
  <c r="J11" i="4" s="1"/>
  <c r="K10" i="4"/>
  <c r="J10" i="4"/>
  <c r="K9" i="4"/>
  <c r="J9" i="4" s="1"/>
  <c r="K8" i="4"/>
  <c r="J8" i="4" s="1"/>
  <c r="K7" i="4"/>
  <c r="J7" i="4" s="1"/>
  <c r="K6" i="4"/>
  <c r="J6" i="4"/>
  <c r="K5" i="4"/>
  <c r="J5" i="4" s="1"/>
  <c r="N204" i="3"/>
  <c r="M204" i="3"/>
  <c r="N203" i="3"/>
  <c r="M203" i="3"/>
  <c r="N202" i="3"/>
  <c r="M202" i="3"/>
  <c r="N201" i="3"/>
  <c r="M201" i="3"/>
  <c r="N200" i="3"/>
  <c r="M200" i="3"/>
  <c r="N199" i="3"/>
  <c r="M199" i="3"/>
  <c r="N198" i="3"/>
  <c r="M198" i="3"/>
  <c r="N197" i="3"/>
  <c r="M197" i="3"/>
  <c r="N196" i="3"/>
  <c r="M196" i="3"/>
  <c r="N195" i="3"/>
  <c r="M195" i="3"/>
  <c r="N194" i="3"/>
  <c r="M194" i="3"/>
  <c r="N193" i="3"/>
  <c r="M193" i="3"/>
  <c r="N192" i="3"/>
  <c r="M192" i="3"/>
  <c r="N191" i="3"/>
  <c r="M191" i="3"/>
  <c r="N190" i="3"/>
  <c r="M190" i="3"/>
  <c r="N189" i="3"/>
  <c r="M189" i="3"/>
  <c r="N188" i="3"/>
  <c r="M188" i="3"/>
  <c r="N187" i="3"/>
  <c r="M187" i="3"/>
  <c r="N186" i="3"/>
  <c r="M186" i="3"/>
  <c r="N185" i="3"/>
  <c r="M185" i="3"/>
  <c r="N184" i="3"/>
  <c r="M184" i="3"/>
  <c r="N183" i="3"/>
  <c r="M183" i="3"/>
  <c r="N182" i="3"/>
  <c r="M182" i="3"/>
  <c r="N181" i="3"/>
  <c r="M181" i="3"/>
  <c r="N180" i="3"/>
  <c r="M180" i="3"/>
  <c r="N179" i="3"/>
  <c r="M179" i="3"/>
  <c r="N178" i="3"/>
  <c r="M178" i="3"/>
  <c r="N177" i="3"/>
  <c r="M177" i="3"/>
  <c r="N176" i="3"/>
  <c r="M176" i="3"/>
  <c r="N175" i="3"/>
  <c r="M175" i="3"/>
  <c r="N174" i="3"/>
  <c r="M174" i="3"/>
  <c r="N173" i="3"/>
  <c r="M173" i="3"/>
  <c r="N172" i="3"/>
  <c r="M172" i="3"/>
  <c r="N171" i="3"/>
  <c r="M171" i="3"/>
  <c r="N170" i="3"/>
  <c r="M170" i="3"/>
  <c r="N169" i="3"/>
  <c r="M169" i="3"/>
  <c r="N168" i="3"/>
  <c r="M168" i="3"/>
  <c r="N167" i="3"/>
  <c r="M167" i="3"/>
  <c r="N166" i="3"/>
  <c r="M166" i="3"/>
  <c r="N165" i="3"/>
  <c r="M165" i="3"/>
  <c r="N164" i="3"/>
  <c r="M164" i="3"/>
  <c r="N163" i="3"/>
  <c r="M163" i="3"/>
  <c r="N162" i="3"/>
  <c r="M162" i="3"/>
  <c r="N161" i="3"/>
  <c r="M161" i="3"/>
  <c r="N160" i="3"/>
  <c r="M160" i="3"/>
  <c r="N159" i="3"/>
  <c r="M159" i="3"/>
  <c r="N158" i="3"/>
  <c r="M158" i="3"/>
  <c r="N157" i="3"/>
  <c r="M157" i="3"/>
  <c r="N156" i="3"/>
  <c r="M156" i="3"/>
  <c r="N155" i="3"/>
  <c r="M155" i="3"/>
  <c r="N154" i="3"/>
  <c r="M154" i="3"/>
  <c r="N153" i="3"/>
  <c r="M153" i="3"/>
  <c r="N152" i="3"/>
  <c r="M152" i="3"/>
  <c r="N151" i="3"/>
  <c r="M151" i="3"/>
  <c r="N150" i="3"/>
  <c r="M150" i="3"/>
  <c r="N149" i="3"/>
  <c r="M149" i="3"/>
  <c r="N148" i="3"/>
  <c r="M148" i="3"/>
  <c r="N147" i="3"/>
  <c r="M147" i="3"/>
  <c r="N146" i="3"/>
  <c r="M146" i="3"/>
  <c r="N145" i="3"/>
  <c r="M145" i="3"/>
  <c r="N144" i="3"/>
  <c r="M144" i="3"/>
  <c r="N143" i="3"/>
  <c r="M143" i="3"/>
  <c r="N142" i="3"/>
  <c r="M142" i="3"/>
  <c r="N141" i="3"/>
  <c r="M141" i="3"/>
  <c r="N140" i="3"/>
  <c r="M140" i="3"/>
  <c r="N139" i="3"/>
  <c r="M139" i="3"/>
  <c r="N138" i="3"/>
  <c r="M138" i="3"/>
  <c r="N137" i="3"/>
  <c r="M137" i="3"/>
  <c r="N136" i="3"/>
  <c r="M136" i="3"/>
  <c r="N135" i="3"/>
  <c r="M135" i="3"/>
  <c r="N134" i="3"/>
  <c r="M134" i="3"/>
  <c r="N133" i="3"/>
  <c r="M133" i="3"/>
  <c r="N132" i="3"/>
  <c r="M132" i="3"/>
  <c r="N131" i="3"/>
  <c r="M131" i="3"/>
  <c r="N130" i="3"/>
  <c r="M130" i="3"/>
  <c r="N129" i="3"/>
  <c r="M129" i="3"/>
  <c r="N128" i="3"/>
  <c r="M128" i="3"/>
  <c r="N127" i="3"/>
  <c r="M127" i="3"/>
  <c r="N126" i="3"/>
  <c r="M126" i="3"/>
  <c r="N125" i="3"/>
  <c r="M125" i="3"/>
  <c r="N124" i="3"/>
  <c r="M124" i="3"/>
  <c r="N123" i="3"/>
  <c r="M123" i="3"/>
  <c r="N122" i="3"/>
  <c r="M122" i="3"/>
  <c r="N121" i="3"/>
  <c r="M121" i="3"/>
  <c r="N120" i="3"/>
  <c r="M120" i="3"/>
  <c r="N119" i="3"/>
  <c r="M119" i="3"/>
  <c r="N118" i="3"/>
  <c r="M118" i="3"/>
  <c r="N117" i="3"/>
  <c r="M117" i="3"/>
  <c r="N116" i="3"/>
  <c r="M116" i="3"/>
  <c r="N115" i="3"/>
  <c r="M115" i="3"/>
  <c r="N114" i="3"/>
  <c r="M114" i="3"/>
  <c r="N113" i="3"/>
  <c r="M113" i="3"/>
  <c r="N112" i="3"/>
  <c r="M112" i="3"/>
  <c r="N111" i="3"/>
  <c r="M111" i="3"/>
  <c r="N110" i="3"/>
  <c r="M110" i="3"/>
  <c r="N109" i="3"/>
  <c r="M109" i="3"/>
  <c r="N108" i="3"/>
  <c r="M108" i="3"/>
  <c r="N107" i="3"/>
  <c r="M107" i="3"/>
  <c r="N106" i="3"/>
  <c r="M106" i="3"/>
  <c r="N105" i="3"/>
  <c r="M105" i="3"/>
  <c r="N104" i="3"/>
  <c r="M104" i="3"/>
  <c r="N103" i="3"/>
  <c r="M103" i="3"/>
  <c r="N102" i="3"/>
  <c r="M102" i="3"/>
  <c r="N101" i="3"/>
  <c r="M101" i="3"/>
  <c r="N100" i="3"/>
  <c r="M100" i="3"/>
  <c r="N99" i="3"/>
  <c r="M99" i="3"/>
  <c r="N98" i="3"/>
  <c r="M98" i="3"/>
  <c r="N97" i="3"/>
  <c r="M97" i="3"/>
  <c r="N96" i="3"/>
  <c r="M96" i="3"/>
  <c r="N95" i="3"/>
  <c r="M95" i="3"/>
  <c r="N94" i="3"/>
  <c r="M94" i="3"/>
  <c r="N93" i="3"/>
  <c r="M93" i="3"/>
  <c r="N92" i="3"/>
  <c r="M92" i="3"/>
  <c r="N91" i="3"/>
  <c r="M91" i="3"/>
  <c r="N90" i="3"/>
  <c r="M90" i="3"/>
  <c r="N89" i="3"/>
  <c r="M89" i="3"/>
  <c r="N88" i="3"/>
  <c r="M88" i="3"/>
  <c r="N87" i="3"/>
  <c r="M87" i="3"/>
  <c r="N86" i="3"/>
  <c r="M86" i="3"/>
  <c r="N85" i="3"/>
  <c r="M85" i="3"/>
  <c r="N84" i="3"/>
  <c r="M84" i="3"/>
  <c r="N83" i="3"/>
  <c r="M83" i="3"/>
  <c r="N82" i="3"/>
  <c r="M82" i="3"/>
  <c r="N81" i="3"/>
  <c r="M81" i="3"/>
  <c r="N80" i="3"/>
  <c r="M80" i="3"/>
  <c r="N79" i="3"/>
  <c r="M79" i="3"/>
  <c r="N78" i="3"/>
  <c r="M78" i="3"/>
  <c r="N77" i="3"/>
  <c r="M77" i="3"/>
  <c r="N76" i="3"/>
  <c r="M76" i="3"/>
  <c r="N75" i="3"/>
  <c r="M75" i="3"/>
  <c r="N74" i="3"/>
  <c r="M74" i="3"/>
  <c r="N73" i="3"/>
  <c r="M73" i="3"/>
  <c r="N72" i="3"/>
  <c r="M72" i="3"/>
  <c r="N71" i="3"/>
  <c r="M71" i="3"/>
  <c r="N70" i="3"/>
  <c r="M70" i="3"/>
  <c r="N69" i="3"/>
  <c r="M69" i="3"/>
  <c r="N68" i="3"/>
  <c r="M68" i="3"/>
  <c r="N67" i="3"/>
  <c r="M67" i="3"/>
  <c r="N66" i="3"/>
  <c r="M66" i="3"/>
  <c r="N65" i="3"/>
  <c r="M65" i="3"/>
  <c r="N64" i="3"/>
  <c r="M64" i="3"/>
  <c r="N63" i="3"/>
  <c r="M63" i="3"/>
  <c r="N62" i="3"/>
  <c r="M62" i="3"/>
  <c r="N61" i="3"/>
  <c r="M61" i="3"/>
  <c r="N60" i="3"/>
  <c r="M60" i="3"/>
  <c r="N59" i="3"/>
  <c r="M59" i="3"/>
  <c r="N58" i="3"/>
  <c r="M58" i="3"/>
  <c r="N57" i="3"/>
  <c r="M57" i="3"/>
  <c r="N56" i="3"/>
  <c r="M56" i="3"/>
  <c r="N55" i="3"/>
  <c r="M55" i="3"/>
  <c r="N54" i="3"/>
  <c r="M54" i="3"/>
  <c r="N53" i="3"/>
  <c r="M53" i="3"/>
  <c r="N52" i="3"/>
  <c r="M52" i="3"/>
  <c r="N51" i="3"/>
  <c r="M51" i="3"/>
  <c r="N50" i="3"/>
  <c r="M50" i="3"/>
  <c r="N49" i="3"/>
  <c r="M49" i="3"/>
  <c r="N48" i="3"/>
  <c r="M48" i="3"/>
  <c r="N47" i="3"/>
  <c r="M47" i="3"/>
  <c r="N46" i="3"/>
  <c r="M46" i="3"/>
  <c r="N45" i="3"/>
  <c r="M45" i="3"/>
  <c r="N44" i="3"/>
  <c r="M44" i="3"/>
  <c r="N43" i="3"/>
  <c r="M43" i="3"/>
  <c r="N42" i="3"/>
  <c r="M42" i="3"/>
  <c r="N41" i="3"/>
  <c r="M41" i="3"/>
  <c r="N40" i="3"/>
  <c r="M40" i="3"/>
  <c r="N39" i="3"/>
  <c r="M39" i="3"/>
  <c r="N38" i="3"/>
  <c r="M38" i="3"/>
  <c r="N37" i="3"/>
  <c r="M37" i="3"/>
  <c r="N36" i="3"/>
  <c r="M36" i="3"/>
  <c r="N35" i="3"/>
  <c r="M35" i="3"/>
  <c r="N34" i="3"/>
  <c r="M34" i="3"/>
  <c r="N33" i="3"/>
  <c r="M33" i="3" s="1"/>
  <c r="N32" i="3"/>
  <c r="M32" i="3" s="1"/>
  <c r="N31" i="3"/>
  <c r="M31" i="3" s="1"/>
  <c r="N30" i="3"/>
  <c r="M30" i="3"/>
  <c r="N29" i="3"/>
  <c r="M29" i="3" s="1"/>
  <c r="N28" i="3"/>
  <c r="M28" i="3" s="1"/>
  <c r="N27" i="3"/>
  <c r="M27" i="3" s="1"/>
  <c r="N26" i="3"/>
  <c r="M26" i="3"/>
  <c r="N25" i="3"/>
  <c r="M25" i="3" s="1"/>
  <c r="N24" i="3"/>
  <c r="M24" i="3" s="1"/>
  <c r="N23" i="3"/>
  <c r="M23" i="3" s="1"/>
  <c r="N22" i="3"/>
  <c r="M22" i="3"/>
  <c r="N21" i="3"/>
  <c r="M21" i="3" s="1"/>
  <c r="N20" i="3"/>
  <c r="M20" i="3" s="1"/>
  <c r="N19" i="3"/>
  <c r="M19" i="3" s="1"/>
  <c r="N18" i="3"/>
  <c r="M18" i="3"/>
  <c r="N17" i="3"/>
  <c r="M17" i="3" s="1"/>
  <c r="N16" i="3"/>
  <c r="M16" i="3" s="1"/>
  <c r="N15" i="3"/>
  <c r="M15" i="3" s="1"/>
  <c r="N14" i="3"/>
  <c r="M14" i="3"/>
  <c r="N13" i="3"/>
  <c r="M13" i="3" s="1"/>
  <c r="N12" i="3"/>
  <c r="M12" i="3" s="1"/>
  <c r="N11" i="3"/>
  <c r="M11" i="3" s="1"/>
  <c r="N10" i="3"/>
  <c r="M10" i="3"/>
  <c r="N9" i="3"/>
  <c r="M9" i="3" s="1"/>
  <c r="N8" i="3"/>
  <c r="M8" i="3" s="1"/>
  <c r="N7" i="3"/>
  <c r="M7" i="3" s="1"/>
  <c r="N6" i="3"/>
  <c r="M6" i="3"/>
  <c r="N5" i="3"/>
  <c r="M5" i="3" s="1"/>
  <c r="C21" i="2"/>
  <c r="B21" i="2"/>
  <c r="B20" i="2"/>
  <c r="C20" i="2" s="1"/>
  <c r="B22" i="2" s="1"/>
  <c r="F33" i="6" l="1"/>
  <c r="G6" i="6"/>
  <c r="B11" i="6" s="1"/>
  <c r="C11" i="6" s="1"/>
  <c r="E43" i="6"/>
  <c r="H6" i="6"/>
  <c r="B12" i="6" s="1"/>
  <c r="C12" i="6" s="1"/>
  <c r="F43" i="6"/>
  <c r="B14" i="6"/>
  <c r="C14" i="6" s="1"/>
  <c r="C22" i="2"/>
  <c r="E21" i="6"/>
  <c r="C24" i="6"/>
  <c r="E24" i="6" s="1"/>
  <c r="E29" i="6"/>
  <c r="C32" i="6"/>
  <c r="F32" i="6" s="1"/>
  <c r="E37" i="6"/>
  <c r="C40" i="6"/>
  <c r="E45" i="6"/>
  <c r="C48" i="6"/>
  <c r="E53" i="6"/>
  <c r="C56" i="6"/>
  <c r="E61" i="6"/>
  <c r="C64" i="6"/>
  <c r="E69" i="6"/>
  <c r="C72" i="6"/>
  <c r="E77" i="6"/>
  <c r="C80" i="6"/>
  <c r="E85" i="6"/>
  <c r="C88" i="6"/>
  <c r="E93" i="6"/>
  <c r="C96" i="6"/>
  <c r="E101" i="6"/>
  <c r="C104" i="6"/>
  <c r="E109" i="6"/>
  <c r="C112" i="6"/>
  <c r="E117" i="6"/>
  <c r="C120" i="6"/>
  <c r="E125" i="6"/>
  <c r="C128" i="6"/>
  <c r="E133" i="6"/>
  <c r="C136" i="6"/>
  <c r="E141" i="6"/>
  <c r="C144" i="6"/>
  <c r="E149" i="6"/>
  <c r="C152" i="6"/>
  <c r="E157" i="6"/>
  <c r="C160" i="6"/>
  <c r="E165" i="6"/>
  <c r="C168" i="6"/>
  <c r="E173" i="6"/>
  <c r="C176" i="6"/>
  <c r="C184" i="6"/>
  <c r="D24" i="6"/>
  <c r="F24" i="6" s="1"/>
  <c r="D32" i="6"/>
  <c r="D40" i="6"/>
  <c r="D48" i="6"/>
  <c r="D56" i="6"/>
  <c r="D64" i="6"/>
  <c r="D72" i="6"/>
  <c r="D80" i="6"/>
  <c r="D88" i="6"/>
  <c r="D96" i="6"/>
  <c r="D104" i="6"/>
  <c r="D112" i="6"/>
  <c r="D120" i="6"/>
  <c r="D128" i="6"/>
  <c r="D136" i="6"/>
  <c r="D144" i="6"/>
  <c r="D152" i="6"/>
  <c r="D160" i="6"/>
  <c r="D168" i="6"/>
  <c r="D176" i="6"/>
  <c r="D184" i="6"/>
  <c r="B195" i="6"/>
  <c r="B203" i="6"/>
  <c r="B211" i="6"/>
  <c r="E40" i="6"/>
  <c r="E48" i="6"/>
  <c r="E56" i="6"/>
  <c r="E64" i="6"/>
  <c r="E72" i="6"/>
  <c r="E80" i="6"/>
  <c r="E88" i="6"/>
  <c r="E96" i="6"/>
  <c r="E104" i="6"/>
  <c r="E112" i="6"/>
  <c r="E120" i="6"/>
  <c r="E128" i="6"/>
  <c r="E136" i="6"/>
  <c r="E144" i="6"/>
  <c r="E152" i="6"/>
  <c r="E160" i="6"/>
  <c r="E168" i="6"/>
  <c r="E176" i="6"/>
  <c r="E184" i="6"/>
  <c r="C203" i="6"/>
  <c r="C211" i="6"/>
  <c r="B22" i="6"/>
  <c r="D27" i="6"/>
  <c r="B30" i="6"/>
  <c r="D35" i="6"/>
  <c r="E35" i="6" s="1"/>
  <c r="B38" i="6"/>
  <c r="F40" i="6"/>
  <c r="D43" i="6"/>
  <c r="B46" i="6"/>
  <c r="F48" i="6"/>
  <c r="D51" i="6"/>
  <c r="B54" i="6"/>
  <c r="F56" i="6"/>
  <c r="D59" i="6"/>
  <c r="B62" i="6"/>
  <c r="F64" i="6"/>
  <c r="D67" i="6"/>
  <c r="B70" i="6"/>
  <c r="F72" i="6"/>
  <c r="D75" i="6"/>
  <c r="B78" i="6"/>
  <c r="F80" i="6"/>
  <c r="D83" i="6"/>
  <c r="B86" i="6"/>
  <c r="F88" i="6"/>
  <c r="D91" i="6"/>
  <c r="B94" i="6"/>
  <c r="F96" i="6"/>
  <c r="D99" i="6"/>
  <c r="B102" i="6"/>
  <c r="F104" i="6"/>
  <c r="D107" i="6"/>
  <c r="B110" i="6"/>
  <c r="F112" i="6"/>
  <c r="D115" i="6"/>
  <c r="B118" i="6"/>
  <c r="F120" i="6"/>
  <c r="D123" i="6"/>
  <c r="B126" i="6"/>
  <c r="F128" i="6"/>
  <c r="D131" i="6"/>
  <c r="B134" i="6"/>
  <c r="F136" i="6"/>
  <c r="D139" i="6"/>
  <c r="B142" i="6"/>
  <c r="F144" i="6"/>
  <c r="D147" i="6"/>
  <c r="B150" i="6"/>
  <c r="F152" i="6"/>
  <c r="D155" i="6"/>
  <c r="B158" i="6"/>
  <c r="F160" i="6"/>
  <c r="D163" i="6"/>
  <c r="B166" i="6"/>
  <c r="F168" i="6"/>
  <c r="D171" i="6"/>
  <c r="B174" i="6"/>
  <c r="F176" i="6"/>
  <c r="D179" i="6"/>
  <c r="B182" i="6"/>
  <c r="F184" i="6"/>
  <c r="D187" i="6"/>
  <c r="B190" i="6"/>
  <c r="F192" i="6"/>
  <c r="D195" i="6"/>
  <c r="B198" i="6"/>
  <c r="F200" i="6"/>
  <c r="D203" i="6"/>
  <c r="B206" i="6"/>
  <c r="F208" i="6"/>
  <c r="D211" i="6"/>
  <c r="B214" i="6"/>
  <c r="F216" i="6"/>
  <c r="C22" i="6"/>
  <c r="F22" i="6" s="1"/>
  <c r="C30" i="6"/>
  <c r="C38" i="6"/>
  <c r="C46" i="6"/>
  <c r="C54" i="6"/>
  <c r="C62" i="6"/>
  <c r="C70" i="6"/>
  <c r="C78" i="6"/>
  <c r="C86" i="6"/>
  <c r="C94" i="6"/>
  <c r="C102" i="6"/>
  <c r="C110" i="6"/>
  <c r="C118" i="6"/>
  <c r="C126" i="6"/>
  <c r="C134" i="6"/>
  <c r="C142" i="6"/>
  <c r="C150" i="6"/>
  <c r="C158" i="6"/>
  <c r="C166" i="6"/>
  <c r="C174" i="6"/>
  <c r="C182" i="6"/>
  <c r="E187" i="6"/>
  <c r="C190" i="6"/>
  <c r="E195" i="6"/>
  <c r="C198" i="6"/>
  <c r="E203" i="6"/>
  <c r="C206" i="6"/>
  <c r="E211" i="6"/>
  <c r="C214" i="6"/>
  <c r="D22" i="6"/>
  <c r="D30" i="6"/>
  <c r="D38" i="6"/>
  <c r="D190" i="6"/>
  <c r="D198" i="6"/>
  <c r="D206" i="6"/>
  <c r="D214" i="6"/>
  <c r="B20" i="6"/>
  <c r="D25" i="6"/>
  <c r="F25" i="6" s="1"/>
  <c r="B28" i="6"/>
  <c r="D33" i="6"/>
  <c r="E33" i="6" s="1"/>
  <c r="B36" i="6"/>
  <c r="D41" i="6"/>
  <c r="F41" i="6" s="1"/>
  <c r="B44" i="6"/>
  <c r="D49" i="6"/>
  <c r="B52" i="6"/>
  <c r="D57" i="6"/>
  <c r="B60" i="6"/>
  <c r="D65" i="6"/>
  <c r="B68" i="6"/>
  <c r="D73" i="6"/>
  <c r="B76" i="6"/>
  <c r="D81" i="6"/>
  <c r="B84" i="6"/>
  <c r="D89" i="6"/>
  <c r="B92" i="6"/>
  <c r="D97" i="6"/>
  <c r="B100" i="6"/>
  <c r="D105" i="6"/>
  <c r="B108" i="6"/>
  <c r="D113" i="6"/>
  <c r="B116" i="6"/>
  <c r="D121" i="6"/>
  <c r="B124" i="6"/>
  <c r="D129" i="6"/>
  <c r="B132" i="6"/>
  <c r="D137" i="6"/>
  <c r="B140" i="6"/>
  <c r="D145" i="6"/>
  <c r="B148" i="6"/>
  <c r="D153" i="6"/>
  <c r="B156" i="6"/>
  <c r="D161" i="6"/>
  <c r="B164" i="6"/>
  <c r="D169" i="6"/>
  <c r="B172" i="6"/>
  <c r="D177" i="6"/>
  <c r="B180" i="6"/>
  <c r="D185" i="6"/>
  <c r="B188" i="6"/>
  <c r="D193" i="6"/>
  <c r="B196" i="6"/>
  <c r="D201" i="6"/>
  <c r="B204" i="6"/>
  <c r="D209" i="6"/>
  <c r="B212" i="6"/>
  <c r="D217" i="6"/>
  <c r="C20" i="6"/>
  <c r="C28" i="6"/>
  <c r="C36" i="6"/>
  <c r="E36" i="6" s="1"/>
  <c r="E41" i="6"/>
  <c r="C44" i="6"/>
  <c r="F44" i="6" s="1"/>
  <c r="E49" i="6"/>
  <c r="C52" i="6"/>
  <c r="E57" i="6"/>
  <c r="C60" i="6"/>
  <c r="E65" i="6"/>
  <c r="C68" i="6"/>
  <c r="E73" i="6"/>
  <c r="C76" i="6"/>
  <c r="E81" i="6"/>
  <c r="C84" i="6"/>
  <c r="E89" i="6"/>
  <c r="C92" i="6"/>
  <c r="E97" i="6"/>
  <c r="C100" i="6"/>
  <c r="E105" i="6"/>
  <c r="C108" i="6"/>
  <c r="E113" i="6"/>
  <c r="C116" i="6"/>
  <c r="E121" i="6"/>
  <c r="C124" i="6"/>
  <c r="E129" i="6"/>
  <c r="C132" i="6"/>
  <c r="E137" i="6"/>
  <c r="C140" i="6"/>
  <c r="E145" i="6"/>
  <c r="C148" i="6"/>
  <c r="E153" i="6"/>
  <c r="C156" i="6"/>
  <c r="C164" i="6"/>
  <c r="C172" i="6"/>
  <c r="C180" i="6"/>
  <c r="C188" i="6"/>
  <c r="C196" i="6"/>
  <c r="C204" i="6"/>
  <c r="C212" i="6"/>
  <c r="E217" i="6"/>
  <c r="D20" i="6"/>
  <c r="B23" i="6"/>
  <c r="E23" i="6" s="1"/>
  <c r="D28" i="6"/>
  <c r="B31" i="6"/>
  <c r="D36" i="6"/>
  <c r="D44" i="6"/>
  <c r="E44" i="6" s="1"/>
  <c r="D52" i="6"/>
  <c r="D60" i="6"/>
  <c r="D68" i="6"/>
  <c r="D76" i="6"/>
  <c r="D84" i="6"/>
  <c r="D92" i="6"/>
  <c r="D100" i="6"/>
  <c r="D108" i="6"/>
  <c r="D116" i="6"/>
  <c r="D124" i="6"/>
  <c r="D132" i="6"/>
  <c r="D140" i="6"/>
  <c r="D148" i="6"/>
  <c r="D156" i="6"/>
  <c r="B159" i="6"/>
  <c r="D164" i="6"/>
  <c r="B167" i="6"/>
  <c r="D172" i="6"/>
  <c r="B175" i="6"/>
  <c r="D180" i="6"/>
  <c r="B183" i="6"/>
  <c r="D188" i="6"/>
  <c r="B191" i="6"/>
  <c r="D196" i="6"/>
  <c r="B199" i="6"/>
  <c r="D204" i="6"/>
  <c r="B207" i="6"/>
  <c r="D212" i="6"/>
  <c r="B215" i="6"/>
  <c r="E20" i="6"/>
  <c r="E28" i="6"/>
  <c r="E52" i="6"/>
  <c r="E60" i="6"/>
  <c r="E68" i="6"/>
  <c r="E76" i="6"/>
  <c r="E84" i="6"/>
  <c r="E92" i="6"/>
  <c r="E100" i="6"/>
  <c r="E108" i="6"/>
  <c r="E116" i="6"/>
  <c r="E124" i="6"/>
  <c r="E132" i="6"/>
  <c r="E140" i="6"/>
  <c r="E148" i="6"/>
  <c r="E156" i="6"/>
  <c r="E164" i="6"/>
  <c r="E172" i="6"/>
  <c r="C175" i="6"/>
  <c r="E180" i="6"/>
  <c r="C183" i="6"/>
  <c r="E188" i="6"/>
  <c r="C191" i="6"/>
  <c r="E196" i="6"/>
  <c r="C199" i="6"/>
  <c r="E204" i="6"/>
  <c r="E212" i="6"/>
  <c r="C215" i="6"/>
  <c r="D23" i="6"/>
  <c r="B26" i="6"/>
  <c r="D31" i="6"/>
  <c r="B34" i="6"/>
  <c r="B42" i="6"/>
  <c r="B50" i="6"/>
  <c r="B58" i="6"/>
  <c r="B66" i="6"/>
  <c r="B74" i="6"/>
  <c r="B82" i="6"/>
  <c r="B90" i="6"/>
  <c r="B98" i="6"/>
  <c r="B106" i="6"/>
  <c r="B114" i="6"/>
  <c r="B122" i="6"/>
  <c r="B130" i="6"/>
  <c r="B138" i="6"/>
  <c r="B146" i="6"/>
  <c r="B154" i="6"/>
  <c r="D215" i="6"/>
  <c r="B218" i="6"/>
  <c r="C26" i="6"/>
  <c r="E26" i="6" s="1"/>
  <c r="C34" i="6"/>
  <c r="E34" i="6" s="1"/>
  <c r="C42" i="6"/>
  <c r="E42" i="6" s="1"/>
  <c r="C50" i="6"/>
  <c r="C58" i="6"/>
  <c r="C66" i="6"/>
  <c r="C74" i="6"/>
  <c r="C82" i="6"/>
  <c r="C90" i="6"/>
  <c r="C98" i="6"/>
  <c r="C106" i="6"/>
  <c r="C114" i="6"/>
  <c r="C122" i="6"/>
  <c r="C130" i="6"/>
  <c r="C138" i="6"/>
  <c r="C146" i="6"/>
  <c r="C154" i="6"/>
  <c r="E215" i="6"/>
  <c r="C218" i="6"/>
  <c r="B173" i="6"/>
  <c r="B181" i="6"/>
  <c r="B189" i="6"/>
  <c r="B197" i="6"/>
  <c r="B205" i="6"/>
  <c r="B213" i="6"/>
  <c r="D218" i="6"/>
  <c r="C189" i="6"/>
  <c r="C197" i="6"/>
  <c r="C205" i="6"/>
  <c r="C213" i="6"/>
  <c r="E218" i="6"/>
  <c r="B15" i="6" l="1"/>
  <c r="C15" i="6" s="1"/>
  <c r="F31" i="6"/>
  <c r="F42" i="6"/>
  <c r="F36" i="6"/>
  <c r="F23" i="6"/>
  <c r="E22" i="6"/>
  <c r="E32" i="6"/>
  <c r="F35" i="6"/>
  <c r="E31" i="6"/>
  <c r="E25" i="6"/>
  <c r="F34" i="6"/>
  <c r="F26" i="6"/>
</calcChain>
</file>

<file path=xl/sharedStrings.xml><?xml version="1.0" encoding="utf-8"?>
<sst xmlns="http://schemas.openxmlformats.org/spreadsheetml/2006/main" count="952" uniqueCount="527">
  <si>
    <t xml:space="preserve">MẪU NHẬP KỊCH BẢN GAME TƯƠNG TÁC </t>
  </si>
  <si>
    <t>Workbook chuẩn hóa cấu trúc từ 15-movie-template.ts. Team tài liệu nhập ô màu vàng; team dev dùng các bảng dữ liệu đã chuẩn hóa để dựng mảng script JSON/TypeScript và upsert movie.</t>
  </si>
  <si>
    <t>1. QUY TRÌNH SỬ DỤNG</t>
  </si>
  <si>
    <t>Bước</t>
  </si>
  <si>
    <t>Người thực hiện</t>
  </si>
  <si>
    <t>Thao tác</t>
  </si>
  <si>
    <t>Kết quả cần đạt</t>
  </si>
  <si>
    <t>Không được làm</t>
  </si>
  <si>
    <t>Team tài liệu</t>
  </si>
  <si>
    <t>Điền 01_THONG_TIN_Game</t>
  </si>
  <si>
    <t>Đủ mã chương, mục, tiêu đề và thông tin seed</t>
  </si>
  <si>
    <t>Không đổi tên trường kỹ thuật</t>
  </si>
  <si>
    <t>Điền 02_KICH_BAN_NODES theo NodeOrder</t>
  </si>
  <si>
    <t>Mỗi dòng là 1 scene/say/choice/act/end</t>
  </si>
  <si>
    <t>Không gộp nhiều node trong một dòng</t>
  </si>
  <si>
    <t>Điền 03_LUA_CHON theo ChoiceNodeId</t>
  </si>
  <si>
    <t>Mỗi choice có 2–4 phương án và đúng quy tắc ChoiceMode</t>
  </si>
  <si>
    <t>Không bỏ phản hồi phương án</t>
  </si>
  <si>
    <t>Reviewer</t>
  </si>
  <si>
    <t>Kiểm tra 05_KIEM_TRA_QA</t>
  </si>
  <si>
    <t>Không còn lỗi cấu trúc; checklist chuyên môn đạt</t>
  </si>
  <si>
    <t>Không bàn giao khi còn CẦN SỬA</t>
  </si>
  <si>
    <t>Team dev</t>
  </si>
  <si>
    <t>Chuyển đổi theo 06_DEV_MAPPING</t>
  </si>
  <si>
    <t>Seed chạy được và upsert theo muc</t>
  </si>
  <si>
    <t>Không tự thay đổi nội dung chuyên môn</t>
  </si>
  <si>
    <t>2. QUY ƯỚC MÀU VÀ TRẠNG THÁI</t>
  </si>
  <si>
    <t>Màu/Trạng thái</t>
  </si>
  <si>
    <t>Ý nghĩa</t>
  </si>
  <si>
    <t>Hành động</t>
  </si>
  <si>
    <t>Ô màu vàng</t>
  </si>
  <si>
    <t>Dữ liệu team tài liệu được phép nhập/sửa</t>
  </si>
  <si>
    <t>Điền nội dung, không xóa tiêu đề cột</t>
  </si>
  <si>
    <t>Ô màu xám</t>
  </si>
  <si>
    <t>Công thức hoặc thông tin kỹ thuật</t>
  </si>
  <si>
    <t>Không sửa</t>
  </si>
  <si>
    <t>HỢP LỆ</t>
  </si>
  <si>
    <t>Dòng đạt kiểm tra cấu trúc cơ bản</t>
  </si>
  <si>
    <t>Chuyển sang review chuyên môn</t>
  </si>
  <si>
    <t>CẦN SỬA</t>
  </si>
  <si>
    <t>Thiếu dữ liệu, sai liên kết hoặc sai quy tắc</t>
  </si>
  <si>
    <t>Đọc cột Lỗi cấu trúc và chỉnh lại</t>
  </si>
  <si>
    <t>3. QUY TẮC NỘI DUNG BẮT BUỘC</t>
  </si>
  <si>
    <t>Nhóm</t>
  </si>
  <si>
    <t>Quy tắc</t>
  </si>
  <si>
    <t>Mức độ</t>
  </si>
  <si>
    <t>Lý do</t>
  </si>
  <si>
    <t>Cấu trúc game</t>
  </si>
  <si>
    <t>Thông thường 2–4 màn; mỗi màn bắt đầu bằng scene, kết thúc bằng act; toàn game có đúng 1 end.</t>
  </si>
  <si>
    <t>Bắt buộc</t>
  </si>
  <si>
    <t>Khớp ScriptNode trong template.</t>
  </si>
  <si>
    <t>Choice kiến thức</t>
  </si>
  <si>
    <t>ChoiceMode = Kiến thức: 2–4 phương án và đúng 1 IsCorrect = Có.</t>
  </si>
  <si>
    <t>Dùng để kiểm tra và chấm đúng/sai.</t>
  </si>
  <si>
    <t>Choice tương tác</t>
  </si>
  <si>
    <t>ChoiceMode = Tương tác: 2–4 phương án và không đánh dấu đáp án đúng; có thể dùng dc.</t>
  </si>
  <si>
    <t>Khớp các lựa chọn thái độ/thiện cảm trong kịch bản mẫu.</t>
  </si>
  <si>
    <t>Phản hồi</t>
  </si>
  <si>
    <t>Mọi phương án phải có ReplyText; phương án sai của câu kiến thức phải giải thích vì sao sai.</t>
  </si>
  <si>
    <t>Bảo đảm giá trị học tập.</t>
  </si>
  <si>
    <t>Nhân vật</t>
  </si>
  <si>
    <t>Chỉ dùng SpeakerKey trong danh mục; nhân vật mới phải được dev bổ sung vào CHARACTERS.</t>
  </si>
  <si>
    <t>Tránh key không tồn tại.</t>
  </si>
  <si>
    <t>Cảnh nền</t>
  </si>
  <si>
    <t>Chỉ dùng Background trong danh mục; cảnh mới cần asset/SVG được dev xác nhận.</t>
  </si>
  <si>
    <t>Tránh thiếu tài nguyên giao diện.</t>
  </si>
  <si>
    <t>Văn bản</t>
  </si>
  <si>
    <t>Không dùng HTML; câu hỏi không đánh đố; lời thoại tự nhiên, phù hợp vai trò.</t>
  </si>
  <si>
    <t>Khuyến nghị cao</t>
  </si>
  <si>
    <t>Theo nguyên tắc biên soạn của template.</t>
  </si>
  <si>
    <t>Thứ tự</t>
  </si>
  <si>
    <t>NodeOrder và NodeId phải duy nhất; option sắp xếp bằng OptionOrder.</t>
  </si>
  <si>
    <t>Bảo toàn thứ tự mảng script/opts.</t>
  </si>
  <si>
    <t>4. TRƯỜNG HỢP ĐẶC BIỆT</t>
  </si>
  <si>
    <t>Tình huống</t>
  </si>
  <si>
    <t>Cách xử lý</t>
  </si>
  <si>
    <t>Lời dẫn chuyện</t>
  </si>
  <si>
    <t>NodeType = say, SpeakerKey = narr, Mood để trống.</t>
  </si>
  <si>
    <t>Choice mở đầu kiểu “Bạn sẵn sàng chứ?”</t>
  </si>
  <si>
    <t>Chọn ChoiceMode = Tương tác; IsCorrect của mọi option = Không; dùng dc nếu cần.</t>
  </si>
  <si>
    <t>Thêm nhân vật/cảnh nền</t>
  </si>
  <si>
    <t>Bổ sung tại 04_DANH_MUC, ghi rõ cần dev bổ sung và chỉ dùng sau khi được duyệt.</t>
  </si>
  <si>
    <t>Điểm thiện cảm dc</t>
  </si>
  <si>
    <t>Nhập số nguyên dương/âm khi cần; để trống để dùng cơ chế mặc định.</t>
  </si>
  <si>
    <t>Thông tin mẫu</t>
  </si>
  <si>
    <t>Giá trị</t>
  </si>
  <si>
    <t>Nguồn cấu trúc</t>
  </si>
  <si>
    <t>15-movie-template.ts</t>
  </si>
  <si>
    <t>Phiên bản workbook</t>
  </si>
  <si>
    <t>1.1.0 — 2026-07-10</t>
  </si>
  <si>
    <t>01 — THÔNG TIN game / THÔNG SỐ SEED</t>
  </si>
  <si>
    <t>Điền cột Giá trị. Trường có Bắt buộc = Có phải hoàn thành trước khi bàn giao.</t>
  </si>
  <si>
    <t>Trường kỹ thuật</t>
  </si>
  <si>
    <t>Ví dụ</t>
  </si>
  <si>
    <t>Quy tắc / Ghi chú</t>
  </si>
  <si>
    <t>chapterCode</t>
  </si>
  <si>
    <t>Có</t>
  </si>
  <si>
    <t>2</t>
  </si>
  <si>
    <t>Phải tồn tại trong bảng chapter trước khi seed.</t>
  </si>
  <si>
    <t>muc</t>
  </si>
  <si>
    <t>2.1</t>
  </si>
  <si>
    <t>Khóa nghiệp vụ dùng tìm movie hiện có để update/create.</t>
  </si>
  <si>
    <t>movieTitle</t>
  </si>
  <si>
    <t>game tương tác: Hàng hóa và tiền tệ</t>
  </si>
  <si>
    <t>Tên hiển thị của game.</t>
  </si>
  <si>
    <t>seedFunctionName</t>
  </si>
  <si>
    <t>seedMovieChuong2</t>
  </si>
  <si>
    <t>camelCase, không dấu, duy nhất.</t>
  </si>
  <si>
    <t>outputFileName</t>
  </si>
  <si>
    <t>16-movie-chuong-2.ts</t>
  </si>
  <si>
    <t>Tên file TypeScript sau chuyển đổi.</t>
  </si>
  <si>
    <t>seedLogLabel</t>
  </si>
  <si>
    <t>Interactive Movies (Chương 2)</t>
  </si>
  <si>
    <t>Nhãn dùng trong seedLog().</t>
  </si>
  <si>
    <t>author</t>
  </si>
  <si>
    <t>Nguyễn Văn A</t>
  </si>
  <si>
    <t>Người biên soạn.</t>
  </si>
  <si>
    <t>reviewer</t>
  </si>
  <si>
    <t>Trần Thị B</t>
  </si>
  <si>
    <t>Người duyệt nội dung.</t>
  </si>
  <si>
    <t>version</t>
  </si>
  <si>
    <t>1.1</t>
  </si>
  <si>
    <t>Tăng version khi chỉnh sau bàn giao.</t>
  </si>
  <si>
    <t>documentStatus</t>
  </si>
  <si>
    <t>Đã duyệt</t>
  </si>
  <si>
    <t>Chỉ bàn giao khi Đã duyệt.</t>
  </si>
  <si>
    <t>sourceReference</t>
  </si>
  <si>
    <t>Không</t>
  </si>
  <si>
    <t>Giáo trình Chương 2, trang 30–45</t>
  </si>
  <si>
    <t>Nguồn chuyên môn.</t>
  </si>
  <si>
    <t>changeSummary</t>
  </si>
  <si>
    <t>Tạo mới kịch bản Chương 2</t>
  </si>
  <si>
    <t>Tóm tắt thay đổi.</t>
  </si>
  <si>
    <t>KIỂM TRA NHANH</t>
  </si>
  <si>
    <t>Chỉ số</t>
  </si>
  <si>
    <t>Trạng thái</t>
  </si>
  <si>
    <t>Trường bắt buộc còn trống</t>
  </si>
  <si>
    <t>Trạng thái tài liệu</t>
  </si>
  <si>
    <t>Sẵn sàng bàn giao dev</t>
  </si>
  <si>
    <t>Ghi chú</t>
  </si>
  <si>
    <t>Công thức chỉ kiểm tra cấu trúc; reviewer vẫn phải kiểm tra kiến thức.</t>
  </si>
  <si>
    <t>02 — KỊCH BẢN: DANH SÁCH SCRIPT NODE</t>
  </si>
  <si>
    <t>Mỗi dòng là một ScriptNode. ChoiceMode chỉ dùng để QA/biên soạn và không cần ghi vào object TypeScript.</t>
  </si>
  <si>
    <t>NodeOrder*</t>
  </si>
  <si>
    <t>NodeId*</t>
  </si>
  <si>
    <t>ActNo</t>
  </si>
  <si>
    <t>NodeType*</t>
  </si>
  <si>
    <t>ChoiceMode</t>
  </si>
  <si>
    <t>Background</t>
  </si>
  <si>
    <t>SceneName</t>
  </si>
  <si>
    <t>SpeakerKey</t>
  </si>
  <si>
    <t>Mood</t>
  </si>
  <si>
    <t>Text / Question</t>
  </si>
  <si>
    <t>ActRoman</t>
  </si>
  <si>
    <t>Ghi chú biên soạn</t>
  </si>
  <si>
    <t>Lỗi cấu trúc</t>
  </si>
  <si>
    <t>03 — PHƯƠNG ÁN CHO CÁC NODE CHOICE</t>
  </si>
  <si>
    <t>Choice kiến thức: đúng 1 đáp án. Choice tương tác: không có đáp án đúng, có thể nhập dc để thay đổi thiện cảm.</t>
  </si>
  <si>
    <t>ChoiceNodeId*</t>
  </si>
  <si>
    <t>OptionOrder*</t>
  </si>
  <si>
    <t>OptionText*</t>
  </si>
  <si>
    <t>IsCorrect*</t>
  </si>
  <si>
    <t>dc</t>
  </si>
  <si>
    <t>ReplySpeaker*</t>
  </si>
  <si>
    <t>ReplyMood</t>
  </si>
  <si>
    <t>ReplyText*</t>
  </si>
  <si>
    <t>04 — DANH MỤC KỸ THUẬT DÙNG CHUNG</t>
  </si>
  <si>
    <t>Các vùng danh mục là nguồn dropdown. Dòng trống phía dưới dành cho tài nguyên mới đã được dev xác nhận.</t>
  </si>
  <si>
    <t>NHÂN VẬT</t>
  </si>
  <si>
    <t>CẢNH NỀN</t>
  </si>
  <si>
    <t>MOOD</t>
  </si>
  <si>
    <t>NODE TYPE</t>
  </si>
  <si>
    <t>Tên hiển thị</t>
  </si>
  <si>
    <t>Vai trò</t>
  </si>
  <si>
    <t>BackgroundKey</t>
  </si>
  <si>
    <t>Mô tả</t>
  </si>
  <si>
    <t>Tình trạng asset</t>
  </si>
  <si>
    <t>MoodKey</t>
  </si>
  <si>
    <t>Ý nghĩa gợi ý</t>
  </si>
  <si>
    <t>NodeType</t>
  </si>
  <si>
    <t>Trường bắt buộc</t>
  </si>
  <si>
    <t>Object đầu ra</t>
  </si>
  <si>
    <t>narr</t>
  </si>
  <si>
    <t>thukho</t>
  </si>
  <si>
    <t>Thư khố / tầng hầm lưu trữ, tông nâu ấm</t>
  </si>
  <si>
    <t>Có sẵn</t>
  </si>
  <si>
    <t>neutral</t>
  </si>
  <si>
    <t>Bình thường / trung lập</t>
  </si>
  <si>
    <t>scene</t>
  </si>
  <si>
    <t>ActNo, Background, SceneName</t>
  </si>
  <si>
    <t>{ t: "scene", bg, act, name }</t>
  </si>
  <si>
    <t>you</t>
  </si>
  <si>
    <t>Bạn</t>
  </si>
  <si>
    <t>Trợ lý nghiên cứu</t>
  </si>
  <si>
    <t>hoithao</t>
  </si>
  <si>
    <t>Hội trường / hội thảo, tông tím xanh</t>
  </si>
  <si>
    <t>happy</t>
  </si>
  <si>
    <t>Vui / khích lệ</t>
  </si>
  <si>
    <t>say</t>
  </si>
  <si>
    <t>SpeakerKey, Text; Mood trừ narr</t>
  </si>
  <si>
    <t>{ t: "say", who, mood?, text }</t>
  </si>
  <si>
    <t>lam</t>
  </si>
  <si>
    <t>GS. Lâm</t>
  </si>
  <si>
    <t>Người hướng dẫn</t>
  </si>
  <si>
    <t>buctham</t>
  </si>
  <si>
    <t>Bục thẩm / khán phòng, tông đỏ trầm</t>
  </si>
  <si>
    <t>concern</t>
  </si>
  <si>
    <t>Quan ngại / sửa sai nhẹ nhàng</t>
  </si>
  <si>
    <t>choice</t>
  </si>
  <si>
    <t>ChoiceMode, SpeakerKey, Mood, Question + options</t>
  </si>
  <si>
    <t>{ t: "choice", who, mood, q, opts }</t>
  </si>
  <si>
    <t>an</t>
  </si>
  <si>
    <t>Thủ thư An</t>
  </si>
  <si>
    <t>Thủ thư lưu trữ</t>
  </si>
  <si>
    <t>stern</t>
  </si>
  <si>
    <t>Nghiêm khắc / phản biện</t>
  </si>
  <si>
    <t>act</t>
  </si>
  <si>
    <t>{ t: "act", n }</t>
  </si>
  <si>
    <t>khoa</t>
  </si>
  <si>
    <t>TS. Khoa</t>
  </si>
  <si>
    <t>Phản biện viên</t>
  </si>
  <si>
    <t>end</t>
  </si>
  <si>
    <t>Không có trường phụ</t>
  </si>
  <si>
    <t>{ t: "end" }</t>
  </si>
  <si>
    <t>minh</t>
  </si>
  <si>
    <t>SV. Minh</t>
  </si>
  <si>
    <t>Sinh viên</t>
  </si>
  <si>
    <t>05 — KIỂM TRA CHẤT LƯỢNG TRƯỚC KHI BÀN GIAO</t>
  </si>
  <si>
    <t>QA tự động kiểm tra cấu trúc; reviewer vẫn cần duyệt kiến thức, chính tả và tính tự nhiên.</t>
  </si>
  <si>
    <t>TỔNG QUAN</t>
  </si>
  <si>
    <t>Tổng node</t>
  </si>
  <si>
    <t>Scene</t>
  </si>
  <si>
    <t>Say</t>
  </si>
  <si>
    <t>Choice</t>
  </si>
  <si>
    <t>Act</t>
  </si>
  <si>
    <t>End</t>
  </si>
  <si>
    <t>Lỗi node</t>
  </si>
  <si>
    <t>Lỗi option</t>
  </si>
  <si>
    <t>CÁC ĐIỀU KIỆN BẮT BUỘC</t>
  </si>
  <si>
    <t>Kiểm tra</t>
  </si>
  <si>
    <t>Kết quả</t>
  </si>
  <si>
    <t>Có đúng 1 node end</t>
  </si>
  <si>
    <t>Giữ đúng một end ở cuối phim.</t>
  </si>
  <si>
    <t>Không có lỗi node</t>
  </si>
  <si>
    <t>Xem cột Lỗi cấu trúc sheet 02.</t>
  </si>
  <si>
    <t>Không có lỗi option</t>
  </si>
  <si>
    <t>Xem cột Lỗi cấu trúc sheet 03.</t>
  </si>
  <si>
    <t>Số scene thông thường 2–4</t>
  </si>
  <si>
    <t>Ngoài khoảng cần reviewer xác nhận.</t>
  </si>
  <si>
    <t>Metadata sẵn sàng</t>
  </si>
  <si>
    <t>Hoàn tất sheet 01 và Đã duyệt.</t>
  </si>
  <si>
    <t>KẾT LUẬN BÀN GIAO</t>
  </si>
  <si>
    <t>Chỉ bàn giao khi SẴN SÀNG.</t>
  </si>
  <si>
    <t>KIỂM TRA TỪNG CHOICE NODE</t>
  </si>
  <si>
    <t>CHECKLIST REVIEWER</t>
  </si>
  <si>
    <t>ChoiceNodeId</t>
  </si>
  <si>
    <t>Số option</t>
  </si>
  <si>
    <t>Số đáp án đúng</t>
  </si>
  <si>
    <t>Lỗi</t>
  </si>
  <si>
    <t>Mục review</t>
  </si>
  <si>
    <t>Xác nhận</t>
  </si>
  <si>
    <t>Kiến thức đúng nguồn</t>
  </si>
  <si>
    <t>Chưa kiểm tra</t>
  </si>
  <si>
    <t>Câu hỏi không đánh đố</t>
  </si>
  <si>
    <t>Phản hồi sai có giải thích</t>
  </si>
  <si>
    <t>Lời thoại tự nhiên, đúng vai</t>
  </si>
  <si>
    <t>Không có HTML / lỗi chính tả</t>
  </si>
  <si>
    <t>Tên màn và chuyển cảnh hợp lý</t>
  </si>
  <si>
    <t>Đã chạy thử seed ở môi trường dev</t>
  </si>
  <si>
    <t>06 — MAPPING EXCEL → TYPESCRIPT / PRISMA SEED</t>
  </si>
  <si>
    <t>Dành cho dev. ChoiceMode là metadata biên soạn, chỉ dùng để validate và không xuất vào ScriptNode.</t>
  </si>
  <si>
    <t>1. MAPPING THÔNG TIN MOVIE</t>
  </si>
  <si>
    <t>Excel</t>
  </si>
  <si>
    <t>Biến seed</t>
  </si>
  <si>
    <t>Prisma / Mục đích</t>
  </si>
  <si>
    <t>01!chapterCode</t>
  </si>
  <si>
    <t>chapter.findUnique({ where: { code } })</t>
  </si>
  <si>
    <t>Không tìm thấy chapter thì cảnh báo và return.</t>
  </si>
  <si>
    <t>01!muc</t>
  </si>
  <si>
    <t>movie.findFirst({ where: { muc } })</t>
  </si>
  <si>
    <t>Khóa xác định update/create.</t>
  </si>
  <si>
    <t>01!movieTitle</t>
  </si>
  <si>
    <t>movie.title</t>
  </si>
  <si>
    <t>Tên hiển thị.</t>
  </si>
  <si>
    <t>01!seedFunctionName</t>
  </si>
  <si>
    <t>Tên export function</t>
  </si>
  <si>
    <t>Đăng ký vào seed/index.ts</t>
  </si>
  <si>
    <t>Phải duy nhất.</t>
  </si>
  <si>
    <t>01!seedLogLabel</t>
  </si>
  <si>
    <t>seedLog(label, 1)</t>
  </si>
  <si>
    <t>Log seed</t>
  </si>
  <si>
    <t>Đổi theo chương.</t>
  </si>
  <si>
    <t>2. MAPPING SCRIPT NODE</t>
  </si>
  <si>
    <t>Excel fields</t>
  </si>
  <si>
    <t>Bỏ qua khi rỗng</t>
  </si>
  <si>
    <t>Liên kết option</t>
  </si>
  <si>
    <t>Background, ActNo, SceneName</t>
  </si>
  <si>
    <t>{ t:"scene", bg, act, name }</t>
  </si>
  <si>
    <t>NodeOrder</t>
  </si>
  <si>
    <t>Đủ 3 trường</t>
  </si>
  <si>
    <t>Đầu màn.</t>
  </si>
  <si>
    <t>SpeakerKey, Mood, Text</t>
  </si>
  <si>
    <t>{ t:"say", who, mood?, text }</t>
  </si>
  <si>
    <t>mood</t>
  </si>
  <si>
    <t>who/text bắt buộc</t>
  </si>
  <si>
    <t>narr thường không có mood.</t>
  </si>
  <si>
    <t>SpeakerKey, Mood, Question</t>
  </si>
  <si>
    <t>{ t:"choice", who, mood, q, opts }</t>
  </si>
  <si>
    <t>Join 03 theo ChoiceNodeId</t>
  </si>
  <si>
    <t>NodeOrder + OptionOrder</t>
  </si>
  <si>
    <t>2–4 opts, theo ChoiceMode</t>
  </si>
  <si>
    <t>Không xuất ChoiceMode.</t>
  </si>
  <si>
    <t>{ t:"act", n }</t>
  </si>
  <si>
    <t>n bắt buộc</t>
  </si>
  <si>
    <t>Cuối màn.</t>
  </si>
  <si>
    <t>{ t:"end" }</t>
  </si>
  <si>
    <t>Tất cả</t>
  </si>
  <si>
    <t>Đúng 1 node</t>
  </si>
  <si>
    <t>Cuối phim.</t>
  </si>
  <si>
    <t>3. MAPPING CHOICE OPTION</t>
  </si>
  <si>
    <t>Excel field</t>
  </si>
  <si>
    <t>Output field</t>
  </si>
  <si>
    <t>Lưu ý</t>
  </si>
  <si>
    <t>OptionText</t>
  </si>
  <si>
    <t>text</t>
  </si>
  <si>
    <t>Giữ nguyên chuỗi</t>
  </si>
  <si>
    <t>Em sẵn sàng.</t>
  </si>
  <si>
    <t>Không tự thêm A/B/C nếu UI không yêu cầu.</t>
  </si>
  <si>
    <t>IsCorrect</t>
  </si>
  <si>
    <t>correct</t>
  </si>
  <si>
    <t>Chỉ xuất correct:true khi "Có"</t>
  </si>
  <si>
    <t>true</t>
  </si>
  <si>
    <t>Tương tác: tất cả = Không; không xuất false.</t>
  </si>
  <si>
    <t>Chỉ xuất khi có số</t>
  </si>
  <si>
    <t>8 hoặc -2</t>
  </si>
  <si>
    <t>Dùng cho thiện cảm.</t>
  </si>
  <si>
    <t>ReplySpeaker</t>
  </si>
  <si>
    <t>reply.who</t>
  </si>
  <si>
    <t>Key hợp lệ</t>
  </si>
  <si>
    <t>reply.t luôn là say.</t>
  </si>
  <si>
    <t>reply.mood</t>
  </si>
  <si>
    <t>Bỏ qua nếu trống</t>
  </si>
  <si>
    <t>narr thường trống.</t>
  </si>
  <si>
    <t>ReplyText</t>
  </si>
  <si>
    <t>reply.text</t>
  </si>
  <si>
    <t>Giữ nguyên</t>
  </si>
  <si>
    <t>Tinh thần tốt.</t>
  </si>
  <si>
    <t>Sai kiến thức cần giải thích.</t>
  </si>
  <si>
    <t>4. THUẬT TOÁN CHUYỂN ĐỔI ĐỀ XUẤT</t>
  </si>
  <si>
    <t>Xử lý</t>
  </si>
  <si>
    <t>Chi tiết</t>
  </si>
  <si>
    <t>Đọc metadata</t>
  </si>
  <si>
    <t>Lấy chapterCode, muc, movieTitle, tên hàm/file.</t>
  </si>
  <si>
    <t>Đọc node</t>
  </si>
  <si>
    <t>Bỏ NodeOrder trống; sort tăng dần; kiểm tra NodeId duy nhất.</t>
  </si>
  <si>
    <t>Đọc option</t>
  </si>
  <si>
    <t>Bỏ ChoiceNodeId trống; group theo ID; sort OptionOrder.</t>
  </si>
  <si>
    <t>Dựng script</t>
  </si>
  <si>
    <t>Switch NodeType; choice gắn opts đã group; bỏ ChoiceMode.</t>
  </si>
  <si>
    <t>Tạo option</t>
  </si>
  <si>
    <t>correct chỉ khi Có; dc/mood chỉ khi có giá trị; reply luôn t=say.</t>
  </si>
  <si>
    <t>Upsert movie</t>
  </si>
  <si>
    <t>Tìm chapter; tìm movie theo muc; update hoặc create.</t>
  </si>
  <si>
    <t>Đăng ký seed</t>
  </si>
  <si>
    <t>Import và gọi hàm trong services/src/seed/index.ts.</t>
  </si>
  <si>
    <t>5. MẪU OBJECT ĐẦU RA</t>
  </si>
  <si>
    <t>Loại</t>
  </si>
  <si>
    <t>Ví dụ TypeScript / JSON tương ứng</t>
  </si>
  <si>
    <t>{ t: "scene", bg: "thukho", act: 1, name: "Màn I · Nguồn gốc" }</t>
  </si>
  <si>
    <t>{ t: "say", who: "lam", mood: "neutral", text: "Chào trợ lý mới." }</t>
  </si>
  <si>
    <t>{ t: "choice", who: "lam", mood: "neutral", q: "...", opts: [ /* từ sheet 03 */ ] }</t>
  </si>
  <si>
    <t>{ t: "act", n: "I" }</t>
  </si>
  <si>
    <t>5</t>
  </si>
  <si>
    <t>5.1</t>
  </si>
  <si>
    <t>Game tương tác: Kinh tế thị trường định hướng xã hội chủ nghĩa ở Việt Nam</t>
  </si>
  <si>
    <t>seedMovieChuong5Muc51</t>
  </si>
  <si>
    <t>15-movie-chuong-5-muc-5-1.ts</t>
  </si>
  <si>
    <t>Interactive Movies (Chương 5 - Mục 5.1)</t>
  </si>
  <si>
    <t>1.0</t>
  </si>
  <si>
    <t>Đang soạn</t>
  </si>
  <si>
    <t>Giáo trình Kinh tế chính trị Mác - Lênin, Chương 5, Mục 5.1, trang gốc 107–117.</t>
  </si>
  <si>
    <t>Bao phủ khái niệm, tính tất yếu và các đặc trưng của kinh tế thị trường định hướng xã hội chủ nghĩa ở Việt Nam.</t>
  </si>
  <si>
    <t>N001</t>
  </si>
  <si>
    <t>Màn I · Khái niệm và tính tất yếu</t>
  </si>
  <si>
    <t>Bắt đầu màn 1</t>
  </si>
  <si>
    <t>N002</t>
  </si>
  <si>
    <t>Trong phòng mô phỏng chính sách, bản đồ Việt Nam hiện lên cùng các luồng hàng hóa, vốn, lao động và dịch vụ. Bảng điều khiển yêu cầu xác định mô hình kinh tế đất nước đang xây dựng.</t>
  </si>
  <si>
    <t>N003</t>
  </si>
  <si>
    <t>Mục 5.1 bắt đầu từ khái niệm, tính tất yếu khách quan và những đặc trưng tạo nên định hướng xã hội chủ nghĩa.</t>
  </si>
  <si>
    <t>N004</t>
  </si>
  <si>
    <t>Tương tác</t>
  </si>
  <si>
    <t>Bạn muốn bắt đầu hành trình theo cách nào?</t>
  </si>
  <si>
    <t>Nhập option ở sheet 03</t>
  </si>
  <si>
    <t>N005</t>
  </si>
  <si>
    <t>Kiến thức</t>
  </si>
  <si>
    <t>Khái niệm nào phản ánh đầy đủ nhất kinh tế thị trường định hướng xã hội chủ nghĩa ở Việt Nam?</t>
  </si>
  <si>
    <t>N006</t>
  </si>
  <si>
    <t>Vì sao phát triển kinh tế thị trường định hướng xã hội chủ nghĩa ở Việt Nam là tất yếu khách quan?</t>
  </si>
  <si>
    <t>N007</t>
  </si>
  <si>
    <t>Ưu thế nào của kinh tế thị trường cần được phát huy?</t>
  </si>
  <si>
    <t>N008</t>
  </si>
  <si>
    <t>Nhận định nào đúng về tính phổ biến và tính đặc thù của mô hình Việt Nam?</t>
  </si>
  <si>
    <t>N009</t>
  </si>
  <si>
    <t>I</t>
  </si>
  <si>
    <t>Kết thúc màn I</t>
  </si>
  <si>
    <t>N010</t>
  </si>
  <si>
    <t>Màn II · Năm đặc trưng cốt lõi</t>
  </si>
  <si>
    <t>Bắt đầu màn 2</t>
  </si>
  <si>
    <t>N011</t>
  </si>
  <si>
    <t>Năm tấm thẻ xuất hiện: mục tiêu, sở hữu, quản lý, phân phối và quan hệ giữa tăng trưởng với tiến bộ, công bằng xã hội.</t>
  </si>
  <si>
    <t>N012</t>
  </si>
  <si>
    <t>Hãy ghép đúng từng quan hệ kinh tế với định hướng phát triển của Việt Nam.</t>
  </si>
  <si>
    <t>N013</t>
  </si>
  <si>
    <t>Mục tiêu của kinh tế thị trường định hướng xã hội chủ nghĩa ở Việt Nam là gì?</t>
  </si>
  <si>
    <t>N014</t>
  </si>
  <si>
    <t>Đặc trưng về quan hệ sở hữu và các thành phần kinh tế được thể hiện như thế nào?</t>
  </si>
  <si>
    <t>N015</t>
  </si>
  <si>
    <t>Vai trò của kinh tế nhà nước và kinh tế tư nhân được xác định thế nào?</t>
  </si>
  <si>
    <t>N016</t>
  </si>
  <si>
    <t>Đặc trưng về quản lý nền kinh tế là gì?</t>
  </si>
  <si>
    <t>N017</t>
  </si>
  <si>
    <t>Quan hệ phân phối trong mô hình được thực hiện theo những căn cứ nào?</t>
  </si>
  <si>
    <t>N018</t>
  </si>
  <si>
    <t>Quan điểm đúng về gắn tăng trưởng với tiến bộ và công bằng xã hội là gì?</t>
  </si>
  <si>
    <t>N019</t>
  </si>
  <si>
    <t>II</t>
  </si>
  <si>
    <t>Kết thúc màn II</t>
  </si>
  <si>
    <t>N020</t>
  </si>
  <si>
    <t>Màn III · Vận dụng mô hình vào thực tiễn</t>
  </si>
  <si>
    <t>Bắt đầu màn 3</t>
  </si>
  <si>
    <t>N021</t>
  </si>
  <si>
    <t>Một tình huống giả định được đưa ra: nền kinh tế tăng nhanh nhưng khoảng cách tiếp cận giáo dục, y tế và việc làm giữa các nhóm dân cư ngày càng lớn.</t>
  </si>
  <si>
    <t>N022</t>
  </si>
  <si>
    <t>Định hướng xã hội chủ nghĩa được kiểm nghiệm qua cách xử lý những mâu thuẫn phát sinh trong thực tiễn.</t>
  </si>
  <si>
    <t>N023</t>
  </si>
  <si>
    <t>Công bằng xã hội có đồng nghĩa với cào bằng thu nhập không?</t>
  </si>
  <si>
    <t>N024</t>
  </si>
  <si>
    <t>Chính sách nào phù hợp nhất với đặc trưng của mô hình?</t>
  </si>
  <si>
    <t>N025</t>
  </si>
  <si>
    <t>Điểm khác biệt có ý nghĩa định hướng của mô hình là gì?</t>
  </si>
  <si>
    <t>N026</t>
  </si>
  <si>
    <t>Khi chính sách tạo tăng trưởng nhưng làm nhiều người mất cơ hội tiếp cận dịch vụ cơ bản, cách xử lý phù hợp là gì?</t>
  </si>
  <si>
    <t>N027</t>
  </si>
  <si>
    <t>Bạn đã hoàn thành mục 5.1: khái niệm, tính tất yếu và các đặc trưng cơ bản của mô hình.</t>
  </si>
  <si>
    <t>N028</t>
  </si>
  <si>
    <t>III</t>
  </si>
  <si>
    <t>Kết thúc màn III</t>
  </si>
  <si>
    <t>N029</t>
  </si>
  <si>
    <t>Kết thúc toàn bộ game</t>
  </si>
  <si>
    <t>Đi từ khái niệm rồi kiểm tra bằng các tình huống thực tiễn.</t>
  </si>
  <si>
    <t>Tốt. Ta sẽ đi từ bản chất đến cách vận dụng.</t>
  </si>
  <si>
    <t>Bắt đầu bằng tình huống, sau đó khái quát thành lý luận.</t>
  </si>
  <si>
    <t>Cũng hợp lý. Tình huống sẽ giúp bạn nhận ra các yếu tố cốt lõi.</t>
  </si>
  <si>
    <t>Nền kinh tế vận hành đầy đủ, đồng bộ theo các quy luật thị trường; có sự quản lý của Nhà nước pháp quyền xã hội chủ nghĩa dưới sự lãnh đạo của Đảng; hướng tới dân giàu, nước mạnh, dân chủ, công bằng, văn minh.</t>
  </si>
  <si>
    <t>Chính xác. Khái niệm phải đồng thời thể hiện cơ chế thị trường, vai trò quản lý của Nhà nước và mục tiêu định hướng xã hội chủ nghĩa.</t>
  </si>
  <si>
    <t>Đáp án đúng</t>
  </si>
  <si>
    <t>Nền kinh tế trong đó Nhà nước quyết định toàn bộ giá cả và sản lượng, thị trường chỉ giữ vai trò phụ.</t>
  </si>
  <si>
    <t>Chưa đúng. Khái niệm phải đồng thời thể hiện cơ chế thị trường, vai trò quản lý của Nhà nước và mục tiêu định hướng xã hội chủ nghĩa.</t>
  </si>
  <si>
    <t>Đáp án nhiễu</t>
  </si>
  <si>
    <t>Nền kinh tế để thị trường tự điều chỉnh hoàn toàn, Nhà nước không quản lý hay định hướng.</t>
  </si>
  <si>
    <t>Vì phù hợp quy luật phát triển khách quan, thúc đẩy lực lượng sản xuất và phù hợp con đường quá độ lên chủ nghĩa xã hội ở Việt Nam.</t>
  </si>
  <si>
    <t>Chính xác. Tính tất yếu xuất phát từ quy luật phát triển sản xuất, ưu thế của thị trường và điều kiện lịch sử của Việt Nam.</t>
  </si>
  <si>
    <t>Vì mọi quốc gia đều buộc phải áp dụng một mô hình kinh tế giống hệt nhau.</t>
  </si>
  <si>
    <t>Chưa đúng. Tính tất yếu xuất phát từ quy luật phát triển sản xuất, ưu thế của thị trường và điều kiện lịch sử của Việt Nam.</t>
  </si>
  <si>
    <t>Vì kinh tế thị trường tự động tạo công bằng nên không cần quản lý hay định hướng.</t>
  </si>
  <si>
    <t>Khơi thông nguồn lực, kích thích cạnh tranh, sáng tạo và nâng cao năng suất lao động.</t>
  </si>
  <si>
    <t>Chính xác. Thị trường tạo động lực và phân bổ nguồn lực linh hoạt, nhưng vẫn có khuyết tật cần Nhà nước điều tiết.</t>
  </si>
  <si>
    <t>Loại bỏ hoàn toàn mọi rủi ro, bất bình đẳng và khủng hoảng.</t>
  </si>
  <si>
    <t>Chưa đúng. Thị trường tạo động lực và phân bổ nguồn lực linh hoạt, nhưng vẫn có khuyết tật cần Nhà nước điều tiết.</t>
  </si>
  <si>
    <t>Bảo đảm mọi chủ thể luôn có kết quả kinh doanh giống nhau.</t>
  </si>
  <si>
    <t>Mô hình vừa có đặc điểm chung của kinh tế thị trường hiện đại, vừa có đặc trưng riêng do mục tiêu và định hướng xã hội chủ nghĩa quy định.</t>
  </si>
  <si>
    <t>Chính xác. Hai mặt thị trường và định hướng xã hội chủ nghĩa thống nhất trong một mô hình cụ thể.</t>
  </si>
  <si>
    <t>Mô hình hoàn toàn không có điểm chung với kinh tế thị trường của các quốc gia khác.</t>
  </si>
  <si>
    <t>Chưa đúng. Hai mặt thị trường và định hướng xã hội chủ nghĩa thống nhất trong một mô hình cụ thể.</t>
  </si>
  <si>
    <t>Định hướng xã hội chủ nghĩa chỉ là tên gọi, không ảnh hưởng mục tiêu, quản lý hay phân phối.</t>
  </si>
  <si>
    <t>Phát triển lực lượng sản xuất, nâng cao đời sống nhân dân và hướng tới dân giàu, nước mạnh, dân chủ, công bằng, văn minh.</t>
  </si>
  <si>
    <t>Chính xác. Tăng trưởng là phương tiện; mục tiêu cuối cùng gắn với con người và sự tiến bộ xã hội.</t>
  </si>
  <si>
    <t>Tối đa hóa lợi nhuận cho một nhóm doanh nghiệp bất kể lợi ích xã hội.</t>
  </si>
  <si>
    <t>Chưa đúng. Tăng trưởng là phương tiện; mục tiêu cuối cùng gắn với con người và sự tiến bộ xã hội.</t>
  </si>
  <si>
    <t>Chỉ tăng tổng sản phẩm trong nước, không cần quan tâm chất lượng sống.</t>
  </si>
  <si>
    <t>Tồn tại nhiều hình thức sở hữu, nhiều thành phần kinh tế; các chủ thể bình đẳng, hợp tác và cạnh tranh theo pháp luật.</t>
  </si>
  <si>
    <t>Chính xác. Sự đa dạng sở hữu là khách quan và giúp huy động nhiều nguồn lực cho phát triển.</t>
  </si>
  <si>
    <t>Chỉ duy nhất sở hữu nhà nước được thừa nhận trong toàn bộ thời kỳ quá độ.</t>
  </si>
  <si>
    <t>Chưa đúng. Sự đa dạng sở hữu là khách quan và giúp huy động nhiều nguồn lực cho phát triển.</t>
  </si>
  <si>
    <t>Các thành phần kinh tế hoạt động không cần tuân thủ một mặt bằng pháp luật chung.</t>
  </si>
  <si>
    <t>Kinh tế nhà nước giữ vai trò chủ đạo; kinh tế tư nhân là một động lực quan trọng của nền kinh tế.</t>
  </si>
  <si>
    <t>Chính xác. Mỗi thành phần có vị trí và vai trò riêng trong tổng thể nền kinh tế nhiều thành phần.</t>
  </si>
  <si>
    <t>Kinh tế tư nhân phải bị loại bỏ vì không có đóng góp cho phát triển.</t>
  </si>
  <si>
    <t>Chưa đúng. Mỗi thành phần có vị trí và vai trò riêng trong tổng thể nền kinh tế nhiều thành phần.</t>
  </si>
  <si>
    <t>Kinh tế nhà nước không cần nâng cao hiệu quả vì luôn được bảo đảm.</t>
  </si>
  <si>
    <t>Vận hành theo cơ chế thị trường, đồng thời có sự quản lý của Nhà nước pháp quyền xã hội chủ nghĩa, sự lãnh đạo của Đảng và phát huy quyền làm chủ của nhân dân.</t>
  </si>
  <si>
    <t>Chính xác. Nhà nước kiến tạo và điều tiết bằng pháp luật, chiến lược và chính sách chứ không phủ nhận thị trường.</t>
  </si>
  <si>
    <t>Nhà nước thay thế hoàn toàn thị trường và trực tiếp quyết định mọi giao dịch.</t>
  </si>
  <si>
    <t>Chưa đúng. Nhà nước kiến tạo và điều tiết bằng pháp luật, chiến lược và chính sách chứ không phủ nhận thị trường.</t>
  </si>
  <si>
    <t>Thị trường tự điều chỉnh hoàn toàn, pháp luật và chính sách công không có vai trò.</t>
  </si>
  <si>
    <t>Chủ yếu theo kết quả lao động, hiệu quả kinh tế; đồng thời theo mức đóng góp vốn và nguồn lực khác, kết hợp an sinh và phúc lợi xã hội.</t>
  </si>
  <si>
    <t>Chính xác. Phân phối phải vừa tạo động lực theo đóng góp vừa bảo đảm an sinh.</t>
  </si>
  <si>
    <t>Chia đều mọi thu nhập bất kể đóng góp, trách nhiệm và hiệu quả.</t>
  </si>
  <si>
    <t>Chưa đúng. Phân phối phải vừa tạo động lực theo đóng góp vừa bảo đảm an sinh.</t>
  </si>
  <si>
    <t>Chỉ phân phối theo quyền sở hữu vốn, không tính lao động hay chính sách xã hội.</t>
  </si>
  <si>
    <t>Thực hiện tiến bộ và công bằng ngay trong từng bước, từng chính sách phát triển.</t>
  </si>
  <si>
    <t>Chính xác. Kinh tế và xã hội phải hỗ trợ lẫn nhau trong suốt quá trình phát triển.</t>
  </si>
  <si>
    <t>Chờ đến khi nền kinh tế thật giàu mới bắt đầu giải quyết các vấn đề xã hội.</t>
  </si>
  <si>
    <t>Chưa đúng. Kinh tế và xã hội phải hỗ trợ lẫn nhau trong suốt quá trình phát triển.</t>
  </si>
  <si>
    <t>Có thể hy sinh dài hạn quyền lợi xã hội và môi trường để đổi lấy tăng trưởng.</t>
  </si>
  <si>
    <t>Không; công bằng gắn với đóng góp và hiệu quả, đồng thời bảo đảm cơ hội, dịch vụ cơ bản và hỗ trợ người yếu thế.</t>
  </si>
  <si>
    <t>Chính xác. Công bằng không phải bình quân cào bằng mà là kết hợp động lực với cơ hội và an sinh.</t>
  </si>
  <si>
    <t>Có; mọi cá nhân phải nhận thu nhập giống nhau trong mọi hoàn cảnh.</t>
  </si>
  <si>
    <t>Chưa đúng. Công bằng không phải bình quân cào bằng mà là kết hợp động lực với cơ hội và an sinh.</t>
  </si>
  <si>
    <t>Không cần chính sách công vì thị trường tự bảo đảm cơ hội như nhau.</t>
  </si>
  <si>
    <t>Đầu tư cho giáo dục, y tế và hạ tầng xã hội, đồng thời cải thiện môi trường kinh doanh, khuyến khích sáng tạo và tạo việc làm bền vững.</t>
  </si>
  <si>
    <t>Chính xác. Chính sách tốt phải kết hợp phát triển lực lượng sản xuất với nâng cao cơ hội và chất lượng sống.</t>
  </si>
  <si>
    <t>Cắt toàn bộ chi tiêu xã hội để dồn nguồn lực cho tăng trưởng ngắn hạn.</t>
  </si>
  <si>
    <t>Chưa đúng. Chính sách tốt phải kết hợp phát triển lực lượng sản xuất với nâng cao cơ hội và chất lượng sống.</t>
  </si>
  <si>
    <t>Trợ cấp bình quân lâu dài nhưng không tạo điều kiện học tập, việc làm hay tự vươn lên.</t>
  </si>
  <si>
    <t>Phát triển thị trường gắn với mục tiêu xã hội chủ nghĩa, vai trò quản lý của Nhà nước và tiến bộ, công bằng xã hội.</t>
  </si>
  <si>
    <t>Chính xác. Sự khác biệt không nằm ở việc phủ nhận thị trường mà ở mục tiêu, quản lý, phân phối và định hướng.</t>
  </si>
  <si>
    <t>Không sử dụng giá cả, cạnh tranh hay các quy luật thị trường.</t>
  </si>
  <si>
    <t>Chưa đúng. Sự khác biệt không nằm ở việc phủ nhận thị trường mà ở mục tiêu, quản lý, phân phối và định hướng.</t>
  </si>
  <si>
    <t>Chỉ thừa nhận một hình thức sở hữu và một thành phần kinh tế.</t>
  </si>
  <si>
    <t>Điều chỉnh chính sách để vừa duy trì động lực tăng trưởng vừa mở rộng cơ hội, an sinh và bảo vệ nhóm dễ bị tổn thương.</t>
  </si>
  <si>
    <t>Chính xác. Cần điều chỉnh hài hòa, không tuyệt đối hóa tăng trưởng cũng không phủ nhận cơ chế thị trường.</t>
  </si>
  <si>
    <t>Giữ nguyên vì tốc độ tăng trưởng luôn quan trọng hơn mọi tác động xã hội.</t>
  </si>
  <si>
    <t>Chưa đúng. Cần điều chỉnh hài hòa, không tuyệt đối hóa tăng trưởng cũng không phủ nhận cơ chế thị trường.</t>
  </si>
  <si>
    <t>Dừng toàn bộ hoạt động thị trường và trở lại phân phối hành chính.</t>
  </si>
  <si>
    <t>Lê Vũ Minh Hoàng</t>
  </si>
  <si>
    <t>Lê Đặng Nhật Huy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</si>
</sst>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b/>
      <sz val="16"/>
      <color rgb="FFFFFFFF"/>
      <name val="Carlito"/>
    </font>
    <font>
      <i/>
      <sz val="10"/>
      <color rgb="FF17365D"/>
      <name val="Carlito"/>
    </font>
    <font>
      <b/>
      <sz val="11"/>
      <color rgb="FFFFFFFF"/>
      <name val="Carlito"/>
    </font>
    <font>
      <b/>
      <sz val="10"/>
      <color rgb="FFFFFFFF"/>
      <name val="Carlito"/>
    </font>
    <font>
      <b/>
      <sz val="14"/>
      <color rgb="FF17365D"/>
      <name val="Carlito"/>
    </font>
    <font>
      <sz val="11"/>
      <name val="Carlito"/>
    </font>
  </fonts>
  <fills count="11">
    <fill>
      <patternFill patternType="none"/>
    </fill>
    <fill>
      <patternFill patternType="gray125"/>
    </fill>
    <fill>
      <patternFill patternType="solid">
        <fgColor rgb="FF17365D"/>
      </patternFill>
    </fill>
    <fill>
      <patternFill patternType="solid">
        <fgColor rgb="FFD9EAF7"/>
      </patternFill>
    </fill>
    <fill>
      <patternFill patternType="solid">
        <fgColor rgb="FF0F6B78"/>
      </patternFill>
    </fill>
    <fill>
      <patternFill patternType="solid">
        <fgColor rgb="FF1F4E78"/>
      </patternFill>
    </fill>
    <fill>
      <patternFill patternType="solid">
        <fgColor rgb="FFFFF2CC"/>
      </patternFill>
    </fill>
    <fill>
      <patternFill patternType="solid">
        <fgColor rgb="FFE7E6E6"/>
      </patternFill>
    </fill>
    <fill>
      <patternFill patternType="solid">
        <fgColor rgb="FFE2F0D9"/>
      </patternFill>
    </fill>
    <fill>
      <patternFill patternType="solid">
        <fgColor rgb="FFFCE4D6"/>
      </patternFill>
    </fill>
    <fill>
      <patternFill patternType="solid">
        <fgColor rgb="FFFFF9E6"/>
      </patternFill>
    </fill>
  </fills>
  <borders count="1">
    <border>
      <left/>
      <right/>
      <top/>
      <bottom/>
      <diagonal/>
    </border>
  </borders>
  <cellStyleXfs count="3">
    <xf numFmtId="0" fontId="0" fillId="0" borderId="0"/>
    <xf numFmtId="0" fontId="6" fillId="0" borderId="0"/>
    <xf numFmtId="0" fontId="6" fillId="0" borderId="0"/>
  </cellStyleXfs>
  <cellXfs count="21">
    <xf numFmtId="0" fontId="0" fillId="0" borderId="0" xfId="0"/>
    <xf numFmtId="0" fontId="4" fillId="5" borderId="0" xfId="1" applyFont="1" applyFill="1" applyAlignment="1">
      <alignment horizontal="center" vertical="center" wrapText="1"/>
    </xf>
    <xf numFmtId="0" fontId="0" fillId="0" borderId="0" xfId="1" applyFont="1" applyAlignment="1">
      <alignment wrapText="1"/>
    </xf>
    <xf numFmtId="0" fontId="0" fillId="0" borderId="0" xfId="1" applyFont="1" applyAlignment="1">
      <alignment vertical="top" wrapText="1"/>
    </xf>
    <xf numFmtId="0" fontId="0" fillId="0" borderId="0" xfId="1" applyFont="1" applyAlignment="1">
      <alignment horizontal="center" vertical="top" wrapText="1"/>
    </xf>
    <xf numFmtId="0" fontId="0" fillId="6" borderId="0" xfId="1" applyFont="1" applyFill="1" applyAlignment="1">
      <alignment wrapText="1"/>
    </xf>
    <xf numFmtId="0" fontId="0" fillId="7" borderId="0" xfId="1" applyFont="1" applyFill="1" applyAlignment="1">
      <alignment wrapText="1"/>
    </xf>
    <xf numFmtId="0" fontId="0" fillId="8" borderId="0" xfId="1" applyFont="1" applyFill="1" applyAlignment="1">
      <alignment wrapText="1"/>
    </xf>
    <xf numFmtId="0" fontId="0" fillId="9" borderId="0" xfId="1" applyFont="1" applyFill="1" applyAlignment="1">
      <alignment wrapText="1"/>
    </xf>
    <xf numFmtId="0" fontId="0" fillId="0" borderId="0" xfId="1" applyFont="1" applyAlignment="1">
      <alignment horizontal="center" wrapText="1"/>
    </xf>
    <xf numFmtId="0" fontId="0" fillId="3" borderId="0" xfId="1" applyFont="1" applyFill="1" applyAlignment="1">
      <alignment wrapText="1"/>
    </xf>
    <xf numFmtId="0" fontId="0" fillId="10" borderId="0" xfId="1" applyFont="1" applyFill="1" applyAlignment="1">
      <alignment wrapText="1"/>
    </xf>
    <xf numFmtId="0" fontId="0" fillId="3" borderId="0" xfId="1" applyFont="1" applyFill="1" applyAlignment="1">
      <alignment horizontal="center" wrapText="1"/>
    </xf>
    <xf numFmtId="0" fontId="0" fillId="6" borderId="0" xfId="1" applyFont="1" applyFill="1" applyAlignment="1">
      <alignment horizontal="center" wrapText="1"/>
    </xf>
    <xf numFmtId="0" fontId="5" fillId="3" borderId="0" xfId="1" applyFont="1" applyFill="1" applyAlignment="1">
      <alignment horizontal="center"/>
    </xf>
    <xf numFmtId="0" fontId="0" fillId="6" borderId="0" xfId="2" applyFont="1" applyFill="1" applyAlignment="1">
      <alignment wrapText="1"/>
    </xf>
    <xf numFmtId="0" fontId="0" fillId="6" borderId="0" xfId="2" applyFont="1" applyFill="1" applyAlignment="1">
      <alignment horizontal="center" wrapText="1"/>
    </xf>
    <xf numFmtId="0" fontId="0" fillId="7" borderId="0" xfId="2" applyFont="1" applyFill="1" applyAlignment="1">
      <alignment wrapText="1"/>
    </xf>
    <xf numFmtId="0" fontId="3" fillId="4" borderId="0" xfId="1" applyFont="1" applyFill="1" applyAlignment="1">
      <alignment vertical="center"/>
    </xf>
    <xf numFmtId="0" fontId="1" fillId="2" borderId="0" xfId="1" applyFont="1" applyFill="1" applyAlignment="1">
      <alignment horizontal="center" vertical="center"/>
    </xf>
    <xf numFmtId="0" fontId="2" fillId="3" borderId="0" xfId="1" applyFont="1" applyFill="1" applyAlignment="1">
      <alignment vertical="center" wrapText="1"/>
    </xf>
  </cellXfs>
  <cellStyles count="3">
    <cellStyle name="Bình thường" xfId="2" xr:uid="{00000000-0005-0000-0000-000000000000}"/>
    <cellStyle name="Normal" xfId="0" builtinId="0"/>
    <cellStyle name="Normal 2" xfId="1" xr:uid="{00000000-0005-0000-0000-000001000000}"/>
  </cellStyles>
  <dxfs count="22">
    <dxf>
      <font>
        <b/>
        <color rgb="FFC00000"/>
      </font>
      <fill>
        <patternFill>
          <bgColor rgb="FFFCE4D6"/>
        </patternFill>
      </fill>
    </dxf>
    <dxf>
      <font>
        <b/>
        <color rgb="FF548235"/>
      </font>
      <fill>
        <patternFill>
          <bgColor rgb="FFE2F0D9"/>
        </patternFill>
      </fill>
    </dxf>
    <dxf>
      <font>
        <b/>
        <color rgb="FFC00000"/>
      </font>
      <fill>
        <patternFill>
          <bgColor rgb="FFFCE4D6"/>
        </patternFill>
      </fill>
    </dxf>
    <dxf>
      <font>
        <b/>
        <color rgb="FF548235"/>
      </font>
      <fill>
        <patternFill>
          <bgColor rgb="FFE2F0D9"/>
        </patternFill>
      </fill>
    </dxf>
    <dxf>
      <font>
        <b/>
        <color rgb="FF9C6500"/>
      </font>
      <fill>
        <patternFill>
          <bgColor rgb="FFFFF2CC"/>
        </patternFill>
      </fill>
    </dxf>
    <dxf>
      <font>
        <b/>
        <color rgb="FFC00000"/>
      </font>
      <fill>
        <patternFill>
          <bgColor rgb="FFFCE4D6"/>
        </patternFill>
      </fill>
    </dxf>
    <dxf>
      <font>
        <b/>
        <color rgb="FF548235"/>
      </font>
      <fill>
        <patternFill>
          <bgColor rgb="FFE2F0D9"/>
        </patternFill>
      </fill>
    </dxf>
    <dxf>
      <font>
        <b/>
        <color rgb="FF548235"/>
      </font>
      <fill>
        <patternFill>
          <bgColor rgb="FFE2F0D9"/>
        </patternFill>
      </fill>
    </dxf>
    <dxf>
      <font>
        <color rgb="FFC00000"/>
      </font>
      <fill>
        <patternFill>
          <bgColor rgb="FFFCE4D6"/>
        </patternFill>
      </fill>
    </dxf>
    <dxf>
      <font>
        <b/>
        <color rgb="FFC00000"/>
      </font>
      <fill>
        <patternFill>
          <bgColor rgb="FFFCE4D6"/>
        </patternFill>
      </fill>
    </dxf>
    <dxf>
      <font>
        <b/>
        <color rgb="FF548235"/>
      </font>
      <fill>
        <patternFill>
          <bgColor rgb="FFE2F0D9"/>
        </patternFill>
      </fill>
    </dxf>
    <dxf>
      <fill>
        <patternFill>
          <bgColor rgb="FFFFF9E6"/>
        </patternFill>
      </fill>
    </dxf>
    <dxf>
      <font>
        <b/>
      </font>
      <fill>
        <patternFill>
          <bgColor rgb="FFE2F0D9"/>
        </patternFill>
      </fill>
    </dxf>
    <dxf>
      <font>
        <color rgb="FFC00000"/>
      </font>
      <fill>
        <patternFill>
          <bgColor rgb="FFFCE4D6"/>
        </patternFill>
      </fill>
    </dxf>
    <dxf>
      <font>
        <b/>
        <color rgb="FFC00000"/>
      </font>
      <fill>
        <patternFill>
          <bgColor rgb="FFFCE4D6"/>
        </patternFill>
      </fill>
    </dxf>
    <dxf>
      <font>
        <b/>
        <color rgb="FF548235"/>
      </font>
      <fill>
        <patternFill>
          <bgColor rgb="FFE2F0D9"/>
        </patternFill>
      </fill>
    </dxf>
    <dxf>
      <fill>
        <patternFill>
          <bgColor rgb="FFFFF9E6"/>
        </patternFill>
      </fill>
    </dxf>
    <dxf>
      <fill>
        <patternFill>
          <bgColor rgb="FFE2F0D9"/>
        </patternFill>
      </fill>
    </dxf>
    <dxf>
      <fill>
        <patternFill>
          <bgColor rgb="FFE4DFEC"/>
        </patternFill>
      </fill>
    </dxf>
    <dxf>
      <fill>
        <patternFill>
          <bgColor rgb="FFD9EAF7"/>
        </patternFill>
      </fill>
    </dxf>
    <dxf>
      <font>
        <b/>
        <color rgb="FFC00000"/>
      </font>
      <fill>
        <patternFill>
          <bgColor rgb="FFFCE4D6"/>
        </patternFill>
      </fill>
    </dxf>
    <dxf>
      <font>
        <b/>
        <color rgb="FF548235"/>
      </font>
      <fill>
        <patternFill>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ovieMetadataTable" displayName="MovieMetadataTable" ref="A4:E16">
  <tableColumns count="5">
    <tableColumn id="1" xr3:uid="{00000000-0010-0000-0000-000001000000}" name="Trường kỹ thuật"/>
    <tableColumn id="2" xr3:uid="{00000000-0010-0000-0000-000002000000}" name="Bắt buộc"/>
    <tableColumn id="3" xr3:uid="{00000000-0010-0000-0000-000003000000}" name="Giá trị"/>
    <tableColumn id="4" xr3:uid="{00000000-0010-0000-0000-000004000000}" name="Ví dụ"/>
    <tableColumn id="5" xr3:uid="{00000000-0010-0000-0000-000005000000}" name="Quy tắc / Ghi chú"/>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criptNodesTable" displayName="ScriptNodesTable" ref="A4:N204">
  <tableColumns count="14">
    <tableColumn id="1" xr3:uid="{00000000-0010-0000-0100-000001000000}" name="NodeOrder*"/>
    <tableColumn id="2" xr3:uid="{00000000-0010-0000-0100-000002000000}" name="NodeId*"/>
    <tableColumn id="3" xr3:uid="{00000000-0010-0000-0100-000003000000}" name="ActNo"/>
    <tableColumn id="4" xr3:uid="{00000000-0010-0000-0100-000004000000}" name="NodeType*"/>
    <tableColumn id="5" xr3:uid="{00000000-0010-0000-0100-000005000000}" name="ChoiceMode"/>
    <tableColumn id="6" xr3:uid="{00000000-0010-0000-0100-000006000000}" name="Background"/>
    <tableColumn id="7" xr3:uid="{00000000-0010-0000-0100-000007000000}" name="SceneName"/>
    <tableColumn id="8" xr3:uid="{00000000-0010-0000-0100-000008000000}" name="SpeakerKey"/>
    <tableColumn id="9" xr3:uid="{00000000-0010-0000-0100-000009000000}" name="Mood"/>
    <tableColumn id="10" xr3:uid="{00000000-0010-0000-0100-00000A000000}" name="Text / Question"/>
    <tableColumn id="11" xr3:uid="{00000000-0010-0000-0100-00000B000000}" name="ActRoman"/>
    <tableColumn id="12" xr3:uid="{00000000-0010-0000-0100-00000C000000}" name="Ghi chú biên soạn"/>
    <tableColumn id="13" xr3:uid="{00000000-0010-0000-0100-00000D000000}" name="Trạng thái"/>
    <tableColumn id="14" xr3:uid="{00000000-0010-0000-0100-00000E000000}" name="Lỗi cấu trúc"/>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hoiceOptionsTable" displayName="ChoiceOptionsTable" ref="A4:K404">
  <tableColumns count="11">
    <tableColumn id="1" xr3:uid="{00000000-0010-0000-0200-000001000000}" name="ChoiceNodeId*"/>
    <tableColumn id="2" xr3:uid="{00000000-0010-0000-0200-000002000000}" name="OptionOrder*"/>
    <tableColumn id="3" xr3:uid="{00000000-0010-0000-0200-000003000000}" name="OptionText*"/>
    <tableColumn id="4" xr3:uid="{00000000-0010-0000-0200-000004000000}" name="IsCorrect*"/>
    <tableColumn id="5" xr3:uid="{00000000-0010-0000-0200-000005000000}" name="dc"/>
    <tableColumn id="6" xr3:uid="{00000000-0010-0000-0200-000006000000}" name="ReplySpeaker*"/>
    <tableColumn id="7" xr3:uid="{00000000-0010-0000-0200-000007000000}" name="ReplyMood"/>
    <tableColumn id="8" xr3:uid="{00000000-0010-0000-0200-000008000000}" name="ReplyText*"/>
    <tableColumn id="9" xr3:uid="{00000000-0010-0000-0200-000009000000}" name="Ghi chú"/>
    <tableColumn id="10" xr3:uid="{00000000-0010-0000-0200-00000A000000}" name="Trạng thái"/>
    <tableColumn id="11" xr3:uid="{00000000-0010-0000-0200-00000B000000}" name="Lỗi cấu trúc"/>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haracterCatalogTable" displayName="CharacterCatalogTable" ref="A5:C20">
  <tableColumns count="3">
    <tableColumn id="1" xr3:uid="{00000000-0010-0000-0300-000001000000}" name="SpeakerKey"/>
    <tableColumn id="2" xr3:uid="{00000000-0010-0000-0300-000002000000}" name="Tên hiển thị"/>
    <tableColumn id="3" xr3:uid="{00000000-0010-0000-0300-000003000000}" name="Vai trò"/>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SceneCatalogTable" displayName="SceneCatalogTable" ref="D5:F20">
  <tableColumns count="3">
    <tableColumn id="1" xr3:uid="{00000000-0010-0000-0400-000001000000}" name="BackgroundKey"/>
    <tableColumn id="2" xr3:uid="{00000000-0010-0000-0400-000002000000}" name="Mô tả"/>
    <tableColumn id="3" xr3:uid="{00000000-0010-0000-0400-000003000000}" name="Tình trạng asset"/>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MoodCatalogTable" displayName="MoodCatalogTable" ref="G5:H9">
  <tableColumns count="2">
    <tableColumn id="1" xr3:uid="{00000000-0010-0000-0500-000001000000}" name="MoodKey"/>
    <tableColumn id="2" xr3:uid="{00000000-0010-0000-0500-000002000000}" name="Ý nghĩa gợi ý"/>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NodeTypeCatalogTable" displayName="NodeTypeCatalogTable" ref="J5:L10">
  <tableColumns count="3">
    <tableColumn id="1" xr3:uid="{00000000-0010-0000-0600-000001000000}" name="NodeType"/>
    <tableColumn id="2" xr3:uid="{00000000-0010-0000-0600-000002000000}" name="Trường bắt buộc"/>
    <tableColumn id="3" xr3:uid="{00000000-0010-0000-0600-000003000000}" name="Object đầu ra"/>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 Id="rId4"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9"/>
  <sheetViews>
    <sheetView topLeftCell="A7" workbookViewId="0">
      <selection sqref="A1:H1"/>
    </sheetView>
  </sheetViews>
  <sheetFormatPr defaultRowHeight="14.25"/>
  <cols>
    <col min="1" max="1" width="18" customWidth="1"/>
    <col min="2" max="2" width="26" customWidth="1"/>
    <col min="3" max="3" width="40" customWidth="1"/>
    <col min="4" max="4" width="38" customWidth="1"/>
    <col min="5" max="5" width="24" customWidth="1"/>
    <col min="6" max="8" width="4" customWidth="1"/>
  </cols>
  <sheetData>
    <row r="1" spans="1:8" ht="30" customHeight="1">
      <c r="A1" s="19" t="s">
        <v>0</v>
      </c>
      <c r="B1" s="19"/>
      <c r="C1" s="19"/>
      <c r="D1" s="19"/>
      <c r="E1" s="19"/>
      <c r="F1" s="19"/>
      <c r="G1" s="19"/>
      <c r="H1" s="19"/>
    </row>
    <row r="2" spans="1:8" ht="36" customHeight="1">
      <c r="A2" s="20" t="s">
        <v>1</v>
      </c>
      <c r="B2" s="20"/>
      <c r="C2" s="20"/>
      <c r="D2" s="20"/>
      <c r="E2" s="20"/>
      <c r="F2" s="20"/>
      <c r="G2" s="20"/>
      <c r="H2" s="20"/>
    </row>
    <row r="4" spans="1:8" ht="24" customHeight="1">
      <c r="A4" s="18" t="s">
        <v>2</v>
      </c>
      <c r="B4" s="18"/>
      <c r="C4" s="18"/>
      <c r="D4" s="18"/>
      <c r="E4" s="18"/>
      <c r="F4" s="18"/>
      <c r="G4" s="18"/>
      <c r="H4" s="18"/>
    </row>
    <row r="5" spans="1:8" ht="39.950000000000003" customHeight="1">
      <c r="A5" s="1" t="s">
        <v>3</v>
      </c>
      <c r="B5" s="1" t="s">
        <v>4</v>
      </c>
      <c r="C5" s="1" t="s">
        <v>5</v>
      </c>
      <c r="D5" s="1" t="s">
        <v>6</v>
      </c>
      <c r="E5" s="1" t="s">
        <v>7</v>
      </c>
      <c r="F5" s="1"/>
      <c r="G5" s="1"/>
      <c r="H5" s="1"/>
    </row>
    <row r="6" spans="1:8" ht="28.5">
      <c r="A6" s="4">
        <v>1</v>
      </c>
      <c r="B6" s="3" t="s">
        <v>8</v>
      </c>
      <c r="C6" s="3" t="s">
        <v>9</v>
      </c>
      <c r="D6" s="3" t="s">
        <v>10</v>
      </c>
      <c r="E6" s="3" t="s">
        <v>11</v>
      </c>
      <c r="F6" s="3"/>
      <c r="G6" s="3"/>
      <c r="H6" s="3"/>
    </row>
    <row r="7" spans="1:8" ht="28.5">
      <c r="A7" s="4">
        <v>2</v>
      </c>
      <c r="B7" s="3" t="s">
        <v>8</v>
      </c>
      <c r="C7" s="3" t="s">
        <v>12</v>
      </c>
      <c r="D7" s="3" t="s">
        <v>13</v>
      </c>
      <c r="E7" s="3" t="s">
        <v>14</v>
      </c>
      <c r="F7" s="3"/>
      <c r="G7" s="3"/>
      <c r="H7" s="3"/>
    </row>
    <row r="8" spans="1:8" ht="28.5">
      <c r="A8" s="4">
        <v>3</v>
      </c>
      <c r="B8" s="3" t="s">
        <v>8</v>
      </c>
      <c r="C8" s="3" t="s">
        <v>15</v>
      </c>
      <c r="D8" s="3" t="s">
        <v>16</v>
      </c>
      <c r="E8" s="3" t="s">
        <v>17</v>
      </c>
      <c r="F8" s="3"/>
      <c r="G8" s="3"/>
      <c r="H8" s="3"/>
    </row>
    <row r="9" spans="1:8" ht="28.5">
      <c r="A9" s="4">
        <v>4</v>
      </c>
      <c r="B9" s="3" t="s">
        <v>18</v>
      </c>
      <c r="C9" s="3" t="s">
        <v>19</v>
      </c>
      <c r="D9" s="3" t="s">
        <v>20</v>
      </c>
      <c r="E9" s="3" t="s">
        <v>21</v>
      </c>
      <c r="F9" s="3"/>
      <c r="G9" s="3"/>
      <c r="H9" s="3"/>
    </row>
    <row r="10" spans="1:8" ht="28.5">
      <c r="A10" s="4">
        <v>5</v>
      </c>
      <c r="B10" s="3" t="s">
        <v>22</v>
      </c>
      <c r="C10" s="3" t="s">
        <v>23</v>
      </c>
      <c r="D10" s="3" t="s">
        <v>24</v>
      </c>
      <c r="E10" s="3" t="s">
        <v>25</v>
      </c>
      <c r="F10" s="3"/>
      <c r="G10" s="3"/>
      <c r="H10" s="3"/>
    </row>
    <row r="12" spans="1:8" ht="24" customHeight="1">
      <c r="A12" s="18" t="s">
        <v>26</v>
      </c>
      <c r="B12" s="18"/>
      <c r="C12" s="18"/>
      <c r="D12" s="18"/>
      <c r="E12" s="18"/>
      <c r="F12" s="18"/>
      <c r="G12" s="18"/>
      <c r="H12" s="18"/>
    </row>
    <row r="13" spans="1:8" ht="39.950000000000003" customHeight="1">
      <c r="A13" s="1" t="s">
        <v>27</v>
      </c>
      <c r="B13" s="1" t="s">
        <v>28</v>
      </c>
      <c r="C13" s="1" t="s">
        <v>29</v>
      </c>
      <c r="D13" s="1"/>
      <c r="E13" s="1"/>
      <c r="F13" s="1"/>
      <c r="G13" s="1"/>
      <c r="H13" s="1"/>
    </row>
    <row r="14" spans="1:8" ht="28.5">
      <c r="A14" s="5" t="s">
        <v>30</v>
      </c>
      <c r="B14" s="2" t="s">
        <v>31</v>
      </c>
      <c r="C14" s="2" t="s">
        <v>32</v>
      </c>
      <c r="D14" s="2"/>
      <c r="E14" s="2"/>
      <c r="F14" s="2"/>
      <c r="G14" s="2"/>
      <c r="H14" s="2"/>
    </row>
    <row r="15" spans="1:8" ht="28.5">
      <c r="A15" s="6" t="s">
        <v>33</v>
      </c>
      <c r="B15" s="2" t="s">
        <v>34</v>
      </c>
      <c r="C15" s="2" t="s">
        <v>35</v>
      </c>
      <c r="D15" s="2"/>
      <c r="E15" s="2"/>
      <c r="F15" s="2"/>
      <c r="G15" s="2"/>
      <c r="H15" s="2"/>
    </row>
    <row r="16" spans="1:8" ht="28.5">
      <c r="A16" s="7" t="s">
        <v>36</v>
      </c>
      <c r="B16" s="2" t="s">
        <v>37</v>
      </c>
      <c r="C16" s="2" t="s">
        <v>38</v>
      </c>
      <c r="D16" s="2"/>
      <c r="E16" s="2"/>
      <c r="F16" s="2"/>
      <c r="G16" s="2"/>
      <c r="H16" s="2"/>
    </row>
    <row r="17" spans="1:8" ht="28.5">
      <c r="A17" s="8" t="s">
        <v>39</v>
      </c>
      <c r="B17" s="2" t="s">
        <v>40</v>
      </c>
      <c r="C17" s="2" t="s">
        <v>41</v>
      </c>
      <c r="D17" s="2"/>
      <c r="E17" s="2"/>
      <c r="F17" s="2"/>
      <c r="G17" s="2"/>
      <c r="H17" s="2"/>
    </row>
    <row r="19" spans="1:8" ht="24" customHeight="1">
      <c r="A19" s="18" t="s">
        <v>42</v>
      </c>
      <c r="B19" s="18"/>
      <c r="C19" s="18"/>
      <c r="D19" s="18"/>
      <c r="E19" s="18"/>
      <c r="F19" s="18"/>
      <c r="G19" s="18"/>
      <c r="H19" s="18"/>
    </row>
    <row r="20" spans="1:8" ht="39.950000000000003" customHeight="1">
      <c r="A20" s="1" t="s">
        <v>43</v>
      </c>
      <c r="B20" s="1" t="s">
        <v>44</v>
      </c>
      <c r="C20" s="1" t="s">
        <v>45</v>
      </c>
      <c r="D20" s="1" t="s">
        <v>46</v>
      </c>
      <c r="E20" s="1"/>
      <c r="F20" s="1"/>
      <c r="G20" s="1"/>
      <c r="H20" s="1"/>
    </row>
    <row r="21" spans="1:8" ht="57">
      <c r="A21" s="2" t="s">
        <v>47</v>
      </c>
      <c r="B21" s="2" t="s">
        <v>48</v>
      </c>
      <c r="C21" s="9" t="s">
        <v>49</v>
      </c>
      <c r="D21" s="2" t="s">
        <v>50</v>
      </c>
      <c r="E21" s="2"/>
      <c r="F21" s="2"/>
      <c r="G21" s="2"/>
      <c r="H21" s="2"/>
    </row>
    <row r="22" spans="1:8" ht="42.75">
      <c r="A22" s="2" t="s">
        <v>51</v>
      </c>
      <c r="B22" s="2" t="s">
        <v>52</v>
      </c>
      <c r="C22" s="9" t="s">
        <v>49</v>
      </c>
      <c r="D22" s="2" t="s">
        <v>53</v>
      </c>
      <c r="E22" s="2"/>
      <c r="F22" s="2"/>
      <c r="G22" s="2"/>
      <c r="H22" s="2"/>
    </row>
    <row r="23" spans="1:8" ht="57">
      <c r="A23" s="2" t="s">
        <v>54</v>
      </c>
      <c r="B23" s="2" t="s">
        <v>55</v>
      </c>
      <c r="C23" s="9" t="s">
        <v>49</v>
      </c>
      <c r="D23" s="2" t="s">
        <v>56</v>
      </c>
      <c r="E23" s="2"/>
      <c r="F23" s="2"/>
      <c r="G23" s="2"/>
      <c r="H23" s="2"/>
    </row>
    <row r="24" spans="1:8" ht="57">
      <c r="A24" s="2" t="s">
        <v>57</v>
      </c>
      <c r="B24" s="2" t="s">
        <v>58</v>
      </c>
      <c r="C24" s="9" t="s">
        <v>49</v>
      </c>
      <c r="D24" s="2" t="s">
        <v>59</v>
      </c>
      <c r="E24" s="2"/>
      <c r="F24" s="2"/>
      <c r="G24" s="2"/>
      <c r="H24" s="2"/>
    </row>
    <row r="25" spans="1:8" ht="57">
      <c r="A25" s="2" t="s">
        <v>60</v>
      </c>
      <c r="B25" s="2" t="s">
        <v>61</v>
      </c>
      <c r="C25" s="9" t="s">
        <v>49</v>
      </c>
      <c r="D25" s="2" t="s">
        <v>62</v>
      </c>
      <c r="E25" s="2"/>
      <c r="F25" s="2"/>
      <c r="G25" s="2"/>
      <c r="H25" s="2"/>
    </row>
    <row r="26" spans="1:8" ht="57">
      <c r="A26" s="2" t="s">
        <v>63</v>
      </c>
      <c r="B26" s="2" t="s">
        <v>64</v>
      </c>
      <c r="C26" s="9" t="s">
        <v>49</v>
      </c>
      <c r="D26" s="2" t="s">
        <v>65</v>
      </c>
      <c r="E26" s="2"/>
      <c r="F26" s="2"/>
      <c r="G26" s="2"/>
      <c r="H26" s="2"/>
    </row>
    <row r="27" spans="1:8" ht="42.75">
      <c r="A27" s="2" t="s">
        <v>66</v>
      </c>
      <c r="B27" s="2" t="s">
        <v>67</v>
      </c>
      <c r="C27" s="9" t="s">
        <v>68</v>
      </c>
      <c r="D27" s="2" t="s">
        <v>69</v>
      </c>
      <c r="E27" s="2"/>
      <c r="F27" s="2"/>
      <c r="G27" s="2"/>
      <c r="H27" s="2"/>
    </row>
    <row r="28" spans="1:8" ht="42.75">
      <c r="A28" s="2" t="s">
        <v>70</v>
      </c>
      <c r="B28" s="2" t="s">
        <v>71</v>
      </c>
      <c r="C28" s="9" t="s">
        <v>49</v>
      </c>
      <c r="D28" s="2" t="s">
        <v>72</v>
      </c>
      <c r="E28" s="2"/>
      <c r="F28" s="2"/>
      <c r="G28" s="2"/>
      <c r="H28" s="2"/>
    </row>
    <row r="30" spans="1:8" ht="24" customHeight="1">
      <c r="A30" s="18" t="s">
        <v>73</v>
      </c>
      <c r="B30" s="18"/>
      <c r="C30" s="18"/>
      <c r="D30" s="18"/>
      <c r="E30" s="18"/>
      <c r="F30" s="18"/>
      <c r="G30" s="18"/>
      <c r="H30" s="18"/>
    </row>
    <row r="31" spans="1:8" ht="39.950000000000003" customHeight="1">
      <c r="A31" s="1" t="s">
        <v>74</v>
      </c>
      <c r="B31" s="1" t="s">
        <v>75</v>
      </c>
      <c r="C31" s="1"/>
      <c r="D31" s="1"/>
      <c r="E31" s="1"/>
      <c r="F31" s="1"/>
      <c r="G31" s="1"/>
      <c r="H31" s="1"/>
    </row>
    <row r="32" spans="1:8" ht="28.5">
      <c r="A32" s="2" t="s">
        <v>76</v>
      </c>
      <c r="B32" s="2" t="s">
        <v>77</v>
      </c>
      <c r="C32" s="2"/>
      <c r="D32" s="2"/>
      <c r="E32" s="2"/>
      <c r="F32" s="2"/>
      <c r="G32" s="2"/>
      <c r="H32" s="2"/>
    </row>
    <row r="33" spans="1:8" ht="42.75">
      <c r="A33" s="2" t="s">
        <v>78</v>
      </c>
      <c r="B33" s="2" t="s">
        <v>79</v>
      </c>
      <c r="C33" s="2"/>
      <c r="D33" s="2"/>
      <c r="E33" s="2"/>
      <c r="F33" s="2"/>
      <c r="G33" s="2"/>
      <c r="H33" s="2"/>
    </row>
    <row r="34" spans="1:8" ht="42.75">
      <c r="A34" s="2" t="s">
        <v>80</v>
      </c>
      <c r="B34" s="2" t="s">
        <v>81</v>
      </c>
      <c r="C34" s="2"/>
      <c r="D34" s="2"/>
      <c r="E34" s="2"/>
      <c r="F34" s="2"/>
      <c r="G34" s="2"/>
      <c r="H34" s="2"/>
    </row>
    <row r="35" spans="1:8" ht="42.75">
      <c r="A35" s="2" t="s">
        <v>82</v>
      </c>
      <c r="B35" s="2" t="s">
        <v>83</v>
      </c>
      <c r="C35" s="2"/>
      <c r="D35" s="2"/>
      <c r="E35" s="2"/>
      <c r="F35" s="2"/>
      <c r="G35" s="2"/>
      <c r="H35" s="2"/>
    </row>
    <row r="37" spans="1:8" ht="39.950000000000003" customHeight="1">
      <c r="A37" s="1" t="s">
        <v>84</v>
      </c>
      <c r="B37" s="1" t="s">
        <v>85</v>
      </c>
      <c r="C37" s="1"/>
      <c r="D37" s="1"/>
      <c r="E37" s="1"/>
      <c r="F37" s="1"/>
      <c r="G37" s="1"/>
      <c r="H37" s="1"/>
    </row>
    <row r="38" spans="1:8">
      <c r="A38" t="s">
        <v>86</v>
      </c>
      <c r="B38" t="s">
        <v>87</v>
      </c>
    </row>
    <row r="39" spans="1:8">
      <c r="A39" t="s">
        <v>88</v>
      </c>
      <c r="B39" t="s">
        <v>89</v>
      </c>
    </row>
  </sheetData>
  <mergeCells count="6">
    <mergeCell ref="A30:H30"/>
    <mergeCell ref="A1:H1"/>
    <mergeCell ref="A2:H2"/>
    <mergeCell ref="A4:H4"/>
    <mergeCell ref="A12:H12"/>
    <mergeCell ref="A19:H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3"/>
  <sheetViews>
    <sheetView tabSelected="1" workbookViewId="0">
      <selection activeCell="C13" sqref="C13"/>
    </sheetView>
  </sheetViews>
  <sheetFormatPr defaultRowHeight="14.25"/>
  <cols>
    <col min="1" max="1" width="24" customWidth="1"/>
    <col min="2" max="2" width="12" customWidth="1"/>
    <col min="3" max="3" width="55" customWidth="1"/>
    <col min="4" max="4" width="34" customWidth="1"/>
    <col min="5" max="5" width="48" customWidth="1"/>
  </cols>
  <sheetData>
    <row r="1" spans="1:5" ht="30" customHeight="1">
      <c r="A1" s="19" t="s">
        <v>90</v>
      </c>
      <c r="B1" s="19"/>
      <c r="C1" s="19"/>
      <c r="D1" s="19"/>
      <c r="E1" s="19"/>
    </row>
    <row r="2" spans="1:5" ht="36" customHeight="1">
      <c r="A2" s="20" t="s">
        <v>91</v>
      </c>
      <c r="B2" s="20"/>
      <c r="C2" s="20"/>
      <c r="D2" s="20"/>
      <c r="E2" s="20"/>
    </row>
    <row r="4" spans="1:5" ht="39.950000000000003" customHeight="1">
      <c r="A4" s="1" t="s">
        <v>92</v>
      </c>
      <c r="B4" s="1" t="s">
        <v>49</v>
      </c>
      <c r="C4" s="1" t="s">
        <v>85</v>
      </c>
      <c r="D4" s="1" t="s">
        <v>93</v>
      </c>
      <c r="E4" s="1" t="s">
        <v>94</v>
      </c>
    </row>
    <row r="5" spans="1:5">
      <c r="A5" s="10" t="s">
        <v>95</v>
      </c>
      <c r="B5" s="12" t="s">
        <v>96</v>
      </c>
      <c r="C5" s="15" t="s">
        <v>372</v>
      </c>
      <c r="D5" s="11" t="s">
        <v>97</v>
      </c>
      <c r="E5" s="11" t="s">
        <v>98</v>
      </c>
    </row>
    <row r="6" spans="1:5" ht="28.5">
      <c r="A6" s="10" t="s">
        <v>99</v>
      </c>
      <c r="B6" s="12" t="s">
        <v>96</v>
      </c>
      <c r="C6" s="15" t="s">
        <v>373</v>
      </c>
      <c r="D6" s="11" t="s">
        <v>100</v>
      </c>
      <c r="E6" s="11" t="s">
        <v>101</v>
      </c>
    </row>
    <row r="7" spans="1:5" ht="28.5">
      <c r="A7" s="10" t="s">
        <v>102</v>
      </c>
      <c r="B7" s="12" t="s">
        <v>96</v>
      </c>
      <c r="C7" s="15" t="s">
        <v>374</v>
      </c>
      <c r="D7" s="11" t="s">
        <v>103</v>
      </c>
      <c r="E7" s="11" t="s">
        <v>104</v>
      </c>
    </row>
    <row r="8" spans="1:5">
      <c r="A8" s="10" t="s">
        <v>105</v>
      </c>
      <c r="B8" s="12" t="s">
        <v>96</v>
      </c>
      <c r="C8" s="15" t="s">
        <v>375</v>
      </c>
      <c r="D8" s="11" t="s">
        <v>106</v>
      </c>
      <c r="E8" s="11" t="s">
        <v>107</v>
      </c>
    </row>
    <row r="9" spans="1:5">
      <c r="A9" s="10" t="s">
        <v>108</v>
      </c>
      <c r="B9" s="12" t="s">
        <v>96</v>
      </c>
      <c r="C9" s="15" t="s">
        <v>376</v>
      </c>
      <c r="D9" s="11" t="s">
        <v>109</v>
      </c>
      <c r="E9" s="11" t="s">
        <v>110</v>
      </c>
    </row>
    <row r="10" spans="1:5">
      <c r="A10" s="10" t="s">
        <v>111</v>
      </c>
      <c r="B10" s="12" t="s">
        <v>96</v>
      </c>
      <c r="C10" s="15" t="s">
        <v>377</v>
      </c>
      <c r="D10" s="11" t="s">
        <v>112</v>
      </c>
      <c r="E10" s="11" t="s">
        <v>113</v>
      </c>
    </row>
    <row r="11" spans="1:5">
      <c r="A11" s="10" t="s">
        <v>114</v>
      </c>
      <c r="B11" s="12" t="s">
        <v>96</v>
      </c>
      <c r="C11" s="15" t="s">
        <v>525</v>
      </c>
      <c r="D11" s="11" t="s">
        <v>115</v>
      </c>
      <c r="E11" s="11" t="s">
        <v>116</v>
      </c>
    </row>
    <row r="12" spans="1:5">
      <c r="A12" s="10" t="s">
        <v>117</v>
      </c>
      <c r="B12" s="12" t="s">
        <v>96</v>
      </c>
      <c r="C12" s="15" t="s">
        <v>526</v>
      </c>
      <c r="D12" s="11" t="s">
        <v>118</v>
      </c>
      <c r="E12" s="11" t="s">
        <v>119</v>
      </c>
    </row>
    <row r="13" spans="1:5">
      <c r="A13" s="10" t="s">
        <v>120</v>
      </c>
      <c r="B13" s="12" t="s">
        <v>96</v>
      </c>
      <c r="C13" s="15" t="s">
        <v>378</v>
      </c>
      <c r="D13" s="11" t="s">
        <v>121</v>
      </c>
      <c r="E13" s="11" t="s">
        <v>122</v>
      </c>
    </row>
    <row r="14" spans="1:5">
      <c r="A14" s="10" t="s">
        <v>123</v>
      </c>
      <c r="B14" s="12" t="s">
        <v>96</v>
      </c>
      <c r="C14" s="15" t="s">
        <v>379</v>
      </c>
      <c r="D14" s="11" t="s">
        <v>124</v>
      </c>
      <c r="E14" s="11" t="s">
        <v>125</v>
      </c>
    </row>
    <row r="15" spans="1:5" ht="28.5">
      <c r="A15" s="10" t="s">
        <v>126</v>
      </c>
      <c r="B15" s="12" t="s">
        <v>127</v>
      </c>
      <c r="C15" s="15" t="s">
        <v>380</v>
      </c>
      <c r="D15" s="11" t="s">
        <v>128</v>
      </c>
      <c r="E15" s="11" t="s">
        <v>129</v>
      </c>
    </row>
    <row r="16" spans="1:5" ht="28.5">
      <c r="A16" s="10" t="s">
        <v>130</v>
      </c>
      <c r="B16" s="12" t="s">
        <v>127</v>
      </c>
      <c r="C16" s="15" t="s">
        <v>381</v>
      </c>
      <c r="D16" s="11" t="s">
        <v>131</v>
      </c>
      <c r="E16" s="11" t="s">
        <v>132</v>
      </c>
    </row>
    <row r="18" spans="1:5" ht="24" customHeight="1">
      <c r="A18" s="18" t="s">
        <v>133</v>
      </c>
      <c r="B18" s="18"/>
      <c r="C18" s="18"/>
      <c r="D18" s="18"/>
      <c r="E18" s="18"/>
    </row>
    <row r="19" spans="1:5" ht="39.950000000000003" customHeight="1">
      <c r="A19" s="1" t="s">
        <v>134</v>
      </c>
      <c r="B19" s="1" t="s">
        <v>85</v>
      </c>
      <c r="C19" s="1" t="s">
        <v>135</v>
      </c>
    </row>
    <row r="20" spans="1:5" ht="15">
      <c r="A20" s="2" t="s">
        <v>136</v>
      </c>
      <c r="B20" s="6">
        <f>COUNTBLANK(C5:C14)</f>
        <v>0</v>
      </c>
      <c r="C20" s="6" t="str">
        <f>IF(B20=0,"HỢP LỆ","CẦN SỬA")</f>
        <v>HỢP LỆ</v>
      </c>
    </row>
    <row r="21" spans="1:5" ht="15">
      <c r="A21" s="2" t="s">
        <v>137</v>
      </c>
      <c r="B21" s="6" t="str">
        <f>C14</f>
        <v>Đang soạn</v>
      </c>
      <c r="C21" s="6" t="str">
        <f>IF(B21="Đã duyệt","HỢP LỆ","CHƯA DUYỆT")</f>
        <v>CHƯA DUYỆT</v>
      </c>
    </row>
    <row r="22" spans="1:5" ht="15">
      <c r="A22" s="2" t="s">
        <v>138</v>
      </c>
      <c r="B22" s="6" t="str">
        <f>IF(AND(C20="HỢP LỆ",C21="HỢP LỆ"),"CÓ","KHÔNG")</f>
        <v>KHÔNG</v>
      </c>
      <c r="C22" s="6" t="str">
        <f>IF(B22="CÓ","HỢP LỆ","CẦN SỬA")</f>
        <v>CẦN SỬA</v>
      </c>
    </row>
    <row r="23" spans="1:5" ht="85.5">
      <c r="A23" s="2" t="s">
        <v>139</v>
      </c>
      <c r="B23" s="2" t="s">
        <v>140</v>
      </c>
      <c r="C23" s="2"/>
    </row>
  </sheetData>
  <mergeCells count="3">
    <mergeCell ref="A1:E1"/>
    <mergeCell ref="A2:E2"/>
    <mergeCell ref="A18:E18"/>
  </mergeCells>
  <conditionalFormatting sqref="C20:C22">
    <cfRule type="expression" dxfId="21" priority="1">
      <formula>C20="HỢP LỆ"</formula>
    </cfRule>
    <cfRule type="expression" dxfId="20" priority="2">
      <formula>OR(C20="CẦN SỬA",C20="CHƯA DUYỆT")</formula>
    </cfRule>
  </conditionalFormatting>
  <dataValidations count="1">
    <dataValidation type="list" sqref="C14" xr:uid="{00000000-0002-0000-0100-000000000000}">
      <formula1>"Đang soạn,Chờ review,Cần chỉnh sửa,Đã duyệt"</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04"/>
  <sheetViews>
    <sheetView workbookViewId="0"/>
  </sheetViews>
  <sheetFormatPr defaultRowHeight="14.25"/>
  <cols>
    <col min="1" max="1" width="11" customWidth="1"/>
    <col min="2" max="2" width="12" customWidth="1"/>
    <col min="3" max="3" width="8" customWidth="1"/>
    <col min="4" max="4" width="12" customWidth="1"/>
    <col min="5" max="6" width="14" customWidth="1"/>
    <col min="7" max="7" width="29" customWidth="1"/>
    <col min="8" max="8" width="13" customWidth="1"/>
    <col min="9" max="9" width="12" customWidth="1"/>
    <col min="10" max="10" width="64" customWidth="1"/>
    <col min="11" max="11" width="11" customWidth="1"/>
    <col min="12" max="12" width="23" customWidth="1"/>
    <col min="13" max="13" width="13" customWidth="1"/>
    <col min="14" max="14" width="31" customWidth="1"/>
  </cols>
  <sheetData>
    <row r="1" spans="1:14" ht="30" customHeight="1">
      <c r="A1" s="19" t="s">
        <v>141</v>
      </c>
      <c r="B1" s="19"/>
      <c r="C1" s="19"/>
      <c r="D1" s="19"/>
      <c r="E1" s="19"/>
      <c r="F1" s="19"/>
      <c r="G1" s="19"/>
      <c r="H1" s="19"/>
      <c r="I1" s="19"/>
      <c r="J1" s="19"/>
      <c r="K1" s="19"/>
      <c r="L1" s="19"/>
      <c r="M1" s="19"/>
      <c r="N1" s="19"/>
    </row>
    <row r="2" spans="1:14" ht="36" customHeight="1">
      <c r="A2" s="20" t="s">
        <v>142</v>
      </c>
      <c r="B2" s="20"/>
      <c r="C2" s="20"/>
      <c r="D2" s="20"/>
      <c r="E2" s="20"/>
      <c r="F2" s="20"/>
      <c r="G2" s="20"/>
      <c r="H2" s="20"/>
      <c r="I2" s="20"/>
      <c r="J2" s="20"/>
      <c r="K2" s="20"/>
      <c r="L2" s="20"/>
      <c r="M2" s="20"/>
      <c r="N2" s="20"/>
    </row>
    <row r="4" spans="1:14" ht="39.950000000000003" customHeight="1">
      <c r="A4" s="1" t="s">
        <v>143</v>
      </c>
      <c r="B4" s="1" t="s">
        <v>144</v>
      </c>
      <c r="C4" s="1" t="s">
        <v>145</v>
      </c>
      <c r="D4" s="1" t="s">
        <v>146</v>
      </c>
      <c r="E4" s="1" t="s">
        <v>147</v>
      </c>
      <c r="F4" s="1" t="s">
        <v>148</v>
      </c>
      <c r="G4" s="1" t="s">
        <v>149</v>
      </c>
      <c r="H4" s="1" t="s">
        <v>150</v>
      </c>
      <c r="I4" s="1" t="s">
        <v>151</v>
      </c>
      <c r="J4" s="1" t="s">
        <v>152</v>
      </c>
      <c r="K4" s="1" t="s">
        <v>153</v>
      </c>
      <c r="L4" s="1" t="s">
        <v>154</v>
      </c>
      <c r="M4" s="1" t="s">
        <v>135</v>
      </c>
      <c r="N4" s="1" t="s">
        <v>155</v>
      </c>
    </row>
    <row r="5" spans="1:14" ht="15" customHeight="1">
      <c r="A5" s="16">
        <v>1</v>
      </c>
      <c r="B5" s="16" t="s">
        <v>382</v>
      </c>
      <c r="C5" s="16">
        <v>1</v>
      </c>
      <c r="D5" s="16" t="s">
        <v>188</v>
      </c>
      <c r="E5" s="16"/>
      <c r="F5" s="15" t="s">
        <v>183</v>
      </c>
      <c r="G5" s="15" t="s">
        <v>383</v>
      </c>
      <c r="H5" s="15"/>
      <c r="I5" s="15"/>
      <c r="J5" s="15"/>
      <c r="K5" s="15"/>
      <c r="L5" s="15" t="s">
        <v>384</v>
      </c>
      <c r="M5" s="17" t="str">
        <f t="shared" ref="M5:M36" si="0">IF(A5="","",IF(N5="","HỢP LỆ","CẦN SỬA"))</f>
        <v>HỢP LỆ</v>
      </c>
      <c r="N5" s="17" t="str">
        <f t="shared" ref="N5:N36" si="1">IF(A5="","",IF(B5="","Thiếu NodeId",IF(D5="","Thiếu NodeType",IF(COUNTIF($B$5:$B$204,B5)&gt;1,"NodeId bị trùng",IF(COUNTIF($A$5:$A$204,A5)&gt;1,"NodeOrder bị trùng",IF(AND(D5="scene",OR(C5="",F5="",G5="")),"scene cần ActNo, Background, SceneName",IF(AND(D5="say",OR(H5="",J5="")),"say cần SpeakerKey và Text",IF(AND(D5="choice",OR(E5="",H5="",I5="",J5="")),"choice cần ChoiceMode, SpeakerKey, Mood, Question",IF(AND(D5="act",K5=""),"act cần số La Mã",IF(AND(D5="end",COUNTIF($D$5:$D$204,"end")&lt;&gt;1),"Phải có đúng 1 node end",""))))))))))</f>
        <v/>
      </c>
    </row>
    <row r="6" spans="1:14" ht="39.6" customHeight="1">
      <c r="A6" s="16">
        <v>2</v>
      </c>
      <c r="B6" s="16" t="s">
        <v>385</v>
      </c>
      <c r="C6" s="16">
        <v>1</v>
      </c>
      <c r="D6" s="16" t="s">
        <v>198</v>
      </c>
      <c r="E6" s="16"/>
      <c r="F6" s="15"/>
      <c r="G6" s="15"/>
      <c r="H6" s="15" t="s">
        <v>182</v>
      </c>
      <c r="I6" s="15"/>
      <c r="J6" s="15" t="s">
        <v>386</v>
      </c>
      <c r="K6" s="15"/>
      <c r="L6" s="15"/>
      <c r="M6" s="17" t="str">
        <f t="shared" si="0"/>
        <v>HỢP LỆ</v>
      </c>
      <c r="N6" s="17" t="str">
        <f t="shared" si="1"/>
        <v/>
      </c>
    </row>
    <row r="7" spans="1:14" ht="26.45" customHeight="1">
      <c r="A7" s="16">
        <v>3</v>
      </c>
      <c r="B7" s="16" t="s">
        <v>387</v>
      </c>
      <c r="C7" s="16">
        <v>1</v>
      </c>
      <c r="D7" s="16" t="s">
        <v>198</v>
      </c>
      <c r="E7" s="16"/>
      <c r="F7" s="15"/>
      <c r="G7" s="15"/>
      <c r="H7" s="15" t="s">
        <v>201</v>
      </c>
      <c r="I7" s="15" t="s">
        <v>186</v>
      </c>
      <c r="J7" s="15" t="s">
        <v>388</v>
      </c>
      <c r="K7" s="15"/>
      <c r="L7" s="15"/>
      <c r="M7" s="17" t="str">
        <f t="shared" si="0"/>
        <v>HỢP LỆ</v>
      </c>
      <c r="N7" s="17" t="str">
        <f t="shared" si="1"/>
        <v/>
      </c>
    </row>
    <row r="8" spans="1:14" ht="15" customHeight="1">
      <c r="A8" s="16">
        <v>4</v>
      </c>
      <c r="B8" s="16" t="s">
        <v>389</v>
      </c>
      <c r="C8" s="16">
        <v>1</v>
      </c>
      <c r="D8" s="16" t="s">
        <v>208</v>
      </c>
      <c r="E8" s="16" t="s">
        <v>390</v>
      </c>
      <c r="F8" s="15"/>
      <c r="G8" s="15"/>
      <c r="H8" s="15" t="s">
        <v>201</v>
      </c>
      <c r="I8" s="15" t="s">
        <v>186</v>
      </c>
      <c r="J8" s="15" t="s">
        <v>391</v>
      </c>
      <c r="K8" s="15"/>
      <c r="L8" s="15" t="s">
        <v>392</v>
      </c>
      <c r="M8" s="17" t="str">
        <f t="shared" si="0"/>
        <v>HỢP LỆ</v>
      </c>
      <c r="N8" s="17" t="str">
        <f t="shared" si="1"/>
        <v/>
      </c>
    </row>
    <row r="9" spans="1:14" ht="26.45" customHeight="1">
      <c r="A9" s="16">
        <v>5</v>
      </c>
      <c r="B9" s="16" t="s">
        <v>393</v>
      </c>
      <c r="C9" s="16">
        <v>1</v>
      </c>
      <c r="D9" s="16" t="s">
        <v>208</v>
      </c>
      <c r="E9" s="16" t="s">
        <v>394</v>
      </c>
      <c r="F9" s="15"/>
      <c r="G9" s="15"/>
      <c r="H9" s="15" t="s">
        <v>211</v>
      </c>
      <c r="I9" s="15" t="s">
        <v>186</v>
      </c>
      <c r="J9" s="15" t="s">
        <v>395</v>
      </c>
      <c r="K9" s="15"/>
      <c r="L9" s="15" t="s">
        <v>392</v>
      </c>
      <c r="M9" s="17" t="str">
        <f t="shared" si="0"/>
        <v>HỢP LỆ</v>
      </c>
      <c r="N9" s="17" t="str">
        <f t="shared" si="1"/>
        <v/>
      </c>
    </row>
    <row r="10" spans="1:14" ht="26.45" customHeight="1">
      <c r="A10" s="16">
        <v>6</v>
      </c>
      <c r="B10" s="16" t="s">
        <v>396</v>
      </c>
      <c r="C10" s="16">
        <v>1</v>
      </c>
      <c r="D10" s="16" t="s">
        <v>208</v>
      </c>
      <c r="E10" s="16" t="s">
        <v>394</v>
      </c>
      <c r="F10" s="15"/>
      <c r="G10" s="15"/>
      <c r="H10" s="15" t="s">
        <v>201</v>
      </c>
      <c r="I10" s="15" t="s">
        <v>186</v>
      </c>
      <c r="J10" s="15" t="s">
        <v>397</v>
      </c>
      <c r="K10" s="15"/>
      <c r="L10" s="15" t="s">
        <v>392</v>
      </c>
      <c r="M10" s="17" t="str">
        <f t="shared" si="0"/>
        <v>HỢP LỆ</v>
      </c>
      <c r="N10" s="17" t="str">
        <f t="shared" si="1"/>
        <v/>
      </c>
    </row>
    <row r="11" spans="1:14" ht="15" customHeight="1">
      <c r="A11" s="16">
        <v>7</v>
      </c>
      <c r="B11" s="16" t="s">
        <v>398</v>
      </c>
      <c r="C11" s="16">
        <v>1</v>
      </c>
      <c r="D11" s="16" t="s">
        <v>208</v>
      </c>
      <c r="E11" s="16" t="s">
        <v>394</v>
      </c>
      <c r="F11" s="15"/>
      <c r="G11" s="15"/>
      <c r="H11" s="15" t="s">
        <v>218</v>
      </c>
      <c r="I11" s="15" t="s">
        <v>186</v>
      </c>
      <c r="J11" s="15" t="s">
        <v>399</v>
      </c>
      <c r="K11" s="15"/>
      <c r="L11" s="15" t="s">
        <v>392</v>
      </c>
      <c r="M11" s="17" t="str">
        <f t="shared" si="0"/>
        <v>HỢP LỆ</v>
      </c>
      <c r="N11" s="17" t="str">
        <f t="shared" si="1"/>
        <v/>
      </c>
    </row>
    <row r="12" spans="1:14" ht="15" customHeight="1">
      <c r="A12" s="16">
        <v>8</v>
      </c>
      <c r="B12" s="16" t="s">
        <v>400</v>
      </c>
      <c r="C12" s="16">
        <v>1</v>
      </c>
      <c r="D12" s="16" t="s">
        <v>208</v>
      </c>
      <c r="E12" s="16" t="s">
        <v>394</v>
      </c>
      <c r="F12" s="15"/>
      <c r="G12" s="15"/>
      <c r="H12" s="15" t="s">
        <v>211</v>
      </c>
      <c r="I12" s="15" t="s">
        <v>186</v>
      </c>
      <c r="J12" s="15" t="s">
        <v>401</v>
      </c>
      <c r="K12" s="15"/>
      <c r="L12" s="15" t="s">
        <v>392</v>
      </c>
      <c r="M12" s="17" t="str">
        <f t="shared" si="0"/>
        <v>HỢP LỆ</v>
      </c>
      <c r="N12" s="17" t="str">
        <f t="shared" si="1"/>
        <v/>
      </c>
    </row>
    <row r="13" spans="1:14" ht="15" customHeight="1">
      <c r="A13" s="16">
        <v>9</v>
      </c>
      <c r="B13" s="16" t="s">
        <v>402</v>
      </c>
      <c r="C13" s="16">
        <v>1</v>
      </c>
      <c r="D13" s="16" t="s">
        <v>216</v>
      </c>
      <c r="E13" s="16"/>
      <c r="F13" s="15"/>
      <c r="G13" s="15"/>
      <c r="H13" s="15"/>
      <c r="I13" s="15"/>
      <c r="J13" s="15"/>
      <c r="K13" s="15" t="s">
        <v>403</v>
      </c>
      <c r="L13" s="15" t="s">
        <v>404</v>
      </c>
      <c r="M13" s="17" t="str">
        <f t="shared" si="0"/>
        <v>HỢP LỆ</v>
      </c>
      <c r="N13" s="17" t="str">
        <f t="shared" si="1"/>
        <v/>
      </c>
    </row>
    <row r="14" spans="1:14" ht="15" customHeight="1">
      <c r="A14" s="16">
        <v>10</v>
      </c>
      <c r="B14" s="16" t="s">
        <v>405</v>
      </c>
      <c r="C14" s="16">
        <v>2</v>
      </c>
      <c r="D14" s="16" t="s">
        <v>188</v>
      </c>
      <c r="E14" s="16"/>
      <c r="F14" s="15" t="s">
        <v>194</v>
      </c>
      <c r="G14" s="15" t="s">
        <v>406</v>
      </c>
      <c r="H14" s="15"/>
      <c r="I14" s="15"/>
      <c r="J14" s="15"/>
      <c r="K14" s="15"/>
      <c r="L14" s="15" t="s">
        <v>407</v>
      </c>
      <c r="M14" s="17" t="str">
        <f t="shared" si="0"/>
        <v>HỢP LỆ</v>
      </c>
      <c r="N14" s="17" t="str">
        <f t="shared" si="1"/>
        <v/>
      </c>
    </row>
    <row r="15" spans="1:14" ht="26.45" customHeight="1">
      <c r="A15" s="16">
        <v>11</v>
      </c>
      <c r="B15" s="16" t="s">
        <v>408</v>
      </c>
      <c r="C15" s="16">
        <v>2</v>
      </c>
      <c r="D15" s="16" t="s">
        <v>198</v>
      </c>
      <c r="E15" s="16"/>
      <c r="F15" s="15"/>
      <c r="G15" s="15"/>
      <c r="H15" s="15" t="s">
        <v>182</v>
      </c>
      <c r="I15" s="15"/>
      <c r="J15" s="15" t="s">
        <v>409</v>
      </c>
      <c r="K15" s="15"/>
      <c r="L15" s="15"/>
      <c r="M15" s="17" t="str">
        <f t="shared" si="0"/>
        <v>HỢP LỆ</v>
      </c>
      <c r="N15" s="17" t="str">
        <f t="shared" si="1"/>
        <v/>
      </c>
    </row>
    <row r="16" spans="1:14" ht="15" customHeight="1">
      <c r="A16" s="16">
        <v>12</v>
      </c>
      <c r="B16" s="16" t="s">
        <v>410</v>
      </c>
      <c r="C16" s="16">
        <v>2</v>
      </c>
      <c r="D16" s="16" t="s">
        <v>198</v>
      </c>
      <c r="E16" s="16"/>
      <c r="F16" s="15"/>
      <c r="G16" s="15"/>
      <c r="H16" s="15" t="s">
        <v>218</v>
      </c>
      <c r="I16" s="15" t="s">
        <v>214</v>
      </c>
      <c r="J16" s="15" t="s">
        <v>411</v>
      </c>
      <c r="K16" s="15"/>
      <c r="L16" s="15"/>
      <c r="M16" s="17" t="str">
        <f t="shared" si="0"/>
        <v>HỢP LỆ</v>
      </c>
      <c r="N16" s="17" t="str">
        <f t="shared" si="1"/>
        <v/>
      </c>
    </row>
    <row r="17" spans="1:14" ht="15" customHeight="1">
      <c r="A17" s="16">
        <v>13</v>
      </c>
      <c r="B17" s="16" t="s">
        <v>412</v>
      </c>
      <c r="C17" s="16">
        <v>2</v>
      </c>
      <c r="D17" s="16" t="s">
        <v>208</v>
      </c>
      <c r="E17" s="16" t="s">
        <v>394</v>
      </c>
      <c r="F17" s="15"/>
      <c r="G17" s="15"/>
      <c r="H17" s="15" t="s">
        <v>218</v>
      </c>
      <c r="I17" s="15" t="s">
        <v>186</v>
      </c>
      <c r="J17" s="15" t="s">
        <v>413</v>
      </c>
      <c r="K17" s="15"/>
      <c r="L17" s="15" t="s">
        <v>392</v>
      </c>
      <c r="M17" s="17" t="str">
        <f t="shared" si="0"/>
        <v>HỢP LỆ</v>
      </c>
      <c r="N17" s="17" t="str">
        <f t="shared" si="1"/>
        <v/>
      </c>
    </row>
    <row r="18" spans="1:14" ht="15" customHeight="1">
      <c r="A18" s="16">
        <v>14</v>
      </c>
      <c r="B18" s="16" t="s">
        <v>414</v>
      </c>
      <c r="C18" s="16">
        <v>2</v>
      </c>
      <c r="D18" s="16" t="s">
        <v>208</v>
      </c>
      <c r="E18" s="16" t="s">
        <v>394</v>
      </c>
      <c r="F18" s="15"/>
      <c r="G18" s="15"/>
      <c r="H18" s="15" t="s">
        <v>211</v>
      </c>
      <c r="I18" s="15" t="s">
        <v>186</v>
      </c>
      <c r="J18" s="15" t="s">
        <v>415</v>
      </c>
      <c r="K18" s="15"/>
      <c r="L18" s="15" t="s">
        <v>392</v>
      </c>
      <c r="M18" s="17" t="str">
        <f t="shared" si="0"/>
        <v>HỢP LỆ</v>
      </c>
      <c r="N18" s="17" t="str">
        <f t="shared" si="1"/>
        <v/>
      </c>
    </row>
    <row r="19" spans="1:14" ht="15" customHeight="1">
      <c r="A19" s="16">
        <v>15</v>
      </c>
      <c r="B19" s="16" t="s">
        <v>416</v>
      </c>
      <c r="C19" s="16">
        <v>2</v>
      </c>
      <c r="D19" s="16" t="s">
        <v>208</v>
      </c>
      <c r="E19" s="16" t="s">
        <v>394</v>
      </c>
      <c r="F19" s="15"/>
      <c r="G19" s="15"/>
      <c r="H19" s="15" t="s">
        <v>201</v>
      </c>
      <c r="I19" s="15" t="s">
        <v>186</v>
      </c>
      <c r="J19" s="15" t="s">
        <v>417</v>
      </c>
      <c r="K19" s="15"/>
      <c r="L19" s="15" t="s">
        <v>392</v>
      </c>
      <c r="M19" s="17" t="str">
        <f t="shared" si="0"/>
        <v>HỢP LỆ</v>
      </c>
      <c r="N19" s="17" t="str">
        <f t="shared" si="1"/>
        <v/>
      </c>
    </row>
    <row r="20" spans="1:14" ht="15" customHeight="1">
      <c r="A20" s="16">
        <v>16</v>
      </c>
      <c r="B20" s="16" t="s">
        <v>418</v>
      </c>
      <c r="C20" s="16">
        <v>2</v>
      </c>
      <c r="D20" s="16" t="s">
        <v>208</v>
      </c>
      <c r="E20" s="16" t="s">
        <v>394</v>
      </c>
      <c r="F20" s="15"/>
      <c r="G20" s="15"/>
      <c r="H20" s="15" t="s">
        <v>218</v>
      </c>
      <c r="I20" s="15" t="s">
        <v>186</v>
      </c>
      <c r="J20" s="15" t="s">
        <v>419</v>
      </c>
      <c r="K20" s="15"/>
      <c r="L20" s="15" t="s">
        <v>392</v>
      </c>
      <c r="M20" s="17" t="str">
        <f t="shared" si="0"/>
        <v>HỢP LỆ</v>
      </c>
      <c r="N20" s="17" t="str">
        <f t="shared" si="1"/>
        <v/>
      </c>
    </row>
    <row r="21" spans="1:14" ht="15" customHeight="1">
      <c r="A21" s="16">
        <v>17</v>
      </c>
      <c r="B21" s="16" t="s">
        <v>420</v>
      </c>
      <c r="C21" s="16">
        <v>2</v>
      </c>
      <c r="D21" s="16" t="s">
        <v>208</v>
      </c>
      <c r="E21" s="16" t="s">
        <v>394</v>
      </c>
      <c r="F21" s="15"/>
      <c r="G21" s="15"/>
      <c r="H21" s="15" t="s">
        <v>224</v>
      </c>
      <c r="I21" s="15" t="s">
        <v>186</v>
      </c>
      <c r="J21" s="15" t="s">
        <v>421</v>
      </c>
      <c r="K21" s="15"/>
      <c r="L21" s="15" t="s">
        <v>392</v>
      </c>
      <c r="M21" s="17" t="str">
        <f t="shared" si="0"/>
        <v>HỢP LỆ</v>
      </c>
      <c r="N21" s="17" t="str">
        <f t="shared" si="1"/>
        <v/>
      </c>
    </row>
    <row r="22" spans="1:14" ht="15" customHeight="1">
      <c r="A22" s="16">
        <v>18</v>
      </c>
      <c r="B22" s="16" t="s">
        <v>422</v>
      </c>
      <c r="C22" s="16">
        <v>2</v>
      </c>
      <c r="D22" s="16" t="s">
        <v>208</v>
      </c>
      <c r="E22" s="16" t="s">
        <v>394</v>
      </c>
      <c r="F22" s="15"/>
      <c r="G22" s="15"/>
      <c r="H22" s="15" t="s">
        <v>201</v>
      </c>
      <c r="I22" s="15" t="s">
        <v>186</v>
      </c>
      <c r="J22" s="15" t="s">
        <v>423</v>
      </c>
      <c r="K22" s="15"/>
      <c r="L22" s="15" t="s">
        <v>392</v>
      </c>
      <c r="M22" s="17" t="str">
        <f t="shared" si="0"/>
        <v>HỢP LỆ</v>
      </c>
      <c r="N22" s="17" t="str">
        <f t="shared" si="1"/>
        <v/>
      </c>
    </row>
    <row r="23" spans="1:14" ht="15" customHeight="1">
      <c r="A23" s="16">
        <v>19</v>
      </c>
      <c r="B23" s="16" t="s">
        <v>424</v>
      </c>
      <c r="C23" s="16">
        <v>2</v>
      </c>
      <c r="D23" s="16" t="s">
        <v>216</v>
      </c>
      <c r="E23" s="16"/>
      <c r="F23" s="15"/>
      <c r="G23" s="15"/>
      <c r="H23" s="15"/>
      <c r="I23" s="15"/>
      <c r="J23" s="15"/>
      <c r="K23" s="15" t="s">
        <v>425</v>
      </c>
      <c r="L23" s="15" t="s">
        <v>426</v>
      </c>
      <c r="M23" s="17" t="str">
        <f t="shared" si="0"/>
        <v>HỢP LỆ</v>
      </c>
      <c r="N23" s="17" t="str">
        <f t="shared" si="1"/>
        <v/>
      </c>
    </row>
    <row r="24" spans="1:14" ht="26.45" customHeight="1">
      <c r="A24" s="16">
        <v>20</v>
      </c>
      <c r="B24" s="16" t="s">
        <v>427</v>
      </c>
      <c r="C24" s="16">
        <v>3</v>
      </c>
      <c r="D24" s="16" t="s">
        <v>188</v>
      </c>
      <c r="E24" s="16"/>
      <c r="F24" s="15" t="s">
        <v>204</v>
      </c>
      <c r="G24" s="15" t="s">
        <v>428</v>
      </c>
      <c r="H24" s="15"/>
      <c r="I24" s="15"/>
      <c r="J24" s="15"/>
      <c r="K24" s="15"/>
      <c r="L24" s="15" t="s">
        <v>429</v>
      </c>
      <c r="M24" s="17" t="str">
        <f t="shared" si="0"/>
        <v>HỢP LỆ</v>
      </c>
      <c r="N24" s="17" t="str">
        <f t="shared" si="1"/>
        <v/>
      </c>
    </row>
    <row r="25" spans="1:14" ht="26.45" customHeight="1">
      <c r="A25" s="16">
        <v>21</v>
      </c>
      <c r="B25" s="16" t="s">
        <v>430</v>
      </c>
      <c r="C25" s="16">
        <v>3</v>
      </c>
      <c r="D25" s="16" t="s">
        <v>198</v>
      </c>
      <c r="E25" s="16"/>
      <c r="F25" s="15"/>
      <c r="G25" s="15"/>
      <c r="H25" s="15" t="s">
        <v>182</v>
      </c>
      <c r="I25" s="15"/>
      <c r="J25" s="15" t="s">
        <v>431</v>
      </c>
      <c r="K25" s="15"/>
      <c r="L25" s="15"/>
      <c r="M25" s="17" t="str">
        <f t="shared" si="0"/>
        <v>HỢP LỆ</v>
      </c>
      <c r="N25" s="17" t="str">
        <f t="shared" si="1"/>
        <v/>
      </c>
    </row>
    <row r="26" spans="1:14" ht="26.45" customHeight="1">
      <c r="A26" s="16">
        <v>22</v>
      </c>
      <c r="B26" s="16" t="s">
        <v>432</v>
      </c>
      <c r="C26" s="16">
        <v>3</v>
      </c>
      <c r="D26" s="16" t="s">
        <v>198</v>
      </c>
      <c r="E26" s="16"/>
      <c r="F26" s="15"/>
      <c r="G26" s="15"/>
      <c r="H26" s="15" t="s">
        <v>201</v>
      </c>
      <c r="I26" s="15" t="s">
        <v>186</v>
      </c>
      <c r="J26" s="15" t="s">
        <v>433</v>
      </c>
      <c r="K26" s="15"/>
      <c r="L26" s="15"/>
      <c r="M26" s="17" t="str">
        <f t="shared" si="0"/>
        <v>HỢP LỆ</v>
      </c>
      <c r="N26" s="17" t="str">
        <f t="shared" si="1"/>
        <v/>
      </c>
    </row>
    <row r="27" spans="1:14" ht="15" customHeight="1">
      <c r="A27" s="16">
        <v>23</v>
      </c>
      <c r="B27" s="16" t="s">
        <v>434</v>
      </c>
      <c r="C27" s="16">
        <v>3</v>
      </c>
      <c r="D27" s="16" t="s">
        <v>208</v>
      </c>
      <c r="E27" s="16" t="s">
        <v>394</v>
      </c>
      <c r="F27" s="15"/>
      <c r="G27" s="15"/>
      <c r="H27" s="15" t="s">
        <v>218</v>
      </c>
      <c r="I27" s="15" t="s">
        <v>186</v>
      </c>
      <c r="J27" s="15" t="s">
        <v>435</v>
      </c>
      <c r="K27" s="15"/>
      <c r="L27" s="15" t="s">
        <v>392</v>
      </c>
      <c r="M27" s="17" t="str">
        <f t="shared" si="0"/>
        <v>HỢP LỆ</v>
      </c>
      <c r="N27" s="17" t="str">
        <f t="shared" si="1"/>
        <v/>
      </c>
    </row>
    <row r="28" spans="1:14" ht="15" customHeight="1">
      <c r="A28" s="16">
        <v>24</v>
      </c>
      <c r="B28" s="16" t="s">
        <v>436</v>
      </c>
      <c r="C28" s="16">
        <v>3</v>
      </c>
      <c r="D28" s="16" t="s">
        <v>208</v>
      </c>
      <c r="E28" s="16" t="s">
        <v>394</v>
      </c>
      <c r="F28" s="15"/>
      <c r="G28" s="15"/>
      <c r="H28" s="15" t="s">
        <v>211</v>
      </c>
      <c r="I28" s="15" t="s">
        <v>186</v>
      </c>
      <c r="J28" s="15" t="s">
        <v>437</v>
      </c>
      <c r="K28" s="15"/>
      <c r="L28" s="15" t="s">
        <v>392</v>
      </c>
      <c r="M28" s="17" t="str">
        <f t="shared" si="0"/>
        <v>HỢP LỆ</v>
      </c>
      <c r="N28" s="17" t="str">
        <f t="shared" si="1"/>
        <v/>
      </c>
    </row>
    <row r="29" spans="1:14" ht="15" customHeight="1">
      <c r="A29" s="16">
        <v>25</v>
      </c>
      <c r="B29" s="16" t="s">
        <v>438</v>
      </c>
      <c r="C29" s="16">
        <v>3</v>
      </c>
      <c r="D29" s="16" t="s">
        <v>208</v>
      </c>
      <c r="E29" s="16" t="s">
        <v>394</v>
      </c>
      <c r="F29" s="15"/>
      <c r="G29" s="15"/>
      <c r="H29" s="15" t="s">
        <v>201</v>
      </c>
      <c r="I29" s="15" t="s">
        <v>186</v>
      </c>
      <c r="J29" s="15" t="s">
        <v>439</v>
      </c>
      <c r="K29" s="15"/>
      <c r="L29" s="15" t="s">
        <v>392</v>
      </c>
      <c r="M29" s="17" t="str">
        <f t="shared" si="0"/>
        <v>HỢP LỆ</v>
      </c>
      <c r="N29" s="17" t="str">
        <f t="shared" si="1"/>
        <v/>
      </c>
    </row>
    <row r="30" spans="1:14" ht="26.45" customHeight="1">
      <c r="A30" s="16">
        <v>26</v>
      </c>
      <c r="B30" s="16" t="s">
        <v>440</v>
      </c>
      <c r="C30" s="16">
        <v>3</v>
      </c>
      <c r="D30" s="16" t="s">
        <v>208</v>
      </c>
      <c r="E30" s="16" t="s">
        <v>394</v>
      </c>
      <c r="F30" s="15"/>
      <c r="G30" s="15"/>
      <c r="H30" s="15" t="s">
        <v>224</v>
      </c>
      <c r="I30" s="15" t="s">
        <v>186</v>
      </c>
      <c r="J30" s="15" t="s">
        <v>441</v>
      </c>
      <c r="K30" s="15"/>
      <c r="L30" s="15" t="s">
        <v>392</v>
      </c>
      <c r="M30" s="17" t="str">
        <f t="shared" si="0"/>
        <v>HỢP LỆ</v>
      </c>
      <c r="N30" s="17" t="str">
        <f t="shared" si="1"/>
        <v/>
      </c>
    </row>
    <row r="31" spans="1:14" ht="26.45" customHeight="1">
      <c r="A31" s="16">
        <v>27</v>
      </c>
      <c r="B31" s="16" t="s">
        <v>442</v>
      </c>
      <c r="C31" s="16">
        <v>3</v>
      </c>
      <c r="D31" s="16" t="s">
        <v>198</v>
      </c>
      <c r="E31" s="16"/>
      <c r="F31" s="15"/>
      <c r="G31" s="15"/>
      <c r="H31" s="15" t="s">
        <v>201</v>
      </c>
      <c r="I31" s="15" t="s">
        <v>196</v>
      </c>
      <c r="J31" s="15" t="s">
        <v>443</v>
      </c>
      <c r="K31" s="15"/>
      <c r="L31" s="15"/>
      <c r="M31" s="17" t="str">
        <f t="shared" si="0"/>
        <v>HỢP LỆ</v>
      </c>
      <c r="N31" s="17" t="str">
        <f t="shared" si="1"/>
        <v/>
      </c>
    </row>
    <row r="32" spans="1:14" ht="15" customHeight="1">
      <c r="A32" s="16">
        <v>28</v>
      </c>
      <c r="B32" s="16" t="s">
        <v>444</v>
      </c>
      <c r="C32" s="16">
        <v>3</v>
      </c>
      <c r="D32" s="16" t="s">
        <v>216</v>
      </c>
      <c r="E32" s="16"/>
      <c r="F32" s="15"/>
      <c r="G32" s="15"/>
      <c r="H32" s="15"/>
      <c r="I32" s="15"/>
      <c r="J32" s="15"/>
      <c r="K32" s="15" t="s">
        <v>445</v>
      </c>
      <c r="L32" s="15" t="s">
        <v>446</v>
      </c>
      <c r="M32" s="17" t="str">
        <f t="shared" si="0"/>
        <v>HỢP LỆ</v>
      </c>
      <c r="N32" s="17" t="str">
        <f t="shared" si="1"/>
        <v/>
      </c>
    </row>
    <row r="33" spans="1:14" ht="15" customHeight="1">
      <c r="A33" s="16">
        <v>29</v>
      </c>
      <c r="B33" s="16" t="s">
        <v>447</v>
      </c>
      <c r="C33" s="16"/>
      <c r="D33" s="16" t="s">
        <v>221</v>
      </c>
      <c r="E33" s="16"/>
      <c r="F33" s="15"/>
      <c r="G33" s="15"/>
      <c r="H33" s="15"/>
      <c r="I33" s="15"/>
      <c r="J33" s="15"/>
      <c r="K33" s="15"/>
      <c r="L33" s="15" t="s">
        <v>448</v>
      </c>
      <c r="M33" s="17" t="str">
        <f t="shared" si="0"/>
        <v>HỢP LỆ</v>
      </c>
      <c r="N33" s="17" t="str">
        <f t="shared" si="1"/>
        <v/>
      </c>
    </row>
    <row r="34" spans="1:14">
      <c r="A34" s="13"/>
      <c r="B34" s="13"/>
      <c r="C34" s="13"/>
      <c r="D34" s="13"/>
      <c r="E34" s="13"/>
      <c r="F34" s="5"/>
      <c r="G34" s="5"/>
      <c r="H34" s="5"/>
      <c r="I34" s="5"/>
      <c r="J34" s="5"/>
      <c r="K34" s="5"/>
      <c r="L34" s="5"/>
      <c r="M34" s="6" t="str">
        <f t="shared" si="0"/>
        <v/>
      </c>
      <c r="N34" s="6" t="str">
        <f t="shared" si="1"/>
        <v/>
      </c>
    </row>
    <row r="35" spans="1:14">
      <c r="A35" s="13"/>
      <c r="B35" s="13"/>
      <c r="C35" s="13"/>
      <c r="D35" s="13"/>
      <c r="E35" s="13"/>
      <c r="F35" s="5"/>
      <c r="G35" s="5"/>
      <c r="H35" s="5"/>
      <c r="I35" s="5"/>
      <c r="J35" s="5"/>
      <c r="K35" s="5"/>
      <c r="L35" s="5"/>
      <c r="M35" s="6" t="str">
        <f t="shared" si="0"/>
        <v/>
      </c>
      <c r="N35" s="6" t="str">
        <f t="shared" si="1"/>
        <v/>
      </c>
    </row>
    <row r="36" spans="1:14">
      <c r="A36" s="13"/>
      <c r="B36" s="13"/>
      <c r="C36" s="13"/>
      <c r="D36" s="13"/>
      <c r="E36" s="13"/>
      <c r="F36" s="5"/>
      <c r="G36" s="5"/>
      <c r="H36" s="5"/>
      <c r="I36" s="5"/>
      <c r="J36" s="5"/>
      <c r="K36" s="5"/>
      <c r="L36" s="5"/>
      <c r="M36" s="6" t="str">
        <f t="shared" si="0"/>
        <v/>
      </c>
      <c r="N36" s="6" t="str">
        <f t="shared" si="1"/>
        <v/>
      </c>
    </row>
    <row r="37" spans="1:14">
      <c r="A37" s="13"/>
      <c r="B37" s="13"/>
      <c r="C37" s="13"/>
      <c r="D37" s="13"/>
      <c r="E37" s="13"/>
      <c r="F37" s="5"/>
      <c r="G37" s="5"/>
      <c r="H37" s="5"/>
      <c r="I37" s="5"/>
      <c r="J37" s="5"/>
      <c r="K37" s="5"/>
      <c r="L37" s="5"/>
      <c r="M37" s="6" t="str">
        <f t="shared" ref="M37:M68" si="2">IF(A37="","",IF(N37="","HỢP LỆ","CẦN SỬA"))</f>
        <v/>
      </c>
      <c r="N37" s="6" t="str">
        <f t="shared" ref="N37:N68" si="3">IF(A37="","",IF(B37="","Thiếu NodeId",IF(D37="","Thiếu NodeType",IF(COUNTIF($B$5:$B$204,B37)&gt;1,"NodeId bị trùng",IF(COUNTIF($A$5:$A$204,A37)&gt;1,"NodeOrder bị trùng",IF(AND(D37="scene",OR(C37="",F37="",G37="")),"scene cần ActNo, Background, SceneName",IF(AND(D37="say",OR(H37="",J37="")),"say cần SpeakerKey và Text",IF(AND(D37="choice",OR(E37="",H37="",I37="",J37="")),"choice cần ChoiceMode, SpeakerKey, Mood, Question",IF(AND(D37="act",K37=""),"act cần số La Mã",IF(AND(D37="end",COUNTIF($D$5:$D$204,"end")&lt;&gt;1),"Phải có đúng 1 node end",""))))))))))</f>
        <v/>
      </c>
    </row>
    <row r="38" spans="1:14">
      <c r="A38" s="13"/>
      <c r="B38" s="13"/>
      <c r="C38" s="13"/>
      <c r="D38" s="13"/>
      <c r="E38" s="13"/>
      <c r="F38" s="5"/>
      <c r="G38" s="5"/>
      <c r="H38" s="5"/>
      <c r="I38" s="5"/>
      <c r="J38" s="5"/>
      <c r="K38" s="5"/>
      <c r="L38" s="5"/>
      <c r="M38" s="6" t="str">
        <f t="shared" si="2"/>
        <v/>
      </c>
      <c r="N38" s="6" t="str">
        <f t="shared" si="3"/>
        <v/>
      </c>
    </row>
    <row r="39" spans="1:14">
      <c r="A39" s="13"/>
      <c r="B39" s="13"/>
      <c r="C39" s="13"/>
      <c r="D39" s="13"/>
      <c r="E39" s="13"/>
      <c r="F39" s="5"/>
      <c r="G39" s="5"/>
      <c r="H39" s="5"/>
      <c r="I39" s="5"/>
      <c r="J39" s="5"/>
      <c r="K39" s="5"/>
      <c r="L39" s="5"/>
      <c r="M39" s="6" t="str">
        <f t="shared" si="2"/>
        <v/>
      </c>
      <c r="N39" s="6" t="str">
        <f t="shared" si="3"/>
        <v/>
      </c>
    </row>
    <row r="40" spans="1:14">
      <c r="A40" s="13"/>
      <c r="B40" s="13"/>
      <c r="C40" s="13"/>
      <c r="D40" s="13"/>
      <c r="E40" s="13"/>
      <c r="F40" s="5"/>
      <c r="G40" s="5"/>
      <c r="H40" s="5"/>
      <c r="I40" s="5"/>
      <c r="J40" s="5"/>
      <c r="K40" s="5"/>
      <c r="L40" s="5"/>
      <c r="M40" s="6" t="str">
        <f t="shared" si="2"/>
        <v/>
      </c>
      <c r="N40" s="6" t="str">
        <f t="shared" si="3"/>
        <v/>
      </c>
    </row>
    <row r="41" spans="1:14">
      <c r="A41" s="13"/>
      <c r="B41" s="13"/>
      <c r="C41" s="13"/>
      <c r="D41" s="13"/>
      <c r="E41" s="13"/>
      <c r="F41" s="5"/>
      <c r="G41" s="5"/>
      <c r="H41" s="5"/>
      <c r="I41" s="5"/>
      <c r="J41" s="5"/>
      <c r="K41" s="5"/>
      <c r="L41" s="5"/>
      <c r="M41" s="6" t="str">
        <f t="shared" si="2"/>
        <v/>
      </c>
      <c r="N41" s="6" t="str">
        <f t="shared" si="3"/>
        <v/>
      </c>
    </row>
    <row r="42" spans="1:14">
      <c r="A42" s="13"/>
      <c r="B42" s="13"/>
      <c r="C42" s="13"/>
      <c r="D42" s="13"/>
      <c r="E42" s="13"/>
      <c r="F42" s="5"/>
      <c r="G42" s="5"/>
      <c r="H42" s="5"/>
      <c r="I42" s="5"/>
      <c r="J42" s="5"/>
      <c r="K42" s="5"/>
      <c r="L42" s="5"/>
      <c r="M42" s="6" t="str">
        <f t="shared" si="2"/>
        <v/>
      </c>
      <c r="N42" s="6" t="str">
        <f t="shared" si="3"/>
        <v/>
      </c>
    </row>
    <row r="43" spans="1:14">
      <c r="A43" s="13"/>
      <c r="B43" s="13"/>
      <c r="C43" s="13"/>
      <c r="D43" s="13"/>
      <c r="E43" s="13"/>
      <c r="F43" s="5"/>
      <c r="G43" s="5"/>
      <c r="H43" s="5"/>
      <c r="I43" s="5"/>
      <c r="J43" s="5"/>
      <c r="K43" s="5"/>
      <c r="L43" s="5"/>
      <c r="M43" s="6" t="str">
        <f t="shared" si="2"/>
        <v/>
      </c>
      <c r="N43" s="6" t="str">
        <f t="shared" si="3"/>
        <v/>
      </c>
    </row>
    <row r="44" spans="1:14">
      <c r="A44" s="13"/>
      <c r="B44" s="13"/>
      <c r="C44" s="13"/>
      <c r="D44" s="13"/>
      <c r="E44" s="13"/>
      <c r="F44" s="5"/>
      <c r="G44" s="5"/>
      <c r="H44" s="5"/>
      <c r="I44" s="5"/>
      <c r="J44" s="5"/>
      <c r="K44" s="5"/>
      <c r="L44" s="5"/>
      <c r="M44" s="6" t="str">
        <f t="shared" si="2"/>
        <v/>
      </c>
      <c r="N44" s="6" t="str">
        <f t="shared" si="3"/>
        <v/>
      </c>
    </row>
    <row r="45" spans="1:14">
      <c r="A45" s="13"/>
      <c r="B45" s="13"/>
      <c r="C45" s="13"/>
      <c r="D45" s="13"/>
      <c r="E45" s="13"/>
      <c r="F45" s="5"/>
      <c r="G45" s="5"/>
      <c r="H45" s="5"/>
      <c r="I45" s="5"/>
      <c r="J45" s="5"/>
      <c r="K45" s="5"/>
      <c r="L45" s="5"/>
      <c r="M45" s="6" t="str">
        <f t="shared" si="2"/>
        <v/>
      </c>
      <c r="N45" s="6" t="str">
        <f t="shared" si="3"/>
        <v/>
      </c>
    </row>
    <row r="46" spans="1:14">
      <c r="A46" s="13"/>
      <c r="B46" s="13"/>
      <c r="C46" s="13"/>
      <c r="D46" s="13"/>
      <c r="E46" s="13"/>
      <c r="F46" s="5"/>
      <c r="G46" s="5"/>
      <c r="H46" s="5"/>
      <c r="I46" s="5"/>
      <c r="J46" s="5"/>
      <c r="K46" s="5"/>
      <c r="L46" s="5"/>
      <c r="M46" s="6" t="str">
        <f t="shared" si="2"/>
        <v/>
      </c>
      <c r="N46" s="6" t="str">
        <f t="shared" si="3"/>
        <v/>
      </c>
    </row>
    <row r="47" spans="1:14">
      <c r="A47" s="13"/>
      <c r="B47" s="13"/>
      <c r="C47" s="13"/>
      <c r="D47" s="13"/>
      <c r="E47" s="13"/>
      <c r="F47" s="5"/>
      <c r="G47" s="5"/>
      <c r="H47" s="5"/>
      <c r="I47" s="5"/>
      <c r="J47" s="5"/>
      <c r="K47" s="5"/>
      <c r="L47" s="5"/>
      <c r="M47" s="6" t="str">
        <f t="shared" si="2"/>
        <v/>
      </c>
      <c r="N47" s="6" t="str">
        <f t="shared" si="3"/>
        <v/>
      </c>
    </row>
    <row r="48" spans="1:14">
      <c r="A48" s="13"/>
      <c r="B48" s="13"/>
      <c r="C48" s="13"/>
      <c r="D48" s="13"/>
      <c r="E48" s="13"/>
      <c r="F48" s="5"/>
      <c r="G48" s="5"/>
      <c r="H48" s="5"/>
      <c r="I48" s="5"/>
      <c r="J48" s="5"/>
      <c r="K48" s="5"/>
      <c r="L48" s="5"/>
      <c r="M48" s="6" t="str">
        <f t="shared" si="2"/>
        <v/>
      </c>
      <c r="N48" s="6" t="str">
        <f t="shared" si="3"/>
        <v/>
      </c>
    </row>
    <row r="49" spans="1:14">
      <c r="A49" s="13"/>
      <c r="B49" s="13"/>
      <c r="C49" s="13"/>
      <c r="D49" s="13"/>
      <c r="E49" s="13"/>
      <c r="F49" s="5"/>
      <c r="G49" s="5"/>
      <c r="H49" s="5"/>
      <c r="I49" s="5"/>
      <c r="J49" s="5"/>
      <c r="K49" s="5"/>
      <c r="L49" s="5"/>
      <c r="M49" s="6" t="str">
        <f t="shared" si="2"/>
        <v/>
      </c>
      <c r="N49" s="6" t="str">
        <f t="shared" si="3"/>
        <v/>
      </c>
    </row>
    <row r="50" spans="1:14">
      <c r="A50" s="13"/>
      <c r="B50" s="13"/>
      <c r="C50" s="13"/>
      <c r="D50" s="13"/>
      <c r="E50" s="13"/>
      <c r="F50" s="5"/>
      <c r="G50" s="5"/>
      <c r="H50" s="5"/>
      <c r="I50" s="5"/>
      <c r="J50" s="5"/>
      <c r="K50" s="5"/>
      <c r="L50" s="5"/>
      <c r="M50" s="6" t="str">
        <f t="shared" si="2"/>
        <v/>
      </c>
      <c r="N50" s="6" t="str">
        <f t="shared" si="3"/>
        <v/>
      </c>
    </row>
    <row r="51" spans="1:14">
      <c r="A51" s="13"/>
      <c r="B51" s="13"/>
      <c r="C51" s="13"/>
      <c r="D51" s="13"/>
      <c r="E51" s="13"/>
      <c r="F51" s="5"/>
      <c r="G51" s="5"/>
      <c r="H51" s="5"/>
      <c r="I51" s="5"/>
      <c r="J51" s="5"/>
      <c r="K51" s="5"/>
      <c r="L51" s="5"/>
      <c r="M51" s="6" t="str">
        <f t="shared" si="2"/>
        <v/>
      </c>
      <c r="N51" s="6" t="str">
        <f t="shared" si="3"/>
        <v/>
      </c>
    </row>
    <row r="52" spans="1:14">
      <c r="A52" s="13"/>
      <c r="B52" s="13"/>
      <c r="C52" s="13"/>
      <c r="D52" s="13"/>
      <c r="E52" s="13"/>
      <c r="F52" s="5"/>
      <c r="G52" s="5"/>
      <c r="H52" s="5"/>
      <c r="I52" s="5"/>
      <c r="J52" s="5"/>
      <c r="K52" s="5"/>
      <c r="L52" s="5"/>
      <c r="M52" s="6" t="str">
        <f t="shared" si="2"/>
        <v/>
      </c>
      <c r="N52" s="6" t="str">
        <f t="shared" si="3"/>
        <v/>
      </c>
    </row>
    <row r="53" spans="1:14">
      <c r="A53" s="13"/>
      <c r="B53" s="13"/>
      <c r="C53" s="13"/>
      <c r="D53" s="13"/>
      <c r="E53" s="13"/>
      <c r="F53" s="5"/>
      <c r="G53" s="5"/>
      <c r="H53" s="5"/>
      <c r="I53" s="5"/>
      <c r="J53" s="5"/>
      <c r="K53" s="5"/>
      <c r="L53" s="5"/>
      <c r="M53" s="6" t="str">
        <f t="shared" si="2"/>
        <v/>
      </c>
      <c r="N53" s="6" t="str">
        <f t="shared" si="3"/>
        <v/>
      </c>
    </row>
    <row r="54" spans="1:14">
      <c r="A54" s="13"/>
      <c r="B54" s="13"/>
      <c r="C54" s="13"/>
      <c r="D54" s="13"/>
      <c r="E54" s="13"/>
      <c r="F54" s="5"/>
      <c r="G54" s="5"/>
      <c r="H54" s="5"/>
      <c r="I54" s="5"/>
      <c r="J54" s="5"/>
      <c r="K54" s="5"/>
      <c r="L54" s="5"/>
      <c r="M54" s="6" t="str">
        <f t="shared" si="2"/>
        <v/>
      </c>
      <c r="N54" s="6" t="str">
        <f t="shared" si="3"/>
        <v/>
      </c>
    </row>
    <row r="55" spans="1:14">
      <c r="A55" s="13"/>
      <c r="B55" s="13"/>
      <c r="C55" s="13"/>
      <c r="D55" s="13"/>
      <c r="E55" s="13"/>
      <c r="F55" s="5"/>
      <c r="G55" s="5"/>
      <c r="H55" s="5"/>
      <c r="I55" s="5"/>
      <c r="J55" s="5"/>
      <c r="K55" s="5"/>
      <c r="L55" s="5"/>
      <c r="M55" s="6" t="str">
        <f t="shared" si="2"/>
        <v/>
      </c>
      <c r="N55" s="6" t="str">
        <f t="shared" si="3"/>
        <v/>
      </c>
    </row>
    <row r="56" spans="1:14">
      <c r="A56" s="13"/>
      <c r="B56" s="13"/>
      <c r="C56" s="13"/>
      <c r="D56" s="13"/>
      <c r="E56" s="13"/>
      <c r="F56" s="5"/>
      <c r="G56" s="5"/>
      <c r="H56" s="5"/>
      <c r="I56" s="5"/>
      <c r="J56" s="5"/>
      <c r="K56" s="5"/>
      <c r="L56" s="5"/>
      <c r="M56" s="6" t="str">
        <f t="shared" si="2"/>
        <v/>
      </c>
      <c r="N56" s="6" t="str">
        <f t="shared" si="3"/>
        <v/>
      </c>
    </row>
    <row r="57" spans="1:14">
      <c r="A57" s="13"/>
      <c r="B57" s="13"/>
      <c r="C57" s="13"/>
      <c r="D57" s="13"/>
      <c r="E57" s="13"/>
      <c r="F57" s="5"/>
      <c r="G57" s="5"/>
      <c r="H57" s="5"/>
      <c r="I57" s="5"/>
      <c r="J57" s="5"/>
      <c r="K57" s="5"/>
      <c r="L57" s="5"/>
      <c r="M57" s="6" t="str">
        <f t="shared" si="2"/>
        <v/>
      </c>
      <c r="N57" s="6" t="str">
        <f t="shared" si="3"/>
        <v/>
      </c>
    </row>
    <row r="58" spans="1:14">
      <c r="A58" s="13"/>
      <c r="B58" s="13"/>
      <c r="C58" s="13"/>
      <c r="D58" s="13"/>
      <c r="E58" s="13"/>
      <c r="F58" s="5"/>
      <c r="G58" s="5"/>
      <c r="H58" s="5"/>
      <c r="I58" s="5"/>
      <c r="J58" s="5"/>
      <c r="K58" s="5"/>
      <c r="L58" s="5"/>
      <c r="M58" s="6" t="str">
        <f t="shared" si="2"/>
        <v/>
      </c>
      <c r="N58" s="6" t="str">
        <f t="shared" si="3"/>
        <v/>
      </c>
    </row>
    <row r="59" spans="1:14">
      <c r="A59" s="13"/>
      <c r="B59" s="13"/>
      <c r="C59" s="13"/>
      <c r="D59" s="13"/>
      <c r="E59" s="13"/>
      <c r="F59" s="5"/>
      <c r="G59" s="5"/>
      <c r="H59" s="5"/>
      <c r="I59" s="5"/>
      <c r="J59" s="5"/>
      <c r="K59" s="5"/>
      <c r="L59" s="5"/>
      <c r="M59" s="6" t="str">
        <f t="shared" si="2"/>
        <v/>
      </c>
      <c r="N59" s="6" t="str">
        <f t="shared" si="3"/>
        <v/>
      </c>
    </row>
    <row r="60" spans="1:14">
      <c r="A60" s="13"/>
      <c r="B60" s="13"/>
      <c r="C60" s="13"/>
      <c r="D60" s="13"/>
      <c r="E60" s="13"/>
      <c r="F60" s="5"/>
      <c r="G60" s="5"/>
      <c r="H60" s="5"/>
      <c r="I60" s="5"/>
      <c r="J60" s="5"/>
      <c r="K60" s="5"/>
      <c r="L60" s="5"/>
      <c r="M60" s="6" t="str">
        <f t="shared" si="2"/>
        <v/>
      </c>
      <c r="N60" s="6" t="str">
        <f t="shared" si="3"/>
        <v/>
      </c>
    </row>
    <row r="61" spans="1:14">
      <c r="A61" s="13"/>
      <c r="B61" s="13"/>
      <c r="C61" s="13"/>
      <c r="D61" s="13"/>
      <c r="E61" s="13"/>
      <c r="F61" s="5"/>
      <c r="G61" s="5"/>
      <c r="H61" s="5"/>
      <c r="I61" s="5"/>
      <c r="J61" s="5"/>
      <c r="K61" s="5"/>
      <c r="L61" s="5"/>
      <c r="M61" s="6" t="str">
        <f t="shared" si="2"/>
        <v/>
      </c>
      <c r="N61" s="6" t="str">
        <f t="shared" si="3"/>
        <v/>
      </c>
    </row>
    <row r="62" spans="1:14">
      <c r="A62" s="13"/>
      <c r="B62" s="13"/>
      <c r="C62" s="13"/>
      <c r="D62" s="13"/>
      <c r="E62" s="13"/>
      <c r="F62" s="5"/>
      <c r="G62" s="5"/>
      <c r="H62" s="5"/>
      <c r="I62" s="5"/>
      <c r="J62" s="5"/>
      <c r="K62" s="5"/>
      <c r="L62" s="5"/>
      <c r="M62" s="6" t="str">
        <f t="shared" si="2"/>
        <v/>
      </c>
      <c r="N62" s="6" t="str">
        <f t="shared" si="3"/>
        <v/>
      </c>
    </row>
    <row r="63" spans="1:14">
      <c r="A63" s="13"/>
      <c r="B63" s="13"/>
      <c r="C63" s="13"/>
      <c r="D63" s="13"/>
      <c r="E63" s="13"/>
      <c r="F63" s="5"/>
      <c r="G63" s="5"/>
      <c r="H63" s="5"/>
      <c r="I63" s="5"/>
      <c r="J63" s="5"/>
      <c r="K63" s="5"/>
      <c r="L63" s="5"/>
      <c r="M63" s="6" t="str">
        <f t="shared" si="2"/>
        <v/>
      </c>
      <c r="N63" s="6" t="str">
        <f t="shared" si="3"/>
        <v/>
      </c>
    </row>
    <row r="64" spans="1:14">
      <c r="A64" s="13"/>
      <c r="B64" s="13"/>
      <c r="C64" s="13"/>
      <c r="D64" s="13"/>
      <c r="E64" s="13"/>
      <c r="F64" s="5"/>
      <c r="G64" s="5"/>
      <c r="H64" s="5"/>
      <c r="I64" s="5"/>
      <c r="J64" s="5"/>
      <c r="K64" s="5"/>
      <c r="L64" s="5"/>
      <c r="M64" s="6" t="str">
        <f t="shared" si="2"/>
        <v/>
      </c>
      <c r="N64" s="6" t="str">
        <f t="shared" si="3"/>
        <v/>
      </c>
    </row>
    <row r="65" spans="1:14">
      <c r="A65" s="13"/>
      <c r="B65" s="13"/>
      <c r="C65" s="13"/>
      <c r="D65" s="13"/>
      <c r="E65" s="13"/>
      <c r="F65" s="5"/>
      <c r="G65" s="5"/>
      <c r="H65" s="5"/>
      <c r="I65" s="5"/>
      <c r="J65" s="5"/>
      <c r="K65" s="5"/>
      <c r="L65" s="5"/>
      <c r="M65" s="6" t="str">
        <f t="shared" si="2"/>
        <v/>
      </c>
      <c r="N65" s="6" t="str">
        <f t="shared" si="3"/>
        <v/>
      </c>
    </row>
    <row r="66" spans="1:14">
      <c r="A66" s="13"/>
      <c r="B66" s="13"/>
      <c r="C66" s="13"/>
      <c r="D66" s="13"/>
      <c r="E66" s="13"/>
      <c r="F66" s="5"/>
      <c r="G66" s="5"/>
      <c r="H66" s="5"/>
      <c r="I66" s="5"/>
      <c r="J66" s="5"/>
      <c r="K66" s="5"/>
      <c r="L66" s="5"/>
      <c r="M66" s="6" t="str">
        <f t="shared" si="2"/>
        <v/>
      </c>
      <c r="N66" s="6" t="str">
        <f t="shared" si="3"/>
        <v/>
      </c>
    </row>
    <row r="67" spans="1:14">
      <c r="A67" s="13"/>
      <c r="B67" s="13"/>
      <c r="C67" s="13"/>
      <c r="D67" s="13"/>
      <c r="E67" s="13"/>
      <c r="F67" s="5"/>
      <c r="G67" s="5"/>
      <c r="H67" s="5"/>
      <c r="I67" s="5"/>
      <c r="J67" s="5"/>
      <c r="K67" s="5"/>
      <c r="L67" s="5"/>
      <c r="M67" s="6" t="str">
        <f t="shared" si="2"/>
        <v/>
      </c>
      <c r="N67" s="6" t="str">
        <f t="shared" si="3"/>
        <v/>
      </c>
    </row>
    <row r="68" spans="1:14">
      <c r="A68" s="13"/>
      <c r="B68" s="13"/>
      <c r="C68" s="13"/>
      <c r="D68" s="13"/>
      <c r="E68" s="13"/>
      <c r="F68" s="5"/>
      <c r="G68" s="5"/>
      <c r="H68" s="5"/>
      <c r="I68" s="5"/>
      <c r="J68" s="5"/>
      <c r="K68" s="5"/>
      <c r="L68" s="5"/>
      <c r="M68" s="6" t="str">
        <f t="shared" si="2"/>
        <v/>
      </c>
      <c r="N68" s="6" t="str">
        <f t="shared" si="3"/>
        <v/>
      </c>
    </row>
    <row r="69" spans="1:14">
      <c r="A69" s="13"/>
      <c r="B69" s="13"/>
      <c r="C69" s="13"/>
      <c r="D69" s="13"/>
      <c r="E69" s="13"/>
      <c r="F69" s="5"/>
      <c r="G69" s="5"/>
      <c r="H69" s="5"/>
      <c r="I69" s="5"/>
      <c r="J69" s="5"/>
      <c r="K69" s="5"/>
      <c r="L69" s="5"/>
      <c r="M69" s="6" t="str">
        <f t="shared" ref="M69:M100" si="4">IF(A69="","",IF(N69="","HỢP LỆ","CẦN SỬA"))</f>
        <v/>
      </c>
      <c r="N69" s="6" t="str">
        <f t="shared" ref="N69:N100" si="5">IF(A69="","",IF(B69="","Thiếu NodeId",IF(D69="","Thiếu NodeType",IF(COUNTIF($B$5:$B$204,B69)&gt;1,"NodeId bị trùng",IF(COUNTIF($A$5:$A$204,A69)&gt;1,"NodeOrder bị trùng",IF(AND(D69="scene",OR(C69="",F69="",G69="")),"scene cần ActNo, Background, SceneName",IF(AND(D69="say",OR(H69="",J69="")),"say cần SpeakerKey và Text",IF(AND(D69="choice",OR(E69="",H69="",I69="",J69="")),"choice cần ChoiceMode, SpeakerKey, Mood, Question",IF(AND(D69="act",K69=""),"act cần số La Mã",IF(AND(D69="end",COUNTIF($D$5:$D$204,"end")&lt;&gt;1),"Phải có đúng 1 node end",""))))))))))</f>
        <v/>
      </c>
    </row>
    <row r="70" spans="1:14">
      <c r="A70" s="13"/>
      <c r="B70" s="13"/>
      <c r="C70" s="13"/>
      <c r="D70" s="13"/>
      <c r="E70" s="13"/>
      <c r="F70" s="5"/>
      <c r="G70" s="5"/>
      <c r="H70" s="5"/>
      <c r="I70" s="5"/>
      <c r="J70" s="5"/>
      <c r="K70" s="5"/>
      <c r="L70" s="5"/>
      <c r="M70" s="6" t="str">
        <f t="shared" si="4"/>
        <v/>
      </c>
      <c r="N70" s="6" t="str">
        <f t="shared" si="5"/>
        <v/>
      </c>
    </row>
    <row r="71" spans="1:14">
      <c r="A71" s="13"/>
      <c r="B71" s="13"/>
      <c r="C71" s="13"/>
      <c r="D71" s="13"/>
      <c r="E71" s="13"/>
      <c r="F71" s="5"/>
      <c r="G71" s="5"/>
      <c r="H71" s="5"/>
      <c r="I71" s="5"/>
      <c r="J71" s="5"/>
      <c r="K71" s="5"/>
      <c r="L71" s="5"/>
      <c r="M71" s="6" t="str">
        <f t="shared" si="4"/>
        <v/>
      </c>
      <c r="N71" s="6" t="str">
        <f t="shared" si="5"/>
        <v/>
      </c>
    </row>
    <row r="72" spans="1:14">
      <c r="A72" s="13"/>
      <c r="B72" s="13"/>
      <c r="C72" s="13"/>
      <c r="D72" s="13"/>
      <c r="E72" s="13"/>
      <c r="F72" s="5"/>
      <c r="G72" s="5"/>
      <c r="H72" s="5"/>
      <c r="I72" s="5"/>
      <c r="J72" s="5"/>
      <c r="K72" s="5"/>
      <c r="L72" s="5"/>
      <c r="M72" s="6" t="str">
        <f t="shared" si="4"/>
        <v/>
      </c>
      <c r="N72" s="6" t="str">
        <f t="shared" si="5"/>
        <v/>
      </c>
    </row>
    <row r="73" spans="1:14">
      <c r="A73" s="13"/>
      <c r="B73" s="13"/>
      <c r="C73" s="13"/>
      <c r="D73" s="13"/>
      <c r="E73" s="13"/>
      <c r="F73" s="5"/>
      <c r="G73" s="5"/>
      <c r="H73" s="5"/>
      <c r="I73" s="5"/>
      <c r="J73" s="5"/>
      <c r="K73" s="5"/>
      <c r="L73" s="5"/>
      <c r="M73" s="6" t="str">
        <f t="shared" si="4"/>
        <v/>
      </c>
      <c r="N73" s="6" t="str">
        <f t="shared" si="5"/>
        <v/>
      </c>
    </row>
    <row r="74" spans="1:14">
      <c r="A74" s="13"/>
      <c r="B74" s="13"/>
      <c r="C74" s="13"/>
      <c r="D74" s="13"/>
      <c r="E74" s="13"/>
      <c r="F74" s="5"/>
      <c r="G74" s="5"/>
      <c r="H74" s="5"/>
      <c r="I74" s="5"/>
      <c r="J74" s="5"/>
      <c r="K74" s="5"/>
      <c r="L74" s="5"/>
      <c r="M74" s="6" t="str">
        <f t="shared" si="4"/>
        <v/>
      </c>
      <c r="N74" s="6" t="str">
        <f t="shared" si="5"/>
        <v/>
      </c>
    </row>
    <row r="75" spans="1:14">
      <c r="A75" s="13"/>
      <c r="B75" s="13"/>
      <c r="C75" s="13"/>
      <c r="D75" s="13"/>
      <c r="E75" s="13"/>
      <c r="F75" s="5"/>
      <c r="G75" s="5"/>
      <c r="H75" s="5"/>
      <c r="I75" s="5"/>
      <c r="J75" s="5"/>
      <c r="K75" s="5"/>
      <c r="L75" s="5"/>
      <c r="M75" s="6" t="str">
        <f t="shared" si="4"/>
        <v/>
      </c>
      <c r="N75" s="6" t="str">
        <f t="shared" si="5"/>
        <v/>
      </c>
    </row>
    <row r="76" spans="1:14">
      <c r="A76" s="13"/>
      <c r="B76" s="13"/>
      <c r="C76" s="13"/>
      <c r="D76" s="13"/>
      <c r="E76" s="13"/>
      <c r="F76" s="5"/>
      <c r="G76" s="5"/>
      <c r="H76" s="5"/>
      <c r="I76" s="5"/>
      <c r="J76" s="5"/>
      <c r="K76" s="5"/>
      <c r="L76" s="5"/>
      <c r="M76" s="6" t="str">
        <f t="shared" si="4"/>
        <v/>
      </c>
      <c r="N76" s="6" t="str">
        <f t="shared" si="5"/>
        <v/>
      </c>
    </row>
    <row r="77" spans="1:14">
      <c r="A77" s="13"/>
      <c r="B77" s="13"/>
      <c r="C77" s="13"/>
      <c r="D77" s="13"/>
      <c r="E77" s="13"/>
      <c r="F77" s="5"/>
      <c r="G77" s="5"/>
      <c r="H77" s="5"/>
      <c r="I77" s="5"/>
      <c r="J77" s="5"/>
      <c r="K77" s="5"/>
      <c r="L77" s="5"/>
      <c r="M77" s="6" t="str">
        <f t="shared" si="4"/>
        <v/>
      </c>
      <c r="N77" s="6" t="str">
        <f t="shared" si="5"/>
        <v/>
      </c>
    </row>
    <row r="78" spans="1:14">
      <c r="A78" s="13"/>
      <c r="B78" s="13"/>
      <c r="C78" s="13"/>
      <c r="D78" s="13"/>
      <c r="E78" s="13"/>
      <c r="F78" s="5"/>
      <c r="G78" s="5"/>
      <c r="H78" s="5"/>
      <c r="I78" s="5"/>
      <c r="J78" s="5"/>
      <c r="K78" s="5"/>
      <c r="L78" s="5"/>
      <c r="M78" s="6" t="str">
        <f t="shared" si="4"/>
        <v/>
      </c>
      <c r="N78" s="6" t="str">
        <f t="shared" si="5"/>
        <v/>
      </c>
    </row>
    <row r="79" spans="1:14">
      <c r="A79" s="13"/>
      <c r="B79" s="13"/>
      <c r="C79" s="13"/>
      <c r="D79" s="13"/>
      <c r="E79" s="13"/>
      <c r="F79" s="5"/>
      <c r="G79" s="5"/>
      <c r="H79" s="5"/>
      <c r="I79" s="5"/>
      <c r="J79" s="5"/>
      <c r="K79" s="5"/>
      <c r="L79" s="5"/>
      <c r="M79" s="6" t="str">
        <f t="shared" si="4"/>
        <v/>
      </c>
      <c r="N79" s="6" t="str">
        <f t="shared" si="5"/>
        <v/>
      </c>
    </row>
    <row r="80" spans="1:14">
      <c r="A80" s="13"/>
      <c r="B80" s="13"/>
      <c r="C80" s="13"/>
      <c r="D80" s="13"/>
      <c r="E80" s="13"/>
      <c r="F80" s="5"/>
      <c r="G80" s="5"/>
      <c r="H80" s="5"/>
      <c r="I80" s="5"/>
      <c r="J80" s="5"/>
      <c r="K80" s="5"/>
      <c r="L80" s="5"/>
      <c r="M80" s="6" t="str">
        <f t="shared" si="4"/>
        <v/>
      </c>
      <c r="N80" s="6" t="str">
        <f t="shared" si="5"/>
        <v/>
      </c>
    </row>
    <row r="81" spans="1:14">
      <c r="A81" s="13"/>
      <c r="B81" s="13"/>
      <c r="C81" s="13"/>
      <c r="D81" s="13"/>
      <c r="E81" s="13"/>
      <c r="F81" s="5"/>
      <c r="G81" s="5"/>
      <c r="H81" s="5"/>
      <c r="I81" s="5"/>
      <c r="J81" s="5"/>
      <c r="K81" s="5"/>
      <c r="L81" s="5"/>
      <c r="M81" s="6" t="str">
        <f t="shared" si="4"/>
        <v/>
      </c>
      <c r="N81" s="6" t="str">
        <f t="shared" si="5"/>
        <v/>
      </c>
    </row>
    <row r="82" spans="1:14">
      <c r="A82" s="13"/>
      <c r="B82" s="13"/>
      <c r="C82" s="13"/>
      <c r="D82" s="13"/>
      <c r="E82" s="13"/>
      <c r="F82" s="5"/>
      <c r="G82" s="5"/>
      <c r="H82" s="5"/>
      <c r="I82" s="5"/>
      <c r="J82" s="5"/>
      <c r="K82" s="5"/>
      <c r="L82" s="5"/>
      <c r="M82" s="6" t="str">
        <f t="shared" si="4"/>
        <v/>
      </c>
      <c r="N82" s="6" t="str">
        <f t="shared" si="5"/>
        <v/>
      </c>
    </row>
    <row r="83" spans="1:14">
      <c r="A83" s="13"/>
      <c r="B83" s="13"/>
      <c r="C83" s="13"/>
      <c r="D83" s="13"/>
      <c r="E83" s="13"/>
      <c r="F83" s="5"/>
      <c r="G83" s="5"/>
      <c r="H83" s="5"/>
      <c r="I83" s="5"/>
      <c r="J83" s="5"/>
      <c r="K83" s="5"/>
      <c r="L83" s="5"/>
      <c r="M83" s="6" t="str">
        <f t="shared" si="4"/>
        <v/>
      </c>
      <c r="N83" s="6" t="str">
        <f t="shared" si="5"/>
        <v/>
      </c>
    </row>
    <row r="84" spans="1:14">
      <c r="A84" s="13"/>
      <c r="B84" s="13"/>
      <c r="C84" s="13"/>
      <c r="D84" s="13"/>
      <c r="E84" s="13"/>
      <c r="F84" s="5"/>
      <c r="G84" s="5"/>
      <c r="H84" s="5"/>
      <c r="I84" s="5"/>
      <c r="J84" s="5"/>
      <c r="K84" s="5"/>
      <c r="L84" s="5"/>
      <c r="M84" s="6" t="str">
        <f t="shared" si="4"/>
        <v/>
      </c>
      <c r="N84" s="6" t="str">
        <f t="shared" si="5"/>
        <v/>
      </c>
    </row>
    <row r="85" spans="1:14">
      <c r="A85" s="13"/>
      <c r="B85" s="13"/>
      <c r="C85" s="13"/>
      <c r="D85" s="13"/>
      <c r="E85" s="13"/>
      <c r="F85" s="5"/>
      <c r="G85" s="5"/>
      <c r="H85" s="5"/>
      <c r="I85" s="5"/>
      <c r="J85" s="5"/>
      <c r="K85" s="5"/>
      <c r="L85" s="5"/>
      <c r="M85" s="6" t="str">
        <f t="shared" si="4"/>
        <v/>
      </c>
      <c r="N85" s="6" t="str">
        <f t="shared" si="5"/>
        <v/>
      </c>
    </row>
    <row r="86" spans="1:14">
      <c r="A86" s="13"/>
      <c r="B86" s="13"/>
      <c r="C86" s="13"/>
      <c r="D86" s="13"/>
      <c r="E86" s="13"/>
      <c r="F86" s="5"/>
      <c r="G86" s="5"/>
      <c r="H86" s="5"/>
      <c r="I86" s="5"/>
      <c r="J86" s="5"/>
      <c r="K86" s="5"/>
      <c r="L86" s="5"/>
      <c r="M86" s="6" t="str">
        <f t="shared" si="4"/>
        <v/>
      </c>
      <c r="N86" s="6" t="str">
        <f t="shared" si="5"/>
        <v/>
      </c>
    </row>
    <row r="87" spans="1:14">
      <c r="A87" s="13"/>
      <c r="B87" s="13"/>
      <c r="C87" s="13"/>
      <c r="D87" s="13"/>
      <c r="E87" s="13"/>
      <c r="F87" s="5"/>
      <c r="G87" s="5"/>
      <c r="H87" s="5"/>
      <c r="I87" s="5"/>
      <c r="J87" s="5"/>
      <c r="K87" s="5"/>
      <c r="L87" s="5"/>
      <c r="M87" s="6" t="str">
        <f t="shared" si="4"/>
        <v/>
      </c>
      <c r="N87" s="6" t="str">
        <f t="shared" si="5"/>
        <v/>
      </c>
    </row>
    <row r="88" spans="1:14">
      <c r="A88" s="13"/>
      <c r="B88" s="13"/>
      <c r="C88" s="13"/>
      <c r="D88" s="13"/>
      <c r="E88" s="13"/>
      <c r="F88" s="5"/>
      <c r="G88" s="5"/>
      <c r="H88" s="5"/>
      <c r="I88" s="5"/>
      <c r="J88" s="5"/>
      <c r="K88" s="5"/>
      <c r="L88" s="5"/>
      <c r="M88" s="6" t="str">
        <f t="shared" si="4"/>
        <v/>
      </c>
      <c r="N88" s="6" t="str">
        <f t="shared" si="5"/>
        <v/>
      </c>
    </row>
    <row r="89" spans="1:14">
      <c r="A89" s="13"/>
      <c r="B89" s="13"/>
      <c r="C89" s="13"/>
      <c r="D89" s="13"/>
      <c r="E89" s="13"/>
      <c r="F89" s="5"/>
      <c r="G89" s="5"/>
      <c r="H89" s="5"/>
      <c r="I89" s="5"/>
      <c r="J89" s="5"/>
      <c r="K89" s="5"/>
      <c r="L89" s="5"/>
      <c r="M89" s="6" t="str">
        <f t="shared" si="4"/>
        <v/>
      </c>
      <c r="N89" s="6" t="str">
        <f t="shared" si="5"/>
        <v/>
      </c>
    </row>
    <row r="90" spans="1:14">
      <c r="A90" s="13"/>
      <c r="B90" s="13"/>
      <c r="C90" s="13"/>
      <c r="D90" s="13"/>
      <c r="E90" s="13"/>
      <c r="F90" s="5"/>
      <c r="G90" s="5"/>
      <c r="H90" s="5"/>
      <c r="I90" s="5"/>
      <c r="J90" s="5"/>
      <c r="K90" s="5"/>
      <c r="L90" s="5"/>
      <c r="M90" s="6" t="str">
        <f t="shared" si="4"/>
        <v/>
      </c>
      <c r="N90" s="6" t="str">
        <f t="shared" si="5"/>
        <v/>
      </c>
    </row>
    <row r="91" spans="1:14">
      <c r="A91" s="13"/>
      <c r="B91" s="13"/>
      <c r="C91" s="13"/>
      <c r="D91" s="13"/>
      <c r="E91" s="13"/>
      <c r="F91" s="5"/>
      <c r="G91" s="5"/>
      <c r="H91" s="5"/>
      <c r="I91" s="5"/>
      <c r="J91" s="5"/>
      <c r="K91" s="5"/>
      <c r="L91" s="5"/>
      <c r="M91" s="6" t="str">
        <f t="shared" si="4"/>
        <v/>
      </c>
      <c r="N91" s="6" t="str">
        <f t="shared" si="5"/>
        <v/>
      </c>
    </row>
    <row r="92" spans="1:14">
      <c r="A92" s="13"/>
      <c r="B92" s="13"/>
      <c r="C92" s="13"/>
      <c r="D92" s="13"/>
      <c r="E92" s="13"/>
      <c r="F92" s="5"/>
      <c r="G92" s="5"/>
      <c r="H92" s="5"/>
      <c r="I92" s="5"/>
      <c r="J92" s="5"/>
      <c r="K92" s="5"/>
      <c r="L92" s="5"/>
      <c r="M92" s="6" t="str">
        <f t="shared" si="4"/>
        <v/>
      </c>
      <c r="N92" s="6" t="str">
        <f t="shared" si="5"/>
        <v/>
      </c>
    </row>
    <row r="93" spans="1:14">
      <c r="A93" s="13"/>
      <c r="B93" s="13"/>
      <c r="C93" s="13"/>
      <c r="D93" s="13"/>
      <c r="E93" s="13"/>
      <c r="F93" s="5"/>
      <c r="G93" s="5"/>
      <c r="H93" s="5"/>
      <c r="I93" s="5"/>
      <c r="J93" s="5"/>
      <c r="K93" s="5"/>
      <c r="L93" s="5"/>
      <c r="M93" s="6" t="str">
        <f t="shared" si="4"/>
        <v/>
      </c>
      <c r="N93" s="6" t="str">
        <f t="shared" si="5"/>
        <v/>
      </c>
    </row>
    <row r="94" spans="1:14">
      <c r="A94" s="13"/>
      <c r="B94" s="13"/>
      <c r="C94" s="13"/>
      <c r="D94" s="13"/>
      <c r="E94" s="13"/>
      <c r="F94" s="5"/>
      <c r="G94" s="5"/>
      <c r="H94" s="5"/>
      <c r="I94" s="5"/>
      <c r="J94" s="5"/>
      <c r="K94" s="5"/>
      <c r="L94" s="5"/>
      <c r="M94" s="6" t="str">
        <f t="shared" si="4"/>
        <v/>
      </c>
      <c r="N94" s="6" t="str">
        <f t="shared" si="5"/>
        <v/>
      </c>
    </row>
    <row r="95" spans="1:14">
      <c r="A95" s="13"/>
      <c r="B95" s="13"/>
      <c r="C95" s="13"/>
      <c r="D95" s="13"/>
      <c r="E95" s="13"/>
      <c r="F95" s="5"/>
      <c r="G95" s="5"/>
      <c r="H95" s="5"/>
      <c r="I95" s="5"/>
      <c r="J95" s="5"/>
      <c r="K95" s="5"/>
      <c r="L95" s="5"/>
      <c r="M95" s="6" t="str">
        <f t="shared" si="4"/>
        <v/>
      </c>
      <c r="N95" s="6" t="str">
        <f t="shared" si="5"/>
        <v/>
      </c>
    </row>
    <row r="96" spans="1:14">
      <c r="A96" s="13"/>
      <c r="B96" s="13"/>
      <c r="C96" s="13"/>
      <c r="D96" s="13"/>
      <c r="E96" s="13"/>
      <c r="F96" s="5"/>
      <c r="G96" s="5"/>
      <c r="H96" s="5"/>
      <c r="I96" s="5"/>
      <c r="J96" s="5"/>
      <c r="K96" s="5"/>
      <c r="L96" s="5"/>
      <c r="M96" s="6" t="str">
        <f t="shared" si="4"/>
        <v/>
      </c>
      <c r="N96" s="6" t="str">
        <f t="shared" si="5"/>
        <v/>
      </c>
    </row>
    <row r="97" spans="1:14">
      <c r="A97" s="13"/>
      <c r="B97" s="13"/>
      <c r="C97" s="13"/>
      <c r="D97" s="13"/>
      <c r="E97" s="13"/>
      <c r="F97" s="5"/>
      <c r="G97" s="5"/>
      <c r="H97" s="5"/>
      <c r="I97" s="5"/>
      <c r="J97" s="5"/>
      <c r="K97" s="5"/>
      <c r="L97" s="5"/>
      <c r="M97" s="6" t="str">
        <f t="shared" si="4"/>
        <v/>
      </c>
      <c r="N97" s="6" t="str">
        <f t="shared" si="5"/>
        <v/>
      </c>
    </row>
    <row r="98" spans="1:14">
      <c r="A98" s="13"/>
      <c r="B98" s="13"/>
      <c r="C98" s="13"/>
      <c r="D98" s="13"/>
      <c r="E98" s="13"/>
      <c r="F98" s="5"/>
      <c r="G98" s="5"/>
      <c r="H98" s="5"/>
      <c r="I98" s="5"/>
      <c r="J98" s="5"/>
      <c r="K98" s="5"/>
      <c r="L98" s="5"/>
      <c r="M98" s="6" t="str">
        <f t="shared" si="4"/>
        <v/>
      </c>
      <c r="N98" s="6" t="str">
        <f t="shared" si="5"/>
        <v/>
      </c>
    </row>
    <row r="99" spans="1:14">
      <c r="A99" s="13"/>
      <c r="B99" s="13"/>
      <c r="C99" s="13"/>
      <c r="D99" s="13"/>
      <c r="E99" s="13"/>
      <c r="F99" s="5"/>
      <c r="G99" s="5"/>
      <c r="H99" s="5"/>
      <c r="I99" s="5"/>
      <c r="J99" s="5"/>
      <c r="K99" s="5"/>
      <c r="L99" s="5"/>
      <c r="M99" s="6" t="str">
        <f t="shared" si="4"/>
        <v/>
      </c>
      <c r="N99" s="6" t="str">
        <f t="shared" si="5"/>
        <v/>
      </c>
    </row>
    <row r="100" spans="1:14">
      <c r="A100" s="13"/>
      <c r="B100" s="13"/>
      <c r="C100" s="13"/>
      <c r="D100" s="13"/>
      <c r="E100" s="13"/>
      <c r="F100" s="5"/>
      <c r="G100" s="5"/>
      <c r="H100" s="5"/>
      <c r="I100" s="5"/>
      <c r="J100" s="5"/>
      <c r="K100" s="5"/>
      <c r="L100" s="5"/>
      <c r="M100" s="6" t="str">
        <f t="shared" si="4"/>
        <v/>
      </c>
      <c r="N100" s="6" t="str">
        <f t="shared" si="5"/>
        <v/>
      </c>
    </row>
    <row r="101" spans="1:14">
      <c r="A101" s="13"/>
      <c r="B101" s="13"/>
      <c r="C101" s="13"/>
      <c r="D101" s="13"/>
      <c r="E101" s="13"/>
      <c r="F101" s="5"/>
      <c r="G101" s="5"/>
      <c r="H101" s="5"/>
      <c r="I101" s="5"/>
      <c r="J101" s="5"/>
      <c r="K101" s="5"/>
      <c r="L101" s="5"/>
      <c r="M101" s="6" t="str">
        <f t="shared" ref="M101:M132" si="6">IF(A101="","",IF(N101="","HỢP LỆ","CẦN SỬA"))</f>
        <v/>
      </c>
      <c r="N101" s="6" t="str">
        <f t="shared" ref="N101:N132" si="7">IF(A101="","",IF(B101="","Thiếu NodeId",IF(D101="","Thiếu NodeType",IF(COUNTIF($B$5:$B$204,B101)&gt;1,"NodeId bị trùng",IF(COUNTIF($A$5:$A$204,A101)&gt;1,"NodeOrder bị trùng",IF(AND(D101="scene",OR(C101="",F101="",G101="")),"scene cần ActNo, Background, SceneName",IF(AND(D101="say",OR(H101="",J101="")),"say cần SpeakerKey và Text",IF(AND(D101="choice",OR(E101="",H101="",I101="",J101="")),"choice cần ChoiceMode, SpeakerKey, Mood, Question",IF(AND(D101="act",K101=""),"act cần số La Mã",IF(AND(D101="end",COUNTIF($D$5:$D$204,"end")&lt;&gt;1),"Phải có đúng 1 node end",""))))))))))</f>
        <v/>
      </c>
    </row>
    <row r="102" spans="1:14">
      <c r="A102" s="13"/>
      <c r="B102" s="13"/>
      <c r="C102" s="13"/>
      <c r="D102" s="13"/>
      <c r="E102" s="13"/>
      <c r="F102" s="5"/>
      <c r="G102" s="5"/>
      <c r="H102" s="5"/>
      <c r="I102" s="5"/>
      <c r="J102" s="5"/>
      <c r="K102" s="5"/>
      <c r="L102" s="5"/>
      <c r="M102" s="6" t="str">
        <f t="shared" si="6"/>
        <v/>
      </c>
      <c r="N102" s="6" t="str">
        <f t="shared" si="7"/>
        <v/>
      </c>
    </row>
    <row r="103" spans="1:14">
      <c r="A103" s="13"/>
      <c r="B103" s="13"/>
      <c r="C103" s="13"/>
      <c r="D103" s="13"/>
      <c r="E103" s="13"/>
      <c r="F103" s="5"/>
      <c r="G103" s="5"/>
      <c r="H103" s="5"/>
      <c r="I103" s="5"/>
      <c r="J103" s="5"/>
      <c r="K103" s="5"/>
      <c r="L103" s="5"/>
      <c r="M103" s="6" t="str">
        <f t="shared" si="6"/>
        <v/>
      </c>
      <c r="N103" s="6" t="str">
        <f t="shared" si="7"/>
        <v/>
      </c>
    </row>
    <row r="104" spans="1:14">
      <c r="A104" s="13"/>
      <c r="B104" s="13"/>
      <c r="C104" s="13"/>
      <c r="D104" s="13"/>
      <c r="E104" s="13"/>
      <c r="F104" s="5"/>
      <c r="G104" s="5"/>
      <c r="H104" s="5"/>
      <c r="I104" s="5"/>
      <c r="J104" s="5"/>
      <c r="K104" s="5"/>
      <c r="L104" s="5"/>
      <c r="M104" s="6" t="str">
        <f t="shared" si="6"/>
        <v/>
      </c>
      <c r="N104" s="6" t="str">
        <f t="shared" si="7"/>
        <v/>
      </c>
    </row>
    <row r="105" spans="1:14">
      <c r="A105" s="13"/>
      <c r="B105" s="13"/>
      <c r="C105" s="13"/>
      <c r="D105" s="13"/>
      <c r="E105" s="13"/>
      <c r="F105" s="5"/>
      <c r="G105" s="5"/>
      <c r="H105" s="5"/>
      <c r="I105" s="5"/>
      <c r="J105" s="5"/>
      <c r="K105" s="5"/>
      <c r="L105" s="5"/>
      <c r="M105" s="6" t="str">
        <f t="shared" si="6"/>
        <v/>
      </c>
      <c r="N105" s="6" t="str">
        <f t="shared" si="7"/>
        <v/>
      </c>
    </row>
    <row r="106" spans="1:14">
      <c r="A106" s="13"/>
      <c r="B106" s="13"/>
      <c r="C106" s="13"/>
      <c r="D106" s="13"/>
      <c r="E106" s="13"/>
      <c r="F106" s="5"/>
      <c r="G106" s="5"/>
      <c r="H106" s="5"/>
      <c r="I106" s="5"/>
      <c r="J106" s="5"/>
      <c r="K106" s="5"/>
      <c r="L106" s="5"/>
      <c r="M106" s="6" t="str">
        <f t="shared" si="6"/>
        <v/>
      </c>
      <c r="N106" s="6" t="str">
        <f t="shared" si="7"/>
        <v/>
      </c>
    </row>
    <row r="107" spans="1:14">
      <c r="A107" s="13"/>
      <c r="B107" s="13"/>
      <c r="C107" s="13"/>
      <c r="D107" s="13"/>
      <c r="E107" s="13"/>
      <c r="F107" s="5"/>
      <c r="G107" s="5"/>
      <c r="H107" s="5"/>
      <c r="I107" s="5"/>
      <c r="J107" s="5"/>
      <c r="K107" s="5"/>
      <c r="L107" s="5"/>
      <c r="M107" s="6" t="str">
        <f t="shared" si="6"/>
        <v/>
      </c>
      <c r="N107" s="6" t="str">
        <f t="shared" si="7"/>
        <v/>
      </c>
    </row>
    <row r="108" spans="1:14">
      <c r="A108" s="13"/>
      <c r="B108" s="13"/>
      <c r="C108" s="13"/>
      <c r="D108" s="13"/>
      <c r="E108" s="13"/>
      <c r="F108" s="5"/>
      <c r="G108" s="5"/>
      <c r="H108" s="5"/>
      <c r="I108" s="5"/>
      <c r="J108" s="5"/>
      <c r="K108" s="5"/>
      <c r="L108" s="5"/>
      <c r="M108" s="6" t="str">
        <f t="shared" si="6"/>
        <v/>
      </c>
      <c r="N108" s="6" t="str">
        <f t="shared" si="7"/>
        <v/>
      </c>
    </row>
    <row r="109" spans="1:14">
      <c r="A109" s="13"/>
      <c r="B109" s="13"/>
      <c r="C109" s="13"/>
      <c r="D109" s="13"/>
      <c r="E109" s="13"/>
      <c r="F109" s="5"/>
      <c r="G109" s="5"/>
      <c r="H109" s="5"/>
      <c r="I109" s="5"/>
      <c r="J109" s="5"/>
      <c r="K109" s="5"/>
      <c r="L109" s="5"/>
      <c r="M109" s="6" t="str">
        <f t="shared" si="6"/>
        <v/>
      </c>
      <c r="N109" s="6" t="str">
        <f t="shared" si="7"/>
        <v/>
      </c>
    </row>
    <row r="110" spans="1:14">
      <c r="A110" s="13"/>
      <c r="B110" s="13"/>
      <c r="C110" s="13"/>
      <c r="D110" s="13"/>
      <c r="E110" s="13"/>
      <c r="F110" s="5"/>
      <c r="G110" s="5"/>
      <c r="H110" s="5"/>
      <c r="I110" s="5"/>
      <c r="J110" s="5"/>
      <c r="K110" s="5"/>
      <c r="L110" s="5"/>
      <c r="M110" s="6" t="str">
        <f t="shared" si="6"/>
        <v/>
      </c>
      <c r="N110" s="6" t="str">
        <f t="shared" si="7"/>
        <v/>
      </c>
    </row>
    <row r="111" spans="1:14">
      <c r="A111" s="13"/>
      <c r="B111" s="13"/>
      <c r="C111" s="13"/>
      <c r="D111" s="13"/>
      <c r="E111" s="13"/>
      <c r="F111" s="5"/>
      <c r="G111" s="5"/>
      <c r="H111" s="5"/>
      <c r="I111" s="5"/>
      <c r="J111" s="5"/>
      <c r="K111" s="5"/>
      <c r="L111" s="5"/>
      <c r="M111" s="6" t="str">
        <f t="shared" si="6"/>
        <v/>
      </c>
      <c r="N111" s="6" t="str">
        <f t="shared" si="7"/>
        <v/>
      </c>
    </row>
    <row r="112" spans="1:14">
      <c r="A112" s="13"/>
      <c r="B112" s="13"/>
      <c r="C112" s="13"/>
      <c r="D112" s="13"/>
      <c r="E112" s="13"/>
      <c r="F112" s="5"/>
      <c r="G112" s="5"/>
      <c r="H112" s="5"/>
      <c r="I112" s="5"/>
      <c r="J112" s="5"/>
      <c r="K112" s="5"/>
      <c r="L112" s="5"/>
      <c r="M112" s="6" t="str">
        <f t="shared" si="6"/>
        <v/>
      </c>
      <c r="N112" s="6" t="str">
        <f t="shared" si="7"/>
        <v/>
      </c>
    </row>
    <row r="113" spans="1:14">
      <c r="A113" s="13"/>
      <c r="B113" s="13"/>
      <c r="C113" s="13"/>
      <c r="D113" s="13"/>
      <c r="E113" s="13"/>
      <c r="F113" s="5"/>
      <c r="G113" s="5"/>
      <c r="H113" s="5"/>
      <c r="I113" s="5"/>
      <c r="J113" s="5"/>
      <c r="K113" s="5"/>
      <c r="L113" s="5"/>
      <c r="M113" s="6" t="str">
        <f t="shared" si="6"/>
        <v/>
      </c>
      <c r="N113" s="6" t="str">
        <f t="shared" si="7"/>
        <v/>
      </c>
    </row>
    <row r="114" spans="1:14">
      <c r="A114" s="13"/>
      <c r="B114" s="13"/>
      <c r="C114" s="13"/>
      <c r="D114" s="13"/>
      <c r="E114" s="13"/>
      <c r="F114" s="5"/>
      <c r="G114" s="5"/>
      <c r="H114" s="5"/>
      <c r="I114" s="5"/>
      <c r="J114" s="5"/>
      <c r="K114" s="5"/>
      <c r="L114" s="5"/>
      <c r="M114" s="6" t="str">
        <f t="shared" si="6"/>
        <v/>
      </c>
      <c r="N114" s="6" t="str">
        <f t="shared" si="7"/>
        <v/>
      </c>
    </row>
    <row r="115" spans="1:14">
      <c r="A115" s="13"/>
      <c r="B115" s="13"/>
      <c r="C115" s="13"/>
      <c r="D115" s="13"/>
      <c r="E115" s="13"/>
      <c r="F115" s="5"/>
      <c r="G115" s="5"/>
      <c r="H115" s="5"/>
      <c r="I115" s="5"/>
      <c r="J115" s="5"/>
      <c r="K115" s="5"/>
      <c r="L115" s="5"/>
      <c r="M115" s="6" t="str">
        <f t="shared" si="6"/>
        <v/>
      </c>
      <c r="N115" s="6" t="str">
        <f t="shared" si="7"/>
        <v/>
      </c>
    </row>
    <row r="116" spans="1:14">
      <c r="A116" s="13"/>
      <c r="B116" s="13"/>
      <c r="C116" s="13"/>
      <c r="D116" s="13"/>
      <c r="E116" s="13"/>
      <c r="F116" s="5"/>
      <c r="G116" s="5"/>
      <c r="H116" s="5"/>
      <c r="I116" s="5"/>
      <c r="J116" s="5"/>
      <c r="K116" s="5"/>
      <c r="L116" s="5"/>
      <c r="M116" s="6" t="str">
        <f t="shared" si="6"/>
        <v/>
      </c>
      <c r="N116" s="6" t="str">
        <f t="shared" si="7"/>
        <v/>
      </c>
    </row>
    <row r="117" spans="1:14">
      <c r="A117" s="13"/>
      <c r="B117" s="13"/>
      <c r="C117" s="13"/>
      <c r="D117" s="13"/>
      <c r="E117" s="13"/>
      <c r="F117" s="5"/>
      <c r="G117" s="5"/>
      <c r="H117" s="5"/>
      <c r="I117" s="5"/>
      <c r="J117" s="5"/>
      <c r="K117" s="5"/>
      <c r="L117" s="5"/>
      <c r="M117" s="6" t="str">
        <f t="shared" si="6"/>
        <v/>
      </c>
      <c r="N117" s="6" t="str">
        <f t="shared" si="7"/>
        <v/>
      </c>
    </row>
    <row r="118" spans="1:14">
      <c r="A118" s="13"/>
      <c r="B118" s="13"/>
      <c r="C118" s="13"/>
      <c r="D118" s="13"/>
      <c r="E118" s="13"/>
      <c r="F118" s="5"/>
      <c r="G118" s="5"/>
      <c r="H118" s="5"/>
      <c r="I118" s="5"/>
      <c r="J118" s="5"/>
      <c r="K118" s="5"/>
      <c r="L118" s="5"/>
      <c r="M118" s="6" t="str">
        <f t="shared" si="6"/>
        <v/>
      </c>
      <c r="N118" s="6" t="str">
        <f t="shared" si="7"/>
        <v/>
      </c>
    </row>
    <row r="119" spans="1:14">
      <c r="A119" s="13"/>
      <c r="B119" s="13"/>
      <c r="C119" s="13"/>
      <c r="D119" s="13"/>
      <c r="E119" s="13"/>
      <c r="F119" s="5"/>
      <c r="G119" s="5"/>
      <c r="H119" s="5"/>
      <c r="I119" s="5"/>
      <c r="J119" s="5"/>
      <c r="K119" s="5"/>
      <c r="L119" s="5"/>
      <c r="M119" s="6" t="str">
        <f t="shared" si="6"/>
        <v/>
      </c>
      <c r="N119" s="6" t="str">
        <f t="shared" si="7"/>
        <v/>
      </c>
    </row>
    <row r="120" spans="1:14">
      <c r="A120" s="13"/>
      <c r="B120" s="13"/>
      <c r="C120" s="13"/>
      <c r="D120" s="13"/>
      <c r="E120" s="13"/>
      <c r="F120" s="5"/>
      <c r="G120" s="5"/>
      <c r="H120" s="5"/>
      <c r="I120" s="5"/>
      <c r="J120" s="5"/>
      <c r="K120" s="5"/>
      <c r="L120" s="5"/>
      <c r="M120" s="6" t="str">
        <f t="shared" si="6"/>
        <v/>
      </c>
      <c r="N120" s="6" t="str">
        <f t="shared" si="7"/>
        <v/>
      </c>
    </row>
    <row r="121" spans="1:14">
      <c r="A121" s="13"/>
      <c r="B121" s="13"/>
      <c r="C121" s="13"/>
      <c r="D121" s="13"/>
      <c r="E121" s="13"/>
      <c r="F121" s="5"/>
      <c r="G121" s="5"/>
      <c r="H121" s="5"/>
      <c r="I121" s="5"/>
      <c r="J121" s="5"/>
      <c r="K121" s="5"/>
      <c r="L121" s="5"/>
      <c r="M121" s="6" t="str">
        <f t="shared" si="6"/>
        <v/>
      </c>
      <c r="N121" s="6" t="str">
        <f t="shared" si="7"/>
        <v/>
      </c>
    </row>
    <row r="122" spans="1:14">
      <c r="A122" s="13"/>
      <c r="B122" s="13"/>
      <c r="C122" s="13"/>
      <c r="D122" s="13"/>
      <c r="E122" s="13"/>
      <c r="F122" s="5"/>
      <c r="G122" s="5"/>
      <c r="H122" s="5"/>
      <c r="I122" s="5"/>
      <c r="J122" s="5"/>
      <c r="K122" s="5"/>
      <c r="L122" s="5"/>
      <c r="M122" s="6" t="str">
        <f t="shared" si="6"/>
        <v/>
      </c>
      <c r="N122" s="6" t="str">
        <f t="shared" si="7"/>
        <v/>
      </c>
    </row>
    <row r="123" spans="1:14">
      <c r="A123" s="13"/>
      <c r="B123" s="13"/>
      <c r="C123" s="13"/>
      <c r="D123" s="13"/>
      <c r="E123" s="13"/>
      <c r="F123" s="5"/>
      <c r="G123" s="5"/>
      <c r="H123" s="5"/>
      <c r="I123" s="5"/>
      <c r="J123" s="5"/>
      <c r="K123" s="5"/>
      <c r="L123" s="5"/>
      <c r="M123" s="6" t="str">
        <f t="shared" si="6"/>
        <v/>
      </c>
      <c r="N123" s="6" t="str">
        <f t="shared" si="7"/>
        <v/>
      </c>
    </row>
    <row r="124" spans="1:14">
      <c r="A124" s="13"/>
      <c r="B124" s="13"/>
      <c r="C124" s="13"/>
      <c r="D124" s="13"/>
      <c r="E124" s="13"/>
      <c r="F124" s="5"/>
      <c r="G124" s="5"/>
      <c r="H124" s="5"/>
      <c r="I124" s="5"/>
      <c r="J124" s="5"/>
      <c r="K124" s="5"/>
      <c r="L124" s="5"/>
      <c r="M124" s="6" t="str">
        <f t="shared" si="6"/>
        <v/>
      </c>
      <c r="N124" s="6" t="str">
        <f t="shared" si="7"/>
        <v/>
      </c>
    </row>
    <row r="125" spans="1:14">
      <c r="A125" s="13"/>
      <c r="B125" s="13"/>
      <c r="C125" s="13"/>
      <c r="D125" s="13"/>
      <c r="E125" s="13"/>
      <c r="F125" s="5"/>
      <c r="G125" s="5"/>
      <c r="H125" s="5"/>
      <c r="I125" s="5"/>
      <c r="J125" s="5"/>
      <c r="K125" s="5"/>
      <c r="L125" s="5"/>
      <c r="M125" s="6" t="str">
        <f t="shared" si="6"/>
        <v/>
      </c>
      <c r="N125" s="6" t="str">
        <f t="shared" si="7"/>
        <v/>
      </c>
    </row>
    <row r="126" spans="1:14">
      <c r="A126" s="13"/>
      <c r="B126" s="13"/>
      <c r="C126" s="13"/>
      <c r="D126" s="13"/>
      <c r="E126" s="13"/>
      <c r="F126" s="5"/>
      <c r="G126" s="5"/>
      <c r="H126" s="5"/>
      <c r="I126" s="5"/>
      <c r="J126" s="5"/>
      <c r="K126" s="5"/>
      <c r="L126" s="5"/>
      <c r="M126" s="6" t="str">
        <f t="shared" si="6"/>
        <v/>
      </c>
      <c r="N126" s="6" t="str">
        <f t="shared" si="7"/>
        <v/>
      </c>
    </row>
    <row r="127" spans="1:14">
      <c r="A127" s="13"/>
      <c r="B127" s="13"/>
      <c r="C127" s="13"/>
      <c r="D127" s="13"/>
      <c r="E127" s="13"/>
      <c r="F127" s="5"/>
      <c r="G127" s="5"/>
      <c r="H127" s="5"/>
      <c r="I127" s="5"/>
      <c r="J127" s="5"/>
      <c r="K127" s="5"/>
      <c r="L127" s="5"/>
      <c r="M127" s="6" t="str">
        <f t="shared" si="6"/>
        <v/>
      </c>
      <c r="N127" s="6" t="str">
        <f t="shared" si="7"/>
        <v/>
      </c>
    </row>
    <row r="128" spans="1:14">
      <c r="A128" s="13"/>
      <c r="B128" s="13"/>
      <c r="C128" s="13"/>
      <c r="D128" s="13"/>
      <c r="E128" s="13"/>
      <c r="F128" s="5"/>
      <c r="G128" s="5"/>
      <c r="H128" s="5"/>
      <c r="I128" s="5"/>
      <c r="J128" s="5"/>
      <c r="K128" s="5"/>
      <c r="L128" s="5"/>
      <c r="M128" s="6" t="str">
        <f t="shared" si="6"/>
        <v/>
      </c>
      <c r="N128" s="6" t="str">
        <f t="shared" si="7"/>
        <v/>
      </c>
    </row>
    <row r="129" spans="1:14">
      <c r="A129" s="13"/>
      <c r="B129" s="13"/>
      <c r="C129" s="13"/>
      <c r="D129" s="13"/>
      <c r="E129" s="13"/>
      <c r="F129" s="5"/>
      <c r="G129" s="5"/>
      <c r="H129" s="5"/>
      <c r="I129" s="5"/>
      <c r="J129" s="5"/>
      <c r="K129" s="5"/>
      <c r="L129" s="5"/>
      <c r="M129" s="6" t="str">
        <f t="shared" si="6"/>
        <v/>
      </c>
      <c r="N129" s="6" t="str">
        <f t="shared" si="7"/>
        <v/>
      </c>
    </row>
    <row r="130" spans="1:14">
      <c r="A130" s="13"/>
      <c r="B130" s="13"/>
      <c r="C130" s="13"/>
      <c r="D130" s="13"/>
      <c r="E130" s="13"/>
      <c r="F130" s="5"/>
      <c r="G130" s="5"/>
      <c r="H130" s="5"/>
      <c r="I130" s="5"/>
      <c r="J130" s="5"/>
      <c r="K130" s="5"/>
      <c r="L130" s="5"/>
      <c r="M130" s="6" t="str">
        <f t="shared" si="6"/>
        <v/>
      </c>
      <c r="N130" s="6" t="str">
        <f t="shared" si="7"/>
        <v/>
      </c>
    </row>
    <row r="131" spans="1:14">
      <c r="A131" s="13"/>
      <c r="B131" s="13"/>
      <c r="C131" s="13"/>
      <c r="D131" s="13"/>
      <c r="E131" s="13"/>
      <c r="F131" s="5"/>
      <c r="G131" s="5"/>
      <c r="H131" s="5"/>
      <c r="I131" s="5"/>
      <c r="J131" s="5"/>
      <c r="K131" s="5"/>
      <c r="L131" s="5"/>
      <c r="M131" s="6" t="str">
        <f t="shared" si="6"/>
        <v/>
      </c>
      <c r="N131" s="6" t="str">
        <f t="shared" si="7"/>
        <v/>
      </c>
    </row>
    <row r="132" spans="1:14">
      <c r="A132" s="13"/>
      <c r="B132" s="13"/>
      <c r="C132" s="13"/>
      <c r="D132" s="13"/>
      <c r="E132" s="13"/>
      <c r="F132" s="5"/>
      <c r="G132" s="5"/>
      <c r="H132" s="5"/>
      <c r="I132" s="5"/>
      <c r="J132" s="5"/>
      <c r="K132" s="5"/>
      <c r="L132" s="5"/>
      <c r="M132" s="6" t="str">
        <f t="shared" si="6"/>
        <v/>
      </c>
      <c r="N132" s="6" t="str">
        <f t="shared" si="7"/>
        <v/>
      </c>
    </row>
    <row r="133" spans="1:14">
      <c r="A133" s="13"/>
      <c r="B133" s="13"/>
      <c r="C133" s="13"/>
      <c r="D133" s="13"/>
      <c r="E133" s="13"/>
      <c r="F133" s="5"/>
      <c r="G133" s="5"/>
      <c r="H133" s="5"/>
      <c r="I133" s="5"/>
      <c r="J133" s="5"/>
      <c r="K133" s="5"/>
      <c r="L133" s="5"/>
      <c r="M133" s="6" t="str">
        <f t="shared" ref="M133:M164" si="8">IF(A133="","",IF(N133="","HỢP LỆ","CẦN SỬA"))</f>
        <v/>
      </c>
      <c r="N133" s="6" t="str">
        <f t="shared" ref="N133:N164" si="9">IF(A133="","",IF(B133="","Thiếu NodeId",IF(D133="","Thiếu NodeType",IF(COUNTIF($B$5:$B$204,B133)&gt;1,"NodeId bị trùng",IF(COUNTIF($A$5:$A$204,A133)&gt;1,"NodeOrder bị trùng",IF(AND(D133="scene",OR(C133="",F133="",G133="")),"scene cần ActNo, Background, SceneName",IF(AND(D133="say",OR(H133="",J133="")),"say cần SpeakerKey và Text",IF(AND(D133="choice",OR(E133="",H133="",I133="",J133="")),"choice cần ChoiceMode, SpeakerKey, Mood, Question",IF(AND(D133="act",K133=""),"act cần số La Mã",IF(AND(D133="end",COUNTIF($D$5:$D$204,"end")&lt;&gt;1),"Phải có đúng 1 node end",""))))))))))</f>
        <v/>
      </c>
    </row>
    <row r="134" spans="1:14">
      <c r="A134" s="13"/>
      <c r="B134" s="13"/>
      <c r="C134" s="13"/>
      <c r="D134" s="13"/>
      <c r="E134" s="13"/>
      <c r="F134" s="5"/>
      <c r="G134" s="5"/>
      <c r="H134" s="5"/>
      <c r="I134" s="5"/>
      <c r="J134" s="5"/>
      <c r="K134" s="5"/>
      <c r="L134" s="5"/>
      <c r="M134" s="6" t="str">
        <f t="shared" si="8"/>
        <v/>
      </c>
      <c r="N134" s="6" t="str">
        <f t="shared" si="9"/>
        <v/>
      </c>
    </row>
    <row r="135" spans="1:14">
      <c r="A135" s="13"/>
      <c r="B135" s="13"/>
      <c r="C135" s="13"/>
      <c r="D135" s="13"/>
      <c r="E135" s="13"/>
      <c r="F135" s="5"/>
      <c r="G135" s="5"/>
      <c r="H135" s="5"/>
      <c r="I135" s="5"/>
      <c r="J135" s="5"/>
      <c r="K135" s="5"/>
      <c r="L135" s="5"/>
      <c r="M135" s="6" t="str">
        <f t="shared" si="8"/>
        <v/>
      </c>
      <c r="N135" s="6" t="str">
        <f t="shared" si="9"/>
        <v/>
      </c>
    </row>
    <row r="136" spans="1:14">
      <c r="A136" s="13"/>
      <c r="B136" s="13"/>
      <c r="C136" s="13"/>
      <c r="D136" s="13"/>
      <c r="E136" s="13"/>
      <c r="F136" s="5"/>
      <c r="G136" s="5"/>
      <c r="H136" s="5"/>
      <c r="I136" s="5"/>
      <c r="J136" s="5"/>
      <c r="K136" s="5"/>
      <c r="L136" s="5"/>
      <c r="M136" s="6" t="str">
        <f t="shared" si="8"/>
        <v/>
      </c>
      <c r="N136" s="6" t="str">
        <f t="shared" si="9"/>
        <v/>
      </c>
    </row>
    <row r="137" spans="1:14">
      <c r="A137" s="13"/>
      <c r="B137" s="13"/>
      <c r="C137" s="13"/>
      <c r="D137" s="13"/>
      <c r="E137" s="13"/>
      <c r="F137" s="5"/>
      <c r="G137" s="5"/>
      <c r="H137" s="5"/>
      <c r="I137" s="5"/>
      <c r="J137" s="5"/>
      <c r="K137" s="5"/>
      <c r="L137" s="5"/>
      <c r="M137" s="6" t="str">
        <f t="shared" si="8"/>
        <v/>
      </c>
      <c r="N137" s="6" t="str">
        <f t="shared" si="9"/>
        <v/>
      </c>
    </row>
    <row r="138" spans="1:14">
      <c r="A138" s="13"/>
      <c r="B138" s="13"/>
      <c r="C138" s="13"/>
      <c r="D138" s="13"/>
      <c r="E138" s="13"/>
      <c r="F138" s="5"/>
      <c r="G138" s="5"/>
      <c r="H138" s="5"/>
      <c r="I138" s="5"/>
      <c r="J138" s="5"/>
      <c r="K138" s="5"/>
      <c r="L138" s="5"/>
      <c r="M138" s="6" t="str">
        <f t="shared" si="8"/>
        <v/>
      </c>
      <c r="N138" s="6" t="str">
        <f t="shared" si="9"/>
        <v/>
      </c>
    </row>
    <row r="139" spans="1:14">
      <c r="A139" s="13"/>
      <c r="B139" s="13"/>
      <c r="C139" s="13"/>
      <c r="D139" s="13"/>
      <c r="E139" s="13"/>
      <c r="F139" s="5"/>
      <c r="G139" s="5"/>
      <c r="H139" s="5"/>
      <c r="I139" s="5"/>
      <c r="J139" s="5"/>
      <c r="K139" s="5"/>
      <c r="L139" s="5"/>
      <c r="M139" s="6" t="str">
        <f t="shared" si="8"/>
        <v/>
      </c>
      <c r="N139" s="6" t="str">
        <f t="shared" si="9"/>
        <v/>
      </c>
    </row>
    <row r="140" spans="1:14">
      <c r="A140" s="13"/>
      <c r="B140" s="13"/>
      <c r="C140" s="13"/>
      <c r="D140" s="13"/>
      <c r="E140" s="13"/>
      <c r="F140" s="5"/>
      <c r="G140" s="5"/>
      <c r="H140" s="5"/>
      <c r="I140" s="5"/>
      <c r="J140" s="5"/>
      <c r="K140" s="5"/>
      <c r="L140" s="5"/>
      <c r="M140" s="6" t="str">
        <f t="shared" si="8"/>
        <v/>
      </c>
      <c r="N140" s="6" t="str">
        <f t="shared" si="9"/>
        <v/>
      </c>
    </row>
    <row r="141" spans="1:14">
      <c r="A141" s="13"/>
      <c r="B141" s="13"/>
      <c r="C141" s="13"/>
      <c r="D141" s="13"/>
      <c r="E141" s="13"/>
      <c r="F141" s="5"/>
      <c r="G141" s="5"/>
      <c r="H141" s="5"/>
      <c r="I141" s="5"/>
      <c r="J141" s="5"/>
      <c r="K141" s="5"/>
      <c r="L141" s="5"/>
      <c r="M141" s="6" t="str">
        <f t="shared" si="8"/>
        <v/>
      </c>
      <c r="N141" s="6" t="str">
        <f t="shared" si="9"/>
        <v/>
      </c>
    </row>
    <row r="142" spans="1:14">
      <c r="A142" s="13"/>
      <c r="B142" s="13"/>
      <c r="C142" s="13"/>
      <c r="D142" s="13"/>
      <c r="E142" s="13"/>
      <c r="F142" s="5"/>
      <c r="G142" s="5"/>
      <c r="H142" s="5"/>
      <c r="I142" s="5"/>
      <c r="J142" s="5"/>
      <c r="K142" s="5"/>
      <c r="L142" s="5"/>
      <c r="M142" s="6" t="str">
        <f t="shared" si="8"/>
        <v/>
      </c>
      <c r="N142" s="6" t="str">
        <f t="shared" si="9"/>
        <v/>
      </c>
    </row>
    <row r="143" spans="1:14">
      <c r="A143" s="13"/>
      <c r="B143" s="13"/>
      <c r="C143" s="13"/>
      <c r="D143" s="13"/>
      <c r="E143" s="13"/>
      <c r="F143" s="5"/>
      <c r="G143" s="5"/>
      <c r="H143" s="5"/>
      <c r="I143" s="5"/>
      <c r="J143" s="5"/>
      <c r="K143" s="5"/>
      <c r="L143" s="5"/>
      <c r="M143" s="6" t="str">
        <f t="shared" si="8"/>
        <v/>
      </c>
      <c r="N143" s="6" t="str">
        <f t="shared" si="9"/>
        <v/>
      </c>
    </row>
    <row r="144" spans="1:14">
      <c r="A144" s="13"/>
      <c r="B144" s="13"/>
      <c r="C144" s="13"/>
      <c r="D144" s="13"/>
      <c r="E144" s="13"/>
      <c r="F144" s="5"/>
      <c r="G144" s="5"/>
      <c r="H144" s="5"/>
      <c r="I144" s="5"/>
      <c r="J144" s="5"/>
      <c r="K144" s="5"/>
      <c r="L144" s="5"/>
      <c r="M144" s="6" t="str">
        <f t="shared" si="8"/>
        <v/>
      </c>
      <c r="N144" s="6" t="str">
        <f t="shared" si="9"/>
        <v/>
      </c>
    </row>
    <row r="145" spans="1:14">
      <c r="A145" s="13"/>
      <c r="B145" s="13"/>
      <c r="C145" s="13"/>
      <c r="D145" s="13"/>
      <c r="E145" s="13"/>
      <c r="F145" s="5"/>
      <c r="G145" s="5"/>
      <c r="H145" s="5"/>
      <c r="I145" s="5"/>
      <c r="J145" s="5"/>
      <c r="K145" s="5"/>
      <c r="L145" s="5"/>
      <c r="M145" s="6" t="str">
        <f t="shared" si="8"/>
        <v/>
      </c>
      <c r="N145" s="6" t="str">
        <f t="shared" si="9"/>
        <v/>
      </c>
    </row>
    <row r="146" spans="1:14">
      <c r="A146" s="13"/>
      <c r="B146" s="13"/>
      <c r="C146" s="13"/>
      <c r="D146" s="13"/>
      <c r="E146" s="13"/>
      <c r="F146" s="5"/>
      <c r="G146" s="5"/>
      <c r="H146" s="5"/>
      <c r="I146" s="5"/>
      <c r="J146" s="5"/>
      <c r="K146" s="5"/>
      <c r="L146" s="5"/>
      <c r="M146" s="6" t="str">
        <f t="shared" si="8"/>
        <v/>
      </c>
      <c r="N146" s="6" t="str">
        <f t="shared" si="9"/>
        <v/>
      </c>
    </row>
    <row r="147" spans="1:14">
      <c r="A147" s="13"/>
      <c r="B147" s="13"/>
      <c r="C147" s="13"/>
      <c r="D147" s="13"/>
      <c r="E147" s="13"/>
      <c r="F147" s="5"/>
      <c r="G147" s="5"/>
      <c r="H147" s="5"/>
      <c r="I147" s="5"/>
      <c r="J147" s="5"/>
      <c r="K147" s="5"/>
      <c r="L147" s="5"/>
      <c r="M147" s="6" t="str">
        <f t="shared" si="8"/>
        <v/>
      </c>
      <c r="N147" s="6" t="str">
        <f t="shared" si="9"/>
        <v/>
      </c>
    </row>
    <row r="148" spans="1:14">
      <c r="A148" s="13"/>
      <c r="B148" s="13"/>
      <c r="C148" s="13"/>
      <c r="D148" s="13"/>
      <c r="E148" s="13"/>
      <c r="F148" s="5"/>
      <c r="G148" s="5"/>
      <c r="H148" s="5"/>
      <c r="I148" s="5"/>
      <c r="J148" s="5"/>
      <c r="K148" s="5"/>
      <c r="L148" s="5"/>
      <c r="M148" s="6" t="str">
        <f t="shared" si="8"/>
        <v/>
      </c>
      <c r="N148" s="6" t="str">
        <f t="shared" si="9"/>
        <v/>
      </c>
    </row>
    <row r="149" spans="1:14">
      <c r="A149" s="13"/>
      <c r="B149" s="13"/>
      <c r="C149" s="13"/>
      <c r="D149" s="13"/>
      <c r="E149" s="13"/>
      <c r="F149" s="5"/>
      <c r="G149" s="5"/>
      <c r="H149" s="5"/>
      <c r="I149" s="5"/>
      <c r="J149" s="5"/>
      <c r="K149" s="5"/>
      <c r="L149" s="5"/>
      <c r="M149" s="6" t="str">
        <f t="shared" si="8"/>
        <v/>
      </c>
      <c r="N149" s="6" t="str">
        <f t="shared" si="9"/>
        <v/>
      </c>
    </row>
    <row r="150" spans="1:14">
      <c r="A150" s="13"/>
      <c r="B150" s="13"/>
      <c r="C150" s="13"/>
      <c r="D150" s="13"/>
      <c r="E150" s="13"/>
      <c r="F150" s="5"/>
      <c r="G150" s="5"/>
      <c r="H150" s="5"/>
      <c r="I150" s="5"/>
      <c r="J150" s="5"/>
      <c r="K150" s="5"/>
      <c r="L150" s="5"/>
      <c r="M150" s="6" t="str">
        <f t="shared" si="8"/>
        <v/>
      </c>
      <c r="N150" s="6" t="str">
        <f t="shared" si="9"/>
        <v/>
      </c>
    </row>
    <row r="151" spans="1:14">
      <c r="A151" s="13"/>
      <c r="B151" s="13"/>
      <c r="C151" s="13"/>
      <c r="D151" s="13"/>
      <c r="E151" s="13"/>
      <c r="F151" s="5"/>
      <c r="G151" s="5"/>
      <c r="H151" s="5"/>
      <c r="I151" s="5"/>
      <c r="J151" s="5"/>
      <c r="K151" s="5"/>
      <c r="L151" s="5"/>
      <c r="M151" s="6" t="str">
        <f t="shared" si="8"/>
        <v/>
      </c>
      <c r="N151" s="6" t="str">
        <f t="shared" si="9"/>
        <v/>
      </c>
    </row>
    <row r="152" spans="1:14">
      <c r="A152" s="13"/>
      <c r="B152" s="13"/>
      <c r="C152" s="13"/>
      <c r="D152" s="13"/>
      <c r="E152" s="13"/>
      <c r="F152" s="5"/>
      <c r="G152" s="5"/>
      <c r="H152" s="5"/>
      <c r="I152" s="5"/>
      <c r="J152" s="5"/>
      <c r="K152" s="5"/>
      <c r="L152" s="5"/>
      <c r="M152" s="6" t="str">
        <f t="shared" si="8"/>
        <v/>
      </c>
      <c r="N152" s="6" t="str">
        <f t="shared" si="9"/>
        <v/>
      </c>
    </row>
    <row r="153" spans="1:14">
      <c r="A153" s="13"/>
      <c r="B153" s="13"/>
      <c r="C153" s="13"/>
      <c r="D153" s="13"/>
      <c r="E153" s="13"/>
      <c r="F153" s="5"/>
      <c r="G153" s="5"/>
      <c r="H153" s="5"/>
      <c r="I153" s="5"/>
      <c r="J153" s="5"/>
      <c r="K153" s="5"/>
      <c r="L153" s="5"/>
      <c r="M153" s="6" t="str">
        <f t="shared" si="8"/>
        <v/>
      </c>
      <c r="N153" s="6" t="str">
        <f t="shared" si="9"/>
        <v/>
      </c>
    </row>
    <row r="154" spans="1:14">
      <c r="A154" s="13"/>
      <c r="B154" s="13"/>
      <c r="C154" s="13"/>
      <c r="D154" s="13"/>
      <c r="E154" s="13"/>
      <c r="F154" s="5"/>
      <c r="G154" s="5"/>
      <c r="H154" s="5"/>
      <c r="I154" s="5"/>
      <c r="J154" s="5"/>
      <c r="K154" s="5"/>
      <c r="L154" s="5"/>
      <c r="M154" s="6" t="str">
        <f t="shared" si="8"/>
        <v/>
      </c>
      <c r="N154" s="6" t="str">
        <f t="shared" si="9"/>
        <v/>
      </c>
    </row>
    <row r="155" spans="1:14">
      <c r="A155" s="13"/>
      <c r="B155" s="13"/>
      <c r="C155" s="13"/>
      <c r="D155" s="13"/>
      <c r="E155" s="13"/>
      <c r="F155" s="5"/>
      <c r="G155" s="5"/>
      <c r="H155" s="5"/>
      <c r="I155" s="5"/>
      <c r="J155" s="5"/>
      <c r="K155" s="5"/>
      <c r="L155" s="5"/>
      <c r="M155" s="6" t="str">
        <f t="shared" si="8"/>
        <v/>
      </c>
      <c r="N155" s="6" t="str">
        <f t="shared" si="9"/>
        <v/>
      </c>
    </row>
    <row r="156" spans="1:14">
      <c r="A156" s="13"/>
      <c r="B156" s="13"/>
      <c r="C156" s="13"/>
      <c r="D156" s="13"/>
      <c r="E156" s="13"/>
      <c r="F156" s="5"/>
      <c r="G156" s="5"/>
      <c r="H156" s="5"/>
      <c r="I156" s="5"/>
      <c r="J156" s="5"/>
      <c r="K156" s="5"/>
      <c r="L156" s="5"/>
      <c r="M156" s="6" t="str">
        <f t="shared" si="8"/>
        <v/>
      </c>
      <c r="N156" s="6" t="str">
        <f t="shared" si="9"/>
        <v/>
      </c>
    </row>
    <row r="157" spans="1:14">
      <c r="A157" s="13"/>
      <c r="B157" s="13"/>
      <c r="C157" s="13"/>
      <c r="D157" s="13"/>
      <c r="E157" s="13"/>
      <c r="F157" s="5"/>
      <c r="G157" s="5"/>
      <c r="H157" s="5"/>
      <c r="I157" s="5"/>
      <c r="J157" s="5"/>
      <c r="K157" s="5"/>
      <c r="L157" s="5"/>
      <c r="M157" s="6" t="str">
        <f t="shared" si="8"/>
        <v/>
      </c>
      <c r="N157" s="6" t="str">
        <f t="shared" si="9"/>
        <v/>
      </c>
    </row>
    <row r="158" spans="1:14">
      <c r="A158" s="13"/>
      <c r="B158" s="13"/>
      <c r="C158" s="13"/>
      <c r="D158" s="13"/>
      <c r="E158" s="13"/>
      <c r="F158" s="5"/>
      <c r="G158" s="5"/>
      <c r="H158" s="5"/>
      <c r="I158" s="5"/>
      <c r="J158" s="5"/>
      <c r="K158" s="5"/>
      <c r="L158" s="5"/>
      <c r="M158" s="6" t="str">
        <f t="shared" si="8"/>
        <v/>
      </c>
      <c r="N158" s="6" t="str">
        <f t="shared" si="9"/>
        <v/>
      </c>
    </row>
    <row r="159" spans="1:14">
      <c r="A159" s="13"/>
      <c r="B159" s="13"/>
      <c r="C159" s="13"/>
      <c r="D159" s="13"/>
      <c r="E159" s="13"/>
      <c r="F159" s="5"/>
      <c r="G159" s="5"/>
      <c r="H159" s="5"/>
      <c r="I159" s="5"/>
      <c r="J159" s="5"/>
      <c r="K159" s="5"/>
      <c r="L159" s="5"/>
      <c r="M159" s="6" t="str">
        <f t="shared" si="8"/>
        <v/>
      </c>
      <c r="N159" s="6" t="str">
        <f t="shared" si="9"/>
        <v/>
      </c>
    </row>
    <row r="160" spans="1:14">
      <c r="A160" s="13"/>
      <c r="B160" s="13"/>
      <c r="C160" s="13"/>
      <c r="D160" s="13"/>
      <c r="E160" s="13"/>
      <c r="F160" s="5"/>
      <c r="G160" s="5"/>
      <c r="H160" s="5"/>
      <c r="I160" s="5"/>
      <c r="J160" s="5"/>
      <c r="K160" s="5"/>
      <c r="L160" s="5"/>
      <c r="M160" s="6" t="str">
        <f t="shared" si="8"/>
        <v/>
      </c>
      <c r="N160" s="6" t="str">
        <f t="shared" si="9"/>
        <v/>
      </c>
    </row>
    <row r="161" spans="1:14">
      <c r="A161" s="13"/>
      <c r="B161" s="13"/>
      <c r="C161" s="13"/>
      <c r="D161" s="13"/>
      <c r="E161" s="13"/>
      <c r="F161" s="5"/>
      <c r="G161" s="5"/>
      <c r="H161" s="5"/>
      <c r="I161" s="5"/>
      <c r="J161" s="5"/>
      <c r="K161" s="5"/>
      <c r="L161" s="5"/>
      <c r="M161" s="6" t="str">
        <f t="shared" si="8"/>
        <v/>
      </c>
      <c r="N161" s="6" t="str">
        <f t="shared" si="9"/>
        <v/>
      </c>
    </row>
    <row r="162" spans="1:14">
      <c r="A162" s="13"/>
      <c r="B162" s="13"/>
      <c r="C162" s="13"/>
      <c r="D162" s="13"/>
      <c r="E162" s="13"/>
      <c r="F162" s="5"/>
      <c r="G162" s="5"/>
      <c r="H162" s="5"/>
      <c r="I162" s="5"/>
      <c r="J162" s="5"/>
      <c r="K162" s="5"/>
      <c r="L162" s="5"/>
      <c r="M162" s="6" t="str">
        <f t="shared" si="8"/>
        <v/>
      </c>
      <c r="N162" s="6" t="str">
        <f t="shared" si="9"/>
        <v/>
      </c>
    </row>
    <row r="163" spans="1:14">
      <c r="A163" s="13"/>
      <c r="B163" s="13"/>
      <c r="C163" s="13"/>
      <c r="D163" s="13"/>
      <c r="E163" s="13"/>
      <c r="F163" s="5"/>
      <c r="G163" s="5"/>
      <c r="H163" s="5"/>
      <c r="I163" s="5"/>
      <c r="J163" s="5"/>
      <c r="K163" s="5"/>
      <c r="L163" s="5"/>
      <c r="M163" s="6" t="str">
        <f t="shared" si="8"/>
        <v/>
      </c>
      <c r="N163" s="6" t="str">
        <f t="shared" si="9"/>
        <v/>
      </c>
    </row>
    <row r="164" spans="1:14">
      <c r="A164" s="13"/>
      <c r="B164" s="13"/>
      <c r="C164" s="13"/>
      <c r="D164" s="13"/>
      <c r="E164" s="13"/>
      <c r="F164" s="5"/>
      <c r="G164" s="5"/>
      <c r="H164" s="5"/>
      <c r="I164" s="5"/>
      <c r="J164" s="5"/>
      <c r="K164" s="5"/>
      <c r="L164" s="5"/>
      <c r="M164" s="6" t="str">
        <f t="shared" si="8"/>
        <v/>
      </c>
      <c r="N164" s="6" t="str">
        <f t="shared" si="9"/>
        <v/>
      </c>
    </row>
    <row r="165" spans="1:14">
      <c r="A165" s="13"/>
      <c r="B165" s="13"/>
      <c r="C165" s="13"/>
      <c r="D165" s="13"/>
      <c r="E165" s="13"/>
      <c r="F165" s="5"/>
      <c r="G165" s="5"/>
      <c r="H165" s="5"/>
      <c r="I165" s="5"/>
      <c r="J165" s="5"/>
      <c r="K165" s="5"/>
      <c r="L165" s="5"/>
      <c r="M165" s="6" t="str">
        <f t="shared" ref="M165:M196" si="10">IF(A165="","",IF(N165="","HỢP LỆ","CẦN SỬA"))</f>
        <v/>
      </c>
      <c r="N165" s="6" t="str">
        <f t="shared" ref="N165:N196" si="11">IF(A165="","",IF(B165="","Thiếu NodeId",IF(D165="","Thiếu NodeType",IF(COUNTIF($B$5:$B$204,B165)&gt;1,"NodeId bị trùng",IF(COUNTIF($A$5:$A$204,A165)&gt;1,"NodeOrder bị trùng",IF(AND(D165="scene",OR(C165="",F165="",G165="")),"scene cần ActNo, Background, SceneName",IF(AND(D165="say",OR(H165="",J165="")),"say cần SpeakerKey và Text",IF(AND(D165="choice",OR(E165="",H165="",I165="",J165="")),"choice cần ChoiceMode, SpeakerKey, Mood, Question",IF(AND(D165="act",K165=""),"act cần số La Mã",IF(AND(D165="end",COUNTIF($D$5:$D$204,"end")&lt;&gt;1),"Phải có đúng 1 node end",""))))))))))</f>
        <v/>
      </c>
    </row>
    <row r="166" spans="1:14">
      <c r="A166" s="13"/>
      <c r="B166" s="13"/>
      <c r="C166" s="13"/>
      <c r="D166" s="13"/>
      <c r="E166" s="13"/>
      <c r="F166" s="5"/>
      <c r="G166" s="5"/>
      <c r="H166" s="5"/>
      <c r="I166" s="5"/>
      <c r="J166" s="5"/>
      <c r="K166" s="5"/>
      <c r="L166" s="5"/>
      <c r="M166" s="6" t="str">
        <f t="shared" si="10"/>
        <v/>
      </c>
      <c r="N166" s="6" t="str">
        <f t="shared" si="11"/>
        <v/>
      </c>
    </row>
    <row r="167" spans="1:14">
      <c r="A167" s="13"/>
      <c r="B167" s="13"/>
      <c r="C167" s="13"/>
      <c r="D167" s="13"/>
      <c r="E167" s="13"/>
      <c r="F167" s="5"/>
      <c r="G167" s="5"/>
      <c r="H167" s="5"/>
      <c r="I167" s="5"/>
      <c r="J167" s="5"/>
      <c r="K167" s="5"/>
      <c r="L167" s="5"/>
      <c r="M167" s="6" t="str">
        <f t="shared" si="10"/>
        <v/>
      </c>
      <c r="N167" s="6" t="str">
        <f t="shared" si="11"/>
        <v/>
      </c>
    </row>
    <row r="168" spans="1:14">
      <c r="A168" s="13"/>
      <c r="B168" s="13"/>
      <c r="C168" s="13"/>
      <c r="D168" s="13"/>
      <c r="E168" s="13"/>
      <c r="F168" s="5"/>
      <c r="G168" s="5"/>
      <c r="H168" s="5"/>
      <c r="I168" s="5"/>
      <c r="J168" s="5"/>
      <c r="K168" s="5"/>
      <c r="L168" s="5"/>
      <c r="M168" s="6" t="str">
        <f t="shared" si="10"/>
        <v/>
      </c>
      <c r="N168" s="6" t="str">
        <f t="shared" si="11"/>
        <v/>
      </c>
    </row>
    <row r="169" spans="1:14">
      <c r="A169" s="13"/>
      <c r="B169" s="13"/>
      <c r="C169" s="13"/>
      <c r="D169" s="13"/>
      <c r="E169" s="13"/>
      <c r="F169" s="5"/>
      <c r="G169" s="5"/>
      <c r="H169" s="5"/>
      <c r="I169" s="5"/>
      <c r="J169" s="5"/>
      <c r="K169" s="5"/>
      <c r="L169" s="5"/>
      <c r="M169" s="6" t="str">
        <f t="shared" si="10"/>
        <v/>
      </c>
      <c r="N169" s="6" t="str">
        <f t="shared" si="11"/>
        <v/>
      </c>
    </row>
    <row r="170" spans="1:14">
      <c r="A170" s="13"/>
      <c r="B170" s="13"/>
      <c r="C170" s="13"/>
      <c r="D170" s="13"/>
      <c r="E170" s="13"/>
      <c r="F170" s="5"/>
      <c r="G170" s="5"/>
      <c r="H170" s="5"/>
      <c r="I170" s="5"/>
      <c r="J170" s="5"/>
      <c r="K170" s="5"/>
      <c r="L170" s="5"/>
      <c r="M170" s="6" t="str">
        <f t="shared" si="10"/>
        <v/>
      </c>
      <c r="N170" s="6" t="str">
        <f t="shared" si="11"/>
        <v/>
      </c>
    </row>
    <row r="171" spans="1:14">
      <c r="A171" s="13"/>
      <c r="B171" s="13"/>
      <c r="C171" s="13"/>
      <c r="D171" s="13"/>
      <c r="E171" s="13"/>
      <c r="F171" s="5"/>
      <c r="G171" s="5"/>
      <c r="H171" s="5"/>
      <c r="I171" s="5"/>
      <c r="J171" s="5"/>
      <c r="K171" s="5"/>
      <c r="L171" s="5"/>
      <c r="M171" s="6" t="str">
        <f t="shared" si="10"/>
        <v/>
      </c>
      <c r="N171" s="6" t="str">
        <f t="shared" si="11"/>
        <v/>
      </c>
    </row>
    <row r="172" spans="1:14">
      <c r="A172" s="13"/>
      <c r="B172" s="13"/>
      <c r="C172" s="13"/>
      <c r="D172" s="13"/>
      <c r="E172" s="13"/>
      <c r="F172" s="5"/>
      <c r="G172" s="5"/>
      <c r="H172" s="5"/>
      <c r="I172" s="5"/>
      <c r="J172" s="5"/>
      <c r="K172" s="5"/>
      <c r="L172" s="5"/>
      <c r="M172" s="6" t="str">
        <f t="shared" si="10"/>
        <v/>
      </c>
      <c r="N172" s="6" t="str">
        <f t="shared" si="11"/>
        <v/>
      </c>
    </row>
    <row r="173" spans="1:14">
      <c r="A173" s="13"/>
      <c r="B173" s="13"/>
      <c r="C173" s="13"/>
      <c r="D173" s="13"/>
      <c r="E173" s="13"/>
      <c r="F173" s="5"/>
      <c r="G173" s="5"/>
      <c r="H173" s="5"/>
      <c r="I173" s="5"/>
      <c r="J173" s="5"/>
      <c r="K173" s="5"/>
      <c r="L173" s="5"/>
      <c r="M173" s="6" t="str">
        <f t="shared" si="10"/>
        <v/>
      </c>
      <c r="N173" s="6" t="str">
        <f t="shared" si="11"/>
        <v/>
      </c>
    </row>
    <row r="174" spans="1:14">
      <c r="A174" s="13"/>
      <c r="B174" s="13"/>
      <c r="C174" s="13"/>
      <c r="D174" s="13"/>
      <c r="E174" s="13"/>
      <c r="F174" s="5"/>
      <c r="G174" s="5"/>
      <c r="H174" s="5"/>
      <c r="I174" s="5"/>
      <c r="J174" s="5"/>
      <c r="K174" s="5"/>
      <c r="L174" s="5"/>
      <c r="M174" s="6" t="str">
        <f t="shared" si="10"/>
        <v/>
      </c>
      <c r="N174" s="6" t="str">
        <f t="shared" si="11"/>
        <v/>
      </c>
    </row>
    <row r="175" spans="1:14">
      <c r="A175" s="13"/>
      <c r="B175" s="13"/>
      <c r="C175" s="13"/>
      <c r="D175" s="13"/>
      <c r="E175" s="13"/>
      <c r="F175" s="5"/>
      <c r="G175" s="5"/>
      <c r="H175" s="5"/>
      <c r="I175" s="5"/>
      <c r="J175" s="5"/>
      <c r="K175" s="5"/>
      <c r="L175" s="5"/>
      <c r="M175" s="6" t="str">
        <f t="shared" si="10"/>
        <v/>
      </c>
      <c r="N175" s="6" t="str">
        <f t="shared" si="11"/>
        <v/>
      </c>
    </row>
    <row r="176" spans="1:14">
      <c r="A176" s="13"/>
      <c r="B176" s="13"/>
      <c r="C176" s="13"/>
      <c r="D176" s="13"/>
      <c r="E176" s="13"/>
      <c r="F176" s="5"/>
      <c r="G176" s="5"/>
      <c r="H176" s="5"/>
      <c r="I176" s="5"/>
      <c r="J176" s="5"/>
      <c r="K176" s="5"/>
      <c r="L176" s="5"/>
      <c r="M176" s="6" t="str">
        <f t="shared" si="10"/>
        <v/>
      </c>
      <c r="N176" s="6" t="str">
        <f t="shared" si="11"/>
        <v/>
      </c>
    </row>
    <row r="177" spans="1:14">
      <c r="A177" s="13"/>
      <c r="B177" s="13"/>
      <c r="C177" s="13"/>
      <c r="D177" s="13"/>
      <c r="E177" s="13"/>
      <c r="F177" s="5"/>
      <c r="G177" s="5"/>
      <c r="H177" s="5"/>
      <c r="I177" s="5"/>
      <c r="J177" s="5"/>
      <c r="K177" s="5"/>
      <c r="L177" s="5"/>
      <c r="M177" s="6" t="str">
        <f t="shared" si="10"/>
        <v/>
      </c>
      <c r="N177" s="6" t="str">
        <f t="shared" si="11"/>
        <v/>
      </c>
    </row>
    <row r="178" spans="1:14">
      <c r="A178" s="13"/>
      <c r="B178" s="13"/>
      <c r="C178" s="13"/>
      <c r="D178" s="13"/>
      <c r="E178" s="13"/>
      <c r="F178" s="5"/>
      <c r="G178" s="5"/>
      <c r="H178" s="5"/>
      <c r="I178" s="5"/>
      <c r="J178" s="5"/>
      <c r="K178" s="5"/>
      <c r="L178" s="5"/>
      <c r="M178" s="6" t="str">
        <f t="shared" si="10"/>
        <v/>
      </c>
      <c r="N178" s="6" t="str">
        <f t="shared" si="11"/>
        <v/>
      </c>
    </row>
    <row r="179" spans="1:14">
      <c r="A179" s="13"/>
      <c r="B179" s="13"/>
      <c r="C179" s="13"/>
      <c r="D179" s="13"/>
      <c r="E179" s="13"/>
      <c r="F179" s="5"/>
      <c r="G179" s="5"/>
      <c r="H179" s="5"/>
      <c r="I179" s="5"/>
      <c r="J179" s="5"/>
      <c r="K179" s="5"/>
      <c r="L179" s="5"/>
      <c r="M179" s="6" t="str">
        <f t="shared" si="10"/>
        <v/>
      </c>
      <c r="N179" s="6" t="str">
        <f t="shared" si="11"/>
        <v/>
      </c>
    </row>
    <row r="180" spans="1:14">
      <c r="A180" s="13"/>
      <c r="B180" s="13"/>
      <c r="C180" s="13"/>
      <c r="D180" s="13"/>
      <c r="E180" s="13"/>
      <c r="F180" s="5"/>
      <c r="G180" s="5"/>
      <c r="H180" s="5"/>
      <c r="I180" s="5"/>
      <c r="J180" s="5"/>
      <c r="K180" s="5"/>
      <c r="L180" s="5"/>
      <c r="M180" s="6" t="str">
        <f t="shared" si="10"/>
        <v/>
      </c>
      <c r="N180" s="6" t="str">
        <f t="shared" si="11"/>
        <v/>
      </c>
    </row>
    <row r="181" spans="1:14">
      <c r="A181" s="13"/>
      <c r="B181" s="13"/>
      <c r="C181" s="13"/>
      <c r="D181" s="13"/>
      <c r="E181" s="13"/>
      <c r="F181" s="5"/>
      <c r="G181" s="5"/>
      <c r="H181" s="5"/>
      <c r="I181" s="5"/>
      <c r="J181" s="5"/>
      <c r="K181" s="5"/>
      <c r="L181" s="5"/>
      <c r="M181" s="6" t="str">
        <f t="shared" si="10"/>
        <v/>
      </c>
      <c r="N181" s="6" t="str">
        <f t="shared" si="11"/>
        <v/>
      </c>
    </row>
    <row r="182" spans="1:14">
      <c r="A182" s="13"/>
      <c r="B182" s="13"/>
      <c r="C182" s="13"/>
      <c r="D182" s="13"/>
      <c r="E182" s="13"/>
      <c r="F182" s="5"/>
      <c r="G182" s="5"/>
      <c r="H182" s="5"/>
      <c r="I182" s="5"/>
      <c r="J182" s="5"/>
      <c r="K182" s="5"/>
      <c r="L182" s="5"/>
      <c r="M182" s="6" t="str">
        <f t="shared" si="10"/>
        <v/>
      </c>
      <c r="N182" s="6" t="str">
        <f t="shared" si="11"/>
        <v/>
      </c>
    </row>
    <row r="183" spans="1:14">
      <c r="A183" s="13"/>
      <c r="B183" s="13"/>
      <c r="C183" s="13"/>
      <c r="D183" s="13"/>
      <c r="E183" s="13"/>
      <c r="F183" s="5"/>
      <c r="G183" s="5"/>
      <c r="H183" s="5"/>
      <c r="I183" s="5"/>
      <c r="J183" s="5"/>
      <c r="K183" s="5"/>
      <c r="L183" s="5"/>
      <c r="M183" s="6" t="str">
        <f t="shared" si="10"/>
        <v/>
      </c>
      <c r="N183" s="6" t="str">
        <f t="shared" si="11"/>
        <v/>
      </c>
    </row>
    <row r="184" spans="1:14">
      <c r="A184" s="13"/>
      <c r="B184" s="13"/>
      <c r="C184" s="13"/>
      <c r="D184" s="13"/>
      <c r="E184" s="13"/>
      <c r="F184" s="5"/>
      <c r="G184" s="5"/>
      <c r="H184" s="5"/>
      <c r="I184" s="5"/>
      <c r="J184" s="5"/>
      <c r="K184" s="5"/>
      <c r="L184" s="5"/>
      <c r="M184" s="6" t="str">
        <f t="shared" si="10"/>
        <v/>
      </c>
      <c r="N184" s="6" t="str">
        <f t="shared" si="11"/>
        <v/>
      </c>
    </row>
    <row r="185" spans="1:14">
      <c r="A185" s="13"/>
      <c r="B185" s="13"/>
      <c r="C185" s="13"/>
      <c r="D185" s="13"/>
      <c r="E185" s="13"/>
      <c r="F185" s="5"/>
      <c r="G185" s="5"/>
      <c r="H185" s="5"/>
      <c r="I185" s="5"/>
      <c r="J185" s="5"/>
      <c r="K185" s="5"/>
      <c r="L185" s="5"/>
      <c r="M185" s="6" t="str">
        <f t="shared" si="10"/>
        <v/>
      </c>
      <c r="N185" s="6" t="str">
        <f t="shared" si="11"/>
        <v/>
      </c>
    </row>
    <row r="186" spans="1:14">
      <c r="A186" s="13"/>
      <c r="B186" s="13"/>
      <c r="C186" s="13"/>
      <c r="D186" s="13"/>
      <c r="E186" s="13"/>
      <c r="F186" s="5"/>
      <c r="G186" s="5"/>
      <c r="H186" s="5"/>
      <c r="I186" s="5"/>
      <c r="J186" s="5"/>
      <c r="K186" s="5"/>
      <c r="L186" s="5"/>
      <c r="M186" s="6" t="str">
        <f t="shared" si="10"/>
        <v/>
      </c>
      <c r="N186" s="6" t="str">
        <f t="shared" si="11"/>
        <v/>
      </c>
    </row>
    <row r="187" spans="1:14">
      <c r="A187" s="13"/>
      <c r="B187" s="13"/>
      <c r="C187" s="13"/>
      <c r="D187" s="13"/>
      <c r="E187" s="13"/>
      <c r="F187" s="5"/>
      <c r="G187" s="5"/>
      <c r="H187" s="5"/>
      <c r="I187" s="5"/>
      <c r="J187" s="5"/>
      <c r="K187" s="5"/>
      <c r="L187" s="5"/>
      <c r="M187" s="6" t="str">
        <f t="shared" si="10"/>
        <v/>
      </c>
      <c r="N187" s="6" t="str">
        <f t="shared" si="11"/>
        <v/>
      </c>
    </row>
    <row r="188" spans="1:14">
      <c r="A188" s="13"/>
      <c r="B188" s="13"/>
      <c r="C188" s="13"/>
      <c r="D188" s="13"/>
      <c r="E188" s="13"/>
      <c r="F188" s="5"/>
      <c r="G188" s="5"/>
      <c r="H188" s="5"/>
      <c r="I188" s="5"/>
      <c r="J188" s="5"/>
      <c r="K188" s="5"/>
      <c r="L188" s="5"/>
      <c r="M188" s="6" t="str">
        <f t="shared" si="10"/>
        <v/>
      </c>
      <c r="N188" s="6" t="str">
        <f t="shared" si="11"/>
        <v/>
      </c>
    </row>
    <row r="189" spans="1:14">
      <c r="A189" s="13"/>
      <c r="B189" s="13"/>
      <c r="C189" s="13"/>
      <c r="D189" s="13"/>
      <c r="E189" s="13"/>
      <c r="F189" s="5"/>
      <c r="G189" s="5"/>
      <c r="H189" s="5"/>
      <c r="I189" s="5"/>
      <c r="J189" s="5"/>
      <c r="K189" s="5"/>
      <c r="L189" s="5"/>
      <c r="M189" s="6" t="str">
        <f t="shared" si="10"/>
        <v/>
      </c>
      <c r="N189" s="6" t="str">
        <f t="shared" si="11"/>
        <v/>
      </c>
    </row>
    <row r="190" spans="1:14">
      <c r="A190" s="13"/>
      <c r="B190" s="13"/>
      <c r="C190" s="13"/>
      <c r="D190" s="13"/>
      <c r="E190" s="13"/>
      <c r="F190" s="5"/>
      <c r="G190" s="5"/>
      <c r="H190" s="5"/>
      <c r="I190" s="5"/>
      <c r="J190" s="5"/>
      <c r="K190" s="5"/>
      <c r="L190" s="5"/>
      <c r="M190" s="6" t="str">
        <f t="shared" si="10"/>
        <v/>
      </c>
      <c r="N190" s="6" t="str">
        <f t="shared" si="11"/>
        <v/>
      </c>
    </row>
    <row r="191" spans="1:14">
      <c r="A191" s="13"/>
      <c r="B191" s="13"/>
      <c r="C191" s="13"/>
      <c r="D191" s="13"/>
      <c r="E191" s="13"/>
      <c r="F191" s="5"/>
      <c r="G191" s="5"/>
      <c r="H191" s="5"/>
      <c r="I191" s="5"/>
      <c r="J191" s="5"/>
      <c r="K191" s="5"/>
      <c r="L191" s="5"/>
      <c r="M191" s="6" t="str">
        <f t="shared" si="10"/>
        <v/>
      </c>
      <c r="N191" s="6" t="str">
        <f t="shared" si="11"/>
        <v/>
      </c>
    </row>
    <row r="192" spans="1:14">
      <c r="A192" s="13"/>
      <c r="B192" s="13"/>
      <c r="C192" s="13"/>
      <c r="D192" s="13"/>
      <c r="E192" s="13"/>
      <c r="F192" s="5"/>
      <c r="G192" s="5"/>
      <c r="H192" s="5"/>
      <c r="I192" s="5"/>
      <c r="J192" s="5"/>
      <c r="K192" s="5"/>
      <c r="L192" s="5"/>
      <c r="M192" s="6" t="str">
        <f t="shared" si="10"/>
        <v/>
      </c>
      <c r="N192" s="6" t="str">
        <f t="shared" si="11"/>
        <v/>
      </c>
    </row>
    <row r="193" spans="1:14">
      <c r="A193" s="13"/>
      <c r="B193" s="13"/>
      <c r="C193" s="13"/>
      <c r="D193" s="13"/>
      <c r="E193" s="13"/>
      <c r="F193" s="5"/>
      <c r="G193" s="5"/>
      <c r="H193" s="5"/>
      <c r="I193" s="5"/>
      <c r="J193" s="5"/>
      <c r="K193" s="5"/>
      <c r="L193" s="5"/>
      <c r="M193" s="6" t="str">
        <f t="shared" si="10"/>
        <v/>
      </c>
      <c r="N193" s="6" t="str">
        <f t="shared" si="11"/>
        <v/>
      </c>
    </row>
    <row r="194" spans="1:14">
      <c r="A194" s="13"/>
      <c r="B194" s="13"/>
      <c r="C194" s="13"/>
      <c r="D194" s="13"/>
      <c r="E194" s="13"/>
      <c r="F194" s="5"/>
      <c r="G194" s="5"/>
      <c r="H194" s="5"/>
      <c r="I194" s="5"/>
      <c r="J194" s="5"/>
      <c r="K194" s="5"/>
      <c r="L194" s="5"/>
      <c r="M194" s="6" t="str">
        <f t="shared" si="10"/>
        <v/>
      </c>
      <c r="N194" s="6" t="str">
        <f t="shared" si="11"/>
        <v/>
      </c>
    </row>
    <row r="195" spans="1:14">
      <c r="A195" s="13"/>
      <c r="B195" s="13"/>
      <c r="C195" s="13"/>
      <c r="D195" s="13"/>
      <c r="E195" s="13"/>
      <c r="F195" s="5"/>
      <c r="G195" s="5"/>
      <c r="H195" s="5"/>
      <c r="I195" s="5"/>
      <c r="J195" s="5"/>
      <c r="K195" s="5"/>
      <c r="L195" s="5"/>
      <c r="M195" s="6" t="str">
        <f t="shared" si="10"/>
        <v/>
      </c>
      <c r="N195" s="6" t="str">
        <f t="shared" si="11"/>
        <v/>
      </c>
    </row>
    <row r="196" spans="1:14">
      <c r="A196" s="13"/>
      <c r="B196" s="13"/>
      <c r="C196" s="13"/>
      <c r="D196" s="13"/>
      <c r="E196" s="13"/>
      <c r="F196" s="5"/>
      <c r="G196" s="5"/>
      <c r="H196" s="5"/>
      <c r="I196" s="5"/>
      <c r="J196" s="5"/>
      <c r="K196" s="5"/>
      <c r="L196" s="5"/>
      <c r="M196" s="6" t="str">
        <f t="shared" si="10"/>
        <v/>
      </c>
      <c r="N196" s="6" t="str">
        <f t="shared" si="11"/>
        <v/>
      </c>
    </row>
    <row r="197" spans="1:14">
      <c r="A197" s="13"/>
      <c r="B197" s="13"/>
      <c r="C197" s="13"/>
      <c r="D197" s="13"/>
      <c r="E197" s="13"/>
      <c r="F197" s="5"/>
      <c r="G197" s="5"/>
      <c r="H197" s="5"/>
      <c r="I197" s="5"/>
      <c r="J197" s="5"/>
      <c r="K197" s="5"/>
      <c r="L197" s="5"/>
      <c r="M197" s="6" t="str">
        <f t="shared" ref="M197:M228" si="12">IF(A197="","",IF(N197="","HỢP LỆ","CẦN SỬA"))</f>
        <v/>
      </c>
      <c r="N197" s="6" t="str">
        <f t="shared" ref="N197:N204" si="13">IF(A197="","",IF(B197="","Thiếu NodeId",IF(D197="","Thiếu NodeType",IF(COUNTIF($B$5:$B$204,B197)&gt;1,"NodeId bị trùng",IF(COUNTIF($A$5:$A$204,A197)&gt;1,"NodeOrder bị trùng",IF(AND(D197="scene",OR(C197="",F197="",G197="")),"scene cần ActNo, Background, SceneName",IF(AND(D197="say",OR(H197="",J197="")),"say cần SpeakerKey và Text",IF(AND(D197="choice",OR(E197="",H197="",I197="",J197="")),"choice cần ChoiceMode, SpeakerKey, Mood, Question",IF(AND(D197="act",K197=""),"act cần số La Mã",IF(AND(D197="end",COUNTIF($D$5:$D$204,"end")&lt;&gt;1),"Phải có đúng 1 node end",""))))))))))</f>
        <v/>
      </c>
    </row>
    <row r="198" spans="1:14">
      <c r="A198" s="13"/>
      <c r="B198" s="13"/>
      <c r="C198" s="13"/>
      <c r="D198" s="13"/>
      <c r="E198" s="13"/>
      <c r="F198" s="5"/>
      <c r="G198" s="5"/>
      <c r="H198" s="5"/>
      <c r="I198" s="5"/>
      <c r="J198" s="5"/>
      <c r="K198" s="5"/>
      <c r="L198" s="5"/>
      <c r="M198" s="6" t="str">
        <f t="shared" si="12"/>
        <v/>
      </c>
      <c r="N198" s="6" t="str">
        <f t="shared" si="13"/>
        <v/>
      </c>
    </row>
    <row r="199" spans="1:14">
      <c r="A199" s="13"/>
      <c r="B199" s="13"/>
      <c r="C199" s="13"/>
      <c r="D199" s="13"/>
      <c r="E199" s="13"/>
      <c r="F199" s="5"/>
      <c r="G199" s="5"/>
      <c r="H199" s="5"/>
      <c r="I199" s="5"/>
      <c r="J199" s="5"/>
      <c r="K199" s="5"/>
      <c r="L199" s="5"/>
      <c r="M199" s="6" t="str">
        <f t="shared" si="12"/>
        <v/>
      </c>
      <c r="N199" s="6" t="str">
        <f t="shared" si="13"/>
        <v/>
      </c>
    </row>
    <row r="200" spans="1:14">
      <c r="A200" s="13"/>
      <c r="B200" s="13"/>
      <c r="C200" s="13"/>
      <c r="D200" s="13"/>
      <c r="E200" s="13"/>
      <c r="F200" s="5"/>
      <c r="G200" s="5"/>
      <c r="H200" s="5"/>
      <c r="I200" s="5"/>
      <c r="J200" s="5"/>
      <c r="K200" s="5"/>
      <c r="L200" s="5"/>
      <c r="M200" s="6" t="str">
        <f t="shared" si="12"/>
        <v/>
      </c>
      <c r="N200" s="6" t="str">
        <f t="shared" si="13"/>
        <v/>
      </c>
    </row>
    <row r="201" spans="1:14">
      <c r="A201" s="13"/>
      <c r="B201" s="13"/>
      <c r="C201" s="13"/>
      <c r="D201" s="13"/>
      <c r="E201" s="13"/>
      <c r="F201" s="5"/>
      <c r="G201" s="5"/>
      <c r="H201" s="5"/>
      <c r="I201" s="5"/>
      <c r="J201" s="5"/>
      <c r="K201" s="5"/>
      <c r="L201" s="5"/>
      <c r="M201" s="6" t="str">
        <f t="shared" si="12"/>
        <v/>
      </c>
      <c r="N201" s="6" t="str">
        <f t="shared" si="13"/>
        <v/>
      </c>
    </row>
    <row r="202" spans="1:14">
      <c r="A202" s="13"/>
      <c r="B202" s="13"/>
      <c r="C202" s="13"/>
      <c r="D202" s="13"/>
      <c r="E202" s="13"/>
      <c r="F202" s="5"/>
      <c r="G202" s="5"/>
      <c r="H202" s="5"/>
      <c r="I202" s="5"/>
      <c r="J202" s="5"/>
      <c r="K202" s="5"/>
      <c r="L202" s="5"/>
      <c r="M202" s="6" t="str">
        <f t="shared" si="12"/>
        <v/>
      </c>
      <c r="N202" s="6" t="str">
        <f t="shared" si="13"/>
        <v/>
      </c>
    </row>
    <row r="203" spans="1:14">
      <c r="A203" s="13"/>
      <c r="B203" s="13"/>
      <c r="C203" s="13"/>
      <c r="D203" s="13"/>
      <c r="E203" s="13"/>
      <c r="F203" s="5"/>
      <c r="G203" s="5"/>
      <c r="H203" s="5"/>
      <c r="I203" s="5"/>
      <c r="J203" s="5"/>
      <c r="K203" s="5"/>
      <c r="L203" s="5"/>
      <c r="M203" s="6" t="str">
        <f t="shared" si="12"/>
        <v/>
      </c>
      <c r="N203" s="6" t="str">
        <f t="shared" si="13"/>
        <v/>
      </c>
    </row>
    <row r="204" spans="1:14">
      <c r="A204" s="13"/>
      <c r="B204" s="13"/>
      <c r="C204" s="13"/>
      <c r="D204" s="13"/>
      <c r="E204" s="13"/>
      <c r="F204" s="5"/>
      <c r="G204" s="5"/>
      <c r="H204" s="5"/>
      <c r="I204" s="5"/>
      <c r="J204" s="5"/>
      <c r="K204" s="5"/>
      <c r="L204" s="5"/>
      <c r="M204" s="6" t="str">
        <f t="shared" si="12"/>
        <v/>
      </c>
      <c r="N204" s="6" t="str">
        <f t="shared" si="13"/>
        <v/>
      </c>
    </row>
  </sheetData>
  <mergeCells count="2">
    <mergeCell ref="A1:N1"/>
    <mergeCell ref="A2:N2"/>
  </mergeCells>
  <conditionalFormatting sqref="D5:D204">
    <cfRule type="expression" dxfId="19" priority="4">
      <formula>D5="scene"</formula>
    </cfRule>
    <cfRule type="expression" dxfId="18" priority="5">
      <formula>D5="choice"</formula>
    </cfRule>
    <cfRule type="expression" dxfId="17" priority="6">
      <formula>D5="end"</formula>
    </cfRule>
  </conditionalFormatting>
  <conditionalFormatting sqref="E5:E204">
    <cfRule type="expression" dxfId="16" priority="7">
      <formula>E5="Tương tác"</formula>
    </cfRule>
  </conditionalFormatting>
  <conditionalFormatting sqref="M5:M204">
    <cfRule type="expression" dxfId="15" priority="1">
      <formula>M5="HỢP LỆ"</formula>
    </cfRule>
    <cfRule type="expression" dxfId="14" priority="2">
      <formula>M5="CẦN SỬA"</formula>
    </cfRule>
  </conditionalFormatting>
  <conditionalFormatting sqref="N5:N204">
    <cfRule type="expression" dxfId="13" priority="3">
      <formula>N5&lt;&gt;""</formula>
    </cfRule>
  </conditionalFormatting>
  <dataValidations count="2">
    <dataValidation type="list" sqref="E5:E204" xr:uid="{00000000-0002-0000-0200-000000000000}">
      <formula1>"Kiến thức,Tương tác"</formula1>
    </dataValidation>
    <dataValidation type="list" sqref="K5:K204" xr:uid="{00000000-0002-0000-0200-000001000000}">
      <formula1>"I,II,III,IV,V,VI,VII,VIII,IX,X"</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04"/>
  <sheetViews>
    <sheetView workbookViewId="0"/>
  </sheetViews>
  <sheetFormatPr defaultRowHeight="14.25"/>
  <cols>
    <col min="1" max="1" width="16" customWidth="1"/>
    <col min="2" max="2" width="13" customWidth="1"/>
    <col min="3" max="3" width="55" customWidth="1"/>
    <col min="4" max="4" width="12" customWidth="1"/>
    <col min="5" max="5" width="9" customWidth="1"/>
    <col min="6" max="6" width="16" customWidth="1"/>
    <col min="7" max="7" width="13" customWidth="1"/>
    <col min="8" max="8" width="62" customWidth="1"/>
    <col min="9" max="9" width="22" customWidth="1"/>
    <col min="10" max="10" width="13" customWidth="1"/>
    <col min="11" max="11" width="31" customWidth="1"/>
  </cols>
  <sheetData>
    <row r="1" spans="1:11" ht="30" customHeight="1">
      <c r="A1" s="19" t="s">
        <v>156</v>
      </c>
      <c r="B1" s="19"/>
      <c r="C1" s="19"/>
      <c r="D1" s="19"/>
      <c r="E1" s="19"/>
      <c r="F1" s="19"/>
      <c r="G1" s="19"/>
      <c r="H1" s="19"/>
      <c r="I1" s="19"/>
      <c r="J1" s="19"/>
      <c r="K1" s="19"/>
    </row>
    <row r="2" spans="1:11" ht="36" customHeight="1">
      <c r="A2" s="20" t="s">
        <v>157</v>
      </c>
      <c r="B2" s="20"/>
      <c r="C2" s="20"/>
      <c r="D2" s="20"/>
      <c r="E2" s="20"/>
      <c r="F2" s="20"/>
      <c r="G2" s="20"/>
      <c r="H2" s="20"/>
      <c r="I2" s="20"/>
      <c r="J2" s="20"/>
      <c r="K2" s="20"/>
    </row>
    <row r="4" spans="1:11" ht="39.950000000000003" customHeight="1">
      <c r="A4" s="1" t="s">
        <v>158</v>
      </c>
      <c r="B4" s="1" t="s">
        <v>159</v>
      </c>
      <c r="C4" s="1" t="s">
        <v>160</v>
      </c>
      <c r="D4" s="1" t="s">
        <v>161</v>
      </c>
      <c r="E4" s="1" t="s">
        <v>162</v>
      </c>
      <c r="F4" s="1" t="s">
        <v>163</v>
      </c>
      <c r="G4" s="1" t="s">
        <v>164</v>
      </c>
      <c r="H4" s="1" t="s">
        <v>165</v>
      </c>
      <c r="I4" s="1" t="s">
        <v>139</v>
      </c>
      <c r="J4" s="1" t="s">
        <v>135</v>
      </c>
      <c r="K4" s="1" t="s">
        <v>155</v>
      </c>
    </row>
    <row r="5" spans="1:11" ht="15" customHeight="1">
      <c r="A5" s="16" t="s">
        <v>389</v>
      </c>
      <c r="B5" s="16">
        <v>1</v>
      </c>
      <c r="C5" s="15" t="s">
        <v>449</v>
      </c>
      <c r="D5" s="16" t="s">
        <v>127</v>
      </c>
      <c r="E5" s="16">
        <v>8</v>
      </c>
      <c r="F5" s="16" t="s">
        <v>201</v>
      </c>
      <c r="G5" s="16" t="s">
        <v>196</v>
      </c>
      <c r="H5" s="15" t="s">
        <v>450</v>
      </c>
      <c r="I5" s="15" t="s">
        <v>54</v>
      </c>
      <c r="J5" s="17" t="str">
        <f t="shared" ref="J5:J68" si="0">IF(A5="","",IF(K5="","HỢP LỆ","CẦN SỬA"))</f>
        <v>HỢP LỆ</v>
      </c>
      <c r="K5" s="17" t="str">
        <f>IF(A5="","",IF(COUNTIFS('02_KICH_BAN_NODES'!$B$5:$B$204,A5,'02_KICH_BAN_NODES'!$D$5:$D$204,"choice")=0,"ChoiceNodeId không tồn tại hoặc không phải choice",IF(COUNTIFS($A$5:$A$404,A5,$B$5:$B$404,B5)&gt;1,"Trùng OptionOrder trong cùng choice",IF(OR(B5="",C5="",D5="",F5="",H5=""),"Thiếu trường bắt buộc",IF(OR(COUNTIF($A$5:$A$404,A5)&lt;2,COUNTIF($A$5:$A$404,A5)&gt;4),"Mỗi choice cần 2–4 option",IF(COUNTIFS('02_KICH_BAN_NODES'!$B$5:$B$204,A5,'02_KICH_BAN_NODES'!$E$5:$E$204,"Kiến thức")=1,IF(COUNTIFS($A$5:$A$404,A5,$D$5:$D$404,"Có")&lt;&gt;1,"Choice kiến thức cần đúng 1 đáp án đúng",""),IF(COUNTIFS('02_KICH_BAN_NODES'!$B$5:$B$204,A5,'02_KICH_BAN_NODES'!$E$5:$E$204,"Tương tác")=1,IF(COUNTIFS($A$5:$A$404,A5,$D$5:$D$404,"Có")&lt;&gt;0,"Choice tương tác không được đánh dấu đáp án đúng",""),"Choice chưa chọn loại")))))))</f>
        <v/>
      </c>
    </row>
    <row r="6" spans="1:11" ht="15" customHeight="1">
      <c r="A6" s="16" t="s">
        <v>389</v>
      </c>
      <c r="B6" s="16">
        <v>2</v>
      </c>
      <c r="C6" s="15" t="s">
        <v>451</v>
      </c>
      <c r="D6" s="16" t="s">
        <v>127</v>
      </c>
      <c r="E6" s="16">
        <v>4</v>
      </c>
      <c r="F6" s="16" t="s">
        <v>201</v>
      </c>
      <c r="G6" s="16" t="s">
        <v>186</v>
      </c>
      <c r="H6" s="15" t="s">
        <v>452</v>
      </c>
      <c r="I6" s="15" t="s">
        <v>54</v>
      </c>
      <c r="J6" s="17" t="str">
        <f t="shared" si="0"/>
        <v>HỢP LỆ</v>
      </c>
      <c r="K6" s="17" t="str">
        <f>IF(A6="","",IF(COUNTIFS('02_KICH_BAN_NODES'!$B$5:$B$204,A6,'02_KICH_BAN_NODES'!$D$5:$D$204,"choice")=0,"ChoiceNodeId không tồn tại hoặc không phải choice",IF(COUNTIFS($A$5:$A$404,A6,$B$5:$B$404,B6)&gt;1,"Trùng OptionOrder trong cùng choice",IF(OR(B6="",C6="",D6="",F6="",H6=""),"Thiếu trường bắt buộc",IF(OR(COUNTIF($A$5:$A$404,A6)&lt;2,COUNTIF($A$5:$A$404,A6)&gt;4),"Mỗi choice cần 2–4 option",IF(COUNTIFS('02_KICH_BAN_NODES'!$B$5:$B$204,A6,'02_KICH_BAN_NODES'!$E$5:$E$204,"Kiến thức")=1,IF(COUNTIFS($A$5:$A$404,A6,$D$5:$D$404,"Có")&lt;&gt;1,"Choice kiến thức cần đúng 1 đáp án đúng",""),IF(COUNTIFS('02_KICH_BAN_NODES'!$B$5:$B$204,A6,'02_KICH_BAN_NODES'!$E$5:$E$204,"Tương tác")=1,IF(COUNTIFS($A$5:$A$404,A6,$D$5:$D$404,"Có")&lt;&gt;0,"Choice tương tác không được đánh dấu đáp án đúng",""),"Choice chưa chọn loại")))))))</f>
        <v/>
      </c>
    </row>
    <row r="7" spans="1:11" ht="39.6" customHeight="1">
      <c r="A7" s="16" t="s">
        <v>393</v>
      </c>
      <c r="B7" s="16">
        <v>1</v>
      </c>
      <c r="C7" s="15" t="s">
        <v>453</v>
      </c>
      <c r="D7" s="16" t="s">
        <v>96</v>
      </c>
      <c r="E7" s="16"/>
      <c r="F7" s="16" t="s">
        <v>211</v>
      </c>
      <c r="G7" s="16" t="s">
        <v>196</v>
      </c>
      <c r="H7" s="15" t="s">
        <v>454</v>
      </c>
      <c r="I7" s="15" t="s">
        <v>455</v>
      </c>
      <c r="J7" s="17" t="str">
        <f t="shared" si="0"/>
        <v>HỢP LỆ</v>
      </c>
      <c r="K7" s="17" t="str">
        <f>IF(A7="","",IF(COUNTIFS('02_KICH_BAN_NODES'!$B$5:$B$204,A7,'02_KICH_BAN_NODES'!$D$5:$D$204,"choice")=0,"ChoiceNodeId không tồn tại hoặc không phải choice",IF(COUNTIFS($A$5:$A$404,A7,$B$5:$B$404,B7)&gt;1,"Trùng OptionOrder trong cùng choice",IF(OR(B7="",C7="",D7="",F7="",H7=""),"Thiếu trường bắt buộc",IF(OR(COUNTIF($A$5:$A$404,A7)&lt;2,COUNTIF($A$5:$A$404,A7)&gt;4),"Mỗi choice cần 2–4 option",IF(COUNTIFS('02_KICH_BAN_NODES'!$B$5:$B$204,A7,'02_KICH_BAN_NODES'!$E$5:$E$204,"Kiến thức")=1,IF(COUNTIFS($A$5:$A$404,A7,$D$5:$D$404,"Có")&lt;&gt;1,"Choice kiến thức cần đúng 1 đáp án đúng",""),IF(COUNTIFS('02_KICH_BAN_NODES'!$B$5:$B$204,A7,'02_KICH_BAN_NODES'!$E$5:$E$204,"Tương tác")=1,IF(COUNTIFS($A$5:$A$404,A7,$D$5:$D$404,"Có")&lt;&gt;0,"Choice tương tác không được đánh dấu đáp án đúng",""),"Choice chưa chọn loại")))))))</f>
        <v/>
      </c>
    </row>
    <row r="8" spans="1:11" ht="26.45" customHeight="1">
      <c r="A8" s="16" t="s">
        <v>393</v>
      </c>
      <c r="B8" s="16">
        <v>2</v>
      </c>
      <c r="C8" s="15" t="s">
        <v>456</v>
      </c>
      <c r="D8" s="16" t="s">
        <v>127</v>
      </c>
      <c r="E8" s="16"/>
      <c r="F8" s="16" t="s">
        <v>211</v>
      </c>
      <c r="G8" s="16" t="s">
        <v>206</v>
      </c>
      <c r="H8" s="15" t="s">
        <v>457</v>
      </c>
      <c r="I8" s="15" t="s">
        <v>458</v>
      </c>
      <c r="J8" s="17" t="str">
        <f t="shared" si="0"/>
        <v>HỢP LỆ</v>
      </c>
      <c r="K8" s="17" t="str">
        <f>IF(A8="","",IF(COUNTIFS('02_KICH_BAN_NODES'!$B$5:$B$204,A8,'02_KICH_BAN_NODES'!$D$5:$D$204,"choice")=0,"ChoiceNodeId không tồn tại hoặc không phải choice",IF(COUNTIFS($A$5:$A$404,A8,$B$5:$B$404,B8)&gt;1,"Trùng OptionOrder trong cùng choice",IF(OR(B8="",C8="",D8="",F8="",H8=""),"Thiếu trường bắt buộc",IF(OR(COUNTIF($A$5:$A$404,A8)&lt;2,COUNTIF($A$5:$A$404,A8)&gt;4),"Mỗi choice cần 2–4 option",IF(COUNTIFS('02_KICH_BAN_NODES'!$B$5:$B$204,A8,'02_KICH_BAN_NODES'!$E$5:$E$204,"Kiến thức")=1,IF(COUNTIFS($A$5:$A$404,A8,$D$5:$D$404,"Có")&lt;&gt;1,"Choice kiến thức cần đúng 1 đáp án đúng",""),IF(COUNTIFS('02_KICH_BAN_NODES'!$B$5:$B$204,A8,'02_KICH_BAN_NODES'!$E$5:$E$204,"Tương tác")=1,IF(COUNTIFS($A$5:$A$404,A8,$D$5:$D$404,"Có")&lt;&gt;0,"Choice tương tác không được đánh dấu đáp án đúng",""),"Choice chưa chọn loại")))))))</f>
        <v/>
      </c>
    </row>
    <row r="9" spans="1:11" ht="26.45" customHeight="1">
      <c r="A9" s="16" t="s">
        <v>393</v>
      </c>
      <c r="B9" s="16">
        <v>3</v>
      </c>
      <c r="C9" s="15" t="s">
        <v>459</v>
      </c>
      <c r="D9" s="16" t="s">
        <v>127</v>
      </c>
      <c r="E9" s="16"/>
      <c r="F9" s="16" t="s">
        <v>211</v>
      </c>
      <c r="G9" s="16" t="s">
        <v>206</v>
      </c>
      <c r="H9" s="15" t="s">
        <v>457</v>
      </c>
      <c r="I9" s="15" t="s">
        <v>458</v>
      </c>
      <c r="J9" s="17" t="str">
        <f t="shared" si="0"/>
        <v>HỢP LỆ</v>
      </c>
      <c r="K9" s="17" t="str">
        <f>IF(A9="","",IF(COUNTIFS('02_KICH_BAN_NODES'!$B$5:$B$204,A9,'02_KICH_BAN_NODES'!$D$5:$D$204,"choice")=0,"ChoiceNodeId không tồn tại hoặc không phải choice",IF(COUNTIFS($A$5:$A$404,A9,$B$5:$B$404,B9)&gt;1,"Trùng OptionOrder trong cùng choice",IF(OR(B9="",C9="",D9="",F9="",H9=""),"Thiếu trường bắt buộc",IF(OR(COUNTIF($A$5:$A$404,A9)&lt;2,COUNTIF($A$5:$A$404,A9)&gt;4),"Mỗi choice cần 2–4 option",IF(COUNTIFS('02_KICH_BAN_NODES'!$B$5:$B$204,A9,'02_KICH_BAN_NODES'!$E$5:$E$204,"Kiến thức")=1,IF(COUNTIFS($A$5:$A$404,A9,$D$5:$D$404,"Có")&lt;&gt;1,"Choice kiến thức cần đúng 1 đáp án đúng",""),IF(COUNTIFS('02_KICH_BAN_NODES'!$B$5:$B$204,A9,'02_KICH_BAN_NODES'!$E$5:$E$204,"Tương tác")=1,IF(COUNTIFS($A$5:$A$404,A9,$D$5:$D$404,"Có")&lt;&gt;0,"Choice tương tác không được đánh dấu đáp án đúng",""),"Choice chưa chọn loại")))))))</f>
        <v/>
      </c>
    </row>
    <row r="10" spans="1:11" ht="26.45" customHeight="1">
      <c r="A10" s="16" t="s">
        <v>396</v>
      </c>
      <c r="B10" s="16">
        <v>1</v>
      </c>
      <c r="C10" s="15" t="s">
        <v>460</v>
      </c>
      <c r="D10" s="16" t="s">
        <v>96</v>
      </c>
      <c r="E10" s="16"/>
      <c r="F10" s="16" t="s">
        <v>201</v>
      </c>
      <c r="G10" s="16" t="s">
        <v>196</v>
      </c>
      <c r="H10" s="15" t="s">
        <v>461</v>
      </c>
      <c r="I10" s="15" t="s">
        <v>455</v>
      </c>
      <c r="J10" s="17" t="str">
        <f t="shared" si="0"/>
        <v>HỢP LỆ</v>
      </c>
      <c r="K10" s="17" t="str">
        <f>IF(A10="","",IF(COUNTIFS('02_KICH_BAN_NODES'!$B$5:$B$204,A10,'02_KICH_BAN_NODES'!$D$5:$D$204,"choice")=0,"ChoiceNodeId không tồn tại hoặc không phải choice",IF(COUNTIFS($A$5:$A$404,A10,$B$5:$B$404,B10)&gt;1,"Trùng OptionOrder trong cùng choice",IF(OR(B10="",C10="",D10="",F10="",H10=""),"Thiếu trường bắt buộc",IF(OR(COUNTIF($A$5:$A$404,A10)&lt;2,COUNTIF($A$5:$A$404,A10)&gt;4),"Mỗi choice cần 2–4 option",IF(COUNTIFS('02_KICH_BAN_NODES'!$B$5:$B$204,A10,'02_KICH_BAN_NODES'!$E$5:$E$204,"Kiến thức")=1,IF(COUNTIFS($A$5:$A$404,A10,$D$5:$D$404,"Có")&lt;&gt;1,"Choice kiến thức cần đúng 1 đáp án đúng",""),IF(COUNTIFS('02_KICH_BAN_NODES'!$B$5:$B$204,A10,'02_KICH_BAN_NODES'!$E$5:$E$204,"Tương tác")=1,IF(COUNTIFS($A$5:$A$404,A10,$D$5:$D$404,"Có")&lt;&gt;0,"Choice tương tác không được đánh dấu đáp án đúng",""),"Choice chưa chọn loại")))))))</f>
        <v/>
      </c>
    </row>
    <row r="11" spans="1:11" ht="26.45" customHeight="1">
      <c r="A11" s="16" t="s">
        <v>396</v>
      </c>
      <c r="B11" s="16">
        <v>2</v>
      </c>
      <c r="C11" s="15" t="s">
        <v>462</v>
      </c>
      <c r="D11" s="16" t="s">
        <v>127</v>
      </c>
      <c r="E11" s="16"/>
      <c r="F11" s="16" t="s">
        <v>201</v>
      </c>
      <c r="G11" s="16" t="s">
        <v>206</v>
      </c>
      <c r="H11" s="15" t="s">
        <v>463</v>
      </c>
      <c r="I11" s="15" t="s">
        <v>458</v>
      </c>
      <c r="J11" s="17" t="str">
        <f t="shared" si="0"/>
        <v>HỢP LỆ</v>
      </c>
      <c r="K11" s="17" t="str">
        <f>IF(A11="","",IF(COUNTIFS('02_KICH_BAN_NODES'!$B$5:$B$204,A11,'02_KICH_BAN_NODES'!$D$5:$D$204,"choice")=0,"ChoiceNodeId không tồn tại hoặc không phải choice",IF(COUNTIFS($A$5:$A$404,A11,$B$5:$B$404,B11)&gt;1,"Trùng OptionOrder trong cùng choice",IF(OR(B11="",C11="",D11="",F11="",H11=""),"Thiếu trường bắt buộc",IF(OR(COUNTIF($A$5:$A$404,A11)&lt;2,COUNTIF($A$5:$A$404,A11)&gt;4),"Mỗi choice cần 2–4 option",IF(COUNTIFS('02_KICH_BAN_NODES'!$B$5:$B$204,A11,'02_KICH_BAN_NODES'!$E$5:$E$204,"Kiến thức")=1,IF(COUNTIFS($A$5:$A$404,A11,$D$5:$D$404,"Có")&lt;&gt;1,"Choice kiến thức cần đúng 1 đáp án đúng",""),IF(COUNTIFS('02_KICH_BAN_NODES'!$B$5:$B$204,A11,'02_KICH_BAN_NODES'!$E$5:$E$204,"Tương tác")=1,IF(COUNTIFS($A$5:$A$404,A11,$D$5:$D$404,"Có")&lt;&gt;0,"Choice tương tác không được đánh dấu đáp án đúng",""),"Choice chưa chọn loại")))))))</f>
        <v/>
      </c>
    </row>
    <row r="12" spans="1:11" ht="26.45" customHeight="1">
      <c r="A12" s="16" t="s">
        <v>396</v>
      </c>
      <c r="B12" s="16">
        <v>3</v>
      </c>
      <c r="C12" s="15" t="s">
        <v>464</v>
      </c>
      <c r="D12" s="16" t="s">
        <v>127</v>
      </c>
      <c r="E12" s="16"/>
      <c r="F12" s="16" t="s">
        <v>201</v>
      </c>
      <c r="G12" s="16" t="s">
        <v>206</v>
      </c>
      <c r="H12" s="15" t="s">
        <v>463</v>
      </c>
      <c r="I12" s="15" t="s">
        <v>458</v>
      </c>
      <c r="J12" s="17" t="str">
        <f t="shared" si="0"/>
        <v>HỢP LỆ</v>
      </c>
      <c r="K12" s="17" t="str">
        <f>IF(A12="","",IF(COUNTIFS('02_KICH_BAN_NODES'!$B$5:$B$204,A12,'02_KICH_BAN_NODES'!$D$5:$D$204,"choice")=0,"ChoiceNodeId không tồn tại hoặc không phải choice",IF(COUNTIFS($A$5:$A$404,A12,$B$5:$B$404,B12)&gt;1,"Trùng OptionOrder trong cùng choice",IF(OR(B12="",C12="",D12="",F12="",H12=""),"Thiếu trường bắt buộc",IF(OR(COUNTIF($A$5:$A$404,A12)&lt;2,COUNTIF($A$5:$A$404,A12)&gt;4),"Mỗi choice cần 2–4 option",IF(COUNTIFS('02_KICH_BAN_NODES'!$B$5:$B$204,A12,'02_KICH_BAN_NODES'!$E$5:$E$204,"Kiến thức")=1,IF(COUNTIFS($A$5:$A$404,A12,$D$5:$D$404,"Có")&lt;&gt;1,"Choice kiến thức cần đúng 1 đáp án đúng",""),IF(COUNTIFS('02_KICH_BAN_NODES'!$B$5:$B$204,A12,'02_KICH_BAN_NODES'!$E$5:$E$204,"Tương tác")=1,IF(COUNTIFS($A$5:$A$404,A12,$D$5:$D$404,"Có")&lt;&gt;0,"Choice tương tác không được đánh dấu đáp án đúng",""),"Choice chưa chọn loại")))))))</f>
        <v/>
      </c>
    </row>
    <row r="13" spans="1:11" ht="26.45" customHeight="1">
      <c r="A13" s="16" t="s">
        <v>398</v>
      </c>
      <c r="B13" s="16">
        <v>1</v>
      </c>
      <c r="C13" s="15" t="s">
        <v>465</v>
      </c>
      <c r="D13" s="16" t="s">
        <v>96</v>
      </c>
      <c r="E13" s="16"/>
      <c r="F13" s="16" t="s">
        <v>218</v>
      </c>
      <c r="G13" s="16" t="s">
        <v>186</v>
      </c>
      <c r="H13" s="15" t="s">
        <v>466</v>
      </c>
      <c r="I13" s="15" t="s">
        <v>455</v>
      </c>
      <c r="J13" s="17" t="str">
        <f t="shared" si="0"/>
        <v>HỢP LỆ</v>
      </c>
      <c r="K13" s="17" t="str">
        <f>IF(A13="","",IF(COUNTIFS('02_KICH_BAN_NODES'!$B$5:$B$204,A13,'02_KICH_BAN_NODES'!$D$5:$D$204,"choice")=0,"ChoiceNodeId không tồn tại hoặc không phải choice",IF(COUNTIFS($A$5:$A$404,A13,$B$5:$B$404,B13)&gt;1,"Trùng OptionOrder trong cùng choice",IF(OR(B13="",C13="",D13="",F13="",H13=""),"Thiếu trường bắt buộc",IF(OR(COUNTIF($A$5:$A$404,A13)&lt;2,COUNTIF($A$5:$A$404,A13)&gt;4),"Mỗi choice cần 2–4 option",IF(COUNTIFS('02_KICH_BAN_NODES'!$B$5:$B$204,A13,'02_KICH_BAN_NODES'!$E$5:$E$204,"Kiến thức")=1,IF(COUNTIFS($A$5:$A$404,A13,$D$5:$D$404,"Có")&lt;&gt;1,"Choice kiến thức cần đúng 1 đáp án đúng",""),IF(COUNTIFS('02_KICH_BAN_NODES'!$B$5:$B$204,A13,'02_KICH_BAN_NODES'!$E$5:$E$204,"Tương tác")=1,IF(COUNTIFS($A$5:$A$404,A13,$D$5:$D$404,"Có")&lt;&gt;0,"Choice tương tác không được đánh dấu đáp án đúng",""),"Choice chưa chọn loại")))))))</f>
        <v/>
      </c>
    </row>
    <row r="14" spans="1:11" ht="26.45" customHeight="1">
      <c r="A14" s="16" t="s">
        <v>398</v>
      </c>
      <c r="B14" s="16">
        <v>2</v>
      </c>
      <c r="C14" s="15" t="s">
        <v>467</v>
      </c>
      <c r="D14" s="16" t="s">
        <v>127</v>
      </c>
      <c r="E14" s="16"/>
      <c r="F14" s="16" t="s">
        <v>218</v>
      </c>
      <c r="G14" s="16" t="s">
        <v>214</v>
      </c>
      <c r="H14" s="15" t="s">
        <v>468</v>
      </c>
      <c r="I14" s="15" t="s">
        <v>458</v>
      </c>
      <c r="J14" s="17" t="str">
        <f t="shared" si="0"/>
        <v>HỢP LỆ</v>
      </c>
      <c r="K14" s="17" t="str">
        <f>IF(A14="","",IF(COUNTIFS('02_KICH_BAN_NODES'!$B$5:$B$204,A14,'02_KICH_BAN_NODES'!$D$5:$D$204,"choice")=0,"ChoiceNodeId không tồn tại hoặc không phải choice",IF(COUNTIFS($A$5:$A$404,A14,$B$5:$B$404,B14)&gt;1,"Trùng OptionOrder trong cùng choice",IF(OR(B14="",C14="",D14="",F14="",H14=""),"Thiếu trường bắt buộc",IF(OR(COUNTIF($A$5:$A$404,A14)&lt;2,COUNTIF($A$5:$A$404,A14)&gt;4),"Mỗi choice cần 2–4 option",IF(COUNTIFS('02_KICH_BAN_NODES'!$B$5:$B$204,A14,'02_KICH_BAN_NODES'!$E$5:$E$204,"Kiến thức")=1,IF(COUNTIFS($A$5:$A$404,A14,$D$5:$D$404,"Có")&lt;&gt;1,"Choice kiến thức cần đúng 1 đáp án đúng",""),IF(COUNTIFS('02_KICH_BAN_NODES'!$B$5:$B$204,A14,'02_KICH_BAN_NODES'!$E$5:$E$204,"Tương tác")=1,IF(COUNTIFS($A$5:$A$404,A14,$D$5:$D$404,"Có")&lt;&gt;0,"Choice tương tác không được đánh dấu đáp án đúng",""),"Choice chưa chọn loại")))))))</f>
        <v/>
      </c>
    </row>
    <row r="15" spans="1:11" ht="26.45" customHeight="1">
      <c r="A15" s="16" t="s">
        <v>398</v>
      </c>
      <c r="B15" s="16">
        <v>3</v>
      </c>
      <c r="C15" s="15" t="s">
        <v>469</v>
      </c>
      <c r="D15" s="16" t="s">
        <v>127</v>
      </c>
      <c r="E15" s="16"/>
      <c r="F15" s="16" t="s">
        <v>218</v>
      </c>
      <c r="G15" s="16" t="s">
        <v>214</v>
      </c>
      <c r="H15" s="15" t="s">
        <v>468</v>
      </c>
      <c r="I15" s="15" t="s">
        <v>458</v>
      </c>
      <c r="J15" s="17" t="str">
        <f t="shared" si="0"/>
        <v>HỢP LỆ</v>
      </c>
      <c r="K15" s="17" t="str">
        <f>IF(A15="","",IF(COUNTIFS('02_KICH_BAN_NODES'!$B$5:$B$204,A15,'02_KICH_BAN_NODES'!$D$5:$D$204,"choice")=0,"ChoiceNodeId không tồn tại hoặc không phải choice",IF(COUNTIFS($A$5:$A$404,A15,$B$5:$B$404,B15)&gt;1,"Trùng OptionOrder trong cùng choice",IF(OR(B15="",C15="",D15="",F15="",H15=""),"Thiếu trường bắt buộc",IF(OR(COUNTIF($A$5:$A$404,A15)&lt;2,COUNTIF($A$5:$A$404,A15)&gt;4),"Mỗi choice cần 2–4 option",IF(COUNTIFS('02_KICH_BAN_NODES'!$B$5:$B$204,A15,'02_KICH_BAN_NODES'!$E$5:$E$204,"Kiến thức")=1,IF(COUNTIFS($A$5:$A$404,A15,$D$5:$D$404,"Có")&lt;&gt;1,"Choice kiến thức cần đúng 1 đáp án đúng",""),IF(COUNTIFS('02_KICH_BAN_NODES'!$B$5:$B$204,A15,'02_KICH_BAN_NODES'!$E$5:$E$204,"Tương tác")=1,IF(COUNTIFS($A$5:$A$404,A15,$D$5:$D$404,"Có")&lt;&gt;0,"Choice tương tác không được đánh dấu đáp án đúng",""),"Choice chưa chọn loại")))))))</f>
        <v/>
      </c>
    </row>
    <row r="16" spans="1:11" ht="26.45" customHeight="1">
      <c r="A16" s="16" t="s">
        <v>400</v>
      </c>
      <c r="B16" s="16">
        <v>1</v>
      </c>
      <c r="C16" s="15" t="s">
        <v>470</v>
      </c>
      <c r="D16" s="16" t="s">
        <v>96</v>
      </c>
      <c r="E16" s="16"/>
      <c r="F16" s="16" t="s">
        <v>211</v>
      </c>
      <c r="G16" s="16" t="s">
        <v>196</v>
      </c>
      <c r="H16" s="15" t="s">
        <v>471</v>
      </c>
      <c r="I16" s="15" t="s">
        <v>455</v>
      </c>
      <c r="J16" s="17" t="str">
        <f t="shared" si="0"/>
        <v>HỢP LỆ</v>
      </c>
      <c r="K16" s="17" t="str">
        <f>IF(A16="","",IF(COUNTIFS('02_KICH_BAN_NODES'!$B$5:$B$204,A16,'02_KICH_BAN_NODES'!$D$5:$D$204,"choice")=0,"ChoiceNodeId không tồn tại hoặc không phải choice",IF(COUNTIFS($A$5:$A$404,A16,$B$5:$B$404,B16)&gt;1,"Trùng OptionOrder trong cùng choice",IF(OR(B16="",C16="",D16="",F16="",H16=""),"Thiếu trường bắt buộc",IF(OR(COUNTIF($A$5:$A$404,A16)&lt;2,COUNTIF($A$5:$A$404,A16)&gt;4),"Mỗi choice cần 2–4 option",IF(COUNTIFS('02_KICH_BAN_NODES'!$B$5:$B$204,A16,'02_KICH_BAN_NODES'!$E$5:$E$204,"Kiến thức")=1,IF(COUNTIFS($A$5:$A$404,A16,$D$5:$D$404,"Có")&lt;&gt;1,"Choice kiến thức cần đúng 1 đáp án đúng",""),IF(COUNTIFS('02_KICH_BAN_NODES'!$B$5:$B$204,A16,'02_KICH_BAN_NODES'!$E$5:$E$204,"Tương tác")=1,IF(COUNTIFS($A$5:$A$404,A16,$D$5:$D$404,"Có")&lt;&gt;0,"Choice tương tác không được đánh dấu đáp án đúng",""),"Choice chưa chọn loại")))))))</f>
        <v/>
      </c>
    </row>
    <row r="17" spans="1:11" ht="26.45" customHeight="1">
      <c r="A17" s="16" t="s">
        <v>400</v>
      </c>
      <c r="B17" s="16">
        <v>2</v>
      </c>
      <c r="C17" s="15" t="s">
        <v>472</v>
      </c>
      <c r="D17" s="16" t="s">
        <v>127</v>
      </c>
      <c r="E17" s="16"/>
      <c r="F17" s="16" t="s">
        <v>211</v>
      </c>
      <c r="G17" s="16" t="s">
        <v>206</v>
      </c>
      <c r="H17" s="15" t="s">
        <v>473</v>
      </c>
      <c r="I17" s="15" t="s">
        <v>458</v>
      </c>
      <c r="J17" s="17" t="str">
        <f t="shared" si="0"/>
        <v>HỢP LỆ</v>
      </c>
      <c r="K17" s="17" t="str">
        <f>IF(A17="","",IF(COUNTIFS('02_KICH_BAN_NODES'!$B$5:$B$204,A17,'02_KICH_BAN_NODES'!$D$5:$D$204,"choice")=0,"ChoiceNodeId không tồn tại hoặc không phải choice",IF(COUNTIFS($A$5:$A$404,A17,$B$5:$B$404,B17)&gt;1,"Trùng OptionOrder trong cùng choice",IF(OR(B17="",C17="",D17="",F17="",H17=""),"Thiếu trường bắt buộc",IF(OR(COUNTIF($A$5:$A$404,A17)&lt;2,COUNTIF($A$5:$A$404,A17)&gt;4),"Mỗi choice cần 2–4 option",IF(COUNTIFS('02_KICH_BAN_NODES'!$B$5:$B$204,A17,'02_KICH_BAN_NODES'!$E$5:$E$204,"Kiến thức")=1,IF(COUNTIFS($A$5:$A$404,A17,$D$5:$D$404,"Có")&lt;&gt;1,"Choice kiến thức cần đúng 1 đáp án đúng",""),IF(COUNTIFS('02_KICH_BAN_NODES'!$B$5:$B$204,A17,'02_KICH_BAN_NODES'!$E$5:$E$204,"Tương tác")=1,IF(COUNTIFS($A$5:$A$404,A17,$D$5:$D$404,"Có")&lt;&gt;0,"Choice tương tác không được đánh dấu đáp án đúng",""),"Choice chưa chọn loại")))))))</f>
        <v/>
      </c>
    </row>
    <row r="18" spans="1:11" ht="26.45" customHeight="1">
      <c r="A18" s="16" t="s">
        <v>400</v>
      </c>
      <c r="B18" s="16">
        <v>3</v>
      </c>
      <c r="C18" s="15" t="s">
        <v>474</v>
      </c>
      <c r="D18" s="16" t="s">
        <v>127</v>
      </c>
      <c r="E18" s="16"/>
      <c r="F18" s="16" t="s">
        <v>211</v>
      </c>
      <c r="G18" s="16" t="s">
        <v>206</v>
      </c>
      <c r="H18" s="15" t="s">
        <v>473</v>
      </c>
      <c r="I18" s="15" t="s">
        <v>458</v>
      </c>
      <c r="J18" s="17" t="str">
        <f t="shared" si="0"/>
        <v>HỢP LỆ</v>
      </c>
      <c r="K18" s="17" t="str">
        <f>IF(A18="","",IF(COUNTIFS('02_KICH_BAN_NODES'!$B$5:$B$204,A18,'02_KICH_BAN_NODES'!$D$5:$D$204,"choice")=0,"ChoiceNodeId không tồn tại hoặc không phải choice",IF(COUNTIFS($A$5:$A$404,A18,$B$5:$B$404,B18)&gt;1,"Trùng OptionOrder trong cùng choice",IF(OR(B18="",C18="",D18="",F18="",H18=""),"Thiếu trường bắt buộc",IF(OR(COUNTIF($A$5:$A$404,A18)&lt;2,COUNTIF($A$5:$A$404,A18)&gt;4),"Mỗi choice cần 2–4 option",IF(COUNTIFS('02_KICH_BAN_NODES'!$B$5:$B$204,A18,'02_KICH_BAN_NODES'!$E$5:$E$204,"Kiến thức")=1,IF(COUNTIFS($A$5:$A$404,A18,$D$5:$D$404,"Có")&lt;&gt;1,"Choice kiến thức cần đúng 1 đáp án đúng",""),IF(COUNTIFS('02_KICH_BAN_NODES'!$B$5:$B$204,A18,'02_KICH_BAN_NODES'!$E$5:$E$204,"Tương tác")=1,IF(COUNTIFS($A$5:$A$404,A18,$D$5:$D$404,"Có")&lt;&gt;0,"Choice tương tác không được đánh dấu đáp án đúng",""),"Choice chưa chọn loại")))))))</f>
        <v/>
      </c>
    </row>
    <row r="19" spans="1:11" ht="26.45" customHeight="1">
      <c r="A19" s="16" t="s">
        <v>412</v>
      </c>
      <c r="B19" s="16">
        <v>1</v>
      </c>
      <c r="C19" s="15" t="s">
        <v>475</v>
      </c>
      <c r="D19" s="16" t="s">
        <v>96</v>
      </c>
      <c r="E19" s="16"/>
      <c r="F19" s="16" t="s">
        <v>218</v>
      </c>
      <c r="G19" s="16" t="s">
        <v>186</v>
      </c>
      <c r="H19" s="15" t="s">
        <v>476</v>
      </c>
      <c r="I19" s="15" t="s">
        <v>455</v>
      </c>
      <c r="J19" s="17" t="str">
        <f t="shared" si="0"/>
        <v>HỢP LỆ</v>
      </c>
      <c r="K19" s="17" t="str">
        <f>IF(A19="","",IF(COUNTIFS('02_KICH_BAN_NODES'!$B$5:$B$204,A19,'02_KICH_BAN_NODES'!$D$5:$D$204,"choice")=0,"ChoiceNodeId không tồn tại hoặc không phải choice",IF(COUNTIFS($A$5:$A$404,A19,$B$5:$B$404,B19)&gt;1,"Trùng OptionOrder trong cùng choice",IF(OR(B19="",C19="",D19="",F19="",H19=""),"Thiếu trường bắt buộc",IF(OR(COUNTIF($A$5:$A$404,A19)&lt;2,COUNTIF($A$5:$A$404,A19)&gt;4),"Mỗi choice cần 2–4 option",IF(COUNTIFS('02_KICH_BAN_NODES'!$B$5:$B$204,A19,'02_KICH_BAN_NODES'!$E$5:$E$204,"Kiến thức")=1,IF(COUNTIFS($A$5:$A$404,A19,$D$5:$D$404,"Có")&lt;&gt;1,"Choice kiến thức cần đúng 1 đáp án đúng",""),IF(COUNTIFS('02_KICH_BAN_NODES'!$B$5:$B$204,A19,'02_KICH_BAN_NODES'!$E$5:$E$204,"Tương tác")=1,IF(COUNTIFS($A$5:$A$404,A19,$D$5:$D$404,"Có")&lt;&gt;0,"Choice tương tác không được đánh dấu đáp án đúng",""),"Choice chưa chọn loại")))))))</f>
        <v/>
      </c>
    </row>
    <row r="20" spans="1:11" ht="26.45" customHeight="1">
      <c r="A20" s="16" t="s">
        <v>412</v>
      </c>
      <c r="B20" s="16">
        <v>2</v>
      </c>
      <c r="C20" s="15" t="s">
        <v>477</v>
      </c>
      <c r="D20" s="16" t="s">
        <v>127</v>
      </c>
      <c r="E20" s="16"/>
      <c r="F20" s="16" t="s">
        <v>218</v>
      </c>
      <c r="G20" s="16" t="s">
        <v>214</v>
      </c>
      <c r="H20" s="15" t="s">
        <v>478</v>
      </c>
      <c r="I20" s="15" t="s">
        <v>458</v>
      </c>
      <c r="J20" s="17" t="str">
        <f t="shared" si="0"/>
        <v>HỢP LỆ</v>
      </c>
      <c r="K20" s="17" t="str">
        <f>IF(A20="","",IF(COUNTIFS('02_KICH_BAN_NODES'!$B$5:$B$204,A20,'02_KICH_BAN_NODES'!$D$5:$D$204,"choice")=0,"ChoiceNodeId không tồn tại hoặc không phải choice",IF(COUNTIFS($A$5:$A$404,A20,$B$5:$B$404,B20)&gt;1,"Trùng OptionOrder trong cùng choice",IF(OR(B20="",C20="",D20="",F20="",H20=""),"Thiếu trường bắt buộc",IF(OR(COUNTIF($A$5:$A$404,A20)&lt;2,COUNTIF($A$5:$A$404,A20)&gt;4),"Mỗi choice cần 2–4 option",IF(COUNTIFS('02_KICH_BAN_NODES'!$B$5:$B$204,A20,'02_KICH_BAN_NODES'!$E$5:$E$204,"Kiến thức")=1,IF(COUNTIFS($A$5:$A$404,A20,$D$5:$D$404,"Có")&lt;&gt;1,"Choice kiến thức cần đúng 1 đáp án đúng",""),IF(COUNTIFS('02_KICH_BAN_NODES'!$B$5:$B$204,A20,'02_KICH_BAN_NODES'!$E$5:$E$204,"Tương tác")=1,IF(COUNTIFS($A$5:$A$404,A20,$D$5:$D$404,"Có")&lt;&gt;0,"Choice tương tác không được đánh dấu đáp án đúng",""),"Choice chưa chọn loại")))))))</f>
        <v/>
      </c>
    </row>
    <row r="21" spans="1:11" ht="26.45" customHeight="1">
      <c r="A21" s="16" t="s">
        <v>412</v>
      </c>
      <c r="B21" s="16">
        <v>3</v>
      </c>
      <c r="C21" s="15" t="s">
        <v>479</v>
      </c>
      <c r="D21" s="16" t="s">
        <v>127</v>
      </c>
      <c r="E21" s="16"/>
      <c r="F21" s="16" t="s">
        <v>218</v>
      </c>
      <c r="G21" s="16" t="s">
        <v>214</v>
      </c>
      <c r="H21" s="15" t="s">
        <v>478</v>
      </c>
      <c r="I21" s="15" t="s">
        <v>458</v>
      </c>
      <c r="J21" s="17" t="str">
        <f t="shared" si="0"/>
        <v>HỢP LỆ</v>
      </c>
      <c r="K21" s="17" t="str">
        <f>IF(A21="","",IF(COUNTIFS('02_KICH_BAN_NODES'!$B$5:$B$204,A21,'02_KICH_BAN_NODES'!$D$5:$D$204,"choice")=0,"ChoiceNodeId không tồn tại hoặc không phải choice",IF(COUNTIFS($A$5:$A$404,A21,$B$5:$B$404,B21)&gt;1,"Trùng OptionOrder trong cùng choice",IF(OR(B21="",C21="",D21="",F21="",H21=""),"Thiếu trường bắt buộc",IF(OR(COUNTIF($A$5:$A$404,A21)&lt;2,COUNTIF($A$5:$A$404,A21)&gt;4),"Mỗi choice cần 2–4 option",IF(COUNTIFS('02_KICH_BAN_NODES'!$B$5:$B$204,A21,'02_KICH_BAN_NODES'!$E$5:$E$204,"Kiến thức")=1,IF(COUNTIFS($A$5:$A$404,A21,$D$5:$D$404,"Có")&lt;&gt;1,"Choice kiến thức cần đúng 1 đáp án đúng",""),IF(COUNTIFS('02_KICH_BAN_NODES'!$B$5:$B$204,A21,'02_KICH_BAN_NODES'!$E$5:$E$204,"Tương tác")=1,IF(COUNTIFS($A$5:$A$404,A21,$D$5:$D$404,"Có")&lt;&gt;0,"Choice tương tác không được đánh dấu đáp án đúng",""),"Choice chưa chọn loại")))))))</f>
        <v/>
      </c>
    </row>
    <row r="22" spans="1:11" ht="26.45" customHeight="1">
      <c r="A22" s="16" t="s">
        <v>414</v>
      </c>
      <c r="B22" s="16">
        <v>1</v>
      </c>
      <c r="C22" s="15" t="s">
        <v>480</v>
      </c>
      <c r="D22" s="16" t="s">
        <v>96</v>
      </c>
      <c r="E22" s="16"/>
      <c r="F22" s="16" t="s">
        <v>211</v>
      </c>
      <c r="G22" s="16" t="s">
        <v>196</v>
      </c>
      <c r="H22" s="15" t="s">
        <v>481</v>
      </c>
      <c r="I22" s="15" t="s">
        <v>455</v>
      </c>
      <c r="J22" s="17" t="str">
        <f t="shared" si="0"/>
        <v>HỢP LỆ</v>
      </c>
      <c r="K22" s="17" t="str">
        <f>IF(A22="","",IF(COUNTIFS('02_KICH_BAN_NODES'!$B$5:$B$204,A22,'02_KICH_BAN_NODES'!$D$5:$D$204,"choice")=0,"ChoiceNodeId không tồn tại hoặc không phải choice",IF(COUNTIFS($A$5:$A$404,A22,$B$5:$B$404,B22)&gt;1,"Trùng OptionOrder trong cùng choice",IF(OR(B22="",C22="",D22="",F22="",H22=""),"Thiếu trường bắt buộc",IF(OR(COUNTIF($A$5:$A$404,A22)&lt;2,COUNTIF($A$5:$A$404,A22)&gt;4),"Mỗi choice cần 2–4 option",IF(COUNTIFS('02_KICH_BAN_NODES'!$B$5:$B$204,A22,'02_KICH_BAN_NODES'!$E$5:$E$204,"Kiến thức")=1,IF(COUNTIFS($A$5:$A$404,A22,$D$5:$D$404,"Có")&lt;&gt;1,"Choice kiến thức cần đúng 1 đáp án đúng",""),IF(COUNTIFS('02_KICH_BAN_NODES'!$B$5:$B$204,A22,'02_KICH_BAN_NODES'!$E$5:$E$204,"Tương tác")=1,IF(COUNTIFS($A$5:$A$404,A22,$D$5:$D$404,"Có")&lt;&gt;0,"Choice tương tác không được đánh dấu đáp án đúng",""),"Choice chưa chọn loại")))))))</f>
        <v/>
      </c>
    </row>
    <row r="23" spans="1:11" ht="26.45" customHeight="1">
      <c r="A23" s="16" t="s">
        <v>414</v>
      </c>
      <c r="B23" s="16">
        <v>2</v>
      </c>
      <c r="C23" s="15" t="s">
        <v>482</v>
      </c>
      <c r="D23" s="16" t="s">
        <v>127</v>
      </c>
      <c r="E23" s="16"/>
      <c r="F23" s="16" t="s">
        <v>211</v>
      </c>
      <c r="G23" s="16" t="s">
        <v>206</v>
      </c>
      <c r="H23" s="15" t="s">
        <v>483</v>
      </c>
      <c r="I23" s="15" t="s">
        <v>458</v>
      </c>
      <c r="J23" s="17" t="str">
        <f t="shared" si="0"/>
        <v>HỢP LỆ</v>
      </c>
      <c r="K23" s="17" t="str">
        <f>IF(A23="","",IF(COUNTIFS('02_KICH_BAN_NODES'!$B$5:$B$204,A23,'02_KICH_BAN_NODES'!$D$5:$D$204,"choice")=0,"ChoiceNodeId không tồn tại hoặc không phải choice",IF(COUNTIFS($A$5:$A$404,A23,$B$5:$B$404,B23)&gt;1,"Trùng OptionOrder trong cùng choice",IF(OR(B23="",C23="",D23="",F23="",H23=""),"Thiếu trường bắt buộc",IF(OR(COUNTIF($A$5:$A$404,A23)&lt;2,COUNTIF($A$5:$A$404,A23)&gt;4),"Mỗi choice cần 2–4 option",IF(COUNTIFS('02_KICH_BAN_NODES'!$B$5:$B$204,A23,'02_KICH_BAN_NODES'!$E$5:$E$204,"Kiến thức")=1,IF(COUNTIFS($A$5:$A$404,A23,$D$5:$D$404,"Có")&lt;&gt;1,"Choice kiến thức cần đúng 1 đáp án đúng",""),IF(COUNTIFS('02_KICH_BAN_NODES'!$B$5:$B$204,A23,'02_KICH_BAN_NODES'!$E$5:$E$204,"Tương tác")=1,IF(COUNTIFS($A$5:$A$404,A23,$D$5:$D$404,"Có")&lt;&gt;0,"Choice tương tác không được đánh dấu đáp án đúng",""),"Choice chưa chọn loại")))))))</f>
        <v/>
      </c>
    </row>
    <row r="24" spans="1:11" ht="26.45" customHeight="1">
      <c r="A24" s="16" t="s">
        <v>414</v>
      </c>
      <c r="B24" s="16">
        <v>3</v>
      </c>
      <c r="C24" s="15" t="s">
        <v>484</v>
      </c>
      <c r="D24" s="16" t="s">
        <v>127</v>
      </c>
      <c r="E24" s="16"/>
      <c r="F24" s="16" t="s">
        <v>211</v>
      </c>
      <c r="G24" s="16" t="s">
        <v>206</v>
      </c>
      <c r="H24" s="15" t="s">
        <v>483</v>
      </c>
      <c r="I24" s="15" t="s">
        <v>458</v>
      </c>
      <c r="J24" s="17" t="str">
        <f t="shared" si="0"/>
        <v>HỢP LỆ</v>
      </c>
      <c r="K24" s="17" t="str">
        <f>IF(A24="","",IF(COUNTIFS('02_KICH_BAN_NODES'!$B$5:$B$204,A24,'02_KICH_BAN_NODES'!$D$5:$D$204,"choice")=0,"ChoiceNodeId không tồn tại hoặc không phải choice",IF(COUNTIFS($A$5:$A$404,A24,$B$5:$B$404,B24)&gt;1,"Trùng OptionOrder trong cùng choice",IF(OR(B24="",C24="",D24="",F24="",H24=""),"Thiếu trường bắt buộc",IF(OR(COUNTIF($A$5:$A$404,A24)&lt;2,COUNTIF($A$5:$A$404,A24)&gt;4),"Mỗi choice cần 2–4 option",IF(COUNTIFS('02_KICH_BAN_NODES'!$B$5:$B$204,A24,'02_KICH_BAN_NODES'!$E$5:$E$204,"Kiến thức")=1,IF(COUNTIFS($A$5:$A$404,A24,$D$5:$D$404,"Có")&lt;&gt;1,"Choice kiến thức cần đúng 1 đáp án đúng",""),IF(COUNTIFS('02_KICH_BAN_NODES'!$B$5:$B$204,A24,'02_KICH_BAN_NODES'!$E$5:$E$204,"Tương tác")=1,IF(COUNTIFS($A$5:$A$404,A24,$D$5:$D$404,"Có")&lt;&gt;0,"Choice tương tác không được đánh dấu đáp án đúng",""),"Choice chưa chọn loại")))))))</f>
        <v/>
      </c>
    </row>
    <row r="25" spans="1:11" ht="26.45" customHeight="1">
      <c r="A25" s="16" t="s">
        <v>416</v>
      </c>
      <c r="B25" s="16">
        <v>1</v>
      </c>
      <c r="C25" s="15" t="s">
        <v>485</v>
      </c>
      <c r="D25" s="16" t="s">
        <v>96</v>
      </c>
      <c r="E25" s="16"/>
      <c r="F25" s="16" t="s">
        <v>201</v>
      </c>
      <c r="G25" s="16" t="s">
        <v>196</v>
      </c>
      <c r="H25" s="15" t="s">
        <v>486</v>
      </c>
      <c r="I25" s="15" t="s">
        <v>455</v>
      </c>
      <c r="J25" s="17" t="str">
        <f t="shared" si="0"/>
        <v>HỢP LỆ</v>
      </c>
      <c r="K25" s="17" t="str">
        <f>IF(A25="","",IF(COUNTIFS('02_KICH_BAN_NODES'!$B$5:$B$204,A25,'02_KICH_BAN_NODES'!$D$5:$D$204,"choice")=0,"ChoiceNodeId không tồn tại hoặc không phải choice",IF(COUNTIFS($A$5:$A$404,A25,$B$5:$B$404,B25)&gt;1,"Trùng OptionOrder trong cùng choice",IF(OR(B25="",C25="",D25="",F25="",H25=""),"Thiếu trường bắt buộc",IF(OR(COUNTIF($A$5:$A$404,A25)&lt;2,COUNTIF($A$5:$A$404,A25)&gt;4),"Mỗi choice cần 2–4 option",IF(COUNTIFS('02_KICH_BAN_NODES'!$B$5:$B$204,A25,'02_KICH_BAN_NODES'!$E$5:$E$204,"Kiến thức")=1,IF(COUNTIFS($A$5:$A$404,A25,$D$5:$D$404,"Có")&lt;&gt;1,"Choice kiến thức cần đúng 1 đáp án đúng",""),IF(COUNTIFS('02_KICH_BAN_NODES'!$B$5:$B$204,A25,'02_KICH_BAN_NODES'!$E$5:$E$204,"Tương tác")=1,IF(COUNTIFS($A$5:$A$404,A25,$D$5:$D$404,"Có")&lt;&gt;0,"Choice tương tác không được đánh dấu đáp án đúng",""),"Choice chưa chọn loại")))))))</f>
        <v/>
      </c>
    </row>
    <row r="26" spans="1:11" ht="26.45" customHeight="1">
      <c r="A26" s="16" t="s">
        <v>416</v>
      </c>
      <c r="B26" s="16">
        <v>2</v>
      </c>
      <c r="C26" s="15" t="s">
        <v>487</v>
      </c>
      <c r="D26" s="16" t="s">
        <v>127</v>
      </c>
      <c r="E26" s="16"/>
      <c r="F26" s="16" t="s">
        <v>201</v>
      </c>
      <c r="G26" s="16" t="s">
        <v>206</v>
      </c>
      <c r="H26" s="15" t="s">
        <v>488</v>
      </c>
      <c r="I26" s="15" t="s">
        <v>458</v>
      </c>
      <c r="J26" s="17" t="str">
        <f t="shared" si="0"/>
        <v>HỢP LỆ</v>
      </c>
      <c r="K26" s="17" t="str">
        <f>IF(A26="","",IF(COUNTIFS('02_KICH_BAN_NODES'!$B$5:$B$204,A26,'02_KICH_BAN_NODES'!$D$5:$D$204,"choice")=0,"ChoiceNodeId không tồn tại hoặc không phải choice",IF(COUNTIFS($A$5:$A$404,A26,$B$5:$B$404,B26)&gt;1,"Trùng OptionOrder trong cùng choice",IF(OR(B26="",C26="",D26="",F26="",H26=""),"Thiếu trường bắt buộc",IF(OR(COUNTIF($A$5:$A$404,A26)&lt;2,COUNTIF($A$5:$A$404,A26)&gt;4),"Mỗi choice cần 2–4 option",IF(COUNTIFS('02_KICH_BAN_NODES'!$B$5:$B$204,A26,'02_KICH_BAN_NODES'!$E$5:$E$204,"Kiến thức")=1,IF(COUNTIFS($A$5:$A$404,A26,$D$5:$D$404,"Có")&lt;&gt;1,"Choice kiến thức cần đúng 1 đáp án đúng",""),IF(COUNTIFS('02_KICH_BAN_NODES'!$B$5:$B$204,A26,'02_KICH_BAN_NODES'!$E$5:$E$204,"Tương tác")=1,IF(COUNTIFS($A$5:$A$404,A26,$D$5:$D$404,"Có")&lt;&gt;0,"Choice tương tác không được đánh dấu đáp án đúng",""),"Choice chưa chọn loại")))))))</f>
        <v/>
      </c>
    </row>
    <row r="27" spans="1:11" ht="26.45" customHeight="1">
      <c r="A27" s="16" t="s">
        <v>416</v>
      </c>
      <c r="B27" s="16">
        <v>3</v>
      </c>
      <c r="C27" s="15" t="s">
        <v>489</v>
      </c>
      <c r="D27" s="16" t="s">
        <v>127</v>
      </c>
      <c r="E27" s="16"/>
      <c r="F27" s="16" t="s">
        <v>201</v>
      </c>
      <c r="G27" s="16" t="s">
        <v>206</v>
      </c>
      <c r="H27" s="15" t="s">
        <v>488</v>
      </c>
      <c r="I27" s="15" t="s">
        <v>458</v>
      </c>
      <c r="J27" s="17" t="str">
        <f t="shared" si="0"/>
        <v>HỢP LỆ</v>
      </c>
      <c r="K27" s="17" t="str">
        <f>IF(A27="","",IF(COUNTIFS('02_KICH_BAN_NODES'!$B$5:$B$204,A27,'02_KICH_BAN_NODES'!$D$5:$D$204,"choice")=0,"ChoiceNodeId không tồn tại hoặc không phải choice",IF(COUNTIFS($A$5:$A$404,A27,$B$5:$B$404,B27)&gt;1,"Trùng OptionOrder trong cùng choice",IF(OR(B27="",C27="",D27="",F27="",H27=""),"Thiếu trường bắt buộc",IF(OR(COUNTIF($A$5:$A$404,A27)&lt;2,COUNTIF($A$5:$A$404,A27)&gt;4),"Mỗi choice cần 2–4 option",IF(COUNTIFS('02_KICH_BAN_NODES'!$B$5:$B$204,A27,'02_KICH_BAN_NODES'!$E$5:$E$204,"Kiến thức")=1,IF(COUNTIFS($A$5:$A$404,A27,$D$5:$D$404,"Có")&lt;&gt;1,"Choice kiến thức cần đúng 1 đáp án đúng",""),IF(COUNTIFS('02_KICH_BAN_NODES'!$B$5:$B$204,A27,'02_KICH_BAN_NODES'!$E$5:$E$204,"Tương tác")=1,IF(COUNTIFS($A$5:$A$404,A27,$D$5:$D$404,"Có")&lt;&gt;0,"Choice tương tác không được đánh dấu đáp án đúng",""),"Choice chưa chọn loại")))))))</f>
        <v/>
      </c>
    </row>
    <row r="28" spans="1:11" ht="39.6" customHeight="1">
      <c r="A28" s="16" t="s">
        <v>418</v>
      </c>
      <c r="B28" s="16">
        <v>1</v>
      </c>
      <c r="C28" s="15" t="s">
        <v>490</v>
      </c>
      <c r="D28" s="16" t="s">
        <v>96</v>
      </c>
      <c r="E28" s="16"/>
      <c r="F28" s="16" t="s">
        <v>218</v>
      </c>
      <c r="G28" s="16" t="s">
        <v>186</v>
      </c>
      <c r="H28" s="15" t="s">
        <v>491</v>
      </c>
      <c r="I28" s="15" t="s">
        <v>455</v>
      </c>
      <c r="J28" s="17" t="str">
        <f t="shared" si="0"/>
        <v>HỢP LỆ</v>
      </c>
      <c r="K28" s="17" t="str">
        <f>IF(A28="","",IF(COUNTIFS('02_KICH_BAN_NODES'!$B$5:$B$204,A28,'02_KICH_BAN_NODES'!$D$5:$D$204,"choice")=0,"ChoiceNodeId không tồn tại hoặc không phải choice",IF(COUNTIFS($A$5:$A$404,A28,$B$5:$B$404,B28)&gt;1,"Trùng OptionOrder trong cùng choice",IF(OR(B28="",C28="",D28="",F28="",H28=""),"Thiếu trường bắt buộc",IF(OR(COUNTIF($A$5:$A$404,A28)&lt;2,COUNTIF($A$5:$A$404,A28)&gt;4),"Mỗi choice cần 2–4 option",IF(COUNTIFS('02_KICH_BAN_NODES'!$B$5:$B$204,A28,'02_KICH_BAN_NODES'!$E$5:$E$204,"Kiến thức")=1,IF(COUNTIFS($A$5:$A$404,A28,$D$5:$D$404,"Có")&lt;&gt;1,"Choice kiến thức cần đúng 1 đáp án đúng",""),IF(COUNTIFS('02_KICH_BAN_NODES'!$B$5:$B$204,A28,'02_KICH_BAN_NODES'!$E$5:$E$204,"Tương tác")=1,IF(COUNTIFS($A$5:$A$404,A28,$D$5:$D$404,"Có")&lt;&gt;0,"Choice tương tác không được đánh dấu đáp án đúng",""),"Choice chưa chọn loại")))))))</f>
        <v/>
      </c>
    </row>
    <row r="29" spans="1:11" ht="26.45" customHeight="1">
      <c r="A29" s="16" t="s">
        <v>418</v>
      </c>
      <c r="B29" s="16">
        <v>2</v>
      </c>
      <c r="C29" s="15" t="s">
        <v>492</v>
      </c>
      <c r="D29" s="16" t="s">
        <v>127</v>
      </c>
      <c r="E29" s="16"/>
      <c r="F29" s="16" t="s">
        <v>218</v>
      </c>
      <c r="G29" s="16" t="s">
        <v>214</v>
      </c>
      <c r="H29" s="15" t="s">
        <v>493</v>
      </c>
      <c r="I29" s="15" t="s">
        <v>458</v>
      </c>
      <c r="J29" s="17" t="str">
        <f t="shared" si="0"/>
        <v>HỢP LỆ</v>
      </c>
      <c r="K29" s="17" t="str">
        <f>IF(A29="","",IF(COUNTIFS('02_KICH_BAN_NODES'!$B$5:$B$204,A29,'02_KICH_BAN_NODES'!$D$5:$D$204,"choice")=0,"ChoiceNodeId không tồn tại hoặc không phải choice",IF(COUNTIFS($A$5:$A$404,A29,$B$5:$B$404,B29)&gt;1,"Trùng OptionOrder trong cùng choice",IF(OR(B29="",C29="",D29="",F29="",H29=""),"Thiếu trường bắt buộc",IF(OR(COUNTIF($A$5:$A$404,A29)&lt;2,COUNTIF($A$5:$A$404,A29)&gt;4),"Mỗi choice cần 2–4 option",IF(COUNTIFS('02_KICH_BAN_NODES'!$B$5:$B$204,A29,'02_KICH_BAN_NODES'!$E$5:$E$204,"Kiến thức")=1,IF(COUNTIFS($A$5:$A$404,A29,$D$5:$D$404,"Có")&lt;&gt;1,"Choice kiến thức cần đúng 1 đáp án đúng",""),IF(COUNTIFS('02_KICH_BAN_NODES'!$B$5:$B$204,A29,'02_KICH_BAN_NODES'!$E$5:$E$204,"Tương tác")=1,IF(COUNTIFS($A$5:$A$404,A29,$D$5:$D$404,"Có")&lt;&gt;0,"Choice tương tác không được đánh dấu đáp án đúng",""),"Choice chưa chọn loại")))))))</f>
        <v/>
      </c>
    </row>
    <row r="30" spans="1:11" ht="26.45" customHeight="1">
      <c r="A30" s="16" t="s">
        <v>418</v>
      </c>
      <c r="B30" s="16">
        <v>3</v>
      </c>
      <c r="C30" s="15" t="s">
        <v>494</v>
      </c>
      <c r="D30" s="16" t="s">
        <v>127</v>
      </c>
      <c r="E30" s="16"/>
      <c r="F30" s="16" t="s">
        <v>218</v>
      </c>
      <c r="G30" s="16" t="s">
        <v>214</v>
      </c>
      <c r="H30" s="15" t="s">
        <v>493</v>
      </c>
      <c r="I30" s="15" t="s">
        <v>458</v>
      </c>
      <c r="J30" s="17" t="str">
        <f t="shared" si="0"/>
        <v>HỢP LỆ</v>
      </c>
      <c r="K30" s="17" t="str">
        <f>IF(A30="","",IF(COUNTIFS('02_KICH_BAN_NODES'!$B$5:$B$204,A30,'02_KICH_BAN_NODES'!$D$5:$D$204,"choice")=0,"ChoiceNodeId không tồn tại hoặc không phải choice",IF(COUNTIFS($A$5:$A$404,A30,$B$5:$B$404,B30)&gt;1,"Trùng OptionOrder trong cùng choice",IF(OR(B30="",C30="",D30="",F30="",H30=""),"Thiếu trường bắt buộc",IF(OR(COUNTIF($A$5:$A$404,A30)&lt;2,COUNTIF($A$5:$A$404,A30)&gt;4),"Mỗi choice cần 2–4 option",IF(COUNTIFS('02_KICH_BAN_NODES'!$B$5:$B$204,A30,'02_KICH_BAN_NODES'!$E$5:$E$204,"Kiến thức")=1,IF(COUNTIFS($A$5:$A$404,A30,$D$5:$D$404,"Có")&lt;&gt;1,"Choice kiến thức cần đúng 1 đáp án đúng",""),IF(COUNTIFS('02_KICH_BAN_NODES'!$B$5:$B$204,A30,'02_KICH_BAN_NODES'!$E$5:$E$204,"Tương tác")=1,IF(COUNTIFS($A$5:$A$404,A30,$D$5:$D$404,"Có")&lt;&gt;0,"Choice tương tác không được đánh dấu đáp án đúng",""),"Choice chưa chọn loại")))))))</f>
        <v/>
      </c>
    </row>
    <row r="31" spans="1:11" ht="26.45" customHeight="1">
      <c r="A31" s="16" t="s">
        <v>420</v>
      </c>
      <c r="B31" s="16">
        <v>1</v>
      </c>
      <c r="C31" s="15" t="s">
        <v>495</v>
      </c>
      <c r="D31" s="16" t="s">
        <v>96</v>
      </c>
      <c r="E31" s="16"/>
      <c r="F31" s="16" t="s">
        <v>224</v>
      </c>
      <c r="G31" s="16" t="s">
        <v>196</v>
      </c>
      <c r="H31" s="15" t="s">
        <v>496</v>
      </c>
      <c r="I31" s="15" t="s">
        <v>455</v>
      </c>
      <c r="J31" s="17" t="str">
        <f t="shared" si="0"/>
        <v>HỢP LỆ</v>
      </c>
      <c r="K31" s="17" t="str">
        <f>IF(A31="","",IF(COUNTIFS('02_KICH_BAN_NODES'!$B$5:$B$204,A31,'02_KICH_BAN_NODES'!$D$5:$D$204,"choice")=0,"ChoiceNodeId không tồn tại hoặc không phải choice",IF(COUNTIFS($A$5:$A$404,A31,$B$5:$B$404,B31)&gt;1,"Trùng OptionOrder trong cùng choice",IF(OR(B31="",C31="",D31="",F31="",H31=""),"Thiếu trường bắt buộc",IF(OR(COUNTIF($A$5:$A$404,A31)&lt;2,COUNTIF($A$5:$A$404,A31)&gt;4),"Mỗi choice cần 2–4 option",IF(COUNTIFS('02_KICH_BAN_NODES'!$B$5:$B$204,A31,'02_KICH_BAN_NODES'!$E$5:$E$204,"Kiến thức")=1,IF(COUNTIFS($A$5:$A$404,A31,$D$5:$D$404,"Có")&lt;&gt;1,"Choice kiến thức cần đúng 1 đáp án đúng",""),IF(COUNTIFS('02_KICH_BAN_NODES'!$B$5:$B$204,A31,'02_KICH_BAN_NODES'!$E$5:$E$204,"Tương tác")=1,IF(COUNTIFS($A$5:$A$404,A31,$D$5:$D$404,"Có")&lt;&gt;0,"Choice tương tác không được đánh dấu đáp án đúng",""),"Choice chưa chọn loại")))))))</f>
        <v/>
      </c>
    </row>
    <row r="32" spans="1:11" ht="15" customHeight="1">
      <c r="A32" s="16" t="s">
        <v>420</v>
      </c>
      <c r="B32" s="16">
        <v>2</v>
      </c>
      <c r="C32" s="15" t="s">
        <v>497</v>
      </c>
      <c r="D32" s="16" t="s">
        <v>127</v>
      </c>
      <c r="E32" s="16"/>
      <c r="F32" s="16" t="s">
        <v>224</v>
      </c>
      <c r="G32" s="16" t="s">
        <v>206</v>
      </c>
      <c r="H32" s="15" t="s">
        <v>498</v>
      </c>
      <c r="I32" s="15" t="s">
        <v>458</v>
      </c>
      <c r="J32" s="17" t="str">
        <f t="shared" si="0"/>
        <v>HỢP LỆ</v>
      </c>
      <c r="K32" s="17" t="str">
        <f>IF(A32="","",IF(COUNTIFS('02_KICH_BAN_NODES'!$B$5:$B$204,A32,'02_KICH_BAN_NODES'!$D$5:$D$204,"choice")=0,"ChoiceNodeId không tồn tại hoặc không phải choice",IF(COUNTIFS($A$5:$A$404,A32,$B$5:$B$404,B32)&gt;1,"Trùng OptionOrder trong cùng choice",IF(OR(B32="",C32="",D32="",F32="",H32=""),"Thiếu trường bắt buộc",IF(OR(COUNTIF($A$5:$A$404,A32)&lt;2,COUNTIF($A$5:$A$404,A32)&gt;4),"Mỗi choice cần 2–4 option",IF(COUNTIFS('02_KICH_BAN_NODES'!$B$5:$B$204,A32,'02_KICH_BAN_NODES'!$E$5:$E$204,"Kiến thức")=1,IF(COUNTIFS($A$5:$A$404,A32,$D$5:$D$404,"Có")&lt;&gt;1,"Choice kiến thức cần đúng 1 đáp án đúng",""),IF(COUNTIFS('02_KICH_BAN_NODES'!$B$5:$B$204,A32,'02_KICH_BAN_NODES'!$E$5:$E$204,"Tương tác")=1,IF(COUNTIFS($A$5:$A$404,A32,$D$5:$D$404,"Có")&lt;&gt;0,"Choice tương tác không được đánh dấu đáp án đúng",""),"Choice chưa chọn loại")))))))</f>
        <v/>
      </c>
    </row>
    <row r="33" spans="1:11" ht="26.45" customHeight="1">
      <c r="A33" s="16" t="s">
        <v>420</v>
      </c>
      <c r="B33" s="16">
        <v>3</v>
      </c>
      <c r="C33" s="15" t="s">
        <v>499</v>
      </c>
      <c r="D33" s="16" t="s">
        <v>127</v>
      </c>
      <c r="E33" s="16"/>
      <c r="F33" s="16" t="s">
        <v>224</v>
      </c>
      <c r="G33" s="16" t="s">
        <v>206</v>
      </c>
      <c r="H33" s="15" t="s">
        <v>498</v>
      </c>
      <c r="I33" s="15" t="s">
        <v>458</v>
      </c>
      <c r="J33" s="17" t="str">
        <f t="shared" si="0"/>
        <v>HỢP LỆ</v>
      </c>
      <c r="K33" s="17" t="str">
        <f>IF(A33="","",IF(COUNTIFS('02_KICH_BAN_NODES'!$B$5:$B$204,A33,'02_KICH_BAN_NODES'!$D$5:$D$204,"choice")=0,"ChoiceNodeId không tồn tại hoặc không phải choice",IF(COUNTIFS($A$5:$A$404,A33,$B$5:$B$404,B33)&gt;1,"Trùng OptionOrder trong cùng choice",IF(OR(B33="",C33="",D33="",F33="",H33=""),"Thiếu trường bắt buộc",IF(OR(COUNTIF($A$5:$A$404,A33)&lt;2,COUNTIF($A$5:$A$404,A33)&gt;4),"Mỗi choice cần 2–4 option",IF(COUNTIFS('02_KICH_BAN_NODES'!$B$5:$B$204,A33,'02_KICH_BAN_NODES'!$E$5:$E$204,"Kiến thức")=1,IF(COUNTIFS($A$5:$A$404,A33,$D$5:$D$404,"Có")&lt;&gt;1,"Choice kiến thức cần đúng 1 đáp án đúng",""),IF(COUNTIFS('02_KICH_BAN_NODES'!$B$5:$B$204,A33,'02_KICH_BAN_NODES'!$E$5:$E$204,"Tương tác")=1,IF(COUNTIFS($A$5:$A$404,A33,$D$5:$D$404,"Có")&lt;&gt;0,"Choice tương tác không được đánh dấu đáp án đúng",""),"Choice chưa chọn loại")))))))</f>
        <v/>
      </c>
    </row>
    <row r="34" spans="1:11" ht="26.45" customHeight="1">
      <c r="A34" s="16" t="s">
        <v>422</v>
      </c>
      <c r="B34" s="16">
        <v>1</v>
      </c>
      <c r="C34" s="15" t="s">
        <v>500</v>
      </c>
      <c r="D34" s="16" t="s">
        <v>96</v>
      </c>
      <c r="E34" s="16"/>
      <c r="F34" s="16" t="s">
        <v>201</v>
      </c>
      <c r="G34" s="16" t="s">
        <v>196</v>
      </c>
      <c r="H34" s="15" t="s">
        <v>501</v>
      </c>
      <c r="I34" s="15" t="s">
        <v>455</v>
      </c>
      <c r="J34" s="17" t="str">
        <f t="shared" si="0"/>
        <v>HỢP LỆ</v>
      </c>
      <c r="K34" s="17" t="str">
        <f>IF(A34="","",IF(COUNTIFS('02_KICH_BAN_NODES'!$B$5:$B$204,A34,'02_KICH_BAN_NODES'!$D$5:$D$204,"choice")=0,"ChoiceNodeId không tồn tại hoặc không phải choice",IF(COUNTIFS($A$5:$A$404,A34,$B$5:$B$404,B34)&gt;1,"Trùng OptionOrder trong cùng choice",IF(OR(B34="",C34="",D34="",F34="",H34=""),"Thiếu trường bắt buộc",IF(OR(COUNTIF($A$5:$A$404,A34)&lt;2,COUNTIF($A$5:$A$404,A34)&gt;4),"Mỗi choice cần 2–4 option",IF(COUNTIFS('02_KICH_BAN_NODES'!$B$5:$B$204,A34,'02_KICH_BAN_NODES'!$E$5:$E$204,"Kiến thức")=1,IF(COUNTIFS($A$5:$A$404,A34,$D$5:$D$404,"Có")&lt;&gt;1,"Choice kiến thức cần đúng 1 đáp án đúng",""),IF(COUNTIFS('02_KICH_BAN_NODES'!$B$5:$B$204,A34,'02_KICH_BAN_NODES'!$E$5:$E$204,"Tương tác")=1,IF(COUNTIFS($A$5:$A$404,A34,$D$5:$D$404,"Có")&lt;&gt;0,"Choice tương tác không được đánh dấu đáp án đúng",""),"Choice chưa chọn loại")))))))</f>
        <v/>
      </c>
    </row>
    <row r="35" spans="1:11" ht="26.45" customHeight="1">
      <c r="A35" s="16" t="s">
        <v>422</v>
      </c>
      <c r="B35" s="16">
        <v>2</v>
      </c>
      <c r="C35" s="15" t="s">
        <v>502</v>
      </c>
      <c r="D35" s="16" t="s">
        <v>127</v>
      </c>
      <c r="E35" s="16"/>
      <c r="F35" s="16" t="s">
        <v>201</v>
      </c>
      <c r="G35" s="16" t="s">
        <v>206</v>
      </c>
      <c r="H35" s="15" t="s">
        <v>503</v>
      </c>
      <c r="I35" s="15" t="s">
        <v>458</v>
      </c>
      <c r="J35" s="17" t="str">
        <f t="shared" si="0"/>
        <v>HỢP LỆ</v>
      </c>
      <c r="K35" s="17" t="str">
        <f>IF(A35="","",IF(COUNTIFS('02_KICH_BAN_NODES'!$B$5:$B$204,A35,'02_KICH_BAN_NODES'!$D$5:$D$204,"choice")=0,"ChoiceNodeId không tồn tại hoặc không phải choice",IF(COUNTIFS($A$5:$A$404,A35,$B$5:$B$404,B35)&gt;1,"Trùng OptionOrder trong cùng choice",IF(OR(B35="",C35="",D35="",F35="",H35=""),"Thiếu trường bắt buộc",IF(OR(COUNTIF($A$5:$A$404,A35)&lt;2,COUNTIF($A$5:$A$404,A35)&gt;4),"Mỗi choice cần 2–4 option",IF(COUNTIFS('02_KICH_BAN_NODES'!$B$5:$B$204,A35,'02_KICH_BAN_NODES'!$E$5:$E$204,"Kiến thức")=1,IF(COUNTIFS($A$5:$A$404,A35,$D$5:$D$404,"Có")&lt;&gt;1,"Choice kiến thức cần đúng 1 đáp án đúng",""),IF(COUNTIFS('02_KICH_BAN_NODES'!$B$5:$B$204,A35,'02_KICH_BAN_NODES'!$E$5:$E$204,"Tương tác")=1,IF(COUNTIFS($A$5:$A$404,A35,$D$5:$D$404,"Có")&lt;&gt;0,"Choice tương tác không được đánh dấu đáp án đúng",""),"Choice chưa chọn loại")))))))</f>
        <v/>
      </c>
    </row>
    <row r="36" spans="1:11" ht="26.45" customHeight="1">
      <c r="A36" s="16" t="s">
        <v>422</v>
      </c>
      <c r="B36" s="16">
        <v>3</v>
      </c>
      <c r="C36" s="15" t="s">
        <v>504</v>
      </c>
      <c r="D36" s="16" t="s">
        <v>127</v>
      </c>
      <c r="E36" s="16"/>
      <c r="F36" s="16" t="s">
        <v>201</v>
      </c>
      <c r="G36" s="16" t="s">
        <v>206</v>
      </c>
      <c r="H36" s="15" t="s">
        <v>503</v>
      </c>
      <c r="I36" s="15" t="s">
        <v>458</v>
      </c>
      <c r="J36" s="17" t="str">
        <f t="shared" si="0"/>
        <v>HỢP LỆ</v>
      </c>
      <c r="K36" s="17" t="str">
        <f>IF(A36="","",IF(COUNTIFS('02_KICH_BAN_NODES'!$B$5:$B$204,A36,'02_KICH_BAN_NODES'!$D$5:$D$204,"choice")=0,"ChoiceNodeId không tồn tại hoặc không phải choice",IF(COUNTIFS($A$5:$A$404,A36,$B$5:$B$404,B36)&gt;1,"Trùng OptionOrder trong cùng choice",IF(OR(B36="",C36="",D36="",F36="",H36=""),"Thiếu trường bắt buộc",IF(OR(COUNTIF($A$5:$A$404,A36)&lt;2,COUNTIF($A$5:$A$404,A36)&gt;4),"Mỗi choice cần 2–4 option",IF(COUNTIFS('02_KICH_BAN_NODES'!$B$5:$B$204,A36,'02_KICH_BAN_NODES'!$E$5:$E$204,"Kiến thức")=1,IF(COUNTIFS($A$5:$A$404,A36,$D$5:$D$404,"Có")&lt;&gt;1,"Choice kiến thức cần đúng 1 đáp án đúng",""),IF(COUNTIFS('02_KICH_BAN_NODES'!$B$5:$B$204,A36,'02_KICH_BAN_NODES'!$E$5:$E$204,"Tương tác")=1,IF(COUNTIFS($A$5:$A$404,A36,$D$5:$D$404,"Có")&lt;&gt;0,"Choice tương tác không được đánh dấu đáp án đúng",""),"Choice chưa chọn loại")))))))</f>
        <v/>
      </c>
    </row>
    <row r="37" spans="1:11" ht="26.45" customHeight="1">
      <c r="A37" s="16" t="s">
        <v>434</v>
      </c>
      <c r="B37" s="16">
        <v>1</v>
      </c>
      <c r="C37" s="15" t="s">
        <v>505</v>
      </c>
      <c r="D37" s="16" t="s">
        <v>96</v>
      </c>
      <c r="E37" s="16"/>
      <c r="F37" s="16" t="s">
        <v>218</v>
      </c>
      <c r="G37" s="16" t="s">
        <v>186</v>
      </c>
      <c r="H37" s="15" t="s">
        <v>506</v>
      </c>
      <c r="I37" s="15" t="s">
        <v>455</v>
      </c>
      <c r="J37" s="17" t="str">
        <f t="shared" si="0"/>
        <v>HỢP LỆ</v>
      </c>
      <c r="K37" s="17" t="str">
        <f>IF(A37="","",IF(COUNTIFS('02_KICH_BAN_NODES'!$B$5:$B$204,A37,'02_KICH_BAN_NODES'!$D$5:$D$204,"choice")=0,"ChoiceNodeId không tồn tại hoặc không phải choice",IF(COUNTIFS($A$5:$A$404,A37,$B$5:$B$404,B37)&gt;1,"Trùng OptionOrder trong cùng choice",IF(OR(B37="",C37="",D37="",F37="",H37=""),"Thiếu trường bắt buộc",IF(OR(COUNTIF($A$5:$A$404,A37)&lt;2,COUNTIF($A$5:$A$404,A37)&gt;4),"Mỗi choice cần 2–4 option",IF(COUNTIFS('02_KICH_BAN_NODES'!$B$5:$B$204,A37,'02_KICH_BAN_NODES'!$E$5:$E$204,"Kiến thức")=1,IF(COUNTIFS($A$5:$A$404,A37,$D$5:$D$404,"Có")&lt;&gt;1,"Choice kiến thức cần đúng 1 đáp án đúng",""),IF(COUNTIFS('02_KICH_BAN_NODES'!$B$5:$B$204,A37,'02_KICH_BAN_NODES'!$E$5:$E$204,"Tương tác")=1,IF(COUNTIFS($A$5:$A$404,A37,$D$5:$D$404,"Có")&lt;&gt;0,"Choice tương tác không được đánh dấu đáp án đúng",""),"Choice chưa chọn loại")))))))</f>
        <v/>
      </c>
    </row>
    <row r="38" spans="1:11" ht="26.45" customHeight="1">
      <c r="A38" s="16" t="s">
        <v>434</v>
      </c>
      <c r="B38" s="16">
        <v>2</v>
      </c>
      <c r="C38" s="15" t="s">
        <v>507</v>
      </c>
      <c r="D38" s="16" t="s">
        <v>127</v>
      </c>
      <c r="E38" s="16"/>
      <c r="F38" s="16" t="s">
        <v>218</v>
      </c>
      <c r="G38" s="16" t="s">
        <v>214</v>
      </c>
      <c r="H38" s="15" t="s">
        <v>508</v>
      </c>
      <c r="I38" s="15" t="s">
        <v>458</v>
      </c>
      <c r="J38" s="17" t="str">
        <f t="shared" si="0"/>
        <v>HỢP LỆ</v>
      </c>
      <c r="K38" s="17" t="str">
        <f>IF(A38="","",IF(COUNTIFS('02_KICH_BAN_NODES'!$B$5:$B$204,A38,'02_KICH_BAN_NODES'!$D$5:$D$204,"choice")=0,"ChoiceNodeId không tồn tại hoặc không phải choice",IF(COUNTIFS($A$5:$A$404,A38,$B$5:$B$404,B38)&gt;1,"Trùng OptionOrder trong cùng choice",IF(OR(B38="",C38="",D38="",F38="",H38=""),"Thiếu trường bắt buộc",IF(OR(COUNTIF($A$5:$A$404,A38)&lt;2,COUNTIF($A$5:$A$404,A38)&gt;4),"Mỗi choice cần 2–4 option",IF(COUNTIFS('02_KICH_BAN_NODES'!$B$5:$B$204,A38,'02_KICH_BAN_NODES'!$E$5:$E$204,"Kiến thức")=1,IF(COUNTIFS($A$5:$A$404,A38,$D$5:$D$404,"Có")&lt;&gt;1,"Choice kiến thức cần đúng 1 đáp án đúng",""),IF(COUNTIFS('02_KICH_BAN_NODES'!$B$5:$B$204,A38,'02_KICH_BAN_NODES'!$E$5:$E$204,"Tương tác")=1,IF(COUNTIFS($A$5:$A$404,A38,$D$5:$D$404,"Có")&lt;&gt;0,"Choice tương tác không được đánh dấu đáp án đúng",""),"Choice chưa chọn loại")))))))</f>
        <v/>
      </c>
    </row>
    <row r="39" spans="1:11" ht="26.45" customHeight="1">
      <c r="A39" s="16" t="s">
        <v>434</v>
      </c>
      <c r="B39" s="16">
        <v>3</v>
      </c>
      <c r="C39" s="15" t="s">
        <v>509</v>
      </c>
      <c r="D39" s="16" t="s">
        <v>127</v>
      </c>
      <c r="E39" s="16"/>
      <c r="F39" s="16" t="s">
        <v>218</v>
      </c>
      <c r="G39" s="16" t="s">
        <v>214</v>
      </c>
      <c r="H39" s="15" t="s">
        <v>508</v>
      </c>
      <c r="I39" s="15" t="s">
        <v>458</v>
      </c>
      <c r="J39" s="17" t="str">
        <f t="shared" si="0"/>
        <v>HỢP LỆ</v>
      </c>
      <c r="K39" s="17" t="str">
        <f>IF(A39="","",IF(COUNTIFS('02_KICH_BAN_NODES'!$B$5:$B$204,A39,'02_KICH_BAN_NODES'!$D$5:$D$204,"choice")=0,"ChoiceNodeId không tồn tại hoặc không phải choice",IF(COUNTIFS($A$5:$A$404,A39,$B$5:$B$404,B39)&gt;1,"Trùng OptionOrder trong cùng choice",IF(OR(B39="",C39="",D39="",F39="",H39=""),"Thiếu trường bắt buộc",IF(OR(COUNTIF($A$5:$A$404,A39)&lt;2,COUNTIF($A$5:$A$404,A39)&gt;4),"Mỗi choice cần 2–4 option",IF(COUNTIFS('02_KICH_BAN_NODES'!$B$5:$B$204,A39,'02_KICH_BAN_NODES'!$E$5:$E$204,"Kiến thức")=1,IF(COUNTIFS($A$5:$A$404,A39,$D$5:$D$404,"Có")&lt;&gt;1,"Choice kiến thức cần đúng 1 đáp án đúng",""),IF(COUNTIFS('02_KICH_BAN_NODES'!$B$5:$B$204,A39,'02_KICH_BAN_NODES'!$E$5:$E$204,"Tương tác")=1,IF(COUNTIFS($A$5:$A$404,A39,$D$5:$D$404,"Có")&lt;&gt;0,"Choice tương tác không được đánh dấu đáp án đúng",""),"Choice chưa chọn loại")))))))</f>
        <v/>
      </c>
    </row>
    <row r="40" spans="1:11" ht="26.45" customHeight="1">
      <c r="A40" s="16" t="s">
        <v>436</v>
      </c>
      <c r="B40" s="16">
        <v>1</v>
      </c>
      <c r="C40" s="15" t="s">
        <v>510</v>
      </c>
      <c r="D40" s="16" t="s">
        <v>96</v>
      </c>
      <c r="E40" s="16"/>
      <c r="F40" s="16" t="s">
        <v>211</v>
      </c>
      <c r="G40" s="16" t="s">
        <v>196</v>
      </c>
      <c r="H40" s="15" t="s">
        <v>511</v>
      </c>
      <c r="I40" s="15" t="s">
        <v>455</v>
      </c>
      <c r="J40" s="17" t="str">
        <f t="shared" si="0"/>
        <v>HỢP LỆ</v>
      </c>
      <c r="K40" s="17" t="str">
        <f>IF(A40="","",IF(COUNTIFS('02_KICH_BAN_NODES'!$B$5:$B$204,A40,'02_KICH_BAN_NODES'!$D$5:$D$204,"choice")=0,"ChoiceNodeId không tồn tại hoặc không phải choice",IF(COUNTIFS($A$5:$A$404,A40,$B$5:$B$404,B40)&gt;1,"Trùng OptionOrder trong cùng choice",IF(OR(B40="",C40="",D40="",F40="",H40=""),"Thiếu trường bắt buộc",IF(OR(COUNTIF($A$5:$A$404,A40)&lt;2,COUNTIF($A$5:$A$404,A40)&gt;4),"Mỗi choice cần 2–4 option",IF(COUNTIFS('02_KICH_BAN_NODES'!$B$5:$B$204,A40,'02_KICH_BAN_NODES'!$E$5:$E$204,"Kiến thức")=1,IF(COUNTIFS($A$5:$A$404,A40,$D$5:$D$404,"Có")&lt;&gt;1,"Choice kiến thức cần đúng 1 đáp án đúng",""),IF(COUNTIFS('02_KICH_BAN_NODES'!$B$5:$B$204,A40,'02_KICH_BAN_NODES'!$E$5:$E$204,"Tương tác")=1,IF(COUNTIFS($A$5:$A$404,A40,$D$5:$D$404,"Có")&lt;&gt;0,"Choice tương tác không được đánh dấu đáp án đúng",""),"Choice chưa chọn loại")))))))</f>
        <v/>
      </c>
    </row>
    <row r="41" spans="1:11" ht="26.45" customHeight="1">
      <c r="A41" s="16" t="s">
        <v>436</v>
      </c>
      <c r="B41" s="16">
        <v>2</v>
      </c>
      <c r="C41" s="15" t="s">
        <v>512</v>
      </c>
      <c r="D41" s="16" t="s">
        <v>127</v>
      </c>
      <c r="E41" s="16"/>
      <c r="F41" s="16" t="s">
        <v>211</v>
      </c>
      <c r="G41" s="16" t="s">
        <v>206</v>
      </c>
      <c r="H41" s="15" t="s">
        <v>513</v>
      </c>
      <c r="I41" s="15" t="s">
        <v>458</v>
      </c>
      <c r="J41" s="17" t="str">
        <f t="shared" si="0"/>
        <v>HỢP LỆ</v>
      </c>
      <c r="K41" s="17" t="str">
        <f>IF(A41="","",IF(COUNTIFS('02_KICH_BAN_NODES'!$B$5:$B$204,A41,'02_KICH_BAN_NODES'!$D$5:$D$204,"choice")=0,"ChoiceNodeId không tồn tại hoặc không phải choice",IF(COUNTIFS($A$5:$A$404,A41,$B$5:$B$404,B41)&gt;1,"Trùng OptionOrder trong cùng choice",IF(OR(B41="",C41="",D41="",F41="",H41=""),"Thiếu trường bắt buộc",IF(OR(COUNTIF($A$5:$A$404,A41)&lt;2,COUNTIF($A$5:$A$404,A41)&gt;4),"Mỗi choice cần 2–4 option",IF(COUNTIFS('02_KICH_BAN_NODES'!$B$5:$B$204,A41,'02_KICH_BAN_NODES'!$E$5:$E$204,"Kiến thức")=1,IF(COUNTIFS($A$5:$A$404,A41,$D$5:$D$404,"Có")&lt;&gt;1,"Choice kiến thức cần đúng 1 đáp án đúng",""),IF(COUNTIFS('02_KICH_BAN_NODES'!$B$5:$B$204,A41,'02_KICH_BAN_NODES'!$E$5:$E$204,"Tương tác")=1,IF(COUNTIFS($A$5:$A$404,A41,$D$5:$D$404,"Có")&lt;&gt;0,"Choice tương tác không được đánh dấu đáp án đúng",""),"Choice chưa chọn loại")))))))</f>
        <v/>
      </c>
    </row>
    <row r="42" spans="1:11" ht="26.45" customHeight="1">
      <c r="A42" s="16" t="s">
        <v>436</v>
      </c>
      <c r="B42" s="16">
        <v>3</v>
      </c>
      <c r="C42" s="15" t="s">
        <v>514</v>
      </c>
      <c r="D42" s="16" t="s">
        <v>127</v>
      </c>
      <c r="E42" s="16"/>
      <c r="F42" s="16" t="s">
        <v>211</v>
      </c>
      <c r="G42" s="16" t="s">
        <v>206</v>
      </c>
      <c r="H42" s="15" t="s">
        <v>513</v>
      </c>
      <c r="I42" s="15" t="s">
        <v>458</v>
      </c>
      <c r="J42" s="17" t="str">
        <f t="shared" si="0"/>
        <v>HỢP LỆ</v>
      </c>
      <c r="K42" s="17" t="str">
        <f>IF(A42="","",IF(COUNTIFS('02_KICH_BAN_NODES'!$B$5:$B$204,A42,'02_KICH_BAN_NODES'!$D$5:$D$204,"choice")=0,"ChoiceNodeId không tồn tại hoặc không phải choice",IF(COUNTIFS($A$5:$A$404,A42,$B$5:$B$404,B42)&gt;1,"Trùng OptionOrder trong cùng choice",IF(OR(B42="",C42="",D42="",F42="",H42=""),"Thiếu trường bắt buộc",IF(OR(COUNTIF($A$5:$A$404,A42)&lt;2,COUNTIF($A$5:$A$404,A42)&gt;4),"Mỗi choice cần 2–4 option",IF(COUNTIFS('02_KICH_BAN_NODES'!$B$5:$B$204,A42,'02_KICH_BAN_NODES'!$E$5:$E$204,"Kiến thức")=1,IF(COUNTIFS($A$5:$A$404,A42,$D$5:$D$404,"Có")&lt;&gt;1,"Choice kiến thức cần đúng 1 đáp án đúng",""),IF(COUNTIFS('02_KICH_BAN_NODES'!$B$5:$B$204,A42,'02_KICH_BAN_NODES'!$E$5:$E$204,"Tương tác")=1,IF(COUNTIFS($A$5:$A$404,A42,$D$5:$D$404,"Có")&lt;&gt;0,"Choice tương tác không được đánh dấu đáp án đúng",""),"Choice chưa chọn loại")))))))</f>
        <v/>
      </c>
    </row>
    <row r="43" spans="1:11" ht="26.45" customHeight="1">
      <c r="A43" s="16" t="s">
        <v>438</v>
      </c>
      <c r="B43" s="16">
        <v>1</v>
      </c>
      <c r="C43" s="15" t="s">
        <v>515</v>
      </c>
      <c r="D43" s="16" t="s">
        <v>96</v>
      </c>
      <c r="E43" s="16"/>
      <c r="F43" s="16" t="s">
        <v>201</v>
      </c>
      <c r="G43" s="16" t="s">
        <v>196</v>
      </c>
      <c r="H43" s="15" t="s">
        <v>516</v>
      </c>
      <c r="I43" s="15" t="s">
        <v>455</v>
      </c>
      <c r="J43" s="17" t="str">
        <f t="shared" si="0"/>
        <v>HỢP LỆ</v>
      </c>
      <c r="K43" s="17" t="str">
        <f>IF(A43="","",IF(COUNTIFS('02_KICH_BAN_NODES'!$B$5:$B$204,A43,'02_KICH_BAN_NODES'!$D$5:$D$204,"choice")=0,"ChoiceNodeId không tồn tại hoặc không phải choice",IF(COUNTIFS($A$5:$A$404,A43,$B$5:$B$404,B43)&gt;1,"Trùng OptionOrder trong cùng choice",IF(OR(B43="",C43="",D43="",F43="",H43=""),"Thiếu trường bắt buộc",IF(OR(COUNTIF($A$5:$A$404,A43)&lt;2,COUNTIF($A$5:$A$404,A43)&gt;4),"Mỗi choice cần 2–4 option",IF(COUNTIFS('02_KICH_BAN_NODES'!$B$5:$B$204,A43,'02_KICH_BAN_NODES'!$E$5:$E$204,"Kiến thức")=1,IF(COUNTIFS($A$5:$A$404,A43,$D$5:$D$404,"Có")&lt;&gt;1,"Choice kiến thức cần đúng 1 đáp án đúng",""),IF(COUNTIFS('02_KICH_BAN_NODES'!$B$5:$B$204,A43,'02_KICH_BAN_NODES'!$E$5:$E$204,"Tương tác")=1,IF(COUNTIFS($A$5:$A$404,A43,$D$5:$D$404,"Có")&lt;&gt;0,"Choice tương tác không được đánh dấu đáp án đúng",""),"Choice chưa chọn loại")))))))</f>
        <v/>
      </c>
    </row>
    <row r="44" spans="1:11" ht="26.45" customHeight="1">
      <c r="A44" s="16" t="s">
        <v>438</v>
      </c>
      <c r="B44" s="16">
        <v>2</v>
      </c>
      <c r="C44" s="15" t="s">
        <v>517</v>
      </c>
      <c r="D44" s="16" t="s">
        <v>127</v>
      </c>
      <c r="E44" s="16"/>
      <c r="F44" s="16" t="s">
        <v>201</v>
      </c>
      <c r="G44" s="16" t="s">
        <v>206</v>
      </c>
      <c r="H44" s="15" t="s">
        <v>518</v>
      </c>
      <c r="I44" s="15" t="s">
        <v>458</v>
      </c>
      <c r="J44" s="17" t="str">
        <f t="shared" si="0"/>
        <v>HỢP LỆ</v>
      </c>
      <c r="K44" s="17" t="str">
        <f>IF(A44="","",IF(COUNTIFS('02_KICH_BAN_NODES'!$B$5:$B$204,A44,'02_KICH_BAN_NODES'!$D$5:$D$204,"choice")=0,"ChoiceNodeId không tồn tại hoặc không phải choice",IF(COUNTIFS($A$5:$A$404,A44,$B$5:$B$404,B44)&gt;1,"Trùng OptionOrder trong cùng choice",IF(OR(B44="",C44="",D44="",F44="",H44=""),"Thiếu trường bắt buộc",IF(OR(COUNTIF($A$5:$A$404,A44)&lt;2,COUNTIF($A$5:$A$404,A44)&gt;4),"Mỗi choice cần 2–4 option",IF(COUNTIFS('02_KICH_BAN_NODES'!$B$5:$B$204,A44,'02_KICH_BAN_NODES'!$E$5:$E$204,"Kiến thức")=1,IF(COUNTIFS($A$5:$A$404,A44,$D$5:$D$404,"Có")&lt;&gt;1,"Choice kiến thức cần đúng 1 đáp án đúng",""),IF(COUNTIFS('02_KICH_BAN_NODES'!$B$5:$B$204,A44,'02_KICH_BAN_NODES'!$E$5:$E$204,"Tương tác")=1,IF(COUNTIFS($A$5:$A$404,A44,$D$5:$D$404,"Có")&lt;&gt;0,"Choice tương tác không được đánh dấu đáp án đúng",""),"Choice chưa chọn loại")))))))</f>
        <v/>
      </c>
    </row>
    <row r="45" spans="1:11" ht="26.45" customHeight="1">
      <c r="A45" s="16" t="s">
        <v>438</v>
      </c>
      <c r="B45" s="16">
        <v>3</v>
      </c>
      <c r="C45" s="15" t="s">
        <v>519</v>
      </c>
      <c r="D45" s="16" t="s">
        <v>127</v>
      </c>
      <c r="E45" s="16"/>
      <c r="F45" s="16" t="s">
        <v>201</v>
      </c>
      <c r="G45" s="16" t="s">
        <v>206</v>
      </c>
      <c r="H45" s="15" t="s">
        <v>518</v>
      </c>
      <c r="I45" s="15" t="s">
        <v>458</v>
      </c>
      <c r="J45" s="17" t="str">
        <f t="shared" si="0"/>
        <v>HỢP LỆ</v>
      </c>
      <c r="K45" s="17" t="str">
        <f>IF(A45="","",IF(COUNTIFS('02_KICH_BAN_NODES'!$B$5:$B$204,A45,'02_KICH_BAN_NODES'!$D$5:$D$204,"choice")=0,"ChoiceNodeId không tồn tại hoặc không phải choice",IF(COUNTIFS($A$5:$A$404,A45,$B$5:$B$404,B45)&gt;1,"Trùng OptionOrder trong cùng choice",IF(OR(B45="",C45="",D45="",F45="",H45=""),"Thiếu trường bắt buộc",IF(OR(COUNTIF($A$5:$A$404,A45)&lt;2,COUNTIF($A$5:$A$404,A45)&gt;4),"Mỗi choice cần 2–4 option",IF(COUNTIFS('02_KICH_BAN_NODES'!$B$5:$B$204,A45,'02_KICH_BAN_NODES'!$E$5:$E$204,"Kiến thức")=1,IF(COUNTIFS($A$5:$A$404,A45,$D$5:$D$404,"Có")&lt;&gt;1,"Choice kiến thức cần đúng 1 đáp án đúng",""),IF(COUNTIFS('02_KICH_BAN_NODES'!$B$5:$B$204,A45,'02_KICH_BAN_NODES'!$E$5:$E$204,"Tương tác")=1,IF(COUNTIFS($A$5:$A$404,A45,$D$5:$D$404,"Có")&lt;&gt;0,"Choice tương tác không được đánh dấu đáp án đúng",""),"Choice chưa chọn loại")))))))</f>
        <v/>
      </c>
    </row>
    <row r="46" spans="1:11" ht="26.45" customHeight="1">
      <c r="A46" s="16" t="s">
        <v>440</v>
      </c>
      <c r="B46" s="16">
        <v>1</v>
      </c>
      <c r="C46" s="15" t="s">
        <v>520</v>
      </c>
      <c r="D46" s="16" t="s">
        <v>96</v>
      </c>
      <c r="E46" s="16"/>
      <c r="F46" s="16" t="s">
        <v>224</v>
      </c>
      <c r="G46" s="16" t="s">
        <v>196</v>
      </c>
      <c r="H46" s="15" t="s">
        <v>521</v>
      </c>
      <c r="I46" s="15" t="s">
        <v>455</v>
      </c>
      <c r="J46" s="17" t="str">
        <f t="shared" si="0"/>
        <v>HỢP LỆ</v>
      </c>
      <c r="K46" s="17" t="str">
        <f>IF(A46="","",IF(COUNTIFS('02_KICH_BAN_NODES'!$B$5:$B$204,A46,'02_KICH_BAN_NODES'!$D$5:$D$204,"choice")=0,"ChoiceNodeId không tồn tại hoặc không phải choice",IF(COUNTIFS($A$5:$A$404,A46,$B$5:$B$404,B46)&gt;1,"Trùng OptionOrder trong cùng choice",IF(OR(B46="",C46="",D46="",F46="",H46=""),"Thiếu trường bắt buộc",IF(OR(COUNTIF($A$5:$A$404,A46)&lt;2,COUNTIF($A$5:$A$404,A46)&gt;4),"Mỗi choice cần 2–4 option",IF(COUNTIFS('02_KICH_BAN_NODES'!$B$5:$B$204,A46,'02_KICH_BAN_NODES'!$E$5:$E$204,"Kiến thức")=1,IF(COUNTIFS($A$5:$A$404,A46,$D$5:$D$404,"Có")&lt;&gt;1,"Choice kiến thức cần đúng 1 đáp án đúng",""),IF(COUNTIFS('02_KICH_BAN_NODES'!$B$5:$B$204,A46,'02_KICH_BAN_NODES'!$E$5:$E$204,"Tương tác")=1,IF(COUNTIFS($A$5:$A$404,A46,$D$5:$D$404,"Có")&lt;&gt;0,"Choice tương tác không được đánh dấu đáp án đúng",""),"Choice chưa chọn loại")))))))</f>
        <v/>
      </c>
    </row>
    <row r="47" spans="1:11" ht="26.45" customHeight="1">
      <c r="A47" s="16" t="s">
        <v>440</v>
      </c>
      <c r="B47" s="16">
        <v>2</v>
      </c>
      <c r="C47" s="15" t="s">
        <v>522</v>
      </c>
      <c r="D47" s="16" t="s">
        <v>127</v>
      </c>
      <c r="E47" s="16"/>
      <c r="F47" s="16" t="s">
        <v>224</v>
      </c>
      <c r="G47" s="16" t="s">
        <v>206</v>
      </c>
      <c r="H47" s="15" t="s">
        <v>523</v>
      </c>
      <c r="I47" s="15" t="s">
        <v>458</v>
      </c>
      <c r="J47" s="17" t="str">
        <f t="shared" si="0"/>
        <v>HỢP LỆ</v>
      </c>
      <c r="K47" s="17" t="str">
        <f>IF(A47="","",IF(COUNTIFS('02_KICH_BAN_NODES'!$B$5:$B$204,A47,'02_KICH_BAN_NODES'!$D$5:$D$204,"choice")=0,"ChoiceNodeId không tồn tại hoặc không phải choice",IF(COUNTIFS($A$5:$A$404,A47,$B$5:$B$404,B47)&gt;1,"Trùng OptionOrder trong cùng choice",IF(OR(B47="",C47="",D47="",F47="",H47=""),"Thiếu trường bắt buộc",IF(OR(COUNTIF($A$5:$A$404,A47)&lt;2,COUNTIF($A$5:$A$404,A47)&gt;4),"Mỗi choice cần 2–4 option",IF(COUNTIFS('02_KICH_BAN_NODES'!$B$5:$B$204,A47,'02_KICH_BAN_NODES'!$E$5:$E$204,"Kiến thức")=1,IF(COUNTIFS($A$5:$A$404,A47,$D$5:$D$404,"Có")&lt;&gt;1,"Choice kiến thức cần đúng 1 đáp án đúng",""),IF(COUNTIFS('02_KICH_BAN_NODES'!$B$5:$B$204,A47,'02_KICH_BAN_NODES'!$E$5:$E$204,"Tương tác")=1,IF(COUNTIFS($A$5:$A$404,A47,$D$5:$D$404,"Có")&lt;&gt;0,"Choice tương tác không được đánh dấu đáp án đúng",""),"Choice chưa chọn loại")))))))</f>
        <v/>
      </c>
    </row>
    <row r="48" spans="1:11" ht="26.45" customHeight="1">
      <c r="A48" s="16" t="s">
        <v>440</v>
      </c>
      <c r="B48" s="16">
        <v>3</v>
      </c>
      <c r="C48" s="15" t="s">
        <v>524</v>
      </c>
      <c r="D48" s="16" t="s">
        <v>127</v>
      </c>
      <c r="E48" s="16"/>
      <c r="F48" s="16" t="s">
        <v>224</v>
      </c>
      <c r="G48" s="16" t="s">
        <v>206</v>
      </c>
      <c r="H48" s="15" t="s">
        <v>523</v>
      </c>
      <c r="I48" s="15" t="s">
        <v>458</v>
      </c>
      <c r="J48" s="17" t="str">
        <f t="shared" si="0"/>
        <v>HỢP LỆ</v>
      </c>
      <c r="K48" s="17" t="str">
        <f>IF(A48="","",IF(COUNTIFS('02_KICH_BAN_NODES'!$B$5:$B$204,A48,'02_KICH_BAN_NODES'!$D$5:$D$204,"choice")=0,"ChoiceNodeId không tồn tại hoặc không phải choice",IF(COUNTIFS($A$5:$A$404,A48,$B$5:$B$404,B48)&gt;1,"Trùng OptionOrder trong cùng choice",IF(OR(B48="",C48="",D48="",F48="",H48=""),"Thiếu trường bắt buộc",IF(OR(COUNTIF($A$5:$A$404,A48)&lt;2,COUNTIF($A$5:$A$404,A48)&gt;4),"Mỗi choice cần 2–4 option",IF(COUNTIFS('02_KICH_BAN_NODES'!$B$5:$B$204,A48,'02_KICH_BAN_NODES'!$E$5:$E$204,"Kiến thức")=1,IF(COUNTIFS($A$5:$A$404,A48,$D$5:$D$404,"Có")&lt;&gt;1,"Choice kiến thức cần đúng 1 đáp án đúng",""),IF(COUNTIFS('02_KICH_BAN_NODES'!$B$5:$B$204,A48,'02_KICH_BAN_NODES'!$E$5:$E$204,"Tương tác")=1,IF(COUNTIFS($A$5:$A$404,A48,$D$5:$D$404,"Có")&lt;&gt;0,"Choice tương tác không được đánh dấu đáp án đúng",""),"Choice chưa chọn loại")))))))</f>
        <v/>
      </c>
    </row>
    <row r="49" spans="1:11">
      <c r="A49" s="13"/>
      <c r="B49" s="13"/>
      <c r="C49" s="5"/>
      <c r="D49" s="13"/>
      <c r="E49" s="13"/>
      <c r="F49" s="13"/>
      <c r="G49" s="13"/>
      <c r="H49" s="5"/>
      <c r="I49" s="5"/>
      <c r="J49" s="6" t="str">
        <f t="shared" si="0"/>
        <v/>
      </c>
      <c r="K49" s="6" t="str">
        <f>IF(A49="","",IF(COUNTIFS('02_KICH_BAN_NODES'!$B$5:$B$204,A49,'02_KICH_BAN_NODES'!$D$5:$D$204,"choice")=0,"ChoiceNodeId không tồn tại hoặc không phải choice",IF(COUNTIFS($A$5:$A$404,A49,$B$5:$B$404,B49)&gt;1,"Trùng OptionOrder trong cùng choice",IF(OR(B49="",C49="",D49="",F49="",H49=""),"Thiếu trường bắt buộc",IF(OR(COUNTIF($A$5:$A$404,A49)&lt;2,COUNTIF($A$5:$A$404,A49)&gt;4),"Mỗi choice cần 2–4 option",IF(COUNTIFS('02_KICH_BAN_NODES'!$B$5:$B$204,A49,'02_KICH_BAN_NODES'!$E$5:$E$204,"Kiến thức")=1,IF(COUNTIFS($A$5:$A$404,A49,$D$5:$D$404,"Có")&lt;&gt;1,"Choice kiến thức cần đúng 1 đáp án đúng",""),IF(COUNTIFS('02_KICH_BAN_NODES'!$B$5:$B$204,A49,'02_KICH_BAN_NODES'!$E$5:$E$204,"Tương tác")=1,IF(COUNTIFS($A$5:$A$404,A49,$D$5:$D$404,"Có")&lt;&gt;0,"Choice tương tác không được đánh dấu đáp án đúng",""),"Choice chưa chọn loại")))))))</f>
        <v/>
      </c>
    </row>
    <row r="50" spans="1:11">
      <c r="A50" s="13"/>
      <c r="B50" s="13"/>
      <c r="C50" s="5"/>
      <c r="D50" s="13"/>
      <c r="E50" s="13"/>
      <c r="F50" s="13"/>
      <c r="G50" s="13"/>
      <c r="H50" s="5"/>
      <c r="I50" s="5"/>
      <c r="J50" s="6" t="str">
        <f t="shared" si="0"/>
        <v/>
      </c>
      <c r="K50" s="6" t="str">
        <f>IF(A50="","",IF(COUNTIFS('02_KICH_BAN_NODES'!$B$5:$B$204,A50,'02_KICH_BAN_NODES'!$D$5:$D$204,"choice")=0,"ChoiceNodeId không tồn tại hoặc không phải choice",IF(COUNTIFS($A$5:$A$404,A50,$B$5:$B$404,B50)&gt;1,"Trùng OptionOrder trong cùng choice",IF(OR(B50="",C50="",D50="",F50="",H50=""),"Thiếu trường bắt buộc",IF(OR(COUNTIF($A$5:$A$404,A50)&lt;2,COUNTIF($A$5:$A$404,A50)&gt;4),"Mỗi choice cần 2–4 option",IF(COUNTIFS('02_KICH_BAN_NODES'!$B$5:$B$204,A50,'02_KICH_BAN_NODES'!$E$5:$E$204,"Kiến thức")=1,IF(COUNTIFS($A$5:$A$404,A50,$D$5:$D$404,"Có")&lt;&gt;1,"Choice kiến thức cần đúng 1 đáp án đúng",""),IF(COUNTIFS('02_KICH_BAN_NODES'!$B$5:$B$204,A50,'02_KICH_BAN_NODES'!$E$5:$E$204,"Tương tác")=1,IF(COUNTIFS($A$5:$A$404,A50,$D$5:$D$404,"Có")&lt;&gt;0,"Choice tương tác không được đánh dấu đáp án đúng",""),"Choice chưa chọn loại")))))))</f>
        <v/>
      </c>
    </row>
    <row r="51" spans="1:11">
      <c r="A51" s="13"/>
      <c r="B51" s="13"/>
      <c r="C51" s="5"/>
      <c r="D51" s="13"/>
      <c r="E51" s="13"/>
      <c r="F51" s="13"/>
      <c r="G51" s="13"/>
      <c r="H51" s="5"/>
      <c r="I51" s="5"/>
      <c r="J51" s="6" t="str">
        <f t="shared" si="0"/>
        <v/>
      </c>
      <c r="K51" s="6" t="str">
        <f>IF(A51="","",IF(COUNTIFS('02_KICH_BAN_NODES'!$B$5:$B$204,A51,'02_KICH_BAN_NODES'!$D$5:$D$204,"choice")=0,"ChoiceNodeId không tồn tại hoặc không phải choice",IF(COUNTIFS($A$5:$A$404,A51,$B$5:$B$404,B51)&gt;1,"Trùng OptionOrder trong cùng choice",IF(OR(B51="",C51="",D51="",F51="",H51=""),"Thiếu trường bắt buộc",IF(OR(COUNTIF($A$5:$A$404,A51)&lt;2,COUNTIF($A$5:$A$404,A51)&gt;4),"Mỗi choice cần 2–4 option",IF(COUNTIFS('02_KICH_BAN_NODES'!$B$5:$B$204,A51,'02_KICH_BAN_NODES'!$E$5:$E$204,"Kiến thức")=1,IF(COUNTIFS($A$5:$A$404,A51,$D$5:$D$404,"Có")&lt;&gt;1,"Choice kiến thức cần đúng 1 đáp án đúng",""),IF(COUNTIFS('02_KICH_BAN_NODES'!$B$5:$B$204,A51,'02_KICH_BAN_NODES'!$E$5:$E$204,"Tương tác")=1,IF(COUNTIFS($A$5:$A$404,A51,$D$5:$D$404,"Có")&lt;&gt;0,"Choice tương tác không được đánh dấu đáp án đúng",""),"Choice chưa chọn loại")))))))</f>
        <v/>
      </c>
    </row>
    <row r="52" spans="1:11">
      <c r="A52" s="13"/>
      <c r="B52" s="13"/>
      <c r="C52" s="5"/>
      <c r="D52" s="13"/>
      <c r="E52" s="13"/>
      <c r="F52" s="13"/>
      <c r="G52" s="13"/>
      <c r="H52" s="5"/>
      <c r="I52" s="5"/>
      <c r="J52" s="6" t="str">
        <f t="shared" si="0"/>
        <v/>
      </c>
      <c r="K52" s="6" t="str">
        <f>IF(A52="","",IF(COUNTIFS('02_KICH_BAN_NODES'!$B$5:$B$204,A52,'02_KICH_BAN_NODES'!$D$5:$D$204,"choice")=0,"ChoiceNodeId không tồn tại hoặc không phải choice",IF(COUNTIFS($A$5:$A$404,A52,$B$5:$B$404,B52)&gt;1,"Trùng OptionOrder trong cùng choice",IF(OR(B52="",C52="",D52="",F52="",H52=""),"Thiếu trường bắt buộc",IF(OR(COUNTIF($A$5:$A$404,A52)&lt;2,COUNTIF($A$5:$A$404,A52)&gt;4),"Mỗi choice cần 2–4 option",IF(COUNTIFS('02_KICH_BAN_NODES'!$B$5:$B$204,A52,'02_KICH_BAN_NODES'!$E$5:$E$204,"Kiến thức")=1,IF(COUNTIFS($A$5:$A$404,A52,$D$5:$D$404,"Có")&lt;&gt;1,"Choice kiến thức cần đúng 1 đáp án đúng",""),IF(COUNTIFS('02_KICH_BAN_NODES'!$B$5:$B$204,A52,'02_KICH_BAN_NODES'!$E$5:$E$204,"Tương tác")=1,IF(COUNTIFS($A$5:$A$404,A52,$D$5:$D$404,"Có")&lt;&gt;0,"Choice tương tác không được đánh dấu đáp án đúng",""),"Choice chưa chọn loại")))))))</f>
        <v/>
      </c>
    </row>
    <row r="53" spans="1:11">
      <c r="A53" s="13"/>
      <c r="B53" s="13"/>
      <c r="C53" s="5"/>
      <c r="D53" s="13"/>
      <c r="E53" s="13"/>
      <c r="F53" s="13"/>
      <c r="G53" s="13"/>
      <c r="H53" s="5"/>
      <c r="I53" s="5"/>
      <c r="J53" s="6" t="str">
        <f t="shared" si="0"/>
        <v/>
      </c>
      <c r="K53" s="6" t="str">
        <f>IF(A53="","",IF(COUNTIFS('02_KICH_BAN_NODES'!$B$5:$B$204,A53,'02_KICH_BAN_NODES'!$D$5:$D$204,"choice")=0,"ChoiceNodeId không tồn tại hoặc không phải choice",IF(COUNTIFS($A$5:$A$404,A53,$B$5:$B$404,B53)&gt;1,"Trùng OptionOrder trong cùng choice",IF(OR(B53="",C53="",D53="",F53="",H53=""),"Thiếu trường bắt buộc",IF(OR(COUNTIF($A$5:$A$404,A53)&lt;2,COUNTIF($A$5:$A$404,A53)&gt;4),"Mỗi choice cần 2–4 option",IF(COUNTIFS('02_KICH_BAN_NODES'!$B$5:$B$204,A53,'02_KICH_BAN_NODES'!$E$5:$E$204,"Kiến thức")=1,IF(COUNTIFS($A$5:$A$404,A53,$D$5:$D$404,"Có")&lt;&gt;1,"Choice kiến thức cần đúng 1 đáp án đúng",""),IF(COUNTIFS('02_KICH_BAN_NODES'!$B$5:$B$204,A53,'02_KICH_BAN_NODES'!$E$5:$E$204,"Tương tác")=1,IF(COUNTIFS($A$5:$A$404,A53,$D$5:$D$404,"Có")&lt;&gt;0,"Choice tương tác không được đánh dấu đáp án đúng",""),"Choice chưa chọn loại")))))))</f>
        <v/>
      </c>
    </row>
    <row r="54" spans="1:11">
      <c r="A54" s="13"/>
      <c r="B54" s="13"/>
      <c r="C54" s="5"/>
      <c r="D54" s="13"/>
      <c r="E54" s="13"/>
      <c r="F54" s="13"/>
      <c r="G54" s="13"/>
      <c r="H54" s="5"/>
      <c r="I54" s="5"/>
      <c r="J54" s="6" t="str">
        <f t="shared" si="0"/>
        <v/>
      </c>
      <c r="K54" s="6" t="str">
        <f>IF(A54="","",IF(COUNTIFS('02_KICH_BAN_NODES'!$B$5:$B$204,A54,'02_KICH_BAN_NODES'!$D$5:$D$204,"choice")=0,"ChoiceNodeId không tồn tại hoặc không phải choice",IF(COUNTIFS($A$5:$A$404,A54,$B$5:$B$404,B54)&gt;1,"Trùng OptionOrder trong cùng choice",IF(OR(B54="",C54="",D54="",F54="",H54=""),"Thiếu trường bắt buộc",IF(OR(COUNTIF($A$5:$A$404,A54)&lt;2,COUNTIF($A$5:$A$404,A54)&gt;4),"Mỗi choice cần 2–4 option",IF(COUNTIFS('02_KICH_BAN_NODES'!$B$5:$B$204,A54,'02_KICH_BAN_NODES'!$E$5:$E$204,"Kiến thức")=1,IF(COUNTIFS($A$5:$A$404,A54,$D$5:$D$404,"Có")&lt;&gt;1,"Choice kiến thức cần đúng 1 đáp án đúng",""),IF(COUNTIFS('02_KICH_BAN_NODES'!$B$5:$B$204,A54,'02_KICH_BAN_NODES'!$E$5:$E$204,"Tương tác")=1,IF(COUNTIFS($A$5:$A$404,A54,$D$5:$D$404,"Có")&lt;&gt;0,"Choice tương tác không được đánh dấu đáp án đúng",""),"Choice chưa chọn loại")))))))</f>
        <v/>
      </c>
    </row>
    <row r="55" spans="1:11">
      <c r="A55" s="13"/>
      <c r="B55" s="13"/>
      <c r="C55" s="5"/>
      <c r="D55" s="13"/>
      <c r="E55" s="13"/>
      <c r="F55" s="13"/>
      <c r="G55" s="13"/>
      <c r="H55" s="5"/>
      <c r="I55" s="5"/>
      <c r="J55" s="6" t="str">
        <f t="shared" si="0"/>
        <v/>
      </c>
      <c r="K55" s="6" t="str">
        <f>IF(A55="","",IF(COUNTIFS('02_KICH_BAN_NODES'!$B$5:$B$204,A55,'02_KICH_BAN_NODES'!$D$5:$D$204,"choice")=0,"ChoiceNodeId không tồn tại hoặc không phải choice",IF(COUNTIFS($A$5:$A$404,A55,$B$5:$B$404,B55)&gt;1,"Trùng OptionOrder trong cùng choice",IF(OR(B55="",C55="",D55="",F55="",H55=""),"Thiếu trường bắt buộc",IF(OR(COUNTIF($A$5:$A$404,A55)&lt;2,COUNTIF($A$5:$A$404,A55)&gt;4),"Mỗi choice cần 2–4 option",IF(COUNTIFS('02_KICH_BAN_NODES'!$B$5:$B$204,A55,'02_KICH_BAN_NODES'!$E$5:$E$204,"Kiến thức")=1,IF(COUNTIFS($A$5:$A$404,A55,$D$5:$D$404,"Có")&lt;&gt;1,"Choice kiến thức cần đúng 1 đáp án đúng",""),IF(COUNTIFS('02_KICH_BAN_NODES'!$B$5:$B$204,A55,'02_KICH_BAN_NODES'!$E$5:$E$204,"Tương tác")=1,IF(COUNTIFS($A$5:$A$404,A55,$D$5:$D$404,"Có")&lt;&gt;0,"Choice tương tác không được đánh dấu đáp án đúng",""),"Choice chưa chọn loại")))))))</f>
        <v/>
      </c>
    </row>
    <row r="56" spans="1:11">
      <c r="A56" s="13"/>
      <c r="B56" s="13"/>
      <c r="C56" s="5"/>
      <c r="D56" s="13"/>
      <c r="E56" s="13"/>
      <c r="F56" s="13"/>
      <c r="G56" s="13"/>
      <c r="H56" s="5"/>
      <c r="I56" s="5"/>
      <c r="J56" s="6" t="str">
        <f t="shared" si="0"/>
        <v/>
      </c>
      <c r="K56" s="6" t="str">
        <f>IF(A56="","",IF(COUNTIFS('02_KICH_BAN_NODES'!$B$5:$B$204,A56,'02_KICH_BAN_NODES'!$D$5:$D$204,"choice")=0,"ChoiceNodeId không tồn tại hoặc không phải choice",IF(COUNTIFS($A$5:$A$404,A56,$B$5:$B$404,B56)&gt;1,"Trùng OptionOrder trong cùng choice",IF(OR(B56="",C56="",D56="",F56="",H56=""),"Thiếu trường bắt buộc",IF(OR(COUNTIF($A$5:$A$404,A56)&lt;2,COUNTIF($A$5:$A$404,A56)&gt;4),"Mỗi choice cần 2–4 option",IF(COUNTIFS('02_KICH_BAN_NODES'!$B$5:$B$204,A56,'02_KICH_BAN_NODES'!$E$5:$E$204,"Kiến thức")=1,IF(COUNTIFS($A$5:$A$404,A56,$D$5:$D$404,"Có")&lt;&gt;1,"Choice kiến thức cần đúng 1 đáp án đúng",""),IF(COUNTIFS('02_KICH_BAN_NODES'!$B$5:$B$204,A56,'02_KICH_BAN_NODES'!$E$5:$E$204,"Tương tác")=1,IF(COUNTIFS($A$5:$A$404,A56,$D$5:$D$404,"Có")&lt;&gt;0,"Choice tương tác không được đánh dấu đáp án đúng",""),"Choice chưa chọn loại")))))))</f>
        <v/>
      </c>
    </row>
    <row r="57" spans="1:11">
      <c r="A57" s="13"/>
      <c r="B57" s="13"/>
      <c r="C57" s="5"/>
      <c r="D57" s="13"/>
      <c r="E57" s="13"/>
      <c r="F57" s="13"/>
      <c r="G57" s="13"/>
      <c r="H57" s="5"/>
      <c r="I57" s="5"/>
      <c r="J57" s="6" t="str">
        <f t="shared" si="0"/>
        <v/>
      </c>
      <c r="K57" s="6" t="str">
        <f>IF(A57="","",IF(COUNTIFS('02_KICH_BAN_NODES'!$B$5:$B$204,A57,'02_KICH_BAN_NODES'!$D$5:$D$204,"choice")=0,"ChoiceNodeId không tồn tại hoặc không phải choice",IF(COUNTIFS($A$5:$A$404,A57,$B$5:$B$404,B57)&gt;1,"Trùng OptionOrder trong cùng choice",IF(OR(B57="",C57="",D57="",F57="",H57=""),"Thiếu trường bắt buộc",IF(OR(COUNTIF($A$5:$A$404,A57)&lt;2,COUNTIF($A$5:$A$404,A57)&gt;4),"Mỗi choice cần 2–4 option",IF(COUNTIFS('02_KICH_BAN_NODES'!$B$5:$B$204,A57,'02_KICH_BAN_NODES'!$E$5:$E$204,"Kiến thức")=1,IF(COUNTIFS($A$5:$A$404,A57,$D$5:$D$404,"Có")&lt;&gt;1,"Choice kiến thức cần đúng 1 đáp án đúng",""),IF(COUNTIFS('02_KICH_BAN_NODES'!$B$5:$B$204,A57,'02_KICH_BAN_NODES'!$E$5:$E$204,"Tương tác")=1,IF(COUNTIFS($A$5:$A$404,A57,$D$5:$D$404,"Có")&lt;&gt;0,"Choice tương tác không được đánh dấu đáp án đúng",""),"Choice chưa chọn loại")))))))</f>
        <v/>
      </c>
    </row>
    <row r="58" spans="1:11">
      <c r="A58" s="13"/>
      <c r="B58" s="13"/>
      <c r="C58" s="5"/>
      <c r="D58" s="13"/>
      <c r="E58" s="13"/>
      <c r="F58" s="13"/>
      <c r="G58" s="13"/>
      <c r="H58" s="5"/>
      <c r="I58" s="5"/>
      <c r="J58" s="6" t="str">
        <f t="shared" si="0"/>
        <v/>
      </c>
      <c r="K58" s="6" t="str">
        <f>IF(A58="","",IF(COUNTIFS('02_KICH_BAN_NODES'!$B$5:$B$204,A58,'02_KICH_BAN_NODES'!$D$5:$D$204,"choice")=0,"ChoiceNodeId không tồn tại hoặc không phải choice",IF(COUNTIFS($A$5:$A$404,A58,$B$5:$B$404,B58)&gt;1,"Trùng OptionOrder trong cùng choice",IF(OR(B58="",C58="",D58="",F58="",H58=""),"Thiếu trường bắt buộc",IF(OR(COUNTIF($A$5:$A$404,A58)&lt;2,COUNTIF($A$5:$A$404,A58)&gt;4),"Mỗi choice cần 2–4 option",IF(COUNTIFS('02_KICH_BAN_NODES'!$B$5:$B$204,A58,'02_KICH_BAN_NODES'!$E$5:$E$204,"Kiến thức")=1,IF(COUNTIFS($A$5:$A$404,A58,$D$5:$D$404,"Có")&lt;&gt;1,"Choice kiến thức cần đúng 1 đáp án đúng",""),IF(COUNTIFS('02_KICH_BAN_NODES'!$B$5:$B$204,A58,'02_KICH_BAN_NODES'!$E$5:$E$204,"Tương tác")=1,IF(COUNTIFS($A$5:$A$404,A58,$D$5:$D$404,"Có")&lt;&gt;0,"Choice tương tác không được đánh dấu đáp án đúng",""),"Choice chưa chọn loại")))))))</f>
        <v/>
      </c>
    </row>
    <row r="59" spans="1:11">
      <c r="A59" s="13"/>
      <c r="B59" s="13"/>
      <c r="C59" s="5"/>
      <c r="D59" s="13"/>
      <c r="E59" s="13"/>
      <c r="F59" s="13"/>
      <c r="G59" s="13"/>
      <c r="H59" s="5"/>
      <c r="I59" s="5"/>
      <c r="J59" s="6" t="str">
        <f t="shared" si="0"/>
        <v/>
      </c>
      <c r="K59" s="6" t="str">
        <f>IF(A59="","",IF(COUNTIFS('02_KICH_BAN_NODES'!$B$5:$B$204,A59,'02_KICH_BAN_NODES'!$D$5:$D$204,"choice")=0,"ChoiceNodeId không tồn tại hoặc không phải choice",IF(COUNTIFS($A$5:$A$404,A59,$B$5:$B$404,B59)&gt;1,"Trùng OptionOrder trong cùng choice",IF(OR(B59="",C59="",D59="",F59="",H59=""),"Thiếu trường bắt buộc",IF(OR(COUNTIF($A$5:$A$404,A59)&lt;2,COUNTIF($A$5:$A$404,A59)&gt;4),"Mỗi choice cần 2–4 option",IF(COUNTIFS('02_KICH_BAN_NODES'!$B$5:$B$204,A59,'02_KICH_BAN_NODES'!$E$5:$E$204,"Kiến thức")=1,IF(COUNTIFS($A$5:$A$404,A59,$D$5:$D$404,"Có")&lt;&gt;1,"Choice kiến thức cần đúng 1 đáp án đúng",""),IF(COUNTIFS('02_KICH_BAN_NODES'!$B$5:$B$204,A59,'02_KICH_BAN_NODES'!$E$5:$E$204,"Tương tác")=1,IF(COUNTIFS($A$5:$A$404,A59,$D$5:$D$404,"Có")&lt;&gt;0,"Choice tương tác không được đánh dấu đáp án đúng",""),"Choice chưa chọn loại")))))))</f>
        <v/>
      </c>
    </row>
    <row r="60" spans="1:11">
      <c r="A60" s="13"/>
      <c r="B60" s="13"/>
      <c r="C60" s="5"/>
      <c r="D60" s="13"/>
      <c r="E60" s="13"/>
      <c r="F60" s="13"/>
      <c r="G60" s="13"/>
      <c r="H60" s="5"/>
      <c r="I60" s="5"/>
      <c r="J60" s="6" t="str">
        <f t="shared" si="0"/>
        <v/>
      </c>
      <c r="K60" s="6" t="str">
        <f>IF(A60="","",IF(COUNTIFS('02_KICH_BAN_NODES'!$B$5:$B$204,A60,'02_KICH_BAN_NODES'!$D$5:$D$204,"choice")=0,"ChoiceNodeId không tồn tại hoặc không phải choice",IF(COUNTIFS($A$5:$A$404,A60,$B$5:$B$404,B60)&gt;1,"Trùng OptionOrder trong cùng choice",IF(OR(B60="",C60="",D60="",F60="",H60=""),"Thiếu trường bắt buộc",IF(OR(COUNTIF($A$5:$A$404,A60)&lt;2,COUNTIF($A$5:$A$404,A60)&gt;4),"Mỗi choice cần 2–4 option",IF(COUNTIFS('02_KICH_BAN_NODES'!$B$5:$B$204,A60,'02_KICH_BAN_NODES'!$E$5:$E$204,"Kiến thức")=1,IF(COUNTIFS($A$5:$A$404,A60,$D$5:$D$404,"Có")&lt;&gt;1,"Choice kiến thức cần đúng 1 đáp án đúng",""),IF(COUNTIFS('02_KICH_BAN_NODES'!$B$5:$B$204,A60,'02_KICH_BAN_NODES'!$E$5:$E$204,"Tương tác")=1,IF(COUNTIFS($A$5:$A$404,A60,$D$5:$D$404,"Có")&lt;&gt;0,"Choice tương tác không được đánh dấu đáp án đúng",""),"Choice chưa chọn loại")))))))</f>
        <v/>
      </c>
    </row>
    <row r="61" spans="1:11">
      <c r="A61" s="13"/>
      <c r="B61" s="13"/>
      <c r="C61" s="5"/>
      <c r="D61" s="13"/>
      <c r="E61" s="13"/>
      <c r="F61" s="13"/>
      <c r="G61" s="13"/>
      <c r="H61" s="5"/>
      <c r="I61" s="5"/>
      <c r="J61" s="6" t="str">
        <f t="shared" si="0"/>
        <v/>
      </c>
      <c r="K61" s="6" t="str">
        <f>IF(A61="","",IF(COUNTIFS('02_KICH_BAN_NODES'!$B$5:$B$204,A61,'02_KICH_BAN_NODES'!$D$5:$D$204,"choice")=0,"ChoiceNodeId không tồn tại hoặc không phải choice",IF(COUNTIFS($A$5:$A$404,A61,$B$5:$B$404,B61)&gt;1,"Trùng OptionOrder trong cùng choice",IF(OR(B61="",C61="",D61="",F61="",H61=""),"Thiếu trường bắt buộc",IF(OR(COUNTIF($A$5:$A$404,A61)&lt;2,COUNTIF($A$5:$A$404,A61)&gt;4),"Mỗi choice cần 2–4 option",IF(COUNTIFS('02_KICH_BAN_NODES'!$B$5:$B$204,A61,'02_KICH_BAN_NODES'!$E$5:$E$204,"Kiến thức")=1,IF(COUNTIFS($A$5:$A$404,A61,$D$5:$D$404,"Có")&lt;&gt;1,"Choice kiến thức cần đúng 1 đáp án đúng",""),IF(COUNTIFS('02_KICH_BAN_NODES'!$B$5:$B$204,A61,'02_KICH_BAN_NODES'!$E$5:$E$204,"Tương tác")=1,IF(COUNTIFS($A$5:$A$404,A61,$D$5:$D$404,"Có")&lt;&gt;0,"Choice tương tác không được đánh dấu đáp án đúng",""),"Choice chưa chọn loại")))))))</f>
        <v/>
      </c>
    </row>
    <row r="62" spans="1:11">
      <c r="A62" s="13"/>
      <c r="B62" s="13"/>
      <c r="C62" s="5"/>
      <c r="D62" s="13"/>
      <c r="E62" s="13"/>
      <c r="F62" s="13"/>
      <c r="G62" s="13"/>
      <c r="H62" s="5"/>
      <c r="I62" s="5"/>
      <c r="J62" s="6" t="str">
        <f t="shared" si="0"/>
        <v/>
      </c>
      <c r="K62" s="6" t="str">
        <f>IF(A62="","",IF(COUNTIFS('02_KICH_BAN_NODES'!$B$5:$B$204,A62,'02_KICH_BAN_NODES'!$D$5:$D$204,"choice")=0,"ChoiceNodeId không tồn tại hoặc không phải choice",IF(COUNTIFS($A$5:$A$404,A62,$B$5:$B$404,B62)&gt;1,"Trùng OptionOrder trong cùng choice",IF(OR(B62="",C62="",D62="",F62="",H62=""),"Thiếu trường bắt buộc",IF(OR(COUNTIF($A$5:$A$404,A62)&lt;2,COUNTIF($A$5:$A$404,A62)&gt;4),"Mỗi choice cần 2–4 option",IF(COUNTIFS('02_KICH_BAN_NODES'!$B$5:$B$204,A62,'02_KICH_BAN_NODES'!$E$5:$E$204,"Kiến thức")=1,IF(COUNTIFS($A$5:$A$404,A62,$D$5:$D$404,"Có")&lt;&gt;1,"Choice kiến thức cần đúng 1 đáp án đúng",""),IF(COUNTIFS('02_KICH_BAN_NODES'!$B$5:$B$204,A62,'02_KICH_BAN_NODES'!$E$5:$E$204,"Tương tác")=1,IF(COUNTIFS($A$5:$A$404,A62,$D$5:$D$404,"Có")&lt;&gt;0,"Choice tương tác không được đánh dấu đáp án đúng",""),"Choice chưa chọn loại")))))))</f>
        <v/>
      </c>
    </row>
    <row r="63" spans="1:11">
      <c r="A63" s="13"/>
      <c r="B63" s="13"/>
      <c r="C63" s="5"/>
      <c r="D63" s="13"/>
      <c r="E63" s="13"/>
      <c r="F63" s="13"/>
      <c r="G63" s="13"/>
      <c r="H63" s="5"/>
      <c r="I63" s="5"/>
      <c r="J63" s="6" t="str">
        <f t="shared" si="0"/>
        <v/>
      </c>
      <c r="K63" s="6" t="str">
        <f>IF(A63="","",IF(COUNTIFS('02_KICH_BAN_NODES'!$B$5:$B$204,A63,'02_KICH_BAN_NODES'!$D$5:$D$204,"choice")=0,"ChoiceNodeId không tồn tại hoặc không phải choice",IF(COUNTIFS($A$5:$A$404,A63,$B$5:$B$404,B63)&gt;1,"Trùng OptionOrder trong cùng choice",IF(OR(B63="",C63="",D63="",F63="",H63=""),"Thiếu trường bắt buộc",IF(OR(COUNTIF($A$5:$A$404,A63)&lt;2,COUNTIF($A$5:$A$404,A63)&gt;4),"Mỗi choice cần 2–4 option",IF(COUNTIFS('02_KICH_BAN_NODES'!$B$5:$B$204,A63,'02_KICH_BAN_NODES'!$E$5:$E$204,"Kiến thức")=1,IF(COUNTIFS($A$5:$A$404,A63,$D$5:$D$404,"Có")&lt;&gt;1,"Choice kiến thức cần đúng 1 đáp án đúng",""),IF(COUNTIFS('02_KICH_BAN_NODES'!$B$5:$B$204,A63,'02_KICH_BAN_NODES'!$E$5:$E$204,"Tương tác")=1,IF(COUNTIFS($A$5:$A$404,A63,$D$5:$D$404,"Có")&lt;&gt;0,"Choice tương tác không được đánh dấu đáp án đúng",""),"Choice chưa chọn loại")))))))</f>
        <v/>
      </c>
    </row>
    <row r="64" spans="1:11">
      <c r="A64" s="13"/>
      <c r="B64" s="13"/>
      <c r="C64" s="5"/>
      <c r="D64" s="13"/>
      <c r="E64" s="13"/>
      <c r="F64" s="13"/>
      <c r="G64" s="13"/>
      <c r="H64" s="5"/>
      <c r="I64" s="5"/>
      <c r="J64" s="6" t="str">
        <f t="shared" si="0"/>
        <v/>
      </c>
      <c r="K64" s="6" t="str">
        <f>IF(A64="","",IF(COUNTIFS('02_KICH_BAN_NODES'!$B$5:$B$204,A64,'02_KICH_BAN_NODES'!$D$5:$D$204,"choice")=0,"ChoiceNodeId không tồn tại hoặc không phải choice",IF(COUNTIFS($A$5:$A$404,A64,$B$5:$B$404,B64)&gt;1,"Trùng OptionOrder trong cùng choice",IF(OR(B64="",C64="",D64="",F64="",H64=""),"Thiếu trường bắt buộc",IF(OR(COUNTIF($A$5:$A$404,A64)&lt;2,COUNTIF($A$5:$A$404,A64)&gt;4),"Mỗi choice cần 2–4 option",IF(COUNTIFS('02_KICH_BAN_NODES'!$B$5:$B$204,A64,'02_KICH_BAN_NODES'!$E$5:$E$204,"Kiến thức")=1,IF(COUNTIFS($A$5:$A$404,A64,$D$5:$D$404,"Có")&lt;&gt;1,"Choice kiến thức cần đúng 1 đáp án đúng",""),IF(COUNTIFS('02_KICH_BAN_NODES'!$B$5:$B$204,A64,'02_KICH_BAN_NODES'!$E$5:$E$204,"Tương tác")=1,IF(COUNTIFS($A$5:$A$404,A64,$D$5:$D$404,"Có")&lt;&gt;0,"Choice tương tác không được đánh dấu đáp án đúng",""),"Choice chưa chọn loại")))))))</f>
        <v/>
      </c>
    </row>
    <row r="65" spans="1:11">
      <c r="A65" s="13"/>
      <c r="B65" s="13"/>
      <c r="C65" s="5"/>
      <c r="D65" s="13"/>
      <c r="E65" s="13"/>
      <c r="F65" s="13"/>
      <c r="G65" s="13"/>
      <c r="H65" s="5"/>
      <c r="I65" s="5"/>
      <c r="J65" s="6" t="str">
        <f t="shared" si="0"/>
        <v/>
      </c>
      <c r="K65" s="6" t="str">
        <f>IF(A65="","",IF(COUNTIFS('02_KICH_BAN_NODES'!$B$5:$B$204,A65,'02_KICH_BAN_NODES'!$D$5:$D$204,"choice")=0,"ChoiceNodeId không tồn tại hoặc không phải choice",IF(COUNTIFS($A$5:$A$404,A65,$B$5:$B$404,B65)&gt;1,"Trùng OptionOrder trong cùng choice",IF(OR(B65="",C65="",D65="",F65="",H65=""),"Thiếu trường bắt buộc",IF(OR(COUNTIF($A$5:$A$404,A65)&lt;2,COUNTIF($A$5:$A$404,A65)&gt;4),"Mỗi choice cần 2–4 option",IF(COUNTIFS('02_KICH_BAN_NODES'!$B$5:$B$204,A65,'02_KICH_BAN_NODES'!$E$5:$E$204,"Kiến thức")=1,IF(COUNTIFS($A$5:$A$404,A65,$D$5:$D$404,"Có")&lt;&gt;1,"Choice kiến thức cần đúng 1 đáp án đúng",""),IF(COUNTIFS('02_KICH_BAN_NODES'!$B$5:$B$204,A65,'02_KICH_BAN_NODES'!$E$5:$E$204,"Tương tác")=1,IF(COUNTIFS($A$5:$A$404,A65,$D$5:$D$404,"Có")&lt;&gt;0,"Choice tương tác không được đánh dấu đáp án đúng",""),"Choice chưa chọn loại")))))))</f>
        <v/>
      </c>
    </row>
    <row r="66" spans="1:11">
      <c r="A66" s="13"/>
      <c r="B66" s="13"/>
      <c r="C66" s="5"/>
      <c r="D66" s="13"/>
      <c r="E66" s="13"/>
      <c r="F66" s="13"/>
      <c r="G66" s="13"/>
      <c r="H66" s="5"/>
      <c r="I66" s="5"/>
      <c r="J66" s="6" t="str">
        <f t="shared" si="0"/>
        <v/>
      </c>
      <c r="K66" s="6" t="str">
        <f>IF(A66="","",IF(COUNTIFS('02_KICH_BAN_NODES'!$B$5:$B$204,A66,'02_KICH_BAN_NODES'!$D$5:$D$204,"choice")=0,"ChoiceNodeId không tồn tại hoặc không phải choice",IF(COUNTIFS($A$5:$A$404,A66,$B$5:$B$404,B66)&gt;1,"Trùng OptionOrder trong cùng choice",IF(OR(B66="",C66="",D66="",F66="",H66=""),"Thiếu trường bắt buộc",IF(OR(COUNTIF($A$5:$A$404,A66)&lt;2,COUNTIF($A$5:$A$404,A66)&gt;4),"Mỗi choice cần 2–4 option",IF(COUNTIFS('02_KICH_BAN_NODES'!$B$5:$B$204,A66,'02_KICH_BAN_NODES'!$E$5:$E$204,"Kiến thức")=1,IF(COUNTIFS($A$5:$A$404,A66,$D$5:$D$404,"Có")&lt;&gt;1,"Choice kiến thức cần đúng 1 đáp án đúng",""),IF(COUNTIFS('02_KICH_BAN_NODES'!$B$5:$B$204,A66,'02_KICH_BAN_NODES'!$E$5:$E$204,"Tương tác")=1,IF(COUNTIFS($A$5:$A$404,A66,$D$5:$D$404,"Có")&lt;&gt;0,"Choice tương tác không được đánh dấu đáp án đúng",""),"Choice chưa chọn loại")))))))</f>
        <v/>
      </c>
    </row>
    <row r="67" spans="1:11">
      <c r="A67" s="13"/>
      <c r="B67" s="13"/>
      <c r="C67" s="5"/>
      <c r="D67" s="13"/>
      <c r="E67" s="13"/>
      <c r="F67" s="13"/>
      <c r="G67" s="13"/>
      <c r="H67" s="5"/>
      <c r="I67" s="5"/>
      <c r="J67" s="6" t="str">
        <f t="shared" si="0"/>
        <v/>
      </c>
      <c r="K67" s="6" t="str">
        <f>IF(A67="","",IF(COUNTIFS('02_KICH_BAN_NODES'!$B$5:$B$204,A67,'02_KICH_BAN_NODES'!$D$5:$D$204,"choice")=0,"ChoiceNodeId không tồn tại hoặc không phải choice",IF(COUNTIFS($A$5:$A$404,A67,$B$5:$B$404,B67)&gt;1,"Trùng OptionOrder trong cùng choice",IF(OR(B67="",C67="",D67="",F67="",H67=""),"Thiếu trường bắt buộc",IF(OR(COUNTIF($A$5:$A$404,A67)&lt;2,COUNTIF($A$5:$A$404,A67)&gt;4),"Mỗi choice cần 2–4 option",IF(COUNTIFS('02_KICH_BAN_NODES'!$B$5:$B$204,A67,'02_KICH_BAN_NODES'!$E$5:$E$204,"Kiến thức")=1,IF(COUNTIFS($A$5:$A$404,A67,$D$5:$D$404,"Có")&lt;&gt;1,"Choice kiến thức cần đúng 1 đáp án đúng",""),IF(COUNTIFS('02_KICH_BAN_NODES'!$B$5:$B$204,A67,'02_KICH_BAN_NODES'!$E$5:$E$204,"Tương tác")=1,IF(COUNTIFS($A$5:$A$404,A67,$D$5:$D$404,"Có")&lt;&gt;0,"Choice tương tác không được đánh dấu đáp án đúng",""),"Choice chưa chọn loại")))))))</f>
        <v/>
      </c>
    </row>
    <row r="68" spans="1:11">
      <c r="A68" s="13"/>
      <c r="B68" s="13"/>
      <c r="C68" s="5"/>
      <c r="D68" s="13"/>
      <c r="E68" s="13"/>
      <c r="F68" s="13"/>
      <c r="G68" s="13"/>
      <c r="H68" s="5"/>
      <c r="I68" s="5"/>
      <c r="J68" s="6" t="str">
        <f t="shared" si="0"/>
        <v/>
      </c>
      <c r="K68" s="6" t="str">
        <f>IF(A68="","",IF(COUNTIFS('02_KICH_BAN_NODES'!$B$5:$B$204,A68,'02_KICH_BAN_NODES'!$D$5:$D$204,"choice")=0,"ChoiceNodeId không tồn tại hoặc không phải choice",IF(COUNTIFS($A$5:$A$404,A68,$B$5:$B$404,B68)&gt;1,"Trùng OptionOrder trong cùng choice",IF(OR(B68="",C68="",D68="",F68="",H68=""),"Thiếu trường bắt buộc",IF(OR(COUNTIF($A$5:$A$404,A68)&lt;2,COUNTIF($A$5:$A$404,A68)&gt;4),"Mỗi choice cần 2–4 option",IF(COUNTIFS('02_KICH_BAN_NODES'!$B$5:$B$204,A68,'02_KICH_BAN_NODES'!$E$5:$E$204,"Kiến thức")=1,IF(COUNTIFS($A$5:$A$404,A68,$D$5:$D$404,"Có")&lt;&gt;1,"Choice kiến thức cần đúng 1 đáp án đúng",""),IF(COUNTIFS('02_KICH_BAN_NODES'!$B$5:$B$204,A68,'02_KICH_BAN_NODES'!$E$5:$E$204,"Tương tác")=1,IF(COUNTIFS($A$5:$A$404,A68,$D$5:$D$404,"Có")&lt;&gt;0,"Choice tương tác không được đánh dấu đáp án đúng",""),"Choice chưa chọn loại")))))))</f>
        <v/>
      </c>
    </row>
    <row r="69" spans="1:11">
      <c r="A69" s="13"/>
      <c r="B69" s="13"/>
      <c r="C69" s="5"/>
      <c r="D69" s="13"/>
      <c r="E69" s="13"/>
      <c r="F69" s="13"/>
      <c r="G69" s="13"/>
      <c r="H69" s="5"/>
      <c r="I69" s="5"/>
      <c r="J69" s="6" t="str">
        <f t="shared" ref="J69:J132" si="1">IF(A69="","",IF(K69="","HỢP LỆ","CẦN SỬA"))</f>
        <v/>
      </c>
      <c r="K69" s="6" t="str">
        <f>IF(A69="","",IF(COUNTIFS('02_KICH_BAN_NODES'!$B$5:$B$204,A69,'02_KICH_BAN_NODES'!$D$5:$D$204,"choice")=0,"ChoiceNodeId không tồn tại hoặc không phải choice",IF(COUNTIFS($A$5:$A$404,A69,$B$5:$B$404,B69)&gt;1,"Trùng OptionOrder trong cùng choice",IF(OR(B69="",C69="",D69="",F69="",H69=""),"Thiếu trường bắt buộc",IF(OR(COUNTIF($A$5:$A$404,A69)&lt;2,COUNTIF($A$5:$A$404,A69)&gt;4),"Mỗi choice cần 2–4 option",IF(COUNTIFS('02_KICH_BAN_NODES'!$B$5:$B$204,A69,'02_KICH_BAN_NODES'!$E$5:$E$204,"Kiến thức")=1,IF(COUNTIFS($A$5:$A$404,A69,$D$5:$D$404,"Có")&lt;&gt;1,"Choice kiến thức cần đúng 1 đáp án đúng",""),IF(COUNTIFS('02_KICH_BAN_NODES'!$B$5:$B$204,A69,'02_KICH_BAN_NODES'!$E$5:$E$204,"Tương tác")=1,IF(COUNTIFS($A$5:$A$404,A69,$D$5:$D$404,"Có")&lt;&gt;0,"Choice tương tác không được đánh dấu đáp án đúng",""),"Choice chưa chọn loại")))))))</f>
        <v/>
      </c>
    </row>
    <row r="70" spans="1:11">
      <c r="A70" s="13"/>
      <c r="B70" s="13"/>
      <c r="C70" s="5"/>
      <c r="D70" s="13"/>
      <c r="E70" s="13"/>
      <c r="F70" s="13"/>
      <c r="G70" s="13"/>
      <c r="H70" s="5"/>
      <c r="I70" s="5"/>
      <c r="J70" s="6" t="str">
        <f t="shared" si="1"/>
        <v/>
      </c>
      <c r="K70" s="6" t="str">
        <f>IF(A70="","",IF(COUNTIFS('02_KICH_BAN_NODES'!$B$5:$B$204,A70,'02_KICH_BAN_NODES'!$D$5:$D$204,"choice")=0,"ChoiceNodeId không tồn tại hoặc không phải choice",IF(COUNTIFS($A$5:$A$404,A70,$B$5:$B$404,B70)&gt;1,"Trùng OptionOrder trong cùng choice",IF(OR(B70="",C70="",D70="",F70="",H70=""),"Thiếu trường bắt buộc",IF(OR(COUNTIF($A$5:$A$404,A70)&lt;2,COUNTIF($A$5:$A$404,A70)&gt;4),"Mỗi choice cần 2–4 option",IF(COUNTIFS('02_KICH_BAN_NODES'!$B$5:$B$204,A70,'02_KICH_BAN_NODES'!$E$5:$E$204,"Kiến thức")=1,IF(COUNTIFS($A$5:$A$404,A70,$D$5:$D$404,"Có")&lt;&gt;1,"Choice kiến thức cần đúng 1 đáp án đúng",""),IF(COUNTIFS('02_KICH_BAN_NODES'!$B$5:$B$204,A70,'02_KICH_BAN_NODES'!$E$5:$E$204,"Tương tác")=1,IF(COUNTIFS($A$5:$A$404,A70,$D$5:$D$404,"Có")&lt;&gt;0,"Choice tương tác không được đánh dấu đáp án đúng",""),"Choice chưa chọn loại")))))))</f>
        <v/>
      </c>
    </row>
    <row r="71" spans="1:11">
      <c r="A71" s="13"/>
      <c r="B71" s="13"/>
      <c r="C71" s="5"/>
      <c r="D71" s="13"/>
      <c r="E71" s="13"/>
      <c r="F71" s="13"/>
      <c r="G71" s="13"/>
      <c r="H71" s="5"/>
      <c r="I71" s="5"/>
      <c r="J71" s="6" t="str">
        <f t="shared" si="1"/>
        <v/>
      </c>
      <c r="K71" s="6" t="str">
        <f>IF(A71="","",IF(COUNTIFS('02_KICH_BAN_NODES'!$B$5:$B$204,A71,'02_KICH_BAN_NODES'!$D$5:$D$204,"choice")=0,"ChoiceNodeId không tồn tại hoặc không phải choice",IF(COUNTIFS($A$5:$A$404,A71,$B$5:$B$404,B71)&gt;1,"Trùng OptionOrder trong cùng choice",IF(OR(B71="",C71="",D71="",F71="",H71=""),"Thiếu trường bắt buộc",IF(OR(COUNTIF($A$5:$A$404,A71)&lt;2,COUNTIF($A$5:$A$404,A71)&gt;4),"Mỗi choice cần 2–4 option",IF(COUNTIFS('02_KICH_BAN_NODES'!$B$5:$B$204,A71,'02_KICH_BAN_NODES'!$E$5:$E$204,"Kiến thức")=1,IF(COUNTIFS($A$5:$A$404,A71,$D$5:$D$404,"Có")&lt;&gt;1,"Choice kiến thức cần đúng 1 đáp án đúng",""),IF(COUNTIFS('02_KICH_BAN_NODES'!$B$5:$B$204,A71,'02_KICH_BAN_NODES'!$E$5:$E$204,"Tương tác")=1,IF(COUNTIFS($A$5:$A$404,A71,$D$5:$D$404,"Có")&lt;&gt;0,"Choice tương tác không được đánh dấu đáp án đúng",""),"Choice chưa chọn loại")))))))</f>
        <v/>
      </c>
    </row>
    <row r="72" spans="1:11">
      <c r="A72" s="13"/>
      <c r="B72" s="13"/>
      <c r="C72" s="5"/>
      <c r="D72" s="13"/>
      <c r="E72" s="13"/>
      <c r="F72" s="13"/>
      <c r="G72" s="13"/>
      <c r="H72" s="5"/>
      <c r="I72" s="5"/>
      <c r="J72" s="6" t="str">
        <f t="shared" si="1"/>
        <v/>
      </c>
      <c r="K72" s="6" t="str">
        <f>IF(A72="","",IF(COUNTIFS('02_KICH_BAN_NODES'!$B$5:$B$204,A72,'02_KICH_BAN_NODES'!$D$5:$D$204,"choice")=0,"ChoiceNodeId không tồn tại hoặc không phải choice",IF(COUNTIFS($A$5:$A$404,A72,$B$5:$B$404,B72)&gt;1,"Trùng OptionOrder trong cùng choice",IF(OR(B72="",C72="",D72="",F72="",H72=""),"Thiếu trường bắt buộc",IF(OR(COUNTIF($A$5:$A$404,A72)&lt;2,COUNTIF($A$5:$A$404,A72)&gt;4),"Mỗi choice cần 2–4 option",IF(COUNTIFS('02_KICH_BAN_NODES'!$B$5:$B$204,A72,'02_KICH_BAN_NODES'!$E$5:$E$204,"Kiến thức")=1,IF(COUNTIFS($A$5:$A$404,A72,$D$5:$D$404,"Có")&lt;&gt;1,"Choice kiến thức cần đúng 1 đáp án đúng",""),IF(COUNTIFS('02_KICH_BAN_NODES'!$B$5:$B$204,A72,'02_KICH_BAN_NODES'!$E$5:$E$204,"Tương tác")=1,IF(COUNTIFS($A$5:$A$404,A72,$D$5:$D$404,"Có")&lt;&gt;0,"Choice tương tác không được đánh dấu đáp án đúng",""),"Choice chưa chọn loại")))))))</f>
        <v/>
      </c>
    </row>
    <row r="73" spans="1:11">
      <c r="A73" s="13"/>
      <c r="B73" s="13"/>
      <c r="C73" s="5"/>
      <c r="D73" s="13"/>
      <c r="E73" s="13"/>
      <c r="F73" s="13"/>
      <c r="G73" s="13"/>
      <c r="H73" s="5"/>
      <c r="I73" s="5"/>
      <c r="J73" s="6" t="str">
        <f t="shared" si="1"/>
        <v/>
      </c>
      <c r="K73" s="6" t="str">
        <f>IF(A73="","",IF(COUNTIFS('02_KICH_BAN_NODES'!$B$5:$B$204,A73,'02_KICH_BAN_NODES'!$D$5:$D$204,"choice")=0,"ChoiceNodeId không tồn tại hoặc không phải choice",IF(COUNTIFS($A$5:$A$404,A73,$B$5:$B$404,B73)&gt;1,"Trùng OptionOrder trong cùng choice",IF(OR(B73="",C73="",D73="",F73="",H73=""),"Thiếu trường bắt buộc",IF(OR(COUNTIF($A$5:$A$404,A73)&lt;2,COUNTIF($A$5:$A$404,A73)&gt;4),"Mỗi choice cần 2–4 option",IF(COUNTIFS('02_KICH_BAN_NODES'!$B$5:$B$204,A73,'02_KICH_BAN_NODES'!$E$5:$E$204,"Kiến thức")=1,IF(COUNTIFS($A$5:$A$404,A73,$D$5:$D$404,"Có")&lt;&gt;1,"Choice kiến thức cần đúng 1 đáp án đúng",""),IF(COUNTIFS('02_KICH_BAN_NODES'!$B$5:$B$204,A73,'02_KICH_BAN_NODES'!$E$5:$E$204,"Tương tác")=1,IF(COUNTIFS($A$5:$A$404,A73,$D$5:$D$404,"Có")&lt;&gt;0,"Choice tương tác không được đánh dấu đáp án đúng",""),"Choice chưa chọn loại")))))))</f>
        <v/>
      </c>
    </row>
    <row r="74" spans="1:11">
      <c r="A74" s="13"/>
      <c r="B74" s="13"/>
      <c r="C74" s="5"/>
      <c r="D74" s="13"/>
      <c r="E74" s="13"/>
      <c r="F74" s="13"/>
      <c r="G74" s="13"/>
      <c r="H74" s="5"/>
      <c r="I74" s="5"/>
      <c r="J74" s="6" t="str">
        <f t="shared" si="1"/>
        <v/>
      </c>
      <c r="K74" s="6" t="str">
        <f>IF(A74="","",IF(COUNTIFS('02_KICH_BAN_NODES'!$B$5:$B$204,A74,'02_KICH_BAN_NODES'!$D$5:$D$204,"choice")=0,"ChoiceNodeId không tồn tại hoặc không phải choice",IF(COUNTIFS($A$5:$A$404,A74,$B$5:$B$404,B74)&gt;1,"Trùng OptionOrder trong cùng choice",IF(OR(B74="",C74="",D74="",F74="",H74=""),"Thiếu trường bắt buộc",IF(OR(COUNTIF($A$5:$A$404,A74)&lt;2,COUNTIF($A$5:$A$404,A74)&gt;4),"Mỗi choice cần 2–4 option",IF(COUNTIFS('02_KICH_BAN_NODES'!$B$5:$B$204,A74,'02_KICH_BAN_NODES'!$E$5:$E$204,"Kiến thức")=1,IF(COUNTIFS($A$5:$A$404,A74,$D$5:$D$404,"Có")&lt;&gt;1,"Choice kiến thức cần đúng 1 đáp án đúng",""),IF(COUNTIFS('02_KICH_BAN_NODES'!$B$5:$B$204,A74,'02_KICH_BAN_NODES'!$E$5:$E$204,"Tương tác")=1,IF(COUNTIFS($A$5:$A$404,A74,$D$5:$D$404,"Có")&lt;&gt;0,"Choice tương tác không được đánh dấu đáp án đúng",""),"Choice chưa chọn loại")))))))</f>
        <v/>
      </c>
    </row>
    <row r="75" spans="1:11">
      <c r="A75" s="13"/>
      <c r="B75" s="13"/>
      <c r="C75" s="5"/>
      <c r="D75" s="13"/>
      <c r="E75" s="13"/>
      <c r="F75" s="13"/>
      <c r="G75" s="13"/>
      <c r="H75" s="5"/>
      <c r="I75" s="5"/>
      <c r="J75" s="6" t="str">
        <f t="shared" si="1"/>
        <v/>
      </c>
      <c r="K75" s="6" t="str">
        <f>IF(A75="","",IF(COUNTIFS('02_KICH_BAN_NODES'!$B$5:$B$204,A75,'02_KICH_BAN_NODES'!$D$5:$D$204,"choice")=0,"ChoiceNodeId không tồn tại hoặc không phải choice",IF(COUNTIFS($A$5:$A$404,A75,$B$5:$B$404,B75)&gt;1,"Trùng OptionOrder trong cùng choice",IF(OR(B75="",C75="",D75="",F75="",H75=""),"Thiếu trường bắt buộc",IF(OR(COUNTIF($A$5:$A$404,A75)&lt;2,COUNTIF($A$5:$A$404,A75)&gt;4),"Mỗi choice cần 2–4 option",IF(COUNTIFS('02_KICH_BAN_NODES'!$B$5:$B$204,A75,'02_KICH_BAN_NODES'!$E$5:$E$204,"Kiến thức")=1,IF(COUNTIFS($A$5:$A$404,A75,$D$5:$D$404,"Có")&lt;&gt;1,"Choice kiến thức cần đúng 1 đáp án đúng",""),IF(COUNTIFS('02_KICH_BAN_NODES'!$B$5:$B$204,A75,'02_KICH_BAN_NODES'!$E$5:$E$204,"Tương tác")=1,IF(COUNTIFS($A$5:$A$404,A75,$D$5:$D$404,"Có")&lt;&gt;0,"Choice tương tác không được đánh dấu đáp án đúng",""),"Choice chưa chọn loại")))))))</f>
        <v/>
      </c>
    </row>
    <row r="76" spans="1:11">
      <c r="A76" s="13"/>
      <c r="B76" s="13"/>
      <c r="C76" s="5"/>
      <c r="D76" s="13"/>
      <c r="E76" s="13"/>
      <c r="F76" s="13"/>
      <c r="G76" s="13"/>
      <c r="H76" s="5"/>
      <c r="I76" s="5"/>
      <c r="J76" s="6" t="str">
        <f t="shared" si="1"/>
        <v/>
      </c>
      <c r="K76" s="6" t="str">
        <f>IF(A76="","",IF(COUNTIFS('02_KICH_BAN_NODES'!$B$5:$B$204,A76,'02_KICH_BAN_NODES'!$D$5:$D$204,"choice")=0,"ChoiceNodeId không tồn tại hoặc không phải choice",IF(COUNTIFS($A$5:$A$404,A76,$B$5:$B$404,B76)&gt;1,"Trùng OptionOrder trong cùng choice",IF(OR(B76="",C76="",D76="",F76="",H76=""),"Thiếu trường bắt buộc",IF(OR(COUNTIF($A$5:$A$404,A76)&lt;2,COUNTIF($A$5:$A$404,A76)&gt;4),"Mỗi choice cần 2–4 option",IF(COUNTIFS('02_KICH_BAN_NODES'!$B$5:$B$204,A76,'02_KICH_BAN_NODES'!$E$5:$E$204,"Kiến thức")=1,IF(COUNTIFS($A$5:$A$404,A76,$D$5:$D$404,"Có")&lt;&gt;1,"Choice kiến thức cần đúng 1 đáp án đúng",""),IF(COUNTIFS('02_KICH_BAN_NODES'!$B$5:$B$204,A76,'02_KICH_BAN_NODES'!$E$5:$E$204,"Tương tác")=1,IF(COUNTIFS($A$5:$A$404,A76,$D$5:$D$404,"Có")&lt;&gt;0,"Choice tương tác không được đánh dấu đáp án đúng",""),"Choice chưa chọn loại")))))))</f>
        <v/>
      </c>
    </row>
    <row r="77" spans="1:11">
      <c r="A77" s="13"/>
      <c r="B77" s="13"/>
      <c r="C77" s="5"/>
      <c r="D77" s="13"/>
      <c r="E77" s="13"/>
      <c r="F77" s="13"/>
      <c r="G77" s="13"/>
      <c r="H77" s="5"/>
      <c r="I77" s="5"/>
      <c r="J77" s="6" t="str">
        <f t="shared" si="1"/>
        <v/>
      </c>
      <c r="K77" s="6" t="str">
        <f>IF(A77="","",IF(COUNTIFS('02_KICH_BAN_NODES'!$B$5:$B$204,A77,'02_KICH_BAN_NODES'!$D$5:$D$204,"choice")=0,"ChoiceNodeId không tồn tại hoặc không phải choice",IF(COUNTIFS($A$5:$A$404,A77,$B$5:$B$404,B77)&gt;1,"Trùng OptionOrder trong cùng choice",IF(OR(B77="",C77="",D77="",F77="",H77=""),"Thiếu trường bắt buộc",IF(OR(COUNTIF($A$5:$A$404,A77)&lt;2,COUNTIF($A$5:$A$404,A77)&gt;4),"Mỗi choice cần 2–4 option",IF(COUNTIFS('02_KICH_BAN_NODES'!$B$5:$B$204,A77,'02_KICH_BAN_NODES'!$E$5:$E$204,"Kiến thức")=1,IF(COUNTIFS($A$5:$A$404,A77,$D$5:$D$404,"Có")&lt;&gt;1,"Choice kiến thức cần đúng 1 đáp án đúng",""),IF(COUNTIFS('02_KICH_BAN_NODES'!$B$5:$B$204,A77,'02_KICH_BAN_NODES'!$E$5:$E$204,"Tương tác")=1,IF(COUNTIFS($A$5:$A$404,A77,$D$5:$D$404,"Có")&lt;&gt;0,"Choice tương tác không được đánh dấu đáp án đúng",""),"Choice chưa chọn loại")))))))</f>
        <v/>
      </c>
    </row>
    <row r="78" spans="1:11">
      <c r="A78" s="13"/>
      <c r="B78" s="13"/>
      <c r="C78" s="5"/>
      <c r="D78" s="13"/>
      <c r="E78" s="13"/>
      <c r="F78" s="13"/>
      <c r="G78" s="13"/>
      <c r="H78" s="5"/>
      <c r="I78" s="5"/>
      <c r="J78" s="6" t="str">
        <f t="shared" si="1"/>
        <v/>
      </c>
      <c r="K78" s="6" t="str">
        <f>IF(A78="","",IF(COUNTIFS('02_KICH_BAN_NODES'!$B$5:$B$204,A78,'02_KICH_BAN_NODES'!$D$5:$D$204,"choice")=0,"ChoiceNodeId không tồn tại hoặc không phải choice",IF(COUNTIFS($A$5:$A$404,A78,$B$5:$B$404,B78)&gt;1,"Trùng OptionOrder trong cùng choice",IF(OR(B78="",C78="",D78="",F78="",H78=""),"Thiếu trường bắt buộc",IF(OR(COUNTIF($A$5:$A$404,A78)&lt;2,COUNTIF($A$5:$A$404,A78)&gt;4),"Mỗi choice cần 2–4 option",IF(COUNTIFS('02_KICH_BAN_NODES'!$B$5:$B$204,A78,'02_KICH_BAN_NODES'!$E$5:$E$204,"Kiến thức")=1,IF(COUNTIFS($A$5:$A$404,A78,$D$5:$D$404,"Có")&lt;&gt;1,"Choice kiến thức cần đúng 1 đáp án đúng",""),IF(COUNTIFS('02_KICH_BAN_NODES'!$B$5:$B$204,A78,'02_KICH_BAN_NODES'!$E$5:$E$204,"Tương tác")=1,IF(COUNTIFS($A$5:$A$404,A78,$D$5:$D$404,"Có")&lt;&gt;0,"Choice tương tác không được đánh dấu đáp án đúng",""),"Choice chưa chọn loại")))))))</f>
        <v/>
      </c>
    </row>
    <row r="79" spans="1:11">
      <c r="A79" s="13"/>
      <c r="B79" s="13"/>
      <c r="C79" s="5"/>
      <c r="D79" s="13"/>
      <c r="E79" s="13"/>
      <c r="F79" s="13"/>
      <c r="G79" s="13"/>
      <c r="H79" s="5"/>
      <c r="I79" s="5"/>
      <c r="J79" s="6" t="str">
        <f t="shared" si="1"/>
        <v/>
      </c>
      <c r="K79" s="6" t="str">
        <f>IF(A79="","",IF(COUNTIFS('02_KICH_BAN_NODES'!$B$5:$B$204,A79,'02_KICH_BAN_NODES'!$D$5:$D$204,"choice")=0,"ChoiceNodeId không tồn tại hoặc không phải choice",IF(COUNTIFS($A$5:$A$404,A79,$B$5:$B$404,B79)&gt;1,"Trùng OptionOrder trong cùng choice",IF(OR(B79="",C79="",D79="",F79="",H79=""),"Thiếu trường bắt buộc",IF(OR(COUNTIF($A$5:$A$404,A79)&lt;2,COUNTIF($A$5:$A$404,A79)&gt;4),"Mỗi choice cần 2–4 option",IF(COUNTIFS('02_KICH_BAN_NODES'!$B$5:$B$204,A79,'02_KICH_BAN_NODES'!$E$5:$E$204,"Kiến thức")=1,IF(COUNTIFS($A$5:$A$404,A79,$D$5:$D$404,"Có")&lt;&gt;1,"Choice kiến thức cần đúng 1 đáp án đúng",""),IF(COUNTIFS('02_KICH_BAN_NODES'!$B$5:$B$204,A79,'02_KICH_BAN_NODES'!$E$5:$E$204,"Tương tác")=1,IF(COUNTIFS($A$5:$A$404,A79,$D$5:$D$404,"Có")&lt;&gt;0,"Choice tương tác không được đánh dấu đáp án đúng",""),"Choice chưa chọn loại")))))))</f>
        <v/>
      </c>
    </row>
    <row r="80" spans="1:11">
      <c r="A80" s="13"/>
      <c r="B80" s="13"/>
      <c r="C80" s="5"/>
      <c r="D80" s="13"/>
      <c r="E80" s="13"/>
      <c r="F80" s="13"/>
      <c r="G80" s="13"/>
      <c r="H80" s="5"/>
      <c r="I80" s="5"/>
      <c r="J80" s="6" t="str">
        <f t="shared" si="1"/>
        <v/>
      </c>
      <c r="K80" s="6" t="str">
        <f>IF(A80="","",IF(COUNTIFS('02_KICH_BAN_NODES'!$B$5:$B$204,A80,'02_KICH_BAN_NODES'!$D$5:$D$204,"choice")=0,"ChoiceNodeId không tồn tại hoặc không phải choice",IF(COUNTIFS($A$5:$A$404,A80,$B$5:$B$404,B80)&gt;1,"Trùng OptionOrder trong cùng choice",IF(OR(B80="",C80="",D80="",F80="",H80=""),"Thiếu trường bắt buộc",IF(OR(COUNTIF($A$5:$A$404,A80)&lt;2,COUNTIF($A$5:$A$404,A80)&gt;4),"Mỗi choice cần 2–4 option",IF(COUNTIFS('02_KICH_BAN_NODES'!$B$5:$B$204,A80,'02_KICH_BAN_NODES'!$E$5:$E$204,"Kiến thức")=1,IF(COUNTIFS($A$5:$A$404,A80,$D$5:$D$404,"Có")&lt;&gt;1,"Choice kiến thức cần đúng 1 đáp án đúng",""),IF(COUNTIFS('02_KICH_BAN_NODES'!$B$5:$B$204,A80,'02_KICH_BAN_NODES'!$E$5:$E$204,"Tương tác")=1,IF(COUNTIFS($A$5:$A$404,A80,$D$5:$D$404,"Có")&lt;&gt;0,"Choice tương tác không được đánh dấu đáp án đúng",""),"Choice chưa chọn loại")))))))</f>
        <v/>
      </c>
    </row>
    <row r="81" spans="1:11">
      <c r="A81" s="13"/>
      <c r="B81" s="13"/>
      <c r="C81" s="5"/>
      <c r="D81" s="13"/>
      <c r="E81" s="13"/>
      <c r="F81" s="13"/>
      <c r="G81" s="13"/>
      <c r="H81" s="5"/>
      <c r="I81" s="5"/>
      <c r="J81" s="6" t="str">
        <f t="shared" si="1"/>
        <v/>
      </c>
      <c r="K81" s="6" t="str">
        <f>IF(A81="","",IF(COUNTIFS('02_KICH_BAN_NODES'!$B$5:$B$204,A81,'02_KICH_BAN_NODES'!$D$5:$D$204,"choice")=0,"ChoiceNodeId không tồn tại hoặc không phải choice",IF(COUNTIFS($A$5:$A$404,A81,$B$5:$B$404,B81)&gt;1,"Trùng OptionOrder trong cùng choice",IF(OR(B81="",C81="",D81="",F81="",H81=""),"Thiếu trường bắt buộc",IF(OR(COUNTIF($A$5:$A$404,A81)&lt;2,COUNTIF($A$5:$A$404,A81)&gt;4),"Mỗi choice cần 2–4 option",IF(COUNTIFS('02_KICH_BAN_NODES'!$B$5:$B$204,A81,'02_KICH_BAN_NODES'!$E$5:$E$204,"Kiến thức")=1,IF(COUNTIFS($A$5:$A$404,A81,$D$5:$D$404,"Có")&lt;&gt;1,"Choice kiến thức cần đúng 1 đáp án đúng",""),IF(COUNTIFS('02_KICH_BAN_NODES'!$B$5:$B$204,A81,'02_KICH_BAN_NODES'!$E$5:$E$204,"Tương tác")=1,IF(COUNTIFS($A$5:$A$404,A81,$D$5:$D$404,"Có")&lt;&gt;0,"Choice tương tác không được đánh dấu đáp án đúng",""),"Choice chưa chọn loại")))))))</f>
        <v/>
      </c>
    </row>
    <row r="82" spans="1:11">
      <c r="A82" s="13"/>
      <c r="B82" s="13"/>
      <c r="C82" s="5"/>
      <c r="D82" s="13"/>
      <c r="E82" s="13"/>
      <c r="F82" s="13"/>
      <c r="G82" s="13"/>
      <c r="H82" s="5"/>
      <c r="I82" s="5"/>
      <c r="J82" s="6" t="str">
        <f t="shared" si="1"/>
        <v/>
      </c>
      <c r="K82" s="6" t="str">
        <f>IF(A82="","",IF(COUNTIFS('02_KICH_BAN_NODES'!$B$5:$B$204,A82,'02_KICH_BAN_NODES'!$D$5:$D$204,"choice")=0,"ChoiceNodeId không tồn tại hoặc không phải choice",IF(COUNTIFS($A$5:$A$404,A82,$B$5:$B$404,B82)&gt;1,"Trùng OptionOrder trong cùng choice",IF(OR(B82="",C82="",D82="",F82="",H82=""),"Thiếu trường bắt buộc",IF(OR(COUNTIF($A$5:$A$404,A82)&lt;2,COUNTIF($A$5:$A$404,A82)&gt;4),"Mỗi choice cần 2–4 option",IF(COUNTIFS('02_KICH_BAN_NODES'!$B$5:$B$204,A82,'02_KICH_BAN_NODES'!$E$5:$E$204,"Kiến thức")=1,IF(COUNTIFS($A$5:$A$404,A82,$D$5:$D$404,"Có")&lt;&gt;1,"Choice kiến thức cần đúng 1 đáp án đúng",""),IF(COUNTIFS('02_KICH_BAN_NODES'!$B$5:$B$204,A82,'02_KICH_BAN_NODES'!$E$5:$E$204,"Tương tác")=1,IF(COUNTIFS($A$5:$A$404,A82,$D$5:$D$404,"Có")&lt;&gt;0,"Choice tương tác không được đánh dấu đáp án đúng",""),"Choice chưa chọn loại")))))))</f>
        <v/>
      </c>
    </row>
    <row r="83" spans="1:11">
      <c r="A83" s="13"/>
      <c r="B83" s="13"/>
      <c r="C83" s="5"/>
      <c r="D83" s="13"/>
      <c r="E83" s="13"/>
      <c r="F83" s="13"/>
      <c r="G83" s="13"/>
      <c r="H83" s="5"/>
      <c r="I83" s="5"/>
      <c r="J83" s="6" t="str">
        <f t="shared" si="1"/>
        <v/>
      </c>
      <c r="K83" s="6" t="str">
        <f>IF(A83="","",IF(COUNTIFS('02_KICH_BAN_NODES'!$B$5:$B$204,A83,'02_KICH_BAN_NODES'!$D$5:$D$204,"choice")=0,"ChoiceNodeId không tồn tại hoặc không phải choice",IF(COUNTIFS($A$5:$A$404,A83,$B$5:$B$404,B83)&gt;1,"Trùng OptionOrder trong cùng choice",IF(OR(B83="",C83="",D83="",F83="",H83=""),"Thiếu trường bắt buộc",IF(OR(COUNTIF($A$5:$A$404,A83)&lt;2,COUNTIF($A$5:$A$404,A83)&gt;4),"Mỗi choice cần 2–4 option",IF(COUNTIFS('02_KICH_BAN_NODES'!$B$5:$B$204,A83,'02_KICH_BAN_NODES'!$E$5:$E$204,"Kiến thức")=1,IF(COUNTIFS($A$5:$A$404,A83,$D$5:$D$404,"Có")&lt;&gt;1,"Choice kiến thức cần đúng 1 đáp án đúng",""),IF(COUNTIFS('02_KICH_BAN_NODES'!$B$5:$B$204,A83,'02_KICH_BAN_NODES'!$E$5:$E$204,"Tương tác")=1,IF(COUNTIFS($A$5:$A$404,A83,$D$5:$D$404,"Có")&lt;&gt;0,"Choice tương tác không được đánh dấu đáp án đúng",""),"Choice chưa chọn loại")))))))</f>
        <v/>
      </c>
    </row>
    <row r="84" spans="1:11">
      <c r="A84" s="13"/>
      <c r="B84" s="13"/>
      <c r="C84" s="5"/>
      <c r="D84" s="13"/>
      <c r="E84" s="13"/>
      <c r="F84" s="13"/>
      <c r="G84" s="13"/>
      <c r="H84" s="5"/>
      <c r="I84" s="5"/>
      <c r="J84" s="6" t="str">
        <f t="shared" si="1"/>
        <v/>
      </c>
      <c r="K84" s="6" t="str">
        <f>IF(A84="","",IF(COUNTIFS('02_KICH_BAN_NODES'!$B$5:$B$204,A84,'02_KICH_BAN_NODES'!$D$5:$D$204,"choice")=0,"ChoiceNodeId không tồn tại hoặc không phải choice",IF(COUNTIFS($A$5:$A$404,A84,$B$5:$B$404,B84)&gt;1,"Trùng OptionOrder trong cùng choice",IF(OR(B84="",C84="",D84="",F84="",H84=""),"Thiếu trường bắt buộc",IF(OR(COUNTIF($A$5:$A$404,A84)&lt;2,COUNTIF($A$5:$A$404,A84)&gt;4),"Mỗi choice cần 2–4 option",IF(COUNTIFS('02_KICH_BAN_NODES'!$B$5:$B$204,A84,'02_KICH_BAN_NODES'!$E$5:$E$204,"Kiến thức")=1,IF(COUNTIFS($A$5:$A$404,A84,$D$5:$D$404,"Có")&lt;&gt;1,"Choice kiến thức cần đúng 1 đáp án đúng",""),IF(COUNTIFS('02_KICH_BAN_NODES'!$B$5:$B$204,A84,'02_KICH_BAN_NODES'!$E$5:$E$204,"Tương tác")=1,IF(COUNTIFS($A$5:$A$404,A84,$D$5:$D$404,"Có")&lt;&gt;0,"Choice tương tác không được đánh dấu đáp án đúng",""),"Choice chưa chọn loại")))))))</f>
        <v/>
      </c>
    </row>
    <row r="85" spans="1:11">
      <c r="A85" s="13"/>
      <c r="B85" s="13"/>
      <c r="C85" s="5"/>
      <c r="D85" s="13"/>
      <c r="E85" s="13"/>
      <c r="F85" s="13"/>
      <c r="G85" s="13"/>
      <c r="H85" s="5"/>
      <c r="I85" s="5"/>
      <c r="J85" s="6" t="str">
        <f t="shared" si="1"/>
        <v/>
      </c>
      <c r="K85" s="6" t="str">
        <f>IF(A85="","",IF(COUNTIFS('02_KICH_BAN_NODES'!$B$5:$B$204,A85,'02_KICH_BAN_NODES'!$D$5:$D$204,"choice")=0,"ChoiceNodeId không tồn tại hoặc không phải choice",IF(COUNTIFS($A$5:$A$404,A85,$B$5:$B$404,B85)&gt;1,"Trùng OptionOrder trong cùng choice",IF(OR(B85="",C85="",D85="",F85="",H85=""),"Thiếu trường bắt buộc",IF(OR(COUNTIF($A$5:$A$404,A85)&lt;2,COUNTIF($A$5:$A$404,A85)&gt;4),"Mỗi choice cần 2–4 option",IF(COUNTIFS('02_KICH_BAN_NODES'!$B$5:$B$204,A85,'02_KICH_BAN_NODES'!$E$5:$E$204,"Kiến thức")=1,IF(COUNTIFS($A$5:$A$404,A85,$D$5:$D$404,"Có")&lt;&gt;1,"Choice kiến thức cần đúng 1 đáp án đúng",""),IF(COUNTIFS('02_KICH_BAN_NODES'!$B$5:$B$204,A85,'02_KICH_BAN_NODES'!$E$5:$E$204,"Tương tác")=1,IF(COUNTIFS($A$5:$A$404,A85,$D$5:$D$404,"Có")&lt;&gt;0,"Choice tương tác không được đánh dấu đáp án đúng",""),"Choice chưa chọn loại")))))))</f>
        <v/>
      </c>
    </row>
    <row r="86" spans="1:11">
      <c r="A86" s="13"/>
      <c r="B86" s="13"/>
      <c r="C86" s="5"/>
      <c r="D86" s="13"/>
      <c r="E86" s="13"/>
      <c r="F86" s="13"/>
      <c r="G86" s="13"/>
      <c r="H86" s="5"/>
      <c r="I86" s="5"/>
      <c r="J86" s="6" t="str">
        <f t="shared" si="1"/>
        <v/>
      </c>
      <c r="K86" s="6" t="str">
        <f>IF(A86="","",IF(COUNTIFS('02_KICH_BAN_NODES'!$B$5:$B$204,A86,'02_KICH_BAN_NODES'!$D$5:$D$204,"choice")=0,"ChoiceNodeId không tồn tại hoặc không phải choice",IF(COUNTIFS($A$5:$A$404,A86,$B$5:$B$404,B86)&gt;1,"Trùng OptionOrder trong cùng choice",IF(OR(B86="",C86="",D86="",F86="",H86=""),"Thiếu trường bắt buộc",IF(OR(COUNTIF($A$5:$A$404,A86)&lt;2,COUNTIF($A$5:$A$404,A86)&gt;4),"Mỗi choice cần 2–4 option",IF(COUNTIFS('02_KICH_BAN_NODES'!$B$5:$B$204,A86,'02_KICH_BAN_NODES'!$E$5:$E$204,"Kiến thức")=1,IF(COUNTIFS($A$5:$A$404,A86,$D$5:$D$404,"Có")&lt;&gt;1,"Choice kiến thức cần đúng 1 đáp án đúng",""),IF(COUNTIFS('02_KICH_BAN_NODES'!$B$5:$B$204,A86,'02_KICH_BAN_NODES'!$E$5:$E$204,"Tương tác")=1,IF(COUNTIFS($A$5:$A$404,A86,$D$5:$D$404,"Có")&lt;&gt;0,"Choice tương tác không được đánh dấu đáp án đúng",""),"Choice chưa chọn loại")))))))</f>
        <v/>
      </c>
    </row>
    <row r="87" spans="1:11">
      <c r="A87" s="13"/>
      <c r="B87" s="13"/>
      <c r="C87" s="5"/>
      <c r="D87" s="13"/>
      <c r="E87" s="13"/>
      <c r="F87" s="13"/>
      <c r="G87" s="13"/>
      <c r="H87" s="5"/>
      <c r="I87" s="5"/>
      <c r="J87" s="6" t="str">
        <f t="shared" si="1"/>
        <v/>
      </c>
      <c r="K87" s="6" t="str">
        <f>IF(A87="","",IF(COUNTIFS('02_KICH_BAN_NODES'!$B$5:$B$204,A87,'02_KICH_BAN_NODES'!$D$5:$D$204,"choice")=0,"ChoiceNodeId không tồn tại hoặc không phải choice",IF(COUNTIFS($A$5:$A$404,A87,$B$5:$B$404,B87)&gt;1,"Trùng OptionOrder trong cùng choice",IF(OR(B87="",C87="",D87="",F87="",H87=""),"Thiếu trường bắt buộc",IF(OR(COUNTIF($A$5:$A$404,A87)&lt;2,COUNTIF($A$5:$A$404,A87)&gt;4),"Mỗi choice cần 2–4 option",IF(COUNTIFS('02_KICH_BAN_NODES'!$B$5:$B$204,A87,'02_KICH_BAN_NODES'!$E$5:$E$204,"Kiến thức")=1,IF(COUNTIFS($A$5:$A$404,A87,$D$5:$D$404,"Có")&lt;&gt;1,"Choice kiến thức cần đúng 1 đáp án đúng",""),IF(COUNTIFS('02_KICH_BAN_NODES'!$B$5:$B$204,A87,'02_KICH_BAN_NODES'!$E$5:$E$204,"Tương tác")=1,IF(COUNTIFS($A$5:$A$404,A87,$D$5:$D$404,"Có")&lt;&gt;0,"Choice tương tác không được đánh dấu đáp án đúng",""),"Choice chưa chọn loại")))))))</f>
        <v/>
      </c>
    </row>
    <row r="88" spans="1:11">
      <c r="A88" s="13"/>
      <c r="B88" s="13"/>
      <c r="C88" s="5"/>
      <c r="D88" s="13"/>
      <c r="E88" s="13"/>
      <c r="F88" s="13"/>
      <c r="G88" s="13"/>
      <c r="H88" s="5"/>
      <c r="I88" s="5"/>
      <c r="J88" s="6" t="str">
        <f t="shared" si="1"/>
        <v/>
      </c>
      <c r="K88" s="6" t="str">
        <f>IF(A88="","",IF(COUNTIFS('02_KICH_BAN_NODES'!$B$5:$B$204,A88,'02_KICH_BAN_NODES'!$D$5:$D$204,"choice")=0,"ChoiceNodeId không tồn tại hoặc không phải choice",IF(COUNTIFS($A$5:$A$404,A88,$B$5:$B$404,B88)&gt;1,"Trùng OptionOrder trong cùng choice",IF(OR(B88="",C88="",D88="",F88="",H88=""),"Thiếu trường bắt buộc",IF(OR(COUNTIF($A$5:$A$404,A88)&lt;2,COUNTIF($A$5:$A$404,A88)&gt;4),"Mỗi choice cần 2–4 option",IF(COUNTIFS('02_KICH_BAN_NODES'!$B$5:$B$204,A88,'02_KICH_BAN_NODES'!$E$5:$E$204,"Kiến thức")=1,IF(COUNTIFS($A$5:$A$404,A88,$D$5:$D$404,"Có")&lt;&gt;1,"Choice kiến thức cần đúng 1 đáp án đúng",""),IF(COUNTIFS('02_KICH_BAN_NODES'!$B$5:$B$204,A88,'02_KICH_BAN_NODES'!$E$5:$E$204,"Tương tác")=1,IF(COUNTIFS($A$5:$A$404,A88,$D$5:$D$404,"Có")&lt;&gt;0,"Choice tương tác không được đánh dấu đáp án đúng",""),"Choice chưa chọn loại")))))))</f>
        <v/>
      </c>
    </row>
    <row r="89" spans="1:11">
      <c r="A89" s="13"/>
      <c r="B89" s="13"/>
      <c r="C89" s="5"/>
      <c r="D89" s="13"/>
      <c r="E89" s="13"/>
      <c r="F89" s="13"/>
      <c r="G89" s="13"/>
      <c r="H89" s="5"/>
      <c r="I89" s="5"/>
      <c r="J89" s="6" t="str">
        <f t="shared" si="1"/>
        <v/>
      </c>
      <c r="K89" s="6" t="str">
        <f>IF(A89="","",IF(COUNTIFS('02_KICH_BAN_NODES'!$B$5:$B$204,A89,'02_KICH_BAN_NODES'!$D$5:$D$204,"choice")=0,"ChoiceNodeId không tồn tại hoặc không phải choice",IF(COUNTIFS($A$5:$A$404,A89,$B$5:$B$404,B89)&gt;1,"Trùng OptionOrder trong cùng choice",IF(OR(B89="",C89="",D89="",F89="",H89=""),"Thiếu trường bắt buộc",IF(OR(COUNTIF($A$5:$A$404,A89)&lt;2,COUNTIF($A$5:$A$404,A89)&gt;4),"Mỗi choice cần 2–4 option",IF(COUNTIFS('02_KICH_BAN_NODES'!$B$5:$B$204,A89,'02_KICH_BAN_NODES'!$E$5:$E$204,"Kiến thức")=1,IF(COUNTIFS($A$5:$A$404,A89,$D$5:$D$404,"Có")&lt;&gt;1,"Choice kiến thức cần đúng 1 đáp án đúng",""),IF(COUNTIFS('02_KICH_BAN_NODES'!$B$5:$B$204,A89,'02_KICH_BAN_NODES'!$E$5:$E$204,"Tương tác")=1,IF(COUNTIFS($A$5:$A$404,A89,$D$5:$D$404,"Có")&lt;&gt;0,"Choice tương tác không được đánh dấu đáp án đúng",""),"Choice chưa chọn loại")))))))</f>
        <v/>
      </c>
    </row>
    <row r="90" spans="1:11">
      <c r="A90" s="13"/>
      <c r="B90" s="13"/>
      <c r="C90" s="5"/>
      <c r="D90" s="13"/>
      <c r="E90" s="13"/>
      <c r="F90" s="13"/>
      <c r="G90" s="13"/>
      <c r="H90" s="5"/>
      <c r="I90" s="5"/>
      <c r="J90" s="6" t="str">
        <f t="shared" si="1"/>
        <v/>
      </c>
      <c r="K90" s="6" t="str">
        <f>IF(A90="","",IF(COUNTIFS('02_KICH_BAN_NODES'!$B$5:$B$204,A90,'02_KICH_BAN_NODES'!$D$5:$D$204,"choice")=0,"ChoiceNodeId không tồn tại hoặc không phải choice",IF(COUNTIFS($A$5:$A$404,A90,$B$5:$B$404,B90)&gt;1,"Trùng OptionOrder trong cùng choice",IF(OR(B90="",C90="",D90="",F90="",H90=""),"Thiếu trường bắt buộc",IF(OR(COUNTIF($A$5:$A$404,A90)&lt;2,COUNTIF($A$5:$A$404,A90)&gt;4),"Mỗi choice cần 2–4 option",IF(COUNTIFS('02_KICH_BAN_NODES'!$B$5:$B$204,A90,'02_KICH_BAN_NODES'!$E$5:$E$204,"Kiến thức")=1,IF(COUNTIFS($A$5:$A$404,A90,$D$5:$D$404,"Có")&lt;&gt;1,"Choice kiến thức cần đúng 1 đáp án đúng",""),IF(COUNTIFS('02_KICH_BAN_NODES'!$B$5:$B$204,A90,'02_KICH_BAN_NODES'!$E$5:$E$204,"Tương tác")=1,IF(COUNTIFS($A$5:$A$404,A90,$D$5:$D$404,"Có")&lt;&gt;0,"Choice tương tác không được đánh dấu đáp án đúng",""),"Choice chưa chọn loại")))))))</f>
        <v/>
      </c>
    </row>
    <row r="91" spans="1:11">
      <c r="A91" s="13"/>
      <c r="B91" s="13"/>
      <c r="C91" s="5"/>
      <c r="D91" s="13"/>
      <c r="E91" s="13"/>
      <c r="F91" s="13"/>
      <c r="G91" s="13"/>
      <c r="H91" s="5"/>
      <c r="I91" s="5"/>
      <c r="J91" s="6" t="str">
        <f t="shared" si="1"/>
        <v/>
      </c>
      <c r="K91" s="6" t="str">
        <f>IF(A91="","",IF(COUNTIFS('02_KICH_BAN_NODES'!$B$5:$B$204,A91,'02_KICH_BAN_NODES'!$D$5:$D$204,"choice")=0,"ChoiceNodeId không tồn tại hoặc không phải choice",IF(COUNTIFS($A$5:$A$404,A91,$B$5:$B$404,B91)&gt;1,"Trùng OptionOrder trong cùng choice",IF(OR(B91="",C91="",D91="",F91="",H91=""),"Thiếu trường bắt buộc",IF(OR(COUNTIF($A$5:$A$404,A91)&lt;2,COUNTIF($A$5:$A$404,A91)&gt;4),"Mỗi choice cần 2–4 option",IF(COUNTIFS('02_KICH_BAN_NODES'!$B$5:$B$204,A91,'02_KICH_BAN_NODES'!$E$5:$E$204,"Kiến thức")=1,IF(COUNTIFS($A$5:$A$404,A91,$D$5:$D$404,"Có")&lt;&gt;1,"Choice kiến thức cần đúng 1 đáp án đúng",""),IF(COUNTIFS('02_KICH_BAN_NODES'!$B$5:$B$204,A91,'02_KICH_BAN_NODES'!$E$5:$E$204,"Tương tác")=1,IF(COUNTIFS($A$5:$A$404,A91,$D$5:$D$404,"Có")&lt;&gt;0,"Choice tương tác không được đánh dấu đáp án đúng",""),"Choice chưa chọn loại")))))))</f>
        <v/>
      </c>
    </row>
    <row r="92" spans="1:11">
      <c r="A92" s="13"/>
      <c r="B92" s="13"/>
      <c r="C92" s="5"/>
      <c r="D92" s="13"/>
      <c r="E92" s="13"/>
      <c r="F92" s="13"/>
      <c r="G92" s="13"/>
      <c r="H92" s="5"/>
      <c r="I92" s="5"/>
      <c r="J92" s="6" t="str">
        <f t="shared" si="1"/>
        <v/>
      </c>
      <c r="K92" s="6" t="str">
        <f>IF(A92="","",IF(COUNTIFS('02_KICH_BAN_NODES'!$B$5:$B$204,A92,'02_KICH_BAN_NODES'!$D$5:$D$204,"choice")=0,"ChoiceNodeId không tồn tại hoặc không phải choice",IF(COUNTIFS($A$5:$A$404,A92,$B$5:$B$404,B92)&gt;1,"Trùng OptionOrder trong cùng choice",IF(OR(B92="",C92="",D92="",F92="",H92=""),"Thiếu trường bắt buộc",IF(OR(COUNTIF($A$5:$A$404,A92)&lt;2,COUNTIF($A$5:$A$404,A92)&gt;4),"Mỗi choice cần 2–4 option",IF(COUNTIFS('02_KICH_BAN_NODES'!$B$5:$B$204,A92,'02_KICH_BAN_NODES'!$E$5:$E$204,"Kiến thức")=1,IF(COUNTIFS($A$5:$A$404,A92,$D$5:$D$404,"Có")&lt;&gt;1,"Choice kiến thức cần đúng 1 đáp án đúng",""),IF(COUNTIFS('02_KICH_BAN_NODES'!$B$5:$B$204,A92,'02_KICH_BAN_NODES'!$E$5:$E$204,"Tương tác")=1,IF(COUNTIFS($A$5:$A$404,A92,$D$5:$D$404,"Có")&lt;&gt;0,"Choice tương tác không được đánh dấu đáp án đúng",""),"Choice chưa chọn loại")))))))</f>
        <v/>
      </c>
    </row>
    <row r="93" spans="1:11">
      <c r="A93" s="13"/>
      <c r="B93" s="13"/>
      <c r="C93" s="5"/>
      <c r="D93" s="13"/>
      <c r="E93" s="13"/>
      <c r="F93" s="13"/>
      <c r="G93" s="13"/>
      <c r="H93" s="5"/>
      <c r="I93" s="5"/>
      <c r="J93" s="6" t="str">
        <f t="shared" si="1"/>
        <v/>
      </c>
      <c r="K93" s="6" t="str">
        <f>IF(A93="","",IF(COUNTIFS('02_KICH_BAN_NODES'!$B$5:$B$204,A93,'02_KICH_BAN_NODES'!$D$5:$D$204,"choice")=0,"ChoiceNodeId không tồn tại hoặc không phải choice",IF(COUNTIFS($A$5:$A$404,A93,$B$5:$B$404,B93)&gt;1,"Trùng OptionOrder trong cùng choice",IF(OR(B93="",C93="",D93="",F93="",H93=""),"Thiếu trường bắt buộc",IF(OR(COUNTIF($A$5:$A$404,A93)&lt;2,COUNTIF($A$5:$A$404,A93)&gt;4),"Mỗi choice cần 2–4 option",IF(COUNTIFS('02_KICH_BAN_NODES'!$B$5:$B$204,A93,'02_KICH_BAN_NODES'!$E$5:$E$204,"Kiến thức")=1,IF(COUNTIFS($A$5:$A$404,A93,$D$5:$D$404,"Có")&lt;&gt;1,"Choice kiến thức cần đúng 1 đáp án đúng",""),IF(COUNTIFS('02_KICH_BAN_NODES'!$B$5:$B$204,A93,'02_KICH_BAN_NODES'!$E$5:$E$204,"Tương tác")=1,IF(COUNTIFS($A$5:$A$404,A93,$D$5:$D$404,"Có")&lt;&gt;0,"Choice tương tác không được đánh dấu đáp án đúng",""),"Choice chưa chọn loại")))))))</f>
        <v/>
      </c>
    </row>
    <row r="94" spans="1:11">
      <c r="A94" s="13"/>
      <c r="B94" s="13"/>
      <c r="C94" s="5"/>
      <c r="D94" s="13"/>
      <c r="E94" s="13"/>
      <c r="F94" s="13"/>
      <c r="G94" s="13"/>
      <c r="H94" s="5"/>
      <c r="I94" s="5"/>
      <c r="J94" s="6" t="str">
        <f t="shared" si="1"/>
        <v/>
      </c>
      <c r="K94" s="6" t="str">
        <f>IF(A94="","",IF(COUNTIFS('02_KICH_BAN_NODES'!$B$5:$B$204,A94,'02_KICH_BAN_NODES'!$D$5:$D$204,"choice")=0,"ChoiceNodeId không tồn tại hoặc không phải choice",IF(COUNTIFS($A$5:$A$404,A94,$B$5:$B$404,B94)&gt;1,"Trùng OptionOrder trong cùng choice",IF(OR(B94="",C94="",D94="",F94="",H94=""),"Thiếu trường bắt buộc",IF(OR(COUNTIF($A$5:$A$404,A94)&lt;2,COUNTIF($A$5:$A$404,A94)&gt;4),"Mỗi choice cần 2–4 option",IF(COUNTIFS('02_KICH_BAN_NODES'!$B$5:$B$204,A94,'02_KICH_BAN_NODES'!$E$5:$E$204,"Kiến thức")=1,IF(COUNTIFS($A$5:$A$404,A94,$D$5:$D$404,"Có")&lt;&gt;1,"Choice kiến thức cần đúng 1 đáp án đúng",""),IF(COUNTIFS('02_KICH_BAN_NODES'!$B$5:$B$204,A94,'02_KICH_BAN_NODES'!$E$5:$E$204,"Tương tác")=1,IF(COUNTIFS($A$5:$A$404,A94,$D$5:$D$404,"Có")&lt;&gt;0,"Choice tương tác không được đánh dấu đáp án đúng",""),"Choice chưa chọn loại")))))))</f>
        <v/>
      </c>
    </row>
    <row r="95" spans="1:11">
      <c r="A95" s="13"/>
      <c r="B95" s="13"/>
      <c r="C95" s="5"/>
      <c r="D95" s="13"/>
      <c r="E95" s="13"/>
      <c r="F95" s="13"/>
      <c r="G95" s="13"/>
      <c r="H95" s="5"/>
      <c r="I95" s="5"/>
      <c r="J95" s="6" t="str">
        <f t="shared" si="1"/>
        <v/>
      </c>
      <c r="K95" s="6" t="str">
        <f>IF(A95="","",IF(COUNTIFS('02_KICH_BAN_NODES'!$B$5:$B$204,A95,'02_KICH_BAN_NODES'!$D$5:$D$204,"choice")=0,"ChoiceNodeId không tồn tại hoặc không phải choice",IF(COUNTIFS($A$5:$A$404,A95,$B$5:$B$404,B95)&gt;1,"Trùng OptionOrder trong cùng choice",IF(OR(B95="",C95="",D95="",F95="",H95=""),"Thiếu trường bắt buộc",IF(OR(COUNTIF($A$5:$A$404,A95)&lt;2,COUNTIF($A$5:$A$404,A95)&gt;4),"Mỗi choice cần 2–4 option",IF(COUNTIFS('02_KICH_BAN_NODES'!$B$5:$B$204,A95,'02_KICH_BAN_NODES'!$E$5:$E$204,"Kiến thức")=1,IF(COUNTIFS($A$5:$A$404,A95,$D$5:$D$404,"Có")&lt;&gt;1,"Choice kiến thức cần đúng 1 đáp án đúng",""),IF(COUNTIFS('02_KICH_BAN_NODES'!$B$5:$B$204,A95,'02_KICH_BAN_NODES'!$E$5:$E$204,"Tương tác")=1,IF(COUNTIFS($A$5:$A$404,A95,$D$5:$D$404,"Có")&lt;&gt;0,"Choice tương tác không được đánh dấu đáp án đúng",""),"Choice chưa chọn loại")))))))</f>
        <v/>
      </c>
    </row>
    <row r="96" spans="1:11">
      <c r="A96" s="13"/>
      <c r="B96" s="13"/>
      <c r="C96" s="5"/>
      <c r="D96" s="13"/>
      <c r="E96" s="13"/>
      <c r="F96" s="13"/>
      <c r="G96" s="13"/>
      <c r="H96" s="5"/>
      <c r="I96" s="5"/>
      <c r="J96" s="6" t="str">
        <f t="shared" si="1"/>
        <v/>
      </c>
      <c r="K96" s="6" t="str">
        <f>IF(A96="","",IF(COUNTIFS('02_KICH_BAN_NODES'!$B$5:$B$204,A96,'02_KICH_BAN_NODES'!$D$5:$D$204,"choice")=0,"ChoiceNodeId không tồn tại hoặc không phải choice",IF(COUNTIFS($A$5:$A$404,A96,$B$5:$B$404,B96)&gt;1,"Trùng OptionOrder trong cùng choice",IF(OR(B96="",C96="",D96="",F96="",H96=""),"Thiếu trường bắt buộc",IF(OR(COUNTIF($A$5:$A$404,A96)&lt;2,COUNTIF($A$5:$A$404,A96)&gt;4),"Mỗi choice cần 2–4 option",IF(COUNTIFS('02_KICH_BAN_NODES'!$B$5:$B$204,A96,'02_KICH_BAN_NODES'!$E$5:$E$204,"Kiến thức")=1,IF(COUNTIFS($A$5:$A$404,A96,$D$5:$D$404,"Có")&lt;&gt;1,"Choice kiến thức cần đúng 1 đáp án đúng",""),IF(COUNTIFS('02_KICH_BAN_NODES'!$B$5:$B$204,A96,'02_KICH_BAN_NODES'!$E$5:$E$204,"Tương tác")=1,IF(COUNTIFS($A$5:$A$404,A96,$D$5:$D$404,"Có")&lt;&gt;0,"Choice tương tác không được đánh dấu đáp án đúng",""),"Choice chưa chọn loại")))))))</f>
        <v/>
      </c>
    </row>
    <row r="97" spans="1:11">
      <c r="A97" s="13"/>
      <c r="B97" s="13"/>
      <c r="C97" s="5"/>
      <c r="D97" s="13"/>
      <c r="E97" s="13"/>
      <c r="F97" s="13"/>
      <c r="G97" s="13"/>
      <c r="H97" s="5"/>
      <c r="I97" s="5"/>
      <c r="J97" s="6" t="str">
        <f t="shared" si="1"/>
        <v/>
      </c>
      <c r="K97" s="6" t="str">
        <f>IF(A97="","",IF(COUNTIFS('02_KICH_BAN_NODES'!$B$5:$B$204,A97,'02_KICH_BAN_NODES'!$D$5:$D$204,"choice")=0,"ChoiceNodeId không tồn tại hoặc không phải choice",IF(COUNTIFS($A$5:$A$404,A97,$B$5:$B$404,B97)&gt;1,"Trùng OptionOrder trong cùng choice",IF(OR(B97="",C97="",D97="",F97="",H97=""),"Thiếu trường bắt buộc",IF(OR(COUNTIF($A$5:$A$404,A97)&lt;2,COUNTIF($A$5:$A$404,A97)&gt;4),"Mỗi choice cần 2–4 option",IF(COUNTIFS('02_KICH_BAN_NODES'!$B$5:$B$204,A97,'02_KICH_BAN_NODES'!$E$5:$E$204,"Kiến thức")=1,IF(COUNTIFS($A$5:$A$404,A97,$D$5:$D$404,"Có")&lt;&gt;1,"Choice kiến thức cần đúng 1 đáp án đúng",""),IF(COUNTIFS('02_KICH_BAN_NODES'!$B$5:$B$204,A97,'02_KICH_BAN_NODES'!$E$5:$E$204,"Tương tác")=1,IF(COUNTIFS($A$5:$A$404,A97,$D$5:$D$404,"Có")&lt;&gt;0,"Choice tương tác không được đánh dấu đáp án đúng",""),"Choice chưa chọn loại")))))))</f>
        <v/>
      </c>
    </row>
    <row r="98" spans="1:11">
      <c r="A98" s="13"/>
      <c r="B98" s="13"/>
      <c r="C98" s="5"/>
      <c r="D98" s="13"/>
      <c r="E98" s="13"/>
      <c r="F98" s="13"/>
      <c r="G98" s="13"/>
      <c r="H98" s="5"/>
      <c r="I98" s="5"/>
      <c r="J98" s="6" t="str">
        <f t="shared" si="1"/>
        <v/>
      </c>
      <c r="K98" s="6" t="str">
        <f>IF(A98="","",IF(COUNTIFS('02_KICH_BAN_NODES'!$B$5:$B$204,A98,'02_KICH_BAN_NODES'!$D$5:$D$204,"choice")=0,"ChoiceNodeId không tồn tại hoặc không phải choice",IF(COUNTIFS($A$5:$A$404,A98,$B$5:$B$404,B98)&gt;1,"Trùng OptionOrder trong cùng choice",IF(OR(B98="",C98="",D98="",F98="",H98=""),"Thiếu trường bắt buộc",IF(OR(COUNTIF($A$5:$A$404,A98)&lt;2,COUNTIF($A$5:$A$404,A98)&gt;4),"Mỗi choice cần 2–4 option",IF(COUNTIFS('02_KICH_BAN_NODES'!$B$5:$B$204,A98,'02_KICH_BAN_NODES'!$E$5:$E$204,"Kiến thức")=1,IF(COUNTIFS($A$5:$A$404,A98,$D$5:$D$404,"Có")&lt;&gt;1,"Choice kiến thức cần đúng 1 đáp án đúng",""),IF(COUNTIFS('02_KICH_BAN_NODES'!$B$5:$B$204,A98,'02_KICH_BAN_NODES'!$E$5:$E$204,"Tương tác")=1,IF(COUNTIFS($A$5:$A$404,A98,$D$5:$D$404,"Có")&lt;&gt;0,"Choice tương tác không được đánh dấu đáp án đúng",""),"Choice chưa chọn loại")))))))</f>
        <v/>
      </c>
    </row>
    <row r="99" spans="1:11">
      <c r="A99" s="13"/>
      <c r="B99" s="13"/>
      <c r="C99" s="5"/>
      <c r="D99" s="13"/>
      <c r="E99" s="13"/>
      <c r="F99" s="13"/>
      <c r="G99" s="13"/>
      <c r="H99" s="5"/>
      <c r="I99" s="5"/>
      <c r="J99" s="6" t="str">
        <f t="shared" si="1"/>
        <v/>
      </c>
      <c r="K99" s="6" t="str">
        <f>IF(A99="","",IF(COUNTIFS('02_KICH_BAN_NODES'!$B$5:$B$204,A99,'02_KICH_BAN_NODES'!$D$5:$D$204,"choice")=0,"ChoiceNodeId không tồn tại hoặc không phải choice",IF(COUNTIFS($A$5:$A$404,A99,$B$5:$B$404,B99)&gt;1,"Trùng OptionOrder trong cùng choice",IF(OR(B99="",C99="",D99="",F99="",H99=""),"Thiếu trường bắt buộc",IF(OR(COUNTIF($A$5:$A$404,A99)&lt;2,COUNTIF($A$5:$A$404,A99)&gt;4),"Mỗi choice cần 2–4 option",IF(COUNTIFS('02_KICH_BAN_NODES'!$B$5:$B$204,A99,'02_KICH_BAN_NODES'!$E$5:$E$204,"Kiến thức")=1,IF(COUNTIFS($A$5:$A$404,A99,$D$5:$D$404,"Có")&lt;&gt;1,"Choice kiến thức cần đúng 1 đáp án đúng",""),IF(COUNTIFS('02_KICH_BAN_NODES'!$B$5:$B$204,A99,'02_KICH_BAN_NODES'!$E$5:$E$204,"Tương tác")=1,IF(COUNTIFS($A$5:$A$404,A99,$D$5:$D$404,"Có")&lt;&gt;0,"Choice tương tác không được đánh dấu đáp án đúng",""),"Choice chưa chọn loại")))))))</f>
        <v/>
      </c>
    </row>
    <row r="100" spans="1:11">
      <c r="A100" s="13"/>
      <c r="B100" s="13"/>
      <c r="C100" s="5"/>
      <c r="D100" s="13"/>
      <c r="E100" s="13"/>
      <c r="F100" s="13"/>
      <c r="G100" s="13"/>
      <c r="H100" s="5"/>
      <c r="I100" s="5"/>
      <c r="J100" s="6" t="str">
        <f t="shared" si="1"/>
        <v/>
      </c>
      <c r="K100" s="6" t="str">
        <f>IF(A100="","",IF(COUNTIFS('02_KICH_BAN_NODES'!$B$5:$B$204,A100,'02_KICH_BAN_NODES'!$D$5:$D$204,"choice")=0,"ChoiceNodeId không tồn tại hoặc không phải choice",IF(COUNTIFS($A$5:$A$404,A100,$B$5:$B$404,B100)&gt;1,"Trùng OptionOrder trong cùng choice",IF(OR(B100="",C100="",D100="",F100="",H100=""),"Thiếu trường bắt buộc",IF(OR(COUNTIF($A$5:$A$404,A100)&lt;2,COUNTIF($A$5:$A$404,A100)&gt;4),"Mỗi choice cần 2–4 option",IF(COUNTIFS('02_KICH_BAN_NODES'!$B$5:$B$204,A100,'02_KICH_BAN_NODES'!$E$5:$E$204,"Kiến thức")=1,IF(COUNTIFS($A$5:$A$404,A100,$D$5:$D$404,"Có")&lt;&gt;1,"Choice kiến thức cần đúng 1 đáp án đúng",""),IF(COUNTIFS('02_KICH_BAN_NODES'!$B$5:$B$204,A100,'02_KICH_BAN_NODES'!$E$5:$E$204,"Tương tác")=1,IF(COUNTIFS($A$5:$A$404,A100,$D$5:$D$404,"Có")&lt;&gt;0,"Choice tương tác không được đánh dấu đáp án đúng",""),"Choice chưa chọn loại")))))))</f>
        <v/>
      </c>
    </row>
    <row r="101" spans="1:11">
      <c r="A101" s="13"/>
      <c r="B101" s="13"/>
      <c r="C101" s="5"/>
      <c r="D101" s="13"/>
      <c r="E101" s="13"/>
      <c r="F101" s="13"/>
      <c r="G101" s="13"/>
      <c r="H101" s="5"/>
      <c r="I101" s="5"/>
      <c r="J101" s="6" t="str">
        <f t="shared" si="1"/>
        <v/>
      </c>
      <c r="K101" s="6" t="str">
        <f>IF(A101="","",IF(COUNTIFS('02_KICH_BAN_NODES'!$B$5:$B$204,A101,'02_KICH_BAN_NODES'!$D$5:$D$204,"choice")=0,"ChoiceNodeId không tồn tại hoặc không phải choice",IF(COUNTIFS($A$5:$A$404,A101,$B$5:$B$404,B101)&gt;1,"Trùng OptionOrder trong cùng choice",IF(OR(B101="",C101="",D101="",F101="",H101=""),"Thiếu trường bắt buộc",IF(OR(COUNTIF($A$5:$A$404,A101)&lt;2,COUNTIF($A$5:$A$404,A101)&gt;4),"Mỗi choice cần 2–4 option",IF(COUNTIFS('02_KICH_BAN_NODES'!$B$5:$B$204,A101,'02_KICH_BAN_NODES'!$E$5:$E$204,"Kiến thức")=1,IF(COUNTIFS($A$5:$A$404,A101,$D$5:$D$404,"Có")&lt;&gt;1,"Choice kiến thức cần đúng 1 đáp án đúng",""),IF(COUNTIFS('02_KICH_BAN_NODES'!$B$5:$B$204,A101,'02_KICH_BAN_NODES'!$E$5:$E$204,"Tương tác")=1,IF(COUNTIFS($A$5:$A$404,A101,$D$5:$D$404,"Có")&lt;&gt;0,"Choice tương tác không được đánh dấu đáp án đúng",""),"Choice chưa chọn loại")))))))</f>
        <v/>
      </c>
    </row>
    <row r="102" spans="1:11">
      <c r="A102" s="13"/>
      <c r="B102" s="13"/>
      <c r="C102" s="5"/>
      <c r="D102" s="13"/>
      <c r="E102" s="13"/>
      <c r="F102" s="13"/>
      <c r="G102" s="13"/>
      <c r="H102" s="5"/>
      <c r="I102" s="5"/>
      <c r="J102" s="6" t="str">
        <f t="shared" si="1"/>
        <v/>
      </c>
      <c r="K102" s="6" t="str">
        <f>IF(A102="","",IF(COUNTIFS('02_KICH_BAN_NODES'!$B$5:$B$204,A102,'02_KICH_BAN_NODES'!$D$5:$D$204,"choice")=0,"ChoiceNodeId không tồn tại hoặc không phải choice",IF(COUNTIFS($A$5:$A$404,A102,$B$5:$B$404,B102)&gt;1,"Trùng OptionOrder trong cùng choice",IF(OR(B102="",C102="",D102="",F102="",H102=""),"Thiếu trường bắt buộc",IF(OR(COUNTIF($A$5:$A$404,A102)&lt;2,COUNTIF($A$5:$A$404,A102)&gt;4),"Mỗi choice cần 2–4 option",IF(COUNTIFS('02_KICH_BAN_NODES'!$B$5:$B$204,A102,'02_KICH_BAN_NODES'!$E$5:$E$204,"Kiến thức")=1,IF(COUNTIFS($A$5:$A$404,A102,$D$5:$D$404,"Có")&lt;&gt;1,"Choice kiến thức cần đúng 1 đáp án đúng",""),IF(COUNTIFS('02_KICH_BAN_NODES'!$B$5:$B$204,A102,'02_KICH_BAN_NODES'!$E$5:$E$204,"Tương tác")=1,IF(COUNTIFS($A$5:$A$404,A102,$D$5:$D$404,"Có")&lt;&gt;0,"Choice tương tác không được đánh dấu đáp án đúng",""),"Choice chưa chọn loại")))))))</f>
        <v/>
      </c>
    </row>
    <row r="103" spans="1:11">
      <c r="A103" s="13"/>
      <c r="B103" s="13"/>
      <c r="C103" s="5"/>
      <c r="D103" s="13"/>
      <c r="E103" s="13"/>
      <c r="F103" s="13"/>
      <c r="G103" s="13"/>
      <c r="H103" s="5"/>
      <c r="I103" s="5"/>
      <c r="J103" s="6" t="str">
        <f t="shared" si="1"/>
        <v/>
      </c>
      <c r="K103" s="6" t="str">
        <f>IF(A103="","",IF(COUNTIFS('02_KICH_BAN_NODES'!$B$5:$B$204,A103,'02_KICH_BAN_NODES'!$D$5:$D$204,"choice")=0,"ChoiceNodeId không tồn tại hoặc không phải choice",IF(COUNTIFS($A$5:$A$404,A103,$B$5:$B$404,B103)&gt;1,"Trùng OptionOrder trong cùng choice",IF(OR(B103="",C103="",D103="",F103="",H103=""),"Thiếu trường bắt buộc",IF(OR(COUNTIF($A$5:$A$404,A103)&lt;2,COUNTIF($A$5:$A$404,A103)&gt;4),"Mỗi choice cần 2–4 option",IF(COUNTIFS('02_KICH_BAN_NODES'!$B$5:$B$204,A103,'02_KICH_BAN_NODES'!$E$5:$E$204,"Kiến thức")=1,IF(COUNTIFS($A$5:$A$404,A103,$D$5:$D$404,"Có")&lt;&gt;1,"Choice kiến thức cần đúng 1 đáp án đúng",""),IF(COUNTIFS('02_KICH_BAN_NODES'!$B$5:$B$204,A103,'02_KICH_BAN_NODES'!$E$5:$E$204,"Tương tác")=1,IF(COUNTIFS($A$5:$A$404,A103,$D$5:$D$404,"Có")&lt;&gt;0,"Choice tương tác không được đánh dấu đáp án đúng",""),"Choice chưa chọn loại")))))))</f>
        <v/>
      </c>
    </row>
    <row r="104" spans="1:11">
      <c r="A104" s="13"/>
      <c r="B104" s="13"/>
      <c r="C104" s="5"/>
      <c r="D104" s="13"/>
      <c r="E104" s="13"/>
      <c r="F104" s="13"/>
      <c r="G104" s="13"/>
      <c r="H104" s="5"/>
      <c r="I104" s="5"/>
      <c r="J104" s="6" t="str">
        <f t="shared" si="1"/>
        <v/>
      </c>
      <c r="K104" s="6" t="str">
        <f>IF(A104="","",IF(COUNTIFS('02_KICH_BAN_NODES'!$B$5:$B$204,A104,'02_KICH_BAN_NODES'!$D$5:$D$204,"choice")=0,"ChoiceNodeId không tồn tại hoặc không phải choice",IF(COUNTIFS($A$5:$A$404,A104,$B$5:$B$404,B104)&gt;1,"Trùng OptionOrder trong cùng choice",IF(OR(B104="",C104="",D104="",F104="",H104=""),"Thiếu trường bắt buộc",IF(OR(COUNTIF($A$5:$A$404,A104)&lt;2,COUNTIF($A$5:$A$404,A104)&gt;4),"Mỗi choice cần 2–4 option",IF(COUNTIFS('02_KICH_BAN_NODES'!$B$5:$B$204,A104,'02_KICH_BAN_NODES'!$E$5:$E$204,"Kiến thức")=1,IF(COUNTIFS($A$5:$A$404,A104,$D$5:$D$404,"Có")&lt;&gt;1,"Choice kiến thức cần đúng 1 đáp án đúng",""),IF(COUNTIFS('02_KICH_BAN_NODES'!$B$5:$B$204,A104,'02_KICH_BAN_NODES'!$E$5:$E$204,"Tương tác")=1,IF(COUNTIFS($A$5:$A$404,A104,$D$5:$D$404,"Có")&lt;&gt;0,"Choice tương tác không được đánh dấu đáp án đúng",""),"Choice chưa chọn loại")))))))</f>
        <v/>
      </c>
    </row>
    <row r="105" spans="1:11">
      <c r="A105" s="13"/>
      <c r="B105" s="13"/>
      <c r="C105" s="5"/>
      <c r="D105" s="13"/>
      <c r="E105" s="13"/>
      <c r="F105" s="13"/>
      <c r="G105" s="13"/>
      <c r="H105" s="5"/>
      <c r="I105" s="5"/>
      <c r="J105" s="6" t="str">
        <f t="shared" si="1"/>
        <v/>
      </c>
      <c r="K105" s="6" t="str">
        <f>IF(A105="","",IF(COUNTIFS('02_KICH_BAN_NODES'!$B$5:$B$204,A105,'02_KICH_BAN_NODES'!$D$5:$D$204,"choice")=0,"ChoiceNodeId không tồn tại hoặc không phải choice",IF(COUNTIFS($A$5:$A$404,A105,$B$5:$B$404,B105)&gt;1,"Trùng OptionOrder trong cùng choice",IF(OR(B105="",C105="",D105="",F105="",H105=""),"Thiếu trường bắt buộc",IF(OR(COUNTIF($A$5:$A$404,A105)&lt;2,COUNTIF($A$5:$A$404,A105)&gt;4),"Mỗi choice cần 2–4 option",IF(COUNTIFS('02_KICH_BAN_NODES'!$B$5:$B$204,A105,'02_KICH_BAN_NODES'!$E$5:$E$204,"Kiến thức")=1,IF(COUNTIFS($A$5:$A$404,A105,$D$5:$D$404,"Có")&lt;&gt;1,"Choice kiến thức cần đúng 1 đáp án đúng",""),IF(COUNTIFS('02_KICH_BAN_NODES'!$B$5:$B$204,A105,'02_KICH_BAN_NODES'!$E$5:$E$204,"Tương tác")=1,IF(COUNTIFS($A$5:$A$404,A105,$D$5:$D$404,"Có")&lt;&gt;0,"Choice tương tác không được đánh dấu đáp án đúng",""),"Choice chưa chọn loại")))))))</f>
        <v/>
      </c>
    </row>
    <row r="106" spans="1:11">
      <c r="A106" s="13"/>
      <c r="B106" s="13"/>
      <c r="C106" s="5"/>
      <c r="D106" s="13"/>
      <c r="E106" s="13"/>
      <c r="F106" s="13"/>
      <c r="G106" s="13"/>
      <c r="H106" s="5"/>
      <c r="I106" s="5"/>
      <c r="J106" s="6" t="str">
        <f t="shared" si="1"/>
        <v/>
      </c>
      <c r="K106" s="6" t="str">
        <f>IF(A106="","",IF(COUNTIFS('02_KICH_BAN_NODES'!$B$5:$B$204,A106,'02_KICH_BAN_NODES'!$D$5:$D$204,"choice")=0,"ChoiceNodeId không tồn tại hoặc không phải choice",IF(COUNTIFS($A$5:$A$404,A106,$B$5:$B$404,B106)&gt;1,"Trùng OptionOrder trong cùng choice",IF(OR(B106="",C106="",D106="",F106="",H106=""),"Thiếu trường bắt buộc",IF(OR(COUNTIF($A$5:$A$404,A106)&lt;2,COUNTIF($A$5:$A$404,A106)&gt;4),"Mỗi choice cần 2–4 option",IF(COUNTIFS('02_KICH_BAN_NODES'!$B$5:$B$204,A106,'02_KICH_BAN_NODES'!$E$5:$E$204,"Kiến thức")=1,IF(COUNTIFS($A$5:$A$404,A106,$D$5:$D$404,"Có")&lt;&gt;1,"Choice kiến thức cần đúng 1 đáp án đúng",""),IF(COUNTIFS('02_KICH_BAN_NODES'!$B$5:$B$204,A106,'02_KICH_BAN_NODES'!$E$5:$E$204,"Tương tác")=1,IF(COUNTIFS($A$5:$A$404,A106,$D$5:$D$404,"Có")&lt;&gt;0,"Choice tương tác không được đánh dấu đáp án đúng",""),"Choice chưa chọn loại")))))))</f>
        <v/>
      </c>
    </row>
    <row r="107" spans="1:11">
      <c r="A107" s="13"/>
      <c r="B107" s="13"/>
      <c r="C107" s="5"/>
      <c r="D107" s="13"/>
      <c r="E107" s="13"/>
      <c r="F107" s="13"/>
      <c r="G107" s="13"/>
      <c r="H107" s="5"/>
      <c r="I107" s="5"/>
      <c r="J107" s="6" t="str">
        <f t="shared" si="1"/>
        <v/>
      </c>
      <c r="K107" s="6" t="str">
        <f>IF(A107="","",IF(COUNTIFS('02_KICH_BAN_NODES'!$B$5:$B$204,A107,'02_KICH_BAN_NODES'!$D$5:$D$204,"choice")=0,"ChoiceNodeId không tồn tại hoặc không phải choice",IF(COUNTIFS($A$5:$A$404,A107,$B$5:$B$404,B107)&gt;1,"Trùng OptionOrder trong cùng choice",IF(OR(B107="",C107="",D107="",F107="",H107=""),"Thiếu trường bắt buộc",IF(OR(COUNTIF($A$5:$A$404,A107)&lt;2,COUNTIF($A$5:$A$404,A107)&gt;4),"Mỗi choice cần 2–4 option",IF(COUNTIFS('02_KICH_BAN_NODES'!$B$5:$B$204,A107,'02_KICH_BAN_NODES'!$E$5:$E$204,"Kiến thức")=1,IF(COUNTIFS($A$5:$A$404,A107,$D$5:$D$404,"Có")&lt;&gt;1,"Choice kiến thức cần đúng 1 đáp án đúng",""),IF(COUNTIFS('02_KICH_BAN_NODES'!$B$5:$B$204,A107,'02_KICH_BAN_NODES'!$E$5:$E$204,"Tương tác")=1,IF(COUNTIFS($A$5:$A$404,A107,$D$5:$D$404,"Có")&lt;&gt;0,"Choice tương tác không được đánh dấu đáp án đúng",""),"Choice chưa chọn loại")))))))</f>
        <v/>
      </c>
    </row>
    <row r="108" spans="1:11">
      <c r="A108" s="13"/>
      <c r="B108" s="13"/>
      <c r="C108" s="5"/>
      <c r="D108" s="13"/>
      <c r="E108" s="13"/>
      <c r="F108" s="13"/>
      <c r="G108" s="13"/>
      <c r="H108" s="5"/>
      <c r="I108" s="5"/>
      <c r="J108" s="6" t="str">
        <f t="shared" si="1"/>
        <v/>
      </c>
      <c r="K108" s="6" t="str">
        <f>IF(A108="","",IF(COUNTIFS('02_KICH_BAN_NODES'!$B$5:$B$204,A108,'02_KICH_BAN_NODES'!$D$5:$D$204,"choice")=0,"ChoiceNodeId không tồn tại hoặc không phải choice",IF(COUNTIFS($A$5:$A$404,A108,$B$5:$B$404,B108)&gt;1,"Trùng OptionOrder trong cùng choice",IF(OR(B108="",C108="",D108="",F108="",H108=""),"Thiếu trường bắt buộc",IF(OR(COUNTIF($A$5:$A$404,A108)&lt;2,COUNTIF($A$5:$A$404,A108)&gt;4),"Mỗi choice cần 2–4 option",IF(COUNTIFS('02_KICH_BAN_NODES'!$B$5:$B$204,A108,'02_KICH_BAN_NODES'!$E$5:$E$204,"Kiến thức")=1,IF(COUNTIFS($A$5:$A$404,A108,$D$5:$D$404,"Có")&lt;&gt;1,"Choice kiến thức cần đúng 1 đáp án đúng",""),IF(COUNTIFS('02_KICH_BAN_NODES'!$B$5:$B$204,A108,'02_KICH_BAN_NODES'!$E$5:$E$204,"Tương tác")=1,IF(COUNTIFS($A$5:$A$404,A108,$D$5:$D$404,"Có")&lt;&gt;0,"Choice tương tác không được đánh dấu đáp án đúng",""),"Choice chưa chọn loại")))))))</f>
        <v/>
      </c>
    </row>
    <row r="109" spans="1:11">
      <c r="A109" s="13"/>
      <c r="B109" s="13"/>
      <c r="C109" s="5"/>
      <c r="D109" s="13"/>
      <c r="E109" s="13"/>
      <c r="F109" s="13"/>
      <c r="G109" s="13"/>
      <c r="H109" s="5"/>
      <c r="I109" s="5"/>
      <c r="J109" s="6" t="str">
        <f t="shared" si="1"/>
        <v/>
      </c>
      <c r="K109" s="6" t="str">
        <f>IF(A109="","",IF(COUNTIFS('02_KICH_BAN_NODES'!$B$5:$B$204,A109,'02_KICH_BAN_NODES'!$D$5:$D$204,"choice")=0,"ChoiceNodeId không tồn tại hoặc không phải choice",IF(COUNTIFS($A$5:$A$404,A109,$B$5:$B$404,B109)&gt;1,"Trùng OptionOrder trong cùng choice",IF(OR(B109="",C109="",D109="",F109="",H109=""),"Thiếu trường bắt buộc",IF(OR(COUNTIF($A$5:$A$404,A109)&lt;2,COUNTIF($A$5:$A$404,A109)&gt;4),"Mỗi choice cần 2–4 option",IF(COUNTIFS('02_KICH_BAN_NODES'!$B$5:$B$204,A109,'02_KICH_BAN_NODES'!$E$5:$E$204,"Kiến thức")=1,IF(COUNTIFS($A$5:$A$404,A109,$D$5:$D$404,"Có")&lt;&gt;1,"Choice kiến thức cần đúng 1 đáp án đúng",""),IF(COUNTIFS('02_KICH_BAN_NODES'!$B$5:$B$204,A109,'02_KICH_BAN_NODES'!$E$5:$E$204,"Tương tác")=1,IF(COUNTIFS($A$5:$A$404,A109,$D$5:$D$404,"Có")&lt;&gt;0,"Choice tương tác không được đánh dấu đáp án đúng",""),"Choice chưa chọn loại")))))))</f>
        <v/>
      </c>
    </row>
    <row r="110" spans="1:11">
      <c r="A110" s="13"/>
      <c r="B110" s="13"/>
      <c r="C110" s="5"/>
      <c r="D110" s="13"/>
      <c r="E110" s="13"/>
      <c r="F110" s="13"/>
      <c r="G110" s="13"/>
      <c r="H110" s="5"/>
      <c r="I110" s="5"/>
      <c r="J110" s="6" t="str">
        <f t="shared" si="1"/>
        <v/>
      </c>
      <c r="K110" s="6" t="str">
        <f>IF(A110="","",IF(COUNTIFS('02_KICH_BAN_NODES'!$B$5:$B$204,A110,'02_KICH_BAN_NODES'!$D$5:$D$204,"choice")=0,"ChoiceNodeId không tồn tại hoặc không phải choice",IF(COUNTIFS($A$5:$A$404,A110,$B$5:$B$404,B110)&gt;1,"Trùng OptionOrder trong cùng choice",IF(OR(B110="",C110="",D110="",F110="",H110=""),"Thiếu trường bắt buộc",IF(OR(COUNTIF($A$5:$A$404,A110)&lt;2,COUNTIF($A$5:$A$404,A110)&gt;4),"Mỗi choice cần 2–4 option",IF(COUNTIFS('02_KICH_BAN_NODES'!$B$5:$B$204,A110,'02_KICH_BAN_NODES'!$E$5:$E$204,"Kiến thức")=1,IF(COUNTIFS($A$5:$A$404,A110,$D$5:$D$404,"Có")&lt;&gt;1,"Choice kiến thức cần đúng 1 đáp án đúng",""),IF(COUNTIFS('02_KICH_BAN_NODES'!$B$5:$B$204,A110,'02_KICH_BAN_NODES'!$E$5:$E$204,"Tương tác")=1,IF(COUNTIFS($A$5:$A$404,A110,$D$5:$D$404,"Có")&lt;&gt;0,"Choice tương tác không được đánh dấu đáp án đúng",""),"Choice chưa chọn loại")))))))</f>
        <v/>
      </c>
    </row>
    <row r="111" spans="1:11">
      <c r="A111" s="13"/>
      <c r="B111" s="13"/>
      <c r="C111" s="5"/>
      <c r="D111" s="13"/>
      <c r="E111" s="13"/>
      <c r="F111" s="13"/>
      <c r="G111" s="13"/>
      <c r="H111" s="5"/>
      <c r="I111" s="5"/>
      <c r="J111" s="6" t="str">
        <f t="shared" si="1"/>
        <v/>
      </c>
      <c r="K111" s="6" t="str">
        <f>IF(A111="","",IF(COUNTIFS('02_KICH_BAN_NODES'!$B$5:$B$204,A111,'02_KICH_BAN_NODES'!$D$5:$D$204,"choice")=0,"ChoiceNodeId không tồn tại hoặc không phải choice",IF(COUNTIFS($A$5:$A$404,A111,$B$5:$B$404,B111)&gt;1,"Trùng OptionOrder trong cùng choice",IF(OR(B111="",C111="",D111="",F111="",H111=""),"Thiếu trường bắt buộc",IF(OR(COUNTIF($A$5:$A$404,A111)&lt;2,COUNTIF($A$5:$A$404,A111)&gt;4),"Mỗi choice cần 2–4 option",IF(COUNTIFS('02_KICH_BAN_NODES'!$B$5:$B$204,A111,'02_KICH_BAN_NODES'!$E$5:$E$204,"Kiến thức")=1,IF(COUNTIFS($A$5:$A$404,A111,$D$5:$D$404,"Có")&lt;&gt;1,"Choice kiến thức cần đúng 1 đáp án đúng",""),IF(COUNTIFS('02_KICH_BAN_NODES'!$B$5:$B$204,A111,'02_KICH_BAN_NODES'!$E$5:$E$204,"Tương tác")=1,IF(COUNTIFS($A$5:$A$404,A111,$D$5:$D$404,"Có")&lt;&gt;0,"Choice tương tác không được đánh dấu đáp án đúng",""),"Choice chưa chọn loại")))))))</f>
        <v/>
      </c>
    </row>
    <row r="112" spans="1:11">
      <c r="A112" s="13"/>
      <c r="B112" s="13"/>
      <c r="C112" s="5"/>
      <c r="D112" s="13"/>
      <c r="E112" s="13"/>
      <c r="F112" s="13"/>
      <c r="G112" s="13"/>
      <c r="H112" s="5"/>
      <c r="I112" s="5"/>
      <c r="J112" s="6" t="str">
        <f t="shared" si="1"/>
        <v/>
      </c>
      <c r="K112" s="6" t="str">
        <f>IF(A112="","",IF(COUNTIFS('02_KICH_BAN_NODES'!$B$5:$B$204,A112,'02_KICH_BAN_NODES'!$D$5:$D$204,"choice")=0,"ChoiceNodeId không tồn tại hoặc không phải choice",IF(COUNTIFS($A$5:$A$404,A112,$B$5:$B$404,B112)&gt;1,"Trùng OptionOrder trong cùng choice",IF(OR(B112="",C112="",D112="",F112="",H112=""),"Thiếu trường bắt buộc",IF(OR(COUNTIF($A$5:$A$404,A112)&lt;2,COUNTIF($A$5:$A$404,A112)&gt;4),"Mỗi choice cần 2–4 option",IF(COUNTIFS('02_KICH_BAN_NODES'!$B$5:$B$204,A112,'02_KICH_BAN_NODES'!$E$5:$E$204,"Kiến thức")=1,IF(COUNTIFS($A$5:$A$404,A112,$D$5:$D$404,"Có")&lt;&gt;1,"Choice kiến thức cần đúng 1 đáp án đúng",""),IF(COUNTIFS('02_KICH_BAN_NODES'!$B$5:$B$204,A112,'02_KICH_BAN_NODES'!$E$5:$E$204,"Tương tác")=1,IF(COUNTIFS($A$5:$A$404,A112,$D$5:$D$404,"Có")&lt;&gt;0,"Choice tương tác không được đánh dấu đáp án đúng",""),"Choice chưa chọn loại")))))))</f>
        <v/>
      </c>
    </row>
    <row r="113" spans="1:11">
      <c r="A113" s="13"/>
      <c r="B113" s="13"/>
      <c r="C113" s="5"/>
      <c r="D113" s="13"/>
      <c r="E113" s="13"/>
      <c r="F113" s="13"/>
      <c r="G113" s="13"/>
      <c r="H113" s="5"/>
      <c r="I113" s="5"/>
      <c r="J113" s="6" t="str">
        <f t="shared" si="1"/>
        <v/>
      </c>
      <c r="K113" s="6" t="str">
        <f>IF(A113="","",IF(COUNTIFS('02_KICH_BAN_NODES'!$B$5:$B$204,A113,'02_KICH_BAN_NODES'!$D$5:$D$204,"choice")=0,"ChoiceNodeId không tồn tại hoặc không phải choice",IF(COUNTIFS($A$5:$A$404,A113,$B$5:$B$404,B113)&gt;1,"Trùng OptionOrder trong cùng choice",IF(OR(B113="",C113="",D113="",F113="",H113=""),"Thiếu trường bắt buộc",IF(OR(COUNTIF($A$5:$A$404,A113)&lt;2,COUNTIF($A$5:$A$404,A113)&gt;4),"Mỗi choice cần 2–4 option",IF(COUNTIFS('02_KICH_BAN_NODES'!$B$5:$B$204,A113,'02_KICH_BAN_NODES'!$E$5:$E$204,"Kiến thức")=1,IF(COUNTIFS($A$5:$A$404,A113,$D$5:$D$404,"Có")&lt;&gt;1,"Choice kiến thức cần đúng 1 đáp án đúng",""),IF(COUNTIFS('02_KICH_BAN_NODES'!$B$5:$B$204,A113,'02_KICH_BAN_NODES'!$E$5:$E$204,"Tương tác")=1,IF(COUNTIFS($A$5:$A$404,A113,$D$5:$D$404,"Có")&lt;&gt;0,"Choice tương tác không được đánh dấu đáp án đúng",""),"Choice chưa chọn loại")))))))</f>
        <v/>
      </c>
    </row>
    <row r="114" spans="1:11">
      <c r="A114" s="13"/>
      <c r="B114" s="13"/>
      <c r="C114" s="5"/>
      <c r="D114" s="13"/>
      <c r="E114" s="13"/>
      <c r="F114" s="13"/>
      <c r="G114" s="13"/>
      <c r="H114" s="5"/>
      <c r="I114" s="5"/>
      <c r="J114" s="6" t="str">
        <f t="shared" si="1"/>
        <v/>
      </c>
      <c r="K114" s="6" t="str">
        <f>IF(A114="","",IF(COUNTIFS('02_KICH_BAN_NODES'!$B$5:$B$204,A114,'02_KICH_BAN_NODES'!$D$5:$D$204,"choice")=0,"ChoiceNodeId không tồn tại hoặc không phải choice",IF(COUNTIFS($A$5:$A$404,A114,$B$5:$B$404,B114)&gt;1,"Trùng OptionOrder trong cùng choice",IF(OR(B114="",C114="",D114="",F114="",H114=""),"Thiếu trường bắt buộc",IF(OR(COUNTIF($A$5:$A$404,A114)&lt;2,COUNTIF($A$5:$A$404,A114)&gt;4),"Mỗi choice cần 2–4 option",IF(COUNTIFS('02_KICH_BAN_NODES'!$B$5:$B$204,A114,'02_KICH_BAN_NODES'!$E$5:$E$204,"Kiến thức")=1,IF(COUNTIFS($A$5:$A$404,A114,$D$5:$D$404,"Có")&lt;&gt;1,"Choice kiến thức cần đúng 1 đáp án đúng",""),IF(COUNTIFS('02_KICH_BAN_NODES'!$B$5:$B$204,A114,'02_KICH_BAN_NODES'!$E$5:$E$204,"Tương tác")=1,IF(COUNTIFS($A$5:$A$404,A114,$D$5:$D$404,"Có")&lt;&gt;0,"Choice tương tác không được đánh dấu đáp án đúng",""),"Choice chưa chọn loại")))))))</f>
        <v/>
      </c>
    </row>
    <row r="115" spans="1:11">
      <c r="A115" s="13"/>
      <c r="B115" s="13"/>
      <c r="C115" s="5"/>
      <c r="D115" s="13"/>
      <c r="E115" s="13"/>
      <c r="F115" s="13"/>
      <c r="G115" s="13"/>
      <c r="H115" s="5"/>
      <c r="I115" s="5"/>
      <c r="J115" s="6" t="str">
        <f t="shared" si="1"/>
        <v/>
      </c>
      <c r="K115" s="6" t="str">
        <f>IF(A115="","",IF(COUNTIFS('02_KICH_BAN_NODES'!$B$5:$B$204,A115,'02_KICH_BAN_NODES'!$D$5:$D$204,"choice")=0,"ChoiceNodeId không tồn tại hoặc không phải choice",IF(COUNTIFS($A$5:$A$404,A115,$B$5:$B$404,B115)&gt;1,"Trùng OptionOrder trong cùng choice",IF(OR(B115="",C115="",D115="",F115="",H115=""),"Thiếu trường bắt buộc",IF(OR(COUNTIF($A$5:$A$404,A115)&lt;2,COUNTIF($A$5:$A$404,A115)&gt;4),"Mỗi choice cần 2–4 option",IF(COUNTIFS('02_KICH_BAN_NODES'!$B$5:$B$204,A115,'02_KICH_BAN_NODES'!$E$5:$E$204,"Kiến thức")=1,IF(COUNTIFS($A$5:$A$404,A115,$D$5:$D$404,"Có")&lt;&gt;1,"Choice kiến thức cần đúng 1 đáp án đúng",""),IF(COUNTIFS('02_KICH_BAN_NODES'!$B$5:$B$204,A115,'02_KICH_BAN_NODES'!$E$5:$E$204,"Tương tác")=1,IF(COUNTIFS($A$5:$A$404,A115,$D$5:$D$404,"Có")&lt;&gt;0,"Choice tương tác không được đánh dấu đáp án đúng",""),"Choice chưa chọn loại")))))))</f>
        <v/>
      </c>
    </row>
    <row r="116" spans="1:11">
      <c r="A116" s="13"/>
      <c r="B116" s="13"/>
      <c r="C116" s="5"/>
      <c r="D116" s="13"/>
      <c r="E116" s="13"/>
      <c r="F116" s="13"/>
      <c r="G116" s="13"/>
      <c r="H116" s="5"/>
      <c r="I116" s="5"/>
      <c r="J116" s="6" t="str">
        <f t="shared" si="1"/>
        <v/>
      </c>
      <c r="K116" s="6" t="str">
        <f>IF(A116="","",IF(COUNTIFS('02_KICH_BAN_NODES'!$B$5:$B$204,A116,'02_KICH_BAN_NODES'!$D$5:$D$204,"choice")=0,"ChoiceNodeId không tồn tại hoặc không phải choice",IF(COUNTIFS($A$5:$A$404,A116,$B$5:$B$404,B116)&gt;1,"Trùng OptionOrder trong cùng choice",IF(OR(B116="",C116="",D116="",F116="",H116=""),"Thiếu trường bắt buộc",IF(OR(COUNTIF($A$5:$A$404,A116)&lt;2,COUNTIF($A$5:$A$404,A116)&gt;4),"Mỗi choice cần 2–4 option",IF(COUNTIFS('02_KICH_BAN_NODES'!$B$5:$B$204,A116,'02_KICH_BAN_NODES'!$E$5:$E$204,"Kiến thức")=1,IF(COUNTIFS($A$5:$A$404,A116,$D$5:$D$404,"Có")&lt;&gt;1,"Choice kiến thức cần đúng 1 đáp án đúng",""),IF(COUNTIFS('02_KICH_BAN_NODES'!$B$5:$B$204,A116,'02_KICH_BAN_NODES'!$E$5:$E$204,"Tương tác")=1,IF(COUNTIFS($A$5:$A$404,A116,$D$5:$D$404,"Có")&lt;&gt;0,"Choice tương tác không được đánh dấu đáp án đúng",""),"Choice chưa chọn loại")))))))</f>
        <v/>
      </c>
    </row>
    <row r="117" spans="1:11">
      <c r="A117" s="13"/>
      <c r="B117" s="13"/>
      <c r="C117" s="5"/>
      <c r="D117" s="13"/>
      <c r="E117" s="13"/>
      <c r="F117" s="13"/>
      <c r="G117" s="13"/>
      <c r="H117" s="5"/>
      <c r="I117" s="5"/>
      <c r="J117" s="6" t="str">
        <f t="shared" si="1"/>
        <v/>
      </c>
      <c r="K117" s="6" t="str">
        <f>IF(A117="","",IF(COUNTIFS('02_KICH_BAN_NODES'!$B$5:$B$204,A117,'02_KICH_BAN_NODES'!$D$5:$D$204,"choice")=0,"ChoiceNodeId không tồn tại hoặc không phải choice",IF(COUNTIFS($A$5:$A$404,A117,$B$5:$B$404,B117)&gt;1,"Trùng OptionOrder trong cùng choice",IF(OR(B117="",C117="",D117="",F117="",H117=""),"Thiếu trường bắt buộc",IF(OR(COUNTIF($A$5:$A$404,A117)&lt;2,COUNTIF($A$5:$A$404,A117)&gt;4),"Mỗi choice cần 2–4 option",IF(COUNTIFS('02_KICH_BAN_NODES'!$B$5:$B$204,A117,'02_KICH_BAN_NODES'!$E$5:$E$204,"Kiến thức")=1,IF(COUNTIFS($A$5:$A$404,A117,$D$5:$D$404,"Có")&lt;&gt;1,"Choice kiến thức cần đúng 1 đáp án đúng",""),IF(COUNTIFS('02_KICH_BAN_NODES'!$B$5:$B$204,A117,'02_KICH_BAN_NODES'!$E$5:$E$204,"Tương tác")=1,IF(COUNTIFS($A$5:$A$404,A117,$D$5:$D$404,"Có")&lt;&gt;0,"Choice tương tác không được đánh dấu đáp án đúng",""),"Choice chưa chọn loại")))))))</f>
        <v/>
      </c>
    </row>
    <row r="118" spans="1:11">
      <c r="A118" s="13"/>
      <c r="B118" s="13"/>
      <c r="C118" s="5"/>
      <c r="D118" s="13"/>
      <c r="E118" s="13"/>
      <c r="F118" s="13"/>
      <c r="G118" s="13"/>
      <c r="H118" s="5"/>
      <c r="I118" s="5"/>
      <c r="J118" s="6" t="str">
        <f t="shared" si="1"/>
        <v/>
      </c>
      <c r="K118" s="6" t="str">
        <f>IF(A118="","",IF(COUNTIFS('02_KICH_BAN_NODES'!$B$5:$B$204,A118,'02_KICH_BAN_NODES'!$D$5:$D$204,"choice")=0,"ChoiceNodeId không tồn tại hoặc không phải choice",IF(COUNTIFS($A$5:$A$404,A118,$B$5:$B$404,B118)&gt;1,"Trùng OptionOrder trong cùng choice",IF(OR(B118="",C118="",D118="",F118="",H118=""),"Thiếu trường bắt buộc",IF(OR(COUNTIF($A$5:$A$404,A118)&lt;2,COUNTIF($A$5:$A$404,A118)&gt;4),"Mỗi choice cần 2–4 option",IF(COUNTIFS('02_KICH_BAN_NODES'!$B$5:$B$204,A118,'02_KICH_BAN_NODES'!$E$5:$E$204,"Kiến thức")=1,IF(COUNTIFS($A$5:$A$404,A118,$D$5:$D$404,"Có")&lt;&gt;1,"Choice kiến thức cần đúng 1 đáp án đúng",""),IF(COUNTIFS('02_KICH_BAN_NODES'!$B$5:$B$204,A118,'02_KICH_BAN_NODES'!$E$5:$E$204,"Tương tác")=1,IF(COUNTIFS($A$5:$A$404,A118,$D$5:$D$404,"Có")&lt;&gt;0,"Choice tương tác không được đánh dấu đáp án đúng",""),"Choice chưa chọn loại")))))))</f>
        <v/>
      </c>
    </row>
    <row r="119" spans="1:11">
      <c r="A119" s="13"/>
      <c r="B119" s="13"/>
      <c r="C119" s="5"/>
      <c r="D119" s="13"/>
      <c r="E119" s="13"/>
      <c r="F119" s="13"/>
      <c r="G119" s="13"/>
      <c r="H119" s="5"/>
      <c r="I119" s="5"/>
      <c r="J119" s="6" t="str">
        <f t="shared" si="1"/>
        <v/>
      </c>
      <c r="K119" s="6" t="str">
        <f>IF(A119="","",IF(COUNTIFS('02_KICH_BAN_NODES'!$B$5:$B$204,A119,'02_KICH_BAN_NODES'!$D$5:$D$204,"choice")=0,"ChoiceNodeId không tồn tại hoặc không phải choice",IF(COUNTIFS($A$5:$A$404,A119,$B$5:$B$404,B119)&gt;1,"Trùng OptionOrder trong cùng choice",IF(OR(B119="",C119="",D119="",F119="",H119=""),"Thiếu trường bắt buộc",IF(OR(COUNTIF($A$5:$A$404,A119)&lt;2,COUNTIF($A$5:$A$404,A119)&gt;4),"Mỗi choice cần 2–4 option",IF(COUNTIFS('02_KICH_BAN_NODES'!$B$5:$B$204,A119,'02_KICH_BAN_NODES'!$E$5:$E$204,"Kiến thức")=1,IF(COUNTIFS($A$5:$A$404,A119,$D$5:$D$404,"Có")&lt;&gt;1,"Choice kiến thức cần đúng 1 đáp án đúng",""),IF(COUNTIFS('02_KICH_BAN_NODES'!$B$5:$B$204,A119,'02_KICH_BAN_NODES'!$E$5:$E$204,"Tương tác")=1,IF(COUNTIFS($A$5:$A$404,A119,$D$5:$D$404,"Có")&lt;&gt;0,"Choice tương tác không được đánh dấu đáp án đúng",""),"Choice chưa chọn loại")))))))</f>
        <v/>
      </c>
    </row>
    <row r="120" spans="1:11">
      <c r="A120" s="13"/>
      <c r="B120" s="13"/>
      <c r="C120" s="5"/>
      <c r="D120" s="13"/>
      <c r="E120" s="13"/>
      <c r="F120" s="13"/>
      <c r="G120" s="13"/>
      <c r="H120" s="5"/>
      <c r="I120" s="5"/>
      <c r="J120" s="6" t="str">
        <f t="shared" si="1"/>
        <v/>
      </c>
      <c r="K120" s="6" t="str">
        <f>IF(A120="","",IF(COUNTIFS('02_KICH_BAN_NODES'!$B$5:$B$204,A120,'02_KICH_BAN_NODES'!$D$5:$D$204,"choice")=0,"ChoiceNodeId không tồn tại hoặc không phải choice",IF(COUNTIFS($A$5:$A$404,A120,$B$5:$B$404,B120)&gt;1,"Trùng OptionOrder trong cùng choice",IF(OR(B120="",C120="",D120="",F120="",H120=""),"Thiếu trường bắt buộc",IF(OR(COUNTIF($A$5:$A$404,A120)&lt;2,COUNTIF($A$5:$A$404,A120)&gt;4),"Mỗi choice cần 2–4 option",IF(COUNTIFS('02_KICH_BAN_NODES'!$B$5:$B$204,A120,'02_KICH_BAN_NODES'!$E$5:$E$204,"Kiến thức")=1,IF(COUNTIFS($A$5:$A$404,A120,$D$5:$D$404,"Có")&lt;&gt;1,"Choice kiến thức cần đúng 1 đáp án đúng",""),IF(COUNTIFS('02_KICH_BAN_NODES'!$B$5:$B$204,A120,'02_KICH_BAN_NODES'!$E$5:$E$204,"Tương tác")=1,IF(COUNTIFS($A$5:$A$404,A120,$D$5:$D$404,"Có")&lt;&gt;0,"Choice tương tác không được đánh dấu đáp án đúng",""),"Choice chưa chọn loại")))))))</f>
        <v/>
      </c>
    </row>
    <row r="121" spans="1:11">
      <c r="A121" s="13"/>
      <c r="B121" s="13"/>
      <c r="C121" s="5"/>
      <c r="D121" s="13"/>
      <c r="E121" s="13"/>
      <c r="F121" s="13"/>
      <c r="G121" s="13"/>
      <c r="H121" s="5"/>
      <c r="I121" s="5"/>
      <c r="J121" s="6" t="str">
        <f t="shared" si="1"/>
        <v/>
      </c>
      <c r="K121" s="6" t="str">
        <f>IF(A121="","",IF(COUNTIFS('02_KICH_BAN_NODES'!$B$5:$B$204,A121,'02_KICH_BAN_NODES'!$D$5:$D$204,"choice")=0,"ChoiceNodeId không tồn tại hoặc không phải choice",IF(COUNTIFS($A$5:$A$404,A121,$B$5:$B$404,B121)&gt;1,"Trùng OptionOrder trong cùng choice",IF(OR(B121="",C121="",D121="",F121="",H121=""),"Thiếu trường bắt buộc",IF(OR(COUNTIF($A$5:$A$404,A121)&lt;2,COUNTIF($A$5:$A$404,A121)&gt;4),"Mỗi choice cần 2–4 option",IF(COUNTIFS('02_KICH_BAN_NODES'!$B$5:$B$204,A121,'02_KICH_BAN_NODES'!$E$5:$E$204,"Kiến thức")=1,IF(COUNTIFS($A$5:$A$404,A121,$D$5:$D$404,"Có")&lt;&gt;1,"Choice kiến thức cần đúng 1 đáp án đúng",""),IF(COUNTIFS('02_KICH_BAN_NODES'!$B$5:$B$204,A121,'02_KICH_BAN_NODES'!$E$5:$E$204,"Tương tác")=1,IF(COUNTIFS($A$5:$A$404,A121,$D$5:$D$404,"Có")&lt;&gt;0,"Choice tương tác không được đánh dấu đáp án đúng",""),"Choice chưa chọn loại")))))))</f>
        <v/>
      </c>
    </row>
    <row r="122" spans="1:11">
      <c r="A122" s="13"/>
      <c r="B122" s="13"/>
      <c r="C122" s="5"/>
      <c r="D122" s="13"/>
      <c r="E122" s="13"/>
      <c r="F122" s="13"/>
      <c r="G122" s="13"/>
      <c r="H122" s="5"/>
      <c r="I122" s="5"/>
      <c r="J122" s="6" t="str">
        <f t="shared" si="1"/>
        <v/>
      </c>
      <c r="K122" s="6" t="str">
        <f>IF(A122="","",IF(COUNTIFS('02_KICH_BAN_NODES'!$B$5:$B$204,A122,'02_KICH_BAN_NODES'!$D$5:$D$204,"choice")=0,"ChoiceNodeId không tồn tại hoặc không phải choice",IF(COUNTIFS($A$5:$A$404,A122,$B$5:$B$404,B122)&gt;1,"Trùng OptionOrder trong cùng choice",IF(OR(B122="",C122="",D122="",F122="",H122=""),"Thiếu trường bắt buộc",IF(OR(COUNTIF($A$5:$A$404,A122)&lt;2,COUNTIF($A$5:$A$404,A122)&gt;4),"Mỗi choice cần 2–4 option",IF(COUNTIFS('02_KICH_BAN_NODES'!$B$5:$B$204,A122,'02_KICH_BAN_NODES'!$E$5:$E$204,"Kiến thức")=1,IF(COUNTIFS($A$5:$A$404,A122,$D$5:$D$404,"Có")&lt;&gt;1,"Choice kiến thức cần đúng 1 đáp án đúng",""),IF(COUNTIFS('02_KICH_BAN_NODES'!$B$5:$B$204,A122,'02_KICH_BAN_NODES'!$E$5:$E$204,"Tương tác")=1,IF(COUNTIFS($A$5:$A$404,A122,$D$5:$D$404,"Có")&lt;&gt;0,"Choice tương tác không được đánh dấu đáp án đúng",""),"Choice chưa chọn loại")))))))</f>
        <v/>
      </c>
    </row>
    <row r="123" spans="1:11">
      <c r="A123" s="13"/>
      <c r="B123" s="13"/>
      <c r="C123" s="5"/>
      <c r="D123" s="13"/>
      <c r="E123" s="13"/>
      <c r="F123" s="13"/>
      <c r="G123" s="13"/>
      <c r="H123" s="5"/>
      <c r="I123" s="5"/>
      <c r="J123" s="6" t="str">
        <f t="shared" si="1"/>
        <v/>
      </c>
      <c r="K123" s="6" t="str">
        <f>IF(A123="","",IF(COUNTIFS('02_KICH_BAN_NODES'!$B$5:$B$204,A123,'02_KICH_BAN_NODES'!$D$5:$D$204,"choice")=0,"ChoiceNodeId không tồn tại hoặc không phải choice",IF(COUNTIFS($A$5:$A$404,A123,$B$5:$B$404,B123)&gt;1,"Trùng OptionOrder trong cùng choice",IF(OR(B123="",C123="",D123="",F123="",H123=""),"Thiếu trường bắt buộc",IF(OR(COUNTIF($A$5:$A$404,A123)&lt;2,COUNTIF($A$5:$A$404,A123)&gt;4),"Mỗi choice cần 2–4 option",IF(COUNTIFS('02_KICH_BAN_NODES'!$B$5:$B$204,A123,'02_KICH_BAN_NODES'!$E$5:$E$204,"Kiến thức")=1,IF(COUNTIFS($A$5:$A$404,A123,$D$5:$D$404,"Có")&lt;&gt;1,"Choice kiến thức cần đúng 1 đáp án đúng",""),IF(COUNTIFS('02_KICH_BAN_NODES'!$B$5:$B$204,A123,'02_KICH_BAN_NODES'!$E$5:$E$204,"Tương tác")=1,IF(COUNTIFS($A$5:$A$404,A123,$D$5:$D$404,"Có")&lt;&gt;0,"Choice tương tác không được đánh dấu đáp án đúng",""),"Choice chưa chọn loại")))))))</f>
        <v/>
      </c>
    </row>
    <row r="124" spans="1:11">
      <c r="A124" s="13"/>
      <c r="B124" s="13"/>
      <c r="C124" s="5"/>
      <c r="D124" s="13"/>
      <c r="E124" s="13"/>
      <c r="F124" s="13"/>
      <c r="G124" s="13"/>
      <c r="H124" s="5"/>
      <c r="I124" s="5"/>
      <c r="J124" s="6" t="str">
        <f t="shared" si="1"/>
        <v/>
      </c>
      <c r="K124" s="6" t="str">
        <f>IF(A124="","",IF(COUNTIFS('02_KICH_BAN_NODES'!$B$5:$B$204,A124,'02_KICH_BAN_NODES'!$D$5:$D$204,"choice")=0,"ChoiceNodeId không tồn tại hoặc không phải choice",IF(COUNTIFS($A$5:$A$404,A124,$B$5:$B$404,B124)&gt;1,"Trùng OptionOrder trong cùng choice",IF(OR(B124="",C124="",D124="",F124="",H124=""),"Thiếu trường bắt buộc",IF(OR(COUNTIF($A$5:$A$404,A124)&lt;2,COUNTIF($A$5:$A$404,A124)&gt;4),"Mỗi choice cần 2–4 option",IF(COUNTIFS('02_KICH_BAN_NODES'!$B$5:$B$204,A124,'02_KICH_BAN_NODES'!$E$5:$E$204,"Kiến thức")=1,IF(COUNTIFS($A$5:$A$404,A124,$D$5:$D$404,"Có")&lt;&gt;1,"Choice kiến thức cần đúng 1 đáp án đúng",""),IF(COUNTIFS('02_KICH_BAN_NODES'!$B$5:$B$204,A124,'02_KICH_BAN_NODES'!$E$5:$E$204,"Tương tác")=1,IF(COUNTIFS($A$5:$A$404,A124,$D$5:$D$404,"Có")&lt;&gt;0,"Choice tương tác không được đánh dấu đáp án đúng",""),"Choice chưa chọn loại")))))))</f>
        <v/>
      </c>
    </row>
    <row r="125" spans="1:11">
      <c r="A125" s="13"/>
      <c r="B125" s="13"/>
      <c r="C125" s="5"/>
      <c r="D125" s="13"/>
      <c r="E125" s="13"/>
      <c r="F125" s="13"/>
      <c r="G125" s="13"/>
      <c r="H125" s="5"/>
      <c r="I125" s="5"/>
      <c r="J125" s="6" t="str">
        <f t="shared" si="1"/>
        <v/>
      </c>
      <c r="K125" s="6" t="str">
        <f>IF(A125="","",IF(COUNTIFS('02_KICH_BAN_NODES'!$B$5:$B$204,A125,'02_KICH_BAN_NODES'!$D$5:$D$204,"choice")=0,"ChoiceNodeId không tồn tại hoặc không phải choice",IF(COUNTIFS($A$5:$A$404,A125,$B$5:$B$404,B125)&gt;1,"Trùng OptionOrder trong cùng choice",IF(OR(B125="",C125="",D125="",F125="",H125=""),"Thiếu trường bắt buộc",IF(OR(COUNTIF($A$5:$A$404,A125)&lt;2,COUNTIF($A$5:$A$404,A125)&gt;4),"Mỗi choice cần 2–4 option",IF(COUNTIFS('02_KICH_BAN_NODES'!$B$5:$B$204,A125,'02_KICH_BAN_NODES'!$E$5:$E$204,"Kiến thức")=1,IF(COUNTIFS($A$5:$A$404,A125,$D$5:$D$404,"Có")&lt;&gt;1,"Choice kiến thức cần đúng 1 đáp án đúng",""),IF(COUNTIFS('02_KICH_BAN_NODES'!$B$5:$B$204,A125,'02_KICH_BAN_NODES'!$E$5:$E$204,"Tương tác")=1,IF(COUNTIFS($A$5:$A$404,A125,$D$5:$D$404,"Có")&lt;&gt;0,"Choice tương tác không được đánh dấu đáp án đúng",""),"Choice chưa chọn loại")))))))</f>
        <v/>
      </c>
    </row>
    <row r="126" spans="1:11">
      <c r="A126" s="13"/>
      <c r="B126" s="13"/>
      <c r="C126" s="5"/>
      <c r="D126" s="13"/>
      <c r="E126" s="13"/>
      <c r="F126" s="13"/>
      <c r="G126" s="13"/>
      <c r="H126" s="5"/>
      <c r="I126" s="5"/>
      <c r="J126" s="6" t="str">
        <f t="shared" si="1"/>
        <v/>
      </c>
      <c r="K126" s="6" t="str">
        <f>IF(A126="","",IF(COUNTIFS('02_KICH_BAN_NODES'!$B$5:$B$204,A126,'02_KICH_BAN_NODES'!$D$5:$D$204,"choice")=0,"ChoiceNodeId không tồn tại hoặc không phải choice",IF(COUNTIFS($A$5:$A$404,A126,$B$5:$B$404,B126)&gt;1,"Trùng OptionOrder trong cùng choice",IF(OR(B126="",C126="",D126="",F126="",H126=""),"Thiếu trường bắt buộc",IF(OR(COUNTIF($A$5:$A$404,A126)&lt;2,COUNTIF($A$5:$A$404,A126)&gt;4),"Mỗi choice cần 2–4 option",IF(COUNTIFS('02_KICH_BAN_NODES'!$B$5:$B$204,A126,'02_KICH_BAN_NODES'!$E$5:$E$204,"Kiến thức")=1,IF(COUNTIFS($A$5:$A$404,A126,$D$5:$D$404,"Có")&lt;&gt;1,"Choice kiến thức cần đúng 1 đáp án đúng",""),IF(COUNTIFS('02_KICH_BAN_NODES'!$B$5:$B$204,A126,'02_KICH_BAN_NODES'!$E$5:$E$204,"Tương tác")=1,IF(COUNTIFS($A$5:$A$404,A126,$D$5:$D$404,"Có")&lt;&gt;0,"Choice tương tác không được đánh dấu đáp án đúng",""),"Choice chưa chọn loại")))))))</f>
        <v/>
      </c>
    </row>
    <row r="127" spans="1:11">
      <c r="A127" s="13"/>
      <c r="B127" s="13"/>
      <c r="C127" s="5"/>
      <c r="D127" s="13"/>
      <c r="E127" s="13"/>
      <c r="F127" s="13"/>
      <c r="G127" s="13"/>
      <c r="H127" s="5"/>
      <c r="I127" s="5"/>
      <c r="J127" s="6" t="str">
        <f t="shared" si="1"/>
        <v/>
      </c>
      <c r="K127" s="6" t="str">
        <f>IF(A127="","",IF(COUNTIFS('02_KICH_BAN_NODES'!$B$5:$B$204,A127,'02_KICH_BAN_NODES'!$D$5:$D$204,"choice")=0,"ChoiceNodeId không tồn tại hoặc không phải choice",IF(COUNTIFS($A$5:$A$404,A127,$B$5:$B$404,B127)&gt;1,"Trùng OptionOrder trong cùng choice",IF(OR(B127="",C127="",D127="",F127="",H127=""),"Thiếu trường bắt buộc",IF(OR(COUNTIF($A$5:$A$404,A127)&lt;2,COUNTIF($A$5:$A$404,A127)&gt;4),"Mỗi choice cần 2–4 option",IF(COUNTIFS('02_KICH_BAN_NODES'!$B$5:$B$204,A127,'02_KICH_BAN_NODES'!$E$5:$E$204,"Kiến thức")=1,IF(COUNTIFS($A$5:$A$404,A127,$D$5:$D$404,"Có")&lt;&gt;1,"Choice kiến thức cần đúng 1 đáp án đúng",""),IF(COUNTIFS('02_KICH_BAN_NODES'!$B$5:$B$204,A127,'02_KICH_BAN_NODES'!$E$5:$E$204,"Tương tác")=1,IF(COUNTIFS($A$5:$A$404,A127,$D$5:$D$404,"Có")&lt;&gt;0,"Choice tương tác không được đánh dấu đáp án đúng",""),"Choice chưa chọn loại")))))))</f>
        <v/>
      </c>
    </row>
    <row r="128" spans="1:11">
      <c r="A128" s="13"/>
      <c r="B128" s="13"/>
      <c r="C128" s="5"/>
      <c r="D128" s="13"/>
      <c r="E128" s="13"/>
      <c r="F128" s="13"/>
      <c r="G128" s="13"/>
      <c r="H128" s="5"/>
      <c r="I128" s="5"/>
      <c r="J128" s="6" t="str">
        <f t="shared" si="1"/>
        <v/>
      </c>
      <c r="K128" s="6" t="str">
        <f>IF(A128="","",IF(COUNTIFS('02_KICH_BAN_NODES'!$B$5:$B$204,A128,'02_KICH_BAN_NODES'!$D$5:$D$204,"choice")=0,"ChoiceNodeId không tồn tại hoặc không phải choice",IF(COUNTIFS($A$5:$A$404,A128,$B$5:$B$404,B128)&gt;1,"Trùng OptionOrder trong cùng choice",IF(OR(B128="",C128="",D128="",F128="",H128=""),"Thiếu trường bắt buộc",IF(OR(COUNTIF($A$5:$A$404,A128)&lt;2,COUNTIF($A$5:$A$404,A128)&gt;4),"Mỗi choice cần 2–4 option",IF(COUNTIFS('02_KICH_BAN_NODES'!$B$5:$B$204,A128,'02_KICH_BAN_NODES'!$E$5:$E$204,"Kiến thức")=1,IF(COUNTIFS($A$5:$A$404,A128,$D$5:$D$404,"Có")&lt;&gt;1,"Choice kiến thức cần đúng 1 đáp án đúng",""),IF(COUNTIFS('02_KICH_BAN_NODES'!$B$5:$B$204,A128,'02_KICH_BAN_NODES'!$E$5:$E$204,"Tương tác")=1,IF(COUNTIFS($A$5:$A$404,A128,$D$5:$D$404,"Có")&lt;&gt;0,"Choice tương tác không được đánh dấu đáp án đúng",""),"Choice chưa chọn loại")))))))</f>
        <v/>
      </c>
    </row>
    <row r="129" spans="1:11">
      <c r="A129" s="13"/>
      <c r="B129" s="13"/>
      <c r="C129" s="5"/>
      <c r="D129" s="13"/>
      <c r="E129" s="13"/>
      <c r="F129" s="13"/>
      <c r="G129" s="13"/>
      <c r="H129" s="5"/>
      <c r="I129" s="5"/>
      <c r="J129" s="6" t="str">
        <f t="shared" si="1"/>
        <v/>
      </c>
      <c r="K129" s="6" t="str">
        <f>IF(A129="","",IF(COUNTIFS('02_KICH_BAN_NODES'!$B$5:$B$204,A129,'02_KICH_BAN_NODES'!$D$5:$D$204,"choice")=0,"ChoiceNodeId không tồn tại hoặc không phải choice",IF(COUNTIFS($A$5:$A$404,A129,$B$5:$B$404,B129)&gt;1,"Trùng OptionOrder trong cùng choice",IF(OR(B129="",C129="",D129="",F129="",H129=""),"Thiếu trường bắt buộc",IF(OR(COUNTIF($A$5:$A$404,A129)&lt;2,COUNTIF($A$5:$A$404,A129)&gt;4),"Mỗi choice cần 2–4 option",IF(COUNTIFS('02_KICH_BAN_NODES'!$B$5:$B$204,A129,'02_KICH_BAN_NODES'!$E$5:$E$204,"Kiến thức")=1,IF(COUNTIFS($A$5:$A$404,A129,$D$5:$D$404,"Có")&lt;&gt;1,"Choice kiến thức cần đúng 1 đáp án đúng",""),IF(COUNTIFS('02_KICH_BAN_NODES'!$B$5:$B$204,A129,'02_KICH_BAN_NODES'!$E$5:$E$204,"Tương tác")=1,IF(COUNTIFS($A$5:$A$404,A129,$D$5:$D$404,"Có")&lt;&gt;0,"Choice tương tác không được đánh dấu đáp án đúng",""),"Choice chưa chọn loại")))))))</f>
        <v/>
      </c>
    </row>
    <row r="130" spans="1:11">
      <c r="A130" s="13"/>
      <c r="B130" s="13"/>
      <c r="C130" s="5"/>
      <c r="D130" s="13"/>
      <c r="E130" s="13"/>
      <c r="F130" s="13"/>
      <c r="G130" s="13"/>
      <c r="H130" s="5"/>
      <c r="I130" s="5"/>
      <c r="J130" s="6" t="str">
        <f t="shared" si="1"/>
        <v/>
      </c>
      <c r="K130" s="6" t="str">
        <f>IF(A130="","",IF(COUNTIFS('02_KICH_BAN_NODES'!$B$5:$B$204,A130,'02_KICH_BAN_NODES'!$D$5:$D$204,"choice")=0,"ChoiceNodeId không tồn tại hoặc không phải choice",IF(COUNTIFS($A$5:$A$404,A130,$B$5:$B$404,B130)&gt;1,"Trùng OptionOrder trong cùng choice",IF(OR(B130="",C130="",D130="",F130="",H130=""),"Thiếu trường bắt buộc",IF(OR(COUNTIF($A$5:$A$404,A130)&lt;2,COUNTIF($A$5:$A$404,A130)&gt;4),"Mỗi choice cần 2–4 option",IF(COUNTIFS('02_KICH_BAN_NODES'!$B$5:$B$204,A130,'02_KICH_BAN_NODES'!$E$5:$E$204,"Kiến thức")=1,IF(COUNTIFS($A$5:$A$404,A130,$D$5:$D$404,"Có")&lt;&gt;1,"Choice kiến thức cần đúng 1 đáp án đúng",""),IF(COUNTIFS('02_KICH_BAN_NODES'!$B$5:$B$204,A130,'02_KICH_BAN_NODES'!$E$5:$E$204,"Tương tác")=1,IF(COUNTIFS($A$5:$A$404,A130,$D$5:$D$404,"Có")&lt;&gt;0,"Choice tương tác không được đánh dấu đáp án đúng",""),"Choice chưa chọn loại")))))))</f>
        <v/>
      </c>
    </row>
    <row r="131" spans="1:11">
      <c r="A131" s="13"/>
      <c r="B131" s="13"/>
      <c r="C131" s="5"/>
      <c r="D131" s="13"/>
      <c r="E131" s="13"/>
      <c r="F131" s="13"/>
      <c r="G131" s="13"/>
      <c r="H131" s="5"/>
      <c r="I131" s="5"/>
      <c r="J131" s="6" t="str">
        <f t="shared" si="1"/>
        <v/>
      </c>
      <c r="K131" s="6" t="str">
        <f>IF(A131="","",IF(COUNTIFS('02_KICH_BAN_NODES'!$B$5:$B$204,A131,'02_KICH_BAN_NODES'!$D$5:$D$204,"choice")=0,"ChoiceNodeId không tồn tại hoặc không phải choice",IF(COUNTIFS($A$5:$A$404,A131,$B$5:$B$404,B131)&gt;1,"Trùng OptionOrder trong cùng choice",IF(OR(B131="",C131="",D131="",F131="",H131=""),"Thiếu trường bắt buộc",IF(OR(COUNTIF($A$5:$A$404,A131)&lt;2,COUNTIF($A$5:$A$404,A131)&gt;4),"Mỗi choice cần 2–4 option",IF(COUNTIFS('02_KICH_BAN_NODES'!$B$5:$B$204,A131,'02_KICH_BAN_NODES'!$E$5:$E$204,"Kiến thức")=1,IF(COUNTIFS($A$5:$A$404,A131,$D$5:$D$404,"Có")&lt;&gt;1,"Choice kiến thức cần đúng 1 đáp án đúng",""),IF(COUNTIFS('02_KICH_BAN_NODES'!$B$5:$B$204,A131,'02_KICH_BAN_NODES'!$E$5:$E$204,"Tương tác")=1,IF(COUNTIFS($A$5:$A$404,A131,$D$5:$D$404,"Có")&lt;&gt;0,"Choice tương tác không được đánh dấu đáp án đúng",""),"Choice chưa chọn loại")))))))</f>
        <v/>
      </c>
    </row>
    <row r="132" spans="1:11">
      <c r="A132" s="13"/>
      <c r="B132" s="13"/>
      <c r="C132" s="5"/>
      <c r="D132" s="13"/>
      <c r="E132" s="13"/>
      <c r="F132" s="13"/>
      <c r="G132" s="13"/>
      <c r="H132" s="5"/>
      <c r="I132" s="5"/>
      <c r="J132" s="6" t="str">
        <f t="shared" si="1"/>
        <v/>
      </c>
      <c r="K132" s="6" t="str">
        <f>IF(A132="","",IF(COUNTIFS('02_KICH_BAN_NODES'!$B$5:$B$204,A132,'02_KICH_BAN_NODES'!$D$5:$D$204,"choice")=0,"ChoiceNodeId không tồn tại hoặc không phải choice",IF(COUNTIFS($A$5:$A$404,A132,$B$5:$B$404,B132)&gt;1,"Trùng OptionOrder trong cùng choice",IF(OR(B132="",C132="",D132="",F132="",H132=""),"Thiếu trường bắt buộc",IF(OR(COUNTIF($A$5:$A$404,A132)&lt;2,COUNTIF($A$5:$A$404,A132)&gt;4),"Mỗi choice cần 2–4 option",IF(COUNTIFS('02_KICH_BAN_NODES'!$B$5:$B$204,A132,'02_KICH_BAN_NODES'!$E$5:$E$204,"Kiến thức")=1,IF(COUNTIFS($A$5:$A$404,A132,$D$5:$D$404,"Có")&lt;&gt;1,"Choice kiến thức cần đúng 1 đáp án đúng",""),IF(COUNTIFS('02_KICH_BAN_NODES'!$B$5:$B$204,A132,'02_KICH_BAN_NODES'!$E$5:$E$204,"Tương tác")=1,IF(COUNTIFS($A$5:$A$404,A132,$D$5:$D$404,"Có")&lt;&gt;0,"Choice tương tác không được đánh dấu đáp án đúng",""),"Choice chưa chọn loại")))))))</f>
        <v/>
      </c>
    </row>
    <row r="133" spans="1:11">
      <c r="A133" s="13"/>
      <c r="B133" s="13"/>
      <c r="C133" s="5"/>
      <c r="D133" s="13"/>
      <c r="E133" s="13"/>
      <c r="F133" s="13"/>
      <c r="G133" s="13"/>
      <c r="H133" s="5"/>
      <c r="I133" s="5"/>
      <c r="J133" s="6" t="str">
        <f t="shared" ref="J133:J196" si="2">IF(A133="","",IF(K133="","HỢP LỆ","CẦN SỬA"))</f>
        <v/>
      </c>
      <c r="K133" s="6" t="str">
        <f>IF(A133="","",IF(COUNTIFS('02_KICH_BAN_NODES'!$B$5:$B$204,A133,'02_KICH_BAN_NODES'!$D$5:$D$204,"choice")=0,"ChoiceNodeId không tồn tại hoặc không phải choice",IF(COUNTIFS($A$5:$A$404,A133,$B$5:$B$404,B133)&gt;1,"Trùng OptionOrder trong cùng choice",IF(OR(B133="",C133="",D133="",F133="",H133=""),"Thiếu trường bắt buộc",IF(OR(COUNTIF($A$5:$A$404,A133)&lt;2,COUNTIF($A$5:$A$404,A133)&gt;4),"Mỗi choice cần 2–4 option",IF(COUNTIFS('02_KICH_BAN_NODES'!$B$5:$B$204,A133,'02_KICH_BAN_NODES'!$E$5:$E$204,"Kiến thức")=1,IF(COUNTIFS($A$5:$A$404,A133,$D$5:$D$404,"Có")&lt;&gt;1,"Choice kiến thức cần đúng 1 đáp án đúng",""),IF(COUNTIFS('02_KICH_BAN_NODES'!$B$5:$B$204,A133,'02_KICH_BAN_NODES'!$E$5:$E$204,"Tương tác")=1,IF(COUNTIFS($A$5:$A$404,A133,$D$5:$D$404,"Có")&lt;&gt;0,"Choice tương tác không được đánh dấu đáp án đúng",""),"Choice chưa chọn loại")))))))</f>
        <v/>
      </c>
    </row>
    <row r="134" spans="1:11">
      <c r="A134" s="13"/>
      <c r="B134" s="13"/>
      <c r="C134" s="5"/>
      <c r="D134" s="13"/>
      <c r="E134" s="13"/>
      <c r="F134" s="13"/>
      <c r="G134" s="13"/>
      <c r="H134" s="5"/>
      <c r="I134" s="5"/>
      <c r="J134" s="6" t="str">
        <f t="shared" si="2"/>
        <v/>
      </c>
      <c r="K134" s="6" t="str">
        <f>IF(A134="","",IF(COUNTIFS('02_KICH_BAN_NODES'!$B$5:$B$204,A134,'02_KICH_BAN_NODES'!$D$5:$D$204,"choice")=0,"ChoiceNodeId không tồn tại hoặc không phải choice",IF(COUNTIFS($A$5:$A$404,A134,$B$5:$B$404,B134)&gt;1,"Trùng OptionOrder trong cùng choice",IF(OR(B134="",C134="",D134="",F134="",H134=""),"Thiếu trường bắt buộc",IF(OR(COUNTIF($A$5:$A$404,A134)&lt;2,COUNTIF($A$5:$A$404,A134)&gt;4),"Mỗi choice cần 2–4 option",IF(COUNTIFS('02_KICH_BAN_NODES'!$B$5:$B$204,A134,'02_KICH_BAN_NODES'!$E$5:$E$204,"Kiến thức")=1,IF(COUNTIFS($A$5:$A$404,A134,$D$5:$D$404,"Có")&lt;&gt;1,"Choice kiến thức cần đúng 1 đáp án đúng",""),IF(COUNTIFS('02_KICH_BAN_NODES'!$B$5:$B$204,A134,'02_KICH_BAN_NODES'!$E$5:$E$204,"Tương tác")=1,IF(COUNTIFS($A$5:$A$404,A134,$D$5:$D$404,"Có")&lt;&gt;0,"Choice tương tác không được đánh dấu đáp án đúng",""),"Choice chưa chọn loại")))))))</f>
        <v/>
      </c>
    </row>
    <row r="135" spans="1:11">
      <c r="A135" s="13"/>
      <c r="B135" s="13"/>
      <c r="C135" s="5"/>
      <c r="D135" s="13"/>
      <c r="E135" s="13"/>
      <c r="F135" s="13"/>
      <c r="G135" s="13"/>
      <c r="H135" s="5"/>
      <c r="I135" s="5"/>
      <c r="J135" s="6" t="str">
        <f t="shared" si="2"/>
        <v/>
      </c>
      <c r="K135" s="6" t="str">
        <f>IF(A135="","",IF(COUNTIFS('02_KICH_BAN_NODES'!$B$5:$B$204,A135,'02_KICH_BAN_NODES'!$D$5:$D$204,"choice")=0,"ChoiceNodeId không tồn tại hoặc không phải choice",IF(COUNTIFS($A$5:$A$404,A135,$B$5:$B$404,B135)&gt;1,"Trùng OptionOrder trong cùng choice",IF(OR(B135="",C135="",D135="",F135="",H135=""),"Thiếu trường bắt buộc",IF(OR(COUNTIF($A$5:$A$404,A135)&lt;2,COUNTIF($A$5:$A$404,A135)&gt;4),"Mỗi choice cần 2–4 option",IF(COUNTIFS('02_KICH_BAN_NODES'!$B$5:$B$204,A135,'02_KICH_BAN_NODES'!$E$5:$E$204,"Kiến thức")=1,IF(COUNTIFS($A$5:$A$404,A135,$D$5:$D$404,"Có")&lt;&gt;1,"Choice kiến thức cần đúng 1 đáp án đúng",""),IF(COUNTIFS('02_KICH_BAN_NODES'!$B$5:$B$204,A135,'02_KICH_BAN_NODES'!$E$5:$E$204,"Tương tác")=1,IF(COUNTIFS($A$5:$A$404,A135,$D$5:$D$404,"Có")&lt;&gt;0,"Choice tương tác không được đánh dấu đáp án đúng",""),"Choice chưa chọn loại")))))))</f>
        <v/>
      </c>
    </row>
    <row r="136" spans="1:11">
      <c r="A136" s="13"/>
      <c r="B136" s="13"/>
      <c r="C136" s="5"/>
      <c r="D136" s="13"/>
      <c r="E136" s="13"/>
      <c r="F136" s="13"/>
      <c r="G136" s="13"/>
      <c r="H136" s="5"/>
      <c r="I136" s="5"/>
      <c r="J136" s="6" t="str">
        <f t="shared" si="2"/>
        <v/>
      </c>
      <c r="K136" s="6" t="str">
        <f>IF(A136="","",IF(COUNTIFS('02_KICH_BAN_NODES'!$B$5:$B$204,A136,'02_KICH_BAN_NODES'!$D$5:$D$204,"choice")=0,"ChoiceNodeId không tồn tại hoặc không phải choice",IF(COUNTIFS($A$5:$A$404,A136,$B$5:$B$404,B136)&gt;1,"Trùng OptionOrder trong cùng choice",IF(OR(B136="",C136="",D136="",F136="",H136=""),"Thiếu trường bắt buộc",IF(OR(COUNTIF($A$5:$A$404,A136)&lt;2,COUNTIF($A$5:$A$404,A136)&gt;4),"Mỗi choice cần 2–4 option",IF(COUNTIFS('02_KICH_BAN_NODES'!$B$5:$B$204,A136,'02_KICH_BAN_NODES'!$E$5:$E$204,"Kiến thức")=1,IF(COUNTIFS($A$5:$A$404,A136,$D$5:$D$404,"Có")&lt;&gt;1,"Choice kiến thức cần đúng 1 đáp án đúng",""),IF(COUNTIFS('02_KICH_BAN_NODES'!$B$5:$B$204,A136,'02_KICH_BAN_NODES'!$E$5:$E$204,"Tương tác")=1,IF(COUNTIFS($A$5:$A$404,A136,$D$5:$D$404,"Có")&lt;&gt;0,"Choice tương tác không được đánh dấu đáp án đúng",""),"Choice chưa chọn loại")))))))</f>
        <v/>
      </c>
    </row>
    <row r="137" spans="1:11">
      <c r="A137" s="13"/>
      <c r="B137" s="13"/>
      <c r="C137" s="5"/>
      <c r="D137" s="13"/>
      <c r="E137" s="13"/>
      <c r="F137" s="13"/>
      <c r="G137" s="13"/>
      <c r="H137" s="5"/>
      <c r="I137" s="5"/>
      <c r="J137" s="6" t="str">
        <f t="shared" si="2"/>
        <v/>
      </c>
      <c r="K137" s="6" t="str">
        <f>IF(A137="","",IF(COUNTIFS('02_KICH_BAN_NODES'!$B$5:$B$204,A137,'02_KICH_BAN_NODES'!$D$5:$D$204,"choice")=0,"ChoiceNodeId không tồn tại hoặc không phải choice",IF(COUNTIFS($A$5:$A$404,A137,$B$5:$B$404,B137)&gt;1,"Trùng OptionOrder trong cùng choice",IF(OR(B137="",C137="",D137="",F137="",H137=""),"Thiếu trường bắt buộc",IF(OR(COUNTIF($A$5:$A$404,A137)&lt;2,COUNTIF($A$5:$A$404,A137)&gt;4),"Mỗi choice cần 2–4 option",IF(COUNTIFS('02_KICH_BAN_NODES'!$B$5:$B$204,A137,'02_KICH_BAN_NODES'!$E$5:$E$204,"Kiến thức")=1,IF(COUNTIFS($A$5:$A$404,A137,$D$5:$D$404,"Có")&lt;&gt;1,"Choice kiến thức cần đúng 1 đáp án đúng",""),IF(COUNTIFS('02_KICH_BAN_NODES'!$B$5:$B$204,A137,'02_KICH_BAN_NODES'!$E$5:$E$204,"Tương tác")=1,IF(COUNTIFS($A$5:$A$404,A137,$D$5:$D$404,"Có")&lt;&gt;0,"Choice tương tác không được đánh dấu đáp án đúng",""),"Choice chưa chọn loại")))))))</f>
        <v/>
      </c>
    </row>
    <row r="138" spans="1:11">
      <c r="A138" s="13"/>
      <c r="B138" s="13"/>
      <c r="C138" s="5"/>
      <c r="D138" s="13"/>
      <c r="E138" s="13"/>
      <c r="F138" s="13"/>
      <c r="G138" s="13"/>
      <c r="H138" s="5"/>
      <c r="I138" s="5"/>
      <c r="J138" s="6" t="str">
        <f t="shared" si="2"/>
        <v/>
      </c>
      <c r="K138" s="6" t="str">
        <f>IF(A138="","",IF(COUNTIFS('02_KICH_BAN_NODES'!$B$5:$B$204,A138,'02_KICH_BAN_NODES'!$D$5:$D$204,"choice")=0,"ChoiceNodeId không tồn tại hoặc không phải choice",IF(COUNTIFS($A$5:$A$404,A138,$B$5:$B$404,B138)&gt;1,"Trùng OptionOrder trong cùng choice",IF(OR(B138="",C138="",D138="",F138="",H138=""),"Thiếu trường bắt buộc",IF(OR(COUNTIF($A$5:$A$404,A138)&lt;2,COUNTIF($A$5:$A$404,A138)&gt;4),"Mỗi choice cần 2–4 option",IF(COUNTIFS('02_KICH_BAN_NODES'!$B$5:$B$204,A138,'02_KICH_BAN_NODES'!$E$5:$E$204,"Kiến thức")=1,IF(COUNTIFS($A$5:$A$404,A138,$D$5:$D$404,"Có")&lt;&gt;1,"Choice kiến thức cần đúng 1 đáp án đúng",""),IF(COUNTIFS('02_KICH_BAN_NODES'!$B$5:$B$204,A138,'02_KICH_BAN_NODES'!$E$5:$E$204,"Tương tác")=1,IF(COUNTIFS($A$5:$A$404,A138,$D$5:$D$404,"Có")&lt;&gt;0,"Choice tương tác không được đánh dấu đáp án đúng",""),"Choice chưa chọn loại")))))))</f>
        <v/>
      </c>
    </row>
    <row r="139" spans="1:11">
      <c r="A139" s="13"/>
      <c r="B139" s="13"/>
      <c r="C139" s="5"/>
      <c r="D139" s="13"/>
      <c r="E139" s="13"/>
      <c r="F139" s="13"/>
      <c r="G139" s="13"/>
      <c r="H139" s="5"/>
      <c r="I139" s="5"/>
      <c r="J139" s="6" t="str">
        <f t="shared" si="2"/>
        <v/>
      </c>
      <c r="K139" s="6" t="str">
        <f>IF(A139="","",IF(COUNTIFS('02_KICH_BAN_NODES'!$B$5:$B$204,A139,'02_KICH_BAN_NODES'!$D$5:$D$204,"choice")=0,"ChoiceNodeId không tồn tại hoặc không phải choice",IF(COUNTIFS($A$5:$A$404,A139,$B$5:$B$404,B139)&gt;1,"Trùng OptionOrder trong cùng choice",IF(OR(B139="",C139="",D139="",F139="",H139=""),"Thiếu trường bắt buộc",IF(OR(COUNTIF($A$5:$A$404,A139)&lt;2,COUNTIF($A$5:$A$404,A139)&gt;4),"Mỗi choice cần 2–4 option",IF(COUNTIFS('02_KICH_BAN_NODES'!$B$5:$B$204,A139,'02_KICH_BAN_NODES'!$E$5:$E$204,"Kiến thức")=1,IF(COUNTIFS($A$5:$A$404,A139,$D$5:$D$404,"Có")&lt;&gt;1,"Choice kiến thức cần đúng 1 đáp án đúng",""),IF(COUNTIFS('02_KICH_BAN_NODES'!$B$5:$B$204,A139,'02_KICH_BAN_NODES'!$E$5:$E$204,"Tương tác")=1,IF(COUNTIFS($A$5:$A$404,A139,$D$5:$D$404,"Có")&lt;&gt;0,"Choice tương tác không được đánh dấu đáp án đúng",""),"Choice chưa chọn loại")))))))</f>
        <v/>
      </c>
    </row>
    <row r="140" spans="1:11">
      <c r="A140" s="13"/>
      <c r="B140" s="13"/>
      <c r="C140" s="5"/>
      <c r="D140" s="13"/>
      <c r="E140" s="13"/>
      <c r="F140" s="13"/>
      <c r="G140" s="13"/>
      <c r="H140" s="5"/>
      <c r="I140" s="5"/>
      <c r="J140" s="6" t="str">
        <f t="shared" si="2"/>
        <v/>
      </c>
      <c r="K140" s="6" t="str">
        <f>IF(A140="","",IF(COUNTIFS('02_KICH_BAN_NODES'!$B$5:$B$204,A140,'02_KICH_BAN_NODES'!$D$5:$D$204,"choice")=0,"ChoiceNodeId không tồn tại hoặc không phải choice",IF(COUNTIFS($A$5:$A$404,A140,$B$5:$B$404,B140)&gt;1,"Trùng OptionOrder trong cùng choice",IF(OR(B140="",C140="",D140="",F140="",H140=""),"Thiếu trường bắt buộc",IF(OR(COUNTIF($A$5:$A$404,A140)&lt;2,COUNTIF($A$5:$A$404,A140)&gt;4),"Mỗi choice cần 2–4 option",IF(COUNTIFS('02_KICH_BAN_NODES'!$B$5:$B$204,A140,'02_KICH_BAN_NODES'!$E$5:$E$204,"Kiến thức")=1,IF(COUNTIFS($A$5:$A$404,A140,$D$5:$D$404,"Có")&lt;&gt;1,"Choice kiến thức cần đúng 1 đáp án đúng",""),IF(COUNTIFS('02_KICH_BAN_NODES'!$B$5:$B$204,A140,'02_KICH_BAN_NODES'!$E$5:$E$204,"Tương tác")=1,IF(COUNTIFS($A$5:$A$404,A140,$D$5:$D$404,"Có")&lt;&gt;0,"Choice tương tác không được đánh dấu đáp án đúng",""),"Choice chưa chọn loại")))))))</f>
        <v/>
      </c>
    </row>
    <row r="141" spans="1:11">
      <c r="A141" s="13"/>
      <c r="B141" s="13"/>
      <c r="C141" s="5"/>
      <c r="D141" s="13"/>
      <c r="E141" s="13"/>
      <c r="F141" s="13"/>
      <c r="G141" s="13"/>
      <c r="H141" s="5"/>
      <c r="I141" s="5"/>
      <c r="J141" s="6" t="str">
        <f t="shared" si="2"/>
        <v/>
      </c>
      <c r="K141" s="6" t="str">
        <f>IF(A141="","",IF(COUNTIFS('02_KICH_BAN_NODES'!$B$5:$B$204,A141,'02_KICH_BAN_NODES'!$D$5:$D$204,"choice")=0,"ChoiceNodeId không tồn tại hoặc không phải choice",IF(COUNTIFS($A$5:$A$404,A141,$B$5:$B$404,B141)&gt;1,"Trùng OptionOrder trong cùng choice",IF(OR(B141="",C141="",D141="",F141="",H141=""),"Thiếu trường bắt buộc",IF(OR(COUNTIF($A$5:$A$404,A141)&lt;2,COUNTIF($A$5:$A$404,A141)&gt;4),"Mỗi choice cần 2–4 option",IF(COUNTIFS('02_KICH_BAN_NODES'!$B$5:$B$204,A141,'02_KICH_BAN_NODES'!$E$5:$E$204,"Kiến thức")=1,IF(COUNTIFS($A$5:$A$404,A141,$D$5:$D$404,"Có")&lt;&gt;1,"Choice kiến thức cần đúng 1 đáp án đúng",""),IF(COUNTIFS('02_KICH_BAN_NODES'!$B$5:$B$204,A141,'02_KICH_BAN_NODES'!$E$5:$E$204,"Tương tác")=1,IF(COUNTIFS($A$5:$A$404,A141,$D$5:$D$404,"Có")&lt;&gt;0,"Choice tương tác không được đánh dấu đáp án đúng",""),"Choice chưa chọn loại")))))))</f>
        <v/>
      </c>
    </row>
    <row r="142" spans="1:11">
      <c r="A142" s="13"/>
      <c r="B142" s="13"/>
      <c r="C142" s="5"/>
      <c r="D142" s="13"/>
      <c r="E142" s="13"/>
      <c r="F142" s="13"/>
      <c r="G142" s="13"/>
      <c r="H142" s="5"/>
      <c r="I142" s="5"/>
      <c r="J142" s="6" t="str">
        <f t="shared" si="2"/>
        <v/>
      </c>
      <c r="K142" s="6" t="str">
        <f>IF(A142="","",IF(COUNTIFS('02_KICH_BAN_NODES'!$B$5:$B$204,A142,'02_KICH_BAN_NODES'!$D$5:$D$204,"choice")=0,"ChoiceNodeId không tồn tại hoặc không phải choice",IF(COUNTIFS($A$5:$A$404,A142,$B$5:$B$404,B142)&gt;1,"Trùng OptionOrder trong cùng choice",IF(OR(B142="",C142="",D142="",F142="",H142=""),"Thiếu trường bắt buộc",IF(OR(COUNTIF($A$5:$A$404,A142)&lt;2,COUNTIF($A$5:$A$404,A142)&gt;4),"Mỗi choice cần 2–4 option",IF(COUNTIFS('02_KICH_BAN_NODES'!$B$5:$B$204,A142,'02_KICH_BAN_NODES'!$E$5:$E$204,"Kiến thức")=1,IF(COUNTIFS($A$5:$A$404,A142,$D$5:$D$404,"Có")&lt;&gt;1,"Choice kiến thức cần đúng 1 đáp án đúng",""),IF(COUNTIFS('02_KICH_BAN_NODES'!$B$5:$B$204,A142,'02_KICH_BAN_NODES'!$E$5:$E$204,"Tương tác")=1,IF(COUNTIFS($A$5:$A$404,A142,$D$5:$D$404,"Có")&lt;&gt;0,"Choice tương tác không được đánh dấu đáp án đúng",""),"Choice chưa chọn loại")))))))</f>
        <v/>
      </c>
    </row>
    <row r="143" spans="1:11">
      <c r="A143" s="13"/>
      <c r="B143" s="13"/>
      <c r="C143" s="5"/>
      <c r="D143" s="13"/>
      <c r="E143" s="13"/>
      <c r="F143" s="13"/>
      <c r="G143" s="13"/>
      <c r="H143" s="5"/>
      <c r="I143" s="5"/>
      <c r="J143" s="6" t="str">
        <f t="shared" si="2"/>
        <v/>
      </c>
      <c r="K143" s="6" t="str">
        <f>IF(A143="","",IF(COUNTIFS('02_KICH_BAN_NODES'!$B$5:$B$204,A143,'02_KICH_BAN_NODES'!$D$5:$D$204,"choice")=0,"ChoiceNodeId không tồn tại hoặc không phải choice",IF(COUNTIFS($A$5:$A$404,A143,$B$5:$B$404,B143)&gt;1,"Trùng OptionOrder trong cùng choice",IF(OR(B143="",C143="",D143="",F143="",H143=""),"Thiếu trường bắt buộc",IF(OR(COUNTIF($A$5:$A$404,A143)&lt;2,COUNTIF($A$5:$A$404,A143)&gt;4),"Mỗi choice cần 2–4 option",IF(COUNTIFS('02_KICH_BAN_NODES'!$B$5:$B$204,A143,'02_KICH_BAN_NODES'!$E$5:$E$204,"Kiến thức")=1,IF(COUNTIFS($A$5:$A$404,A143,$D$5:$D$404,"Có")&lt;&gt;1,"Choice kiến thức cần đúng 1 đáp án đúng",""),IF(COUNTIFS('02_KICH_BAN_NODES'!$B$5:$B$204,A143,'02_KICH_BAN_NODES'!$E$5:$E$204,"Tương tác")=1,IF(COUNTIFS($A$5:$A$404,A143,$D$5:$D$404,"Có")&lt;&gt;0,"Choice tương tác không được đánh dấu đáp án đúng",""),"Choice chưa chọn loại")))))))</f>
        <v/>
      </c>
    </row>
    <row r="144" spans="1:11">
      <c r="A144" s="13"/>
      <c r="B144" s="13"/>
      <c r="C144" s="5"/>
      <c r="D144" s="13"/>
      <c r="E144" s="13"/>
      <c r="F144" s="13"/>
      <c r="G144" s="13"/>
      <c r="H144" s="5"/>
      <c r="I144" s="5"/>
      <c r="J144" s="6" t="str">
        <f t="shared" si="2"/>
        <v/>
      </c>
      <c r="K144" s="6" t="str">
        <f>IF(A144="","",IF(COUNTIFS('02_KICH_BAN_NODES'!$B$5:$B$204,A144,'02_KICH_BAN_NODES'!$D$5:$D$204,"choice")=0,"ChoiceNodeId không tồn tại hoặc không phải choice",IF(COUNTIFS($A$5:$A$404,A144,$B$5:$B$404,B144)&gt;1,"Trùng OptionOrder trong cùng choice",IF(OR(B144="",C144="",D144="",F144="",H144=""),"Thiếu trường bắt buộc",IF(OR(COUNTIF($A$5:$A$404,A144)&lt;2,COUNTIF($A$5:$A$404,A144)&gt;4),"Mỗi choice cần 2–4 option",IF(COUNTIFS('02_KICH_BAN_NODES'!$B$5:$B$204,A144,'02_KICH_BAN_NODES'!$E$5:$E$204,"Kiến thức")=1,IF(COUNTIFS($A$5:$A$404,A144,$D$5:$D$404,"Có")&lt;&gt;1,"Choice kiến thức cần đúng 1 đáp án đúng",""),IF(COUNTIFS('02_KICH_BAN_NODES'!$B$5:$B$204,A144,'02_KICH_BAN_NODES'!$E$5:$E$204,"Tương tác")=1,IF(COUNTIFS($A$5:$A$404,A144,$D$5:$D$404,"Có")&lt;&gt;0,"Choice tương tác không được đánh dấu đáp án đúng",""),"Choice chưa chọn loại")))))))</f>
        <v/>
      </c>
    </row>
    <row r="145" spans="1:11">
      <c r="A145" s="13"/>
      <c r="B145" s="13"/>
      <c r="C145" s="5"/>
      <c r="D145" s="13"/>
      <c r="E145" s="13"/>
      <c r="F145" s="13"/>
      <c r="G145" s="13"/>
      <c r="H145" s="5"/>
      <c r="I145" s="5"/>
      <c r="J145" s="6" t="str">
        <f t="shared" si="2"/>
        <v/>
      </c>
      <c r="K145" s="6" t="str">
        <f>IF(A145="","",IF(COUNTIFS('02_KICH_BAN_NODES'!$B$5:$B$204,A145,'02_KICH_BAN_NODES'!$D$5:$D$204,"choice")=0,"ChoiceNodeId không tồn tại hoặc không phải choice",IF(COUNTIFS($A$5:$A$404,A145,$B$5:$B$404,B145)&gt;1,"Trùng OptionOrder trong cùng choice",IF(OR(B145="",C145="",D145="",F145="",H145=""),"Thiếu trường bắt buộc",IF(OR(COUNTIF($A$5:$A$404,A145)&lt;2,COUNTIF($A$5:$A$404,A145)&gt;4),"Mỗi choice cần 2–4 option",IF(COUNTIFS('02_KICH_BAN_NODES'!$B$5:$B$204,A145,'02_KICH_BAN_NODES'!$E$5:$E$204,"Kiến thức")=1,IF(COUNTIFS($A$5:$A$404,A145,$D$5:$D$404,"Có")&lt;&gt;1,"Choice kiến thức cần đúng 1 đáp án đúng",""),IF(COUNTIFS('02_KICH_BAN_NODES'!$B$5:$B$204,A145,'02_KICH_BAN_NODES'!$E$5:$E$204,"Tương tác")=1,IF(COUNTIFS($A$5:$A$404,A145,$D$5:$D$404,"Có")&lt;&gt;0,"Choice tương tác không được đánh dấu đáp án đúng",""),"Choice chưa chọn loại")))))))</f>
        <v/>
      </c>
    </row>
    <row r="146" spans="1:11">
      <c r="A146" s="13"/>
      <c r="B146" s="13"/>
      <c r="C146" s="5"/>
      <c r="D146" s="13"/>
      <c r="E146" s="13"/>
      <c r="F146" s="13"/>
      <c r="G146" s="13"/>
      <c r="H146" s="5"/>
      <c r="I146" s="5"/>
      <c r="J146" s="6" t="str">
        <f t="shared" si="2"/>
        <v/>
      </c>
      <c r="K146" s="6" t="str">
        <f>IF(A146="","",IF(COUNTIFS('02_KICH_BAN_NODES'!$B$5:$B$204,A146,'02_KICH_BAN_NODES'!$D$5:$D$204,"choice")=0,"ChoiceNodeId không tồn tại hoặc không phải choice",IF(COUNTIFS($A$5:$A$404,A146,$B$5:$B$404,B146)&gt;1,"Trùng OptionOrder trong cùng choice",IF(OR(B146="",C146="",D146="",F146="",H146=""),"Thiếu trường bắt buộc",IF(OR(COUNTIF($A$5:$A$404,A146)&lt;2,COUNTIF($A$5:$A$404,A146)&gt;4),"Mỗi choice cần 2–4 option",IF(COUNTIFS('02_KICH_BAN_NODES'!$B$5:$B$204,A146,'02_KICH_BAN_NODES'!$E$5:$E$204,"Kiến thức")=1,IF(COUNTIFS($A$5:$A$404,A146,$D$5:$D$404,"Có")&lt;&gt;1,"Choice kiến thức cần đúng 1 đáp án đúng",""),IF(COUNTIFS('02_KICH_BAN_NODES'!$B$5:$B$204,A146,'02_KICH_BAN_NODES'!$E$5:$E$204,"Tương tác")=1,IF(COUNTIFS($A$5:$A$404,A146,$D$5:$D$404,"Có")&lt;&gt;0,"Choice tương tác không được đánh dấu đáp án đúng",""),"Choice chưa chọn loại")))))))</f>
        <v/>
      </c>
    </row>
    <row r="147" spans="1:11">
      <c r="A147" s="13"/>
      <c r="B147" s="13"/>
      <c r="C147" s="5"/>
      <c r="D147" s="13"/>
      <c r="E147" s="13"/>
      <c r="F147" s="13"/>
      <c r="G147" s="13"/>
      <c r="H147" s="5"/>
      <c r="I147" s="5"/>
      <c r="J147" s="6" t="str">
        <f t="shared" si="2"/>
        <v/>
      </c>
      <c r="K147" s="6" t="str">
        <f>IF(A147="","",IF(COUNTIFS('02_KICH_BAN_NODES'!$B$5:$B$204,A147,'02_KICH_BAN_NODES'!$D$5:$D$204,"choice")=0,"ChoiceNodeId không tồn tại hoặc không phải choice",IF(COUNTIFS($A$5:$A$404,A147,$B$5:$B$404,B147)&gt;1,"Trùng OptionOrder trong cùng choice",IF(OR(B147="",C147="",D147="",F147="",H147=""),"Thiếu trường bắt buộc",IF(OR(COUNTIF($A$5:$A$404,A147)&lt;2,COUNTIF($A$5:$A$404,A147)&gt;4),"Mỗi choice cần 2–4 option",IF(COUNTIFS('02_KICH_BAN_NODES'!$B$5:$B$204,A147,'02_KICH_BAN_NODES'!$E$5:$E$204,"Kiến thức")=1,IF(COUNTIFS($A$5:$A$404,A147,$D$5:$D$404,"Có")&lt;&gt;1,"Choice kiến thức cần đúng 1 đáp án đúng",""),IF(COUNTIFS('02_KICH_BAN_NODES'!$B$5:$B$204,A147,'02_KICH_BAN_NODES'!$E$5:$E$204,"Tương tác")=1,IF(COUNTIFS($A$5:$A$404,A147,$D$5:$D$404,"Có")&lt;&gt;0,"Choice tương tác không được đánh dấu đáp án đúng",""),"Choice chưa chọn loại")))))))</f>
        <v/>
      </c>
    </row>
    <row r="148" spans="1:11">
      <c r="A148" s="13"/>
      <c r="B148" s="13"/>
      <c r="C148" s="5"/>
      <c r="D148" s="13"/>
      <c r="E148" s="13"/>
      <c r="F148" s="13"/>
      <c r="G148" s="13"/>
      <c r="H148" s="5"/>
      <c r="I148" s="5"/>
      <c r="J148" s="6" t="str">
        <f t="shared" si="2"/>
        <v/>
      </c>
      <c r="K148" s="6" t="str">
        <f>IF(A148="","",IF(COUNTIFS('02_KICH_BAN_NODES'!$B$5:$B$204,A148,'02_KICH_BAN_NODES'!$D$5:$D$204,"choice")=0,"ChoiceNodeId không tồn tại hoặc không phải choice",IF(COUNTIFS($A$5:$A$404,A148,$B$5:$B$404,B148)&gt;1,"Trùng OptionOrder trong cùng choice",IF(OR(B148="",C148="",D148="",F148="",H148=""),"Thiếu trường bắt buộc",IF(OR(COUNTIF($A$5:$A$404,A148)&lt;2,COUNTIF($A$5:$A$404,A148)&gt;4),"Mỗi choice cần 2–4 option",IF(COUNTIFS('02_KICH_BAN_NODES'!$B$5:$B$204,A148,'02_KICH_BAN_NODES'!$E$5:$E$204,"Kiến thức")=1,IF(COUNTIFS($A$5:$A$404,A148,$D$5:$D$404,"Có")&lt;&gt;1,"Choice kiến thức cần đúng 1 đáp án đúng",""),IF(COUNTIFS('02_KICH_BAN_NODES'!$B$5:$B$204,A148,'02_KICH_BAN_NODES'!$E$5:$E$204,"Tương tác")=1,IF(COUNTIFS($A$5:$A$404,A148,$D$5:$D$404,"Có")&lt;&gt;0,"Choice tương tác không được đánh dấu đáp án đúng",""),"Choice chưa chọn loại")))))))</f>
        <v/>
      </c>
    </row>
    <row r="149" spans="1:11">
      <c r="A149" s="13"/>
      <c r="B149" s="13"/>
      <c r="C149" s="5"/>
      <c r="D149" s="13"/>
      <c r="E149" s="13"/>
      <c r="F149" s="13"/>
      <c r="G149" s="13"/>
      <c r="H149" s="5"/>
      <c r="I149" s="5"/>
      <c r="J149" s="6" t="str">
        <f t="shared" si="2"/>
        <v/>
      </c>
      <c r="K149" s="6" t="str">
        <f>IF(A149="","",IF(COUNTIFS('02_KICH_BAN_NODES'!$B$5:$B$204,A149,'02_KICH_BAN_NODES'!$D$5:$D$204,"choice")=0,"ChoiceNodeId không tồn tại hoặc không phải choice",IF(COUNTIFS($A$5:$A$404,A149,$B$5:$B$404,B149)&gt;1,"Trùng OptionOrder trong cùng choice",IF(OR(B149="",C149="",D149="",F149="",H149=""),"Thiếu trường bắt buộc",IF(OR(COUNTIF($A$5:$A$404,A149)&lt;2,COUNTIF($A$5:$A$404,A149)&gt;4),"Mỗi choice cần 2–4 option",IF(COUNTIFS('02_KICH_BAN_NODES'!$B$5:$B$204,A149,'02_KICH_BAN_NODES'!$E$5:$E$204,"Kiến thức")=1,IF(COUNTIFS($A$5:$A$404,A149,$D$5:$D$404,"Có")&lt;&gt;1,"Choice kiến thức cần đúng 1 đáp án đúng",""),IF(COUNTIFS('02_KICH_BAN_NODES'!$B$5:$B$204,A149,'02_KICH_BAN_NODES'!$E$5:$E$204,"Tương tác")=1,IF(COUNTIFS($A$5:$A$404,A149,$D$5:$D$404,"Có")&lt;&gt;0,"Choice tương tác không được đánh dấu đáp án đúng",""),"Choice chưa chọn loại")))))))</f>
        <v/>
      </c>
    </row>
    <row r="150" spans="1:11">
      <c r="A150" s="13"/>
      <c r="B150" s="13"/>
      <c r="C150" s="5"/>
      <c r="D150" s="13"/>
      <c r="E150" s="13"/>
      <c r="F150" s="13"/>
      <c r="G150" s="13"/>
      <c r="H150" s="5"/>
      <c r="I150" s="5"/>
      <c r="J150" s="6" t="str">
        <f t="shared" si="2"/>
        <v/>
      </c>
      <c r="K150" s="6" t="str">
        <f>IF(A150="","",IF(COUNTIFS('02_KICH_BAN_NODES'!$B$5:$B$204,A150,'02_KICH_BAN_NODES'!$D$5:$D$204,"choice")=0,"ChoiceNodeId không tồn tại hoặc không phải choice",IF(COUNTIFS($A$5:$A$404,A150,$B$5:$B$404,B150)&gt;1,"Trùng OptionOrder trong cùng choice",IF(OR(B150="",C150="",D150="",F150="",H150=""),"Thiếu trường bắt buộc",IF(OR(COUNTIF($A$5:$A$404,A150)&lt;2,COUNTIF($A$5:$A$404,A150)&gt;4),"Mỗi choice cần 2–4 option",IF(COUNTIFS('02_KICH_BAN_NODES'!$B$5:$B$204,A150,'02_KICH_BAN_NODES'!$E$5:$E$204,"Kiến thức")=1,IF(COUNTIFS($A$5:$A$404,A150,$D$5:$D$404,"Có")&lt;&gt;1,"Choice kiến thức cần đúng 1 đáp án đúng",""),IF(COUNTIFS('02_KICH_BAN_NODES'!$B$5:$B$204,A150,'02_KICH_BAN_NODES'!$E$5:$E$204,"Tương tác")=1,IF(COUNTIFS($A$5:$A$404,A150,$D$5:$D$404,"Có")&lt;&gt;0,"Choice tương tác không được đánh dấu đáp án đúng",""),"Choice chưa chọn loại")))))))</f>
        <v/>
      </c>
    </row>
    <row r="151" spans="1:11">
      <c r="A151" s="13"/>
      <c r="B151" s="13"/>
      <c r="C151" s="5"/>
      <c r="D151" s="13"/>
      <c r="E151" s="13"/>
      <c r="F151" s="13"/>
      <c r="G151" s="13"/>
      <c r="H151" s="5"/>
      <c r="I151" s="5"/>
      <c r="J151" s="6" t="str">
        <f t="shared" si="2"/>
        <v/>
      </c>
      <c r="K151" s="6" t="str">
        <f>IF(A151="","",IF(COUNTIFS('02_KICH_BAN_NODES'!$B$5:$B$204,A151,'02_KICH_BAN_NODES'!$D$5:$D$204,"choice")=0,"ChoiceNodeId không tồn tại hoặc không phải choice",IF(COUNTIFS($A$5:$A$404,A151,$B$5:$B$404,B151)&gt;1,"Trùng OptionOrder trong cùng choice",IF(OR(B151="",C151="",D151="",F151="",H151=""),"Thiếu trường bắt buộc",IF(OR(COUNTIF($A$5:$A$404,A151)&lt;2,COUNTIF($A$5:$A$404,A151)&gt;4),"Mỗi choice cần 2–4 option",IF(COUNTIFS('02_KICH_BAN_NODES'!$B$5:$B$204,A151,'02_KICH_BAN_NODES'!$E$5:$E$204,"Kiến thức")=1,IF(COUNTIFS($A$5:$A$404,A151,$D$5:$D$404,"Có")&lt;&gt;1,"Choice kiến thức cần đúng 1 đáp án đúng",""),IF(COUNTIFS('02_KICH_BAN_NODES'!$B$5:$B$204,A151,'02_KICH_BAN_NODES'!$E$5:$E$204,"Tương tác")=1,IF(COUNTIFS($A$5:$A$404,A151,$D$5:$D$404,"Có")&lt;&gt;0,"Choice tương tác không được đánh dấu đáp án đúng",""),"Choice chưa chọn loại")))))))</f>
        <v/>
      </c>
    </row>
    <row r="152" spans="1:11">
      <c r="A152" s="13"/>
      <c r="B152" s="13"/>
      <c r="C152" s="5"/>
      <c r="D152" s="13"/>
      <c r="E152" s="13"/>
      <c r="F152" s="13"/>
      <c r="G152" s="13"/>
      <c r="H152" s="5"/>
      <c r="I152" s="5"/>
      <c r="J152" s="6" t="str">
        <f t="shared" si="2"/>
        <v/>
      </c>
      <c r="K152" s="6" t="str">
        <f>IF(A152="","",IF(COUNTIFS('02_KICH_BAN_NODES'!$B$5:$B$204,A152,'02_KICH_BAN_NODES'!$D$5:$D$204,"choice")=0,"ChoiceNodeId không tồn tại hoặc không phải choice",IF(COUNTIFS($A$5:$A$404,A152,$B$5:$B$404,B152)&gt;1,"Trùng OptionOrder trong cùng choice",IF(OR(B152="",C152="",D152="",F152="",H152=""),"Thiếu trường bắt buộc",IF(OR(COUNTIF($A$5:$A$404,A152)&lt;2,COUNTIF($A$5:$A$404,A152)&gt;4),"Mỗi choice cần 2–4 option",IF(COUNTIFS('02_KICH_BAN_NODES'!$B$5:$B$204,A152,'02_KICH_BAN_NODES'!$E$5:$E$204,"Kiến thức")=1,IF(COUNTIFS($A$5:$A$404,A152,$D$5:$D$404,"Có")&lt;&gt;1,"Choice kiến thức cần đúng 1 đáp án đúng",""),IF(COUNTIFS('02_KICH_BAN_NODES'!$B$5:$B$204,A152,'02_KICH_BAN_NODES'!$E$5:$E$204,"Tương tác")=1,IF(COUNTIFS($A$5:$A$404,A152,$D$5:$D$404,"Có")&lt;&gt;0,"Choice tương tác không được đánh dấu đáp án đúng",""),"Choice chưa chọn loại")))))))</f>
        <v/>
      </c>
    </row>
    <row r="153" spans="1:11">
      <c r="A153" s="13"/>
      <c r="B153" s="13"/>
      <c r="C153" s="5"/>
      <c r="D153" s="13"/>
      <c r="E153" s="13"/>
      <c r="F153" s="13"/>
      <c r="G153" s="13"/>
      <c r="H153" s="5"/>
      <c r="I153" s="5"/>
      <c r="J153" s="6" t="str">
        <f t="shared" si="2"/>
        <v/>
      </c>
      <c r="K153" s="6" t="str">
        <f>IF(A153="","",IF(COUNTIFS('02_KICH_BAN_NODES'!$B$5:$B$204,A153,'02_KICH_BAN_NODES'!$D$5:$D$204,"choice")=0,"ChoiceNodeId không tồn tại hoặc không phải choice",IF(COUNTIFS($A$5:$A$404,A153,$B$5:$B$404,B153)&gt;1,"Trùng OptionOrder trong cùng choice",IF(OR(B153="",C153="",D153="",F153="",H153=""),"Thiếu trường bắt buộc",IF(OR(COUNTIF($A$5:$A$404,A153)&lt;2,COUNTIF($A$5:$A$404,A153)&gt;4),"Mỗi choice cần 2–4 option",IF(COUNTIFS('02_KICH_BAN_NODES'!$B$5:$B$204,A153,'02_KICH_BAN_NODES'!$E$5:$E$204,"Kiến thức")=1,IF(COUNTIFS($A$5:$A$404,A153,$D$5:$D$404,"Có")&lt;&gt;1,"Choice kiến thức cần đúng 1 đáp án đúng",""),IF(COUNTIFS('02_KICH_BAN_NODES'!$B$5:$B$204,A153,'02_KICH_BAN_NODES'!$E$5:$E$204,"Tương tác")=1,IF(COUNTIFS($A$5:$A$404,A153,$D$5:$D$404,"Có")&lt;&gt;0,"Choice tương tác không được đánh dấu đáp án đúng",""),"Choice chưa chọn loại")))))))</f>
        <v/>
      </c>
    </row>
    <row r="154" spans="1:11">
      <c r="A154" s="13"/>
      <c r="B154" s="13"/>
      <c r="C154" s="5"/>
      <c r="D154" s="13"/>
      <c r="E154" s="13"/>
      <c r="F154" s="13"/>
      <c r="G154" s="13"/>
      <c r="H154" s="5"/>
      <c r="I154" s="5"/>
      <c r="J154" s="6" t="str">
        <f t="shared" si="2"/>
        <v/>
      </c>
      <c r="K154" s="6" t="str">
        <f>IF(A154="","",IF(COUNTIFS('02_KICH_BAN_NODES'!$B$5:$B$204,A154,'02_KICH_BAN_NODES'!$D$5:$D$204,"choice")=0,"ChoiceNodeId không tồn tại hoặc không phải choice",IF(COUNTIFS($A$5:$A$404,A154,$B$5:$B$404,B154)&gt;1,"Trùng OptionOrder trong cùng choice",IF(OR(B154="",C154="",D154="",F154="",H154=""),"Thiếu trường bắt buộc",IF(OR(COUNTIF($A$5:$A$404,A154)&lt;2,COUNTIF($A$5:$A$404,A154)&gt;4),"Mỗi choice cần 2–4 option",IF(COUNTIFS('02_KICH_BAN_NODES'!$B$5:$B$204,A154,'02_KICH_BAN_NODES'!$E$5:$E$204,"Kiến thức")=1,IF(COUNTIFS($A$5:$A$404,A154,$D$5:$D$404,"Có")&lt;&gt;1,"Choice kiến thức cần đúng 1 đáp án đúng",""),IF(COUNTIFS('02_KICH_BAN_NODES'!$B$5:$B$204,A154,'02_KICH_BAN_NODES'!$E$5:$E$204,"Tương tác")=1,IF(COUNTIFS($A$5:$A$404,A154,$D$5:$D$404,"Có")&lt;&gt;0,"Choice tương tác không được đánh dấu đáp án đúng",""),"Choice chưa chọn loại")))))))</f>
        <v/>
      </c>
    </row>
    <row r="155" spans="1:11">
      <c r="A155" s="13"/>
      <c r="B155" s="13"/>
      <c r="C155" s="5"/>
      <c r="D155" s="13"/>
      <c r="E155" s="13"/>
      <c r="F155" s="13"/>
      <c r="G155" s="13"/>
      <c r="H155" s="5"/>
      <c r="I155" s="5"/>
      <c r="J155" s="6" t="str">
        <f t="shared" si="2"/>
        <v/>
      </c>
      <c r="K155" s="6" t="str">
        <f>IF(A155="","",IF(COUNTIFS('02_KICH_BAN_NODES'!$B$5:$B$204,A155,'02_KICH_BAN_NODES'!$D$5:$D$204,"choice")=0,"ChoiceNodeId không tồn tại hoặc không phải choice",IF(COUNTIFS($A$5:$A$404,A155,$B$5:$B$404,B155)&gt;1,"Trùng OptionOrder trong cùng choice",IF(OR(B155="",C155="",D155="",F155="",H155=""),"Thiếu trường bắt buộc",IF(OR(COUNTIF($A$5:$A$404,A155)&lt;2,COUNTIF($A$5:$A$404,A155)&gt;4),"Mỗi choice cần 2–4 option",IF(COUNTIFS('02_KICH_BAN_NODES'!$B$5:$B$204,A155,'02_KICH_BAN_NODES'!$E$5:$E$204,"Kiến thức")=1,IF(COUNTIFS($A$5:$A$404,A155,$D$5:$D$404,"Có")&lt;&gt;1,"Choice kiến thức cần đúng 1 đáp án đúng",""),IF(COUNTIFS('02_KICH_BAN_NODES'!$B$5:$B$204,A155,'02_KICH_BAN_NODES'!$E$5:$E$204,"Tương tác")=1,IF(COUNTIFS($A$5:$A$404,A155,$D$5:$D$404,"Có")&lt;&gt;0,"Choice tương tác không được đánh dấu đáp án đúng",""),"Choice chưa chọn loại")))))))</f>
        <v/>
      </c>
    </row>
    <row r="156" spans="1:11">
      <c r="A156" s="13"/>
      <c r="B156" s="13"/>
      <c r="C156" s="5"/>
      <c r="D156" s="13"/>
      <c r="E156" s="13"/>
      <c r="F156" s="13"/>
      <c r="G156" s="13"/>
      <c r="H156" s="5"/>
      <c r="I156" s="5"/>
      <c r="J156" s="6" t="str">
        <f t="shared" si="2"/>
        <v/>
      </c>
      <c r="K156" s="6" t="str">
        <f>IF(A156="","",IF(COUNTIFS('02_KICH_BAN_NODES'!$B$5:$B$204,A156,'02_KICH_BAN_NODES'!$D$5:$D$204,"choice")=0,"ChoiceNodeId không tồn tại hoặc không phải choice",IF(COUNTIFS($A$5:$A$404,A156,$B$5:$B$404,B156)&gt;1,"Trùng OptionOrder trong cùng choice",IF(OR(B156="",C156="",D156="",F156="",H156=""),"Thiếu trường bắt buộc",IF(OR(COUNTIF($A$5:$A$404,A156)&lt;2,COUNTIF($A$5:$A$404,A156)&gt;4),"Mỗi choice cần 2–4 option",IF(COUNTIFS('02_KICH_BAN_NODES'!$B$5:$B$204,A156,'02_KICH_BAN_NODES'!$E$5:$E$204,"Kiến thức")=1,IF(COUNTIFS($A$5:$A$404,A156,$D$5:$D$404,"Có")&lt;&gt;1,"Choice kiến thức cần đúng 1 đáp án đúng",""),IF(COUNTIFS('02_KICH_BAN_NODES'!$B$5:$B$204,A156,'02_KICH_BAN_NODES'!$E$5:$E$204,"Tương tác")=1,IF(COUNTIFS($A$5:$A$404,A156,$D$5:$D$404,"Có")&lt;&gt;0,"Choice tương tác không được đánh dấu đáp án đúng",""),"Choice chưa chọn loại")))))))</f>
        <v/>
      </c>
    </row>
    <row r="157" spans="1:11">
      <c r="A157" s="13"/>
      <c r="B157" s="13"/>
      <c r="C157" s="5"/>
      <c r="D157" s="13"/>
      <c r="E157" s="13"/>
      <c r="F157" s="13"/>
      <c r="G157" s="13"/>
      <c r="H157" s="5"/>
      <c r="I157" s="5"/>
      <c r="J157" s="6" t="str">
        <f t="shared" si="2"/>
        <v/>
      </c>
      <c r="K157" s="6" t="str">
        <f>IF(A157="","",IF(COUNTIFS('02_KICH_BAN_NODES'!$B$5:$B$204,A157,'02_KICH_BAN_NODES'!$D$5:$D$204,"choice")=0,"ChoiceNodeId không tồn tại hoặc không phải choice",IF(COUNTIFS($A$5:$A$404,A157,$B$5:$B$404,B157)&gt;1,"Trùng OptionOrder trong cùng choice",IF(OR(B157="",C157="",D157="",F157="",H157=""),"Thiếu trường bắt buộc",IF(OR(COUNTIF($A$5:$A$404,A157)&lt;2,COUNTIF($A$5:$A$404,A157)&gt;4),"Mỗi choice cần 2–4 option",IF(COUNTIFS('02_KICH_BAN_NODES'!$B$5:$B$204,A157,'02_KICH_BAN_NODES'!$E$5:$E$204,"Kiến thức")=1,IF(COUNTIFS($A$5:$A$404,A157,$D$5:$D$404,"Có")&lt;&gt;1,"Choice kiến thức cần đúng 1 đáp án đúng",""),IF(COUNTIFS('02_KICH_BAN_NODES'!$B$5:$B$204,A157,'02_KICH_BAN_NODES'!$E$5:$E$204,"Tương tác")=1,IF(COUNTIFS($A$5:$A$404,A157,$D$5:$D$404,"Có")&lt;&gt;0,"Choice tương tác không được đánh dấu đáp án đúng",""),"Choice chưa chọn loại")))))))</f>
        <v/>
      </c>
    </row>
    <row r="158" spans="1:11">
      <c r="A158" s="13"/>
      <c r="B158" s="13"/>
      <c r="C158" s="5"/>
      <c r="D158" s="13"/>
      <c r="E158" s="13"/>
      <c r="F158" s="13"/>
      <c r="G158" s="13"/>
      <c r="H158" s="5"/>
      <c r="I158" s="5"/>
      <c r="J158" s="6" t="str">
        <f t="shared" si="2"/>
        <v/>
      </c>
      <c r="K158" s="6" t="str">
        <f>IF(A158="","",IF(COUNTIFS('02_KICH_BAN_NODES'!$B$5:$B$204,A158,'02_KICH_BAN_NODES'!$D$5:$D$204,"choice")=0,"ChoiceNodeId không tồn tại hoặc không phải choice",IF(COUNTIFS($A$5:$A$404,A158,$B$5:$B$404,B158)&gt;1,"Trùng OptionOrder trong cùng choice",IF(OR(B158="",C158="",D158="",F158="",H158=""),"Thiếu trường bắt buộc",IF(OR(COUNTIF($A$5:$A$404,A158)&lt;2,COUNTIF($A$5:$A$404,A158)&gt;4),"Mỗi choice cần 2–4 option",IF(COUNTIFS('02_KICH_BAN_NODES'!$B$5:$B$204,A158,'02_KICH_BAN_NODES'!$E$5:$E$204,"Kiến thức")=1,IF(COUNTIFS($A$5:$A$404,A158,$D$5:$D$404,"Có")&lt;&gt;1,"Choice kiến thức cần đúng 1 đáp án đúng",""),IF(COUNTIFS('02_KICH_BAN_NODES'!$B$5:$B$204,A158,'02_KICH_BAN_NODES'!$E$5:$E$204,"Tương tác")=1,IF(COUNTIFS($A$5:$A$404,A158,$D$5:$D$404,"Có")&lt;&gt;0,"Choice tương tác không được đánh dấu đáp án đúng",""),"Choice chưa chọn loại")))))))</f>
        <v/>
      </c>
    </row>
    <row r="159" spans="1:11">
      <c r="A159" s="13"/>
      <c r="B159" s="13"/>
      <c r="C159" s="5"/>
      <c r="D159" s="13"/>
      <c r="E159" s="13"/>
      <c r="F159" s="13"/>
      <c r="G159" s="13"/>
      <c r="H159" s="5"/>
      <c r="I159" s="5"/>
      <c r="J159" s="6" t="str">
        <f t="shared" si="2"/>
        <v/>
      </c>
      <c r="K159" s="6" t="str">
        <f>IF(A159="","",IF(COUNTIFS('02_KICH_BAN_NODES'!$B$5:$B$204,A159,'02_KICH_BAN_NODES'!$D$5:$D$204,"choice")=0,"ChoiceNodeId không tồn tại hoặc không phải choice",IF(COUNTIFS($A$5:$A$404,A159,$B$5:$B$404,B159)&gt;1,"Trùng OptionOrder trong cùng choice",IF(OR(B159="",C159="",D159="",F159="",H159=""),"Thiếu trường bắt buộc",IF(OR(COUNTIF($A$5:$A$404,A159)&lt;2,COUNTIF($A$5:$A$404,A159)&gt;4),"Mỗi choice cần 2–4 option",IF(COUNTIFS('02_KICH_BAN_NODES'!$B$5:$B$204,A159,'02_KICH_BAN_NODES'!$E$5:$E$204,"Kiến thức")=1,IF(COUNTIFS($A$5:$A$404,A159,$D$5:$D$404,"Có")&lt;&gt;1,"Choice kiến thức cần đúng 1 đáp án đúng",""),IF(COUNTIFS('02_KICH_BAN_NODES'!$B$5:$B$204,A159,'02_KICH_BAN_NODES'!$E$5:$E$204,"Tương tác")=1,IF(COUNTIFS($A$5:$A$404,A159,$D$5:$D$404,"Có")&lt;&gt;0,"Choice tương tác không được đánh dấu đáp án đúng",""),"Choice chưa chọn loại")))))))</f>
        <v/>
      </c>
    </row>
    <row r="160" spans="1:11">
      <c r="A160" s="13"/>
      <c r="B160" s="13"/>
      <c r="C160" s="5"/>
      <c r="D160" s="13"/>
      <c r="E160" s="13"/>
      <c r="F160" s="13"/>
      <c r="G160" s="13"/>
      <c r="H160" s="5"/>
      <c r="I160" s="5"/>
      <c r="J160" s="6" t="str">
        <f t="shared" si="2"/>
        <v/>
      </c>
      <c r="K160" s="6" t="str">
        <f>IF(A160="","",IF(COUNTIFS('02_KICH_BAN_NODES'!$B$5:$B$204,A160,'02_KICH_BAN_NODES'!$D$5:$D$204,"choice")=0,"ChoiceNodeId không tồn tại hoặc không phải choice",IF(COUNTIFS($A$5:$A$404,A160,$B$5:$B$404,B160)&gt;1,"Trùng OptionOrder trong cùng choice",IF(OR(B160="",C160="",D160="",F160="",H160=""),"Thiếu trường bắt buộc",IF(OR(COUNTIF($A$5:$A$404,A160)&lt;2,COUNTIF($A$5:$A$404,A160)&gt;4),"Mỗi choice cần 2–4 option",IF(COUNTIFS('02_KICH_BAN_NODES'!$B$5:$B$204,A160,'02_KICH_BAN_NODES'!$E$5:$E$204,"Kiến thức")=1,IF(COUNTIFS($A$5:$A$404,A160,$D$5:$D$404,"Có")&lt;&gt;1,"Choice kiến thức cần đúng 1 đáp án đúng",""),IF(COUNTIFS('02_KICH_BAN_NODES'!$B$5:$B$204,A160,'02_KICH_BAN_NODES'!$E$5:$E$204,"Tương tác")=1,IF(COUNTIFS($A$5:$A$404,A160,$D$5:$D$404,"Có")&lt;&gt;0,"Choice tương tác không được đánh dấu đáp án đúng",""),"Choice chưa chọn loại")))))))</f>
        <v/>
      </c>
    </row>
    <row r="161" spans="1:11">
      <c r="A161" s="13"/>
      <c r="B161" s="13"/>
      <c r="C161" s="5"/>
      <c r="D161" s="13"/>
      <c r="E161" s="13"/>
      <c r="F161" s="13"/>
      <c r="G161" s="13"/>
      <c r="H161" s="5"/>
      <c r="I161" s="5"/>
      <c r="J161" s="6" t="str">
        <f t="shared" si="2"/>
        <v/>
      </c>
      <c r="K161" s="6" t="str">
        <f>IF(A161="","",IF(COUNTIFS('02_KICH_BAN_NODES'!$B$5:$B$204,A161,'02_KICH_BAN_NODES'!$D$5:$D$204,"choice")=0,"ChoiceNodeId không tồn tại hoặc không phải choice",IF(COUNTIFS($A$5:$A$404,A161,$B$5:$B$404,B161)&gt;1,"Trùng OptionOrder trong cùng choice",IF(OR(B161="",C161="",D161="",F161="",H161=""),"Thiếu trường bắt buộc",IF(OR(COUNTIF($A$5:$A$404,A161)&lt;2,COUNTIF($A$5:$A$404,A161)&gt;4),"Mỗi choice cần 2–4 option",IF(COUNTIFS('02_KICH_BAN_NODES'!$B$5:$B$204,A161,'02_KICH_BAN_NODES'!$E$5:$E$204,"Kiến thức")=1,IF(COUNTIFS($A$5:$A$404,A161,$D$5:$D$404,"Có")&lt;&gt;1,"Choice kiến thức cần đúng 1 đáp án đúng",""),IF(COUNTIFS('02_KICH_BAN_NODES'!$B$5:$B$204,A161,'02_KICH_BAN_NODES'!$E$5:$E$204,"Tương tác")=1,IF(COUNTIFS($A$5:$A$404,A161,$D$5:$D$404,"Có")&lt;&gt;0,"Choice tương tác không được đánh dấu đáp án đúng",""),"Choice chưa chọn loại")))))))</f>
        <v/>
      </c>
    </row>
    <row r="162" spans="1:11">
      <c r="A162" s="13"/>
      <c r="B162" s="13"/>
      <c r="C162" s="5"/>
      <c r="D162" s="13"/>
      <c r="E162" s="13"/>
      <c r="F162" s="13"/>
      <c r="G162" s="13"/>
      <c r="H162" s="5"/>
      <c r="I162" s="5"/>
      <c r="J162" s="6" t="str">
        <f t="shared" si="2"/>
        <v/>
      </c>
      <c r="K162" s="6" t="str">
        <f>IF(A162="","",IF(COUNTIFS('02_KICH_BAN_NODES'!$B$5:$B$204,A162,'02_KICH_BAN_NODES'!$D$5:$D$204,"choice")=0,"ChoiceNodeId không tồn tại hoặc không phải choice",IF(COUNTIFS($A$5:$A$404,A162,$B$5:$B$404,B162)&gt;1,"Trùng OptionOrder trong cùng choice",IF(OR(B162="",C162="",D162="",F162="",H162=""),"Thiếu trường bắt buộc",IF(OR(COUNTIF($A$5:$A$404,A162)&lt;2,COUNTIF($A$5:$A$404,A162)&gt;4),"Mỗi choice cần 2–4 option",IF(COUNTIFS('02_KICH_BAN_NODES'!$B$5:$B$204,A162,'02_KICH_BAN_NODES'!$E$5:$E$204,"Kiến thức")=1,IF(COUNTIFS($A$5:$A$404,A162,$D$5:$D$404,"Có")&lt;&gt;1,"Choice kiến thức cần đúng 1 đáp án đúng",""),IF(COUNTIFS('02_KICH_BAN_NODES'!$B$5:$B$204,A162,'02_KICH_BAN_NODES'!$E$5:$E$204,"Tương tác")=1,IF(COUNTIFS($A$5:$A$404,A162,$D$5:$D$404,"Có")&lt;&gt;0,"Choice tương tác không được đánh dấu đáp án đúng",""),"Choice chưa chọn loại")))))))</f>
        <v/>
      </c>
    </row>
    <row r="163" spans="1:11">
      <c r="A163" s="13"/>
      <c r="B163" s="13"/>
      <c r="C163" s="5"/>
      <c r="D163" s="13"/>
      <c r="E163" s="13"/>
      <c r="F163" s="13"/>
      <c r="G163" s="13"/>
      <c r="H163" s="5"/>
      <c r="I163" s="5"/>
      <c r="J163" s="6" t="str">
        <f t="shared" si="2"/>
        <v/>
      </c>
      <c r="K163" s="6" t="str">
        <f>IF(A163="","",IF(COUNTIFS('02_KICH_BAN_NODES'!$B$5:$B$204,A163,'02_KICH_BAN_NODES'!$D$5:$D$204,"choice")=0,"ChoiceNodeId không tồn tại hoặc không phải choice",IF(COUNTIFS($A$5:$A$404,A163,$B$5:$B$404,B163)&gt;1,"Trùng OptionOrder trong cùng choice",IF(OR(B163="",C163="",D163="",F163="",H163=""),"Thiếu trường bắt buộc",IF(OR(COUNTIF($A$5:$A$404,A163)&lt;2,COUNTIF($A$5:$A$404,A163)&gt;4),"Mỗi choice cần 2–4 option",IF(COUNTIFS('02_KICH_BAN_NODES'!$B$5:$B$204,A163,'02_KICH_BAN_NODES'!$E$5:$E$204,"Kiến thức")=1,IF(COUNTIFS($A$5:$A$404,A163,$D$5:$D$404,"Có")&lt;&gt;1,"Choice kiến thức cần đúng 1 đáp án đúng",""),IF(COUNTIFS('02_KICH_BAN_NODES'!$B$5:$B$204,A163,'02_KICH_BAN_NODES'!$E$5:$E$204,"Tương tác")=1,IF(COUNTIFS($A$5:$A$404,A163,$D$5:$D$404,"Có")&lt;&gt;0,"Choice tương tác không được đánh dấu đáp án đúng",""),"Choice chưa chọn loại")))))))</f>
        <v/>
      </c>
    </row>
    <row r="164" spans="1:11">
      <c r="A164" s="13"/>
      <c r="B164" s="13"/>
      <c r="C164" s="5"/>
      <c r="D164" s="13"/>
      <c r="E164" s="13"/>
      <c r="F164" s="13"/>
      <c r="G164" s="13"/>
      <c r="H164" s="5"/>
      <c r="I164" s="5"/>
      <c r="J164" s="6" t="str">
        <f t="shared" si="2"/>
        <v/>
      </c>
      <c r="K164" s="6" t="str">
        <f>IF(A164="","",IF(COUNTIFS('02_KICH_BAN_NODES'!$B$5:$B$204,A164,'02_KICH_BAN_NODES'!$D$5:$D$204,"choice")=0,"ChoiceNodeId không tồn tại hoặc không phải choice",IF(COUNTIFS($A$5:$A$404,A164,$B$5:$B$404,B164)&gt;1,"Trùng OptionOrder trong cùng choice",IF(OR(B164="",C164="",D164="",F164="",H164=""),"Thiếu trường bắt buộc",IF(OR(COUNTIF($A$5:$A$404,A164)&lt;2,COUNTIF($A$5:$A$404,A164)&gt;4),"Mỗi choice cần 2–4 option",IF(COUNTIFS('02_KICH_BAN_NODES'!$B$5:$B$204,A164,'02_KICH_BAN_NODES'!$E$5:$E$204,"Kiến thức")=1,IF(COUNTIFS($A$5:$A$404,A164,$D$5:$D$404,"Có")&lt;&gt;1,"Choice kiến thức cần đúng 1 đáp án đúng",""),IF(COUNTIFS('02_KICH_BAN_NODES'!$B$5:$B$204,A164,'02_KICH_BAN_NODES'!$E$5:$E$204,"Tương tác")=1,IF(COUNTIFS($A$5:$A$404,A164,$D$5:$D$404,"Có")&lt;&gt;0,"Choice tương tác không được đánh dấu đáp án đúng",""),"Choice chưa chọn loại")))))))</f>
        <v/>
      </c>
    </row>
    <row r="165" spans="1:11">
      <c r="A165" s="13"/>
      <c r="B165" s="13"/>
      <c r="C165" s="5"/>
      <c r="D165" s="13"/>
      <c r="E165" s="13"/>
      <c r="F165" s="13"/>
      <c r="G165" s="13"/>
      <c r="H165" s="5"/>
      <c r="I165" s="5"/>
      <c r="J165" s="6" t="str">
        <f t="shared" si="2"/>
        <v/>
      </c>
      <c r="K165" s="6" t="str">
        <f>IF(A165="","",IF(COUNTIFS('02_KICH_BAN_NODES'!$B$5:$B$204,A165,'02_KICH_BAN_NODES'!$D$5:$D$204,"choice")=0,"ChoiceNodeId không tồn tại hoặc không phải choice",IF(COUNTIFS($A$5:$A$404,A165,$B$5:$B$404,B165)&gt;1,"Trùng OptionOrder trong cùng choice",IF(OR(B165="",C165="",D165="",F165="",H165=""),"Thiếu trường bắt buộc",IF(OR(COUNTIF($A$5:$A$404,A165)&lt;2,COUNTIF($A$5:$A$404,A165)&gt;4),"Mỗi choice cần 2–4 option",IF(COUNTIFS('02_KICH_BAN_NODES'!$B$5:$B$204,A165,'02_KICH_BAN_NODES'!$E$5:$E$204,"Kiến thức")=1,IF(COUNTIFS($A$5:$A$404,A165,$D$5:$D$404,"Có")&lt;&gt;1,"Choice kiến thức cần đúng 1 đáp án đúng",""),IF(COUNTIFS('02_KICH_BAN_NODES'!$B$5:$B$204,A165,'02_KICH_BAN_NODES'!$E$5:$E$204,"Tương tác")=1,IF(COUNTIFS($A$5:$A$404,A165,$D$5:$D$404,"Có")&lt;&gt;0,"Choice tương tác không được đánh dấu đáp án đúng",""),"Choice chưa chọn loại")))))))</f>
        <v/>
      </c>
    </row>
    <row r="166" spans="1:11">
      <c r="A166" s="13"/>
      <c r="B166" s="13"/>
      <c r="C166" s="5"/>
      <c r="D166" s="13"/>
      <c r="E166" s="13"/>
      <c r="F166" s="13"/>
      <c r="G166" s="13"/>
      <c r="H166" s="5"/>
      <c r="I166" s="5"/>
      <c r="J166" s="6" t="str">
        <f t="shared" si="2"/>
        <v/>
      </c>
      <c r="K166" s="6" t="str">
        <f>IF(A166="","",IF(COUNTIFS('02_KICH_BAN_NODES'!$B$5:$B$204,A166,'02_KICH_BAN_NODES'!$D$5:$D$204,"choice")=0,"ChoiceNodeId không tồn tại hoặc không phải choice",IF(COUNTIFS($A$5:$A$404,A166,$B$5:$B$404,B166)&gt;1,"Trùng OptionOrder trong cùng choice",IF(OR(B166="",C166="",D166="",F166="",H166=""),"Thiếu trường bắt buộc",IF(OR(COUNTIF($A$5:$A$404,A166)&lt;2,COUNTIF($A$5:$A$404,A166)&gt;4),"Mỗi choice cần 2–4 option",IF(COUNTIFS('02_KICH_BAN_NODES'!$B$5:$B$204,A166,'02_KICH_BAN_NODES'!$E$5:$E$204,"Kiến thức")=1,IF(COUNTIFS($A$5:$A$404,A166,$D$5:$D$404,"Có")&lt;&gt;1,"Choice kiến thức cần đúng 1 đáp án đúng",""),IF(COUNTIFS('02_KICH_BAN_NODES'!$B$5:$B$204,A166,'02_KICH_BAN_NODES'!$E$5:$E$204,"Tương tác")=1,IF(COUNTIFS($A$5:$A$404,A166,$D$5:$D$404,"Có")&lt;&gt;0,"Choice tương tác không được đánh dấu đáp án đúng",""),"Choice chưa chọn loại")))))))</f>
        <v/>
      </c>
    </row>
    <row r="167" spans="1:11">
      <c r="A167" s="13"/>
      <c r="B167" s="13"/>
      <c r="C167" s="5"/>
      <c r="D167" s="13"/>
      <c r="E167" s="13"/>
      <c r="F167" s="13"/>
      <c r="G167" s="13"/>
      <c r="H167" s="5"/>
      <c r="I167" s="5"/>
      <c r="J167" s="6" t="str">
        <f t="shared" si="2"/>
        <v/>
      </c>
      <c r="K167" s="6" t="str">
        <f>IF(A167="","",IF(COUNTIFS('02_KICH_BAN_NODES'!$B$5:$B$204,A167,'02_KICH_BAN_NODES'!$D$5:$D$204,"choice")=0,"ChoiceNodeId không tồn tại hoặc không phải choice",IF(COUNTIFS($A$5:$A$404,A167,$B$5:$B$404,B167)&gt;1,"Trùng OptionOrder trong cùng choice",IF(OR(B167="",C167="",D167="",F167="",H167=""),"Thiếu trường bắt buộc",IF(OR(COUNTIF($A$5:$A$404,A167)&lt;2,COUNTIF($A$5:$A$404,A167)&gt;4),"Mỗi choice cần 2–4 option",IF(COUNTIFS('02_KICH_BAN_NODES'!$B$5:$B$204,A167,'02_KICH_BAN_NODES'!$E$5:$E$204,"Kiến thức")=1,IF(COUNTIFS($A$5:$A$404,A167,$D$5:$D$404,"Có")&lt;&gt;1,"Choice kiến thức cần đúng 1 đáp án đúng",""),IF(COUNTIFS('02_KICH_BAN_NODES'!$B$5:$B$204,A167,'02_KICH_BAN_NODES'!$E$5:$E$204,"Tương tác")=1,IF(COUNTIFS($A$5:$A$404,A167,$D$5:$D$404,"Có")&lt;&gt;0,"Choice tương tác không được đánh dấu đáp án đúng",""),"Choice chưa chọn loại")))))))</f>
        <v/>
      </c>
    </row>
    <row r="168" spans="1:11">
      <c r="A168" s="13"/>
      <c r="B168" s="13"/>
      <c r="C168" s="5"/>
      <c r="D168" s="13"/>
      <c r="E168" s="13"/>
      <c r="F168" s="13"/>
      <c r="G168" s="13"/>
      <c r="H168" s="5"/>
      <c r="I168" s="5"/>
      <c r="J168" s="6" t="str">
        <f t="shared" si="2"/>
        <v/>
      </c>
      <c r="K168" s="6" t="str">
        <f>IF(A168="","",IF(COUNTIFS('02_KICH_BAN_NODES'!$B$5:$B$204,A168,'02_KICH_BAN_NODES'!$D$5:$D$204,"choice")=0,"ChoiceNodeId không tồn tại hoặc không phải choice",IF(COUNTIFS($A$5:$A$404,A168,$B$5:$B$404,B168)&gt;1,"Trùng OptionOrder trong cùng choice",IF(OR(B168="",C168="",D168="",F168="",H168=""),"Thiếu trường bắt buộc",IF(OR(COUNTIF($A$5:$A$404,A168)&lt;2,COUNTIF($A$5:$A$404,A168)&gt;4),"Mỗi choice cần 2–4 option",IF(COUNTIFS('02_KICH_BAN_NODES'!$B$5:$B$204,A168,'02_KICH_BAN_NODES'!$E$5:$E$204,"Kiến thức")=1,IF(COUNTIFS($A$5:$A$404,A168,$D$5:$D$404,"Có")&lt;&gt;1,"Choice kiến thức cần đúng 1 đáp án đúng",""),IF(COUNTIFS('02_KICH_BAN_NODES'!$B$5:$B$204,A168,'02_KICH_BAN_NODES'!$E$5:$E$204,"Tương tác")=1,IF(COUNTIFS($A$5:$A$404,A168,$D$5:$D$404,"Có")&lt;&gt;0,"Choice tương tác không được đánh dấu đáp án đúng",""),"Choice chưa chọn loại")))))))</f>
        <v/>
      </c>
    </row>
    <row r="169" spans="1:11">
      <c r="A169" s="13"/>
      <c r="B169" s="13"/>
      <c r="C169" s="5"/>
      <c r="D169" s="13"/>
      <c r="E169" s="13"/>
      <c r="F169" s="13"/>
      <c r="G169" s="13"/>
      <c r="H169" s="5"/>
      <c r="I169" s="5"/>
      <c r="J169" s="6" t="str">
        <f t="shared" si="2"/>
        <v/>
      </c>
      <c r="K169" s="6" t="str">
        <f>IF(A169="","",IF(COUNTIFS('02_KICH_BAN_NODES'!$B$5:$B$204,A169,'02_KICH_BAN_NODES'!$D$5:$D$204,"choice")=0,"ChoiceNodeId không tồn tại hoặc không phải choice",IF(COUNTIFS($A$5:$A$404,A169,$B$5:$B$404,B169)&gt;1,"Trùng OptionOrder trong cùng choice",IF(OR(B169="",C169="",D169="",F169="",H169=""),"Thiếu trường bắt buộc",IF(OR(COUNTIF($A$5:$A$404,A169)&lt;2,COUNTIF($A$5:$A$404,A169)&gt;4),"Mỗi choice cần 2–4 option",IF(COUNTIFS('02_KICH_BAN_NODES'!$B$5:$B$204,A169,'02_KICH_BAN_NODES'!$E$5:$E$204,"Kiến thức")=1,IF(COUNTIFS($A$5:$A$404,A169,$D$5:$D$404,"Có")&lt;&gt;1,"Choice kiến thức cần đúng 1 đáp án đúng",""),IF(COUNTIFS('02_KICH_BAN_NODES'!$B$5:$B$204,A169,'02_KICH_BAN_NODES'!$E$5:$E$204,"Tương tác")=1,IF(COUNTIFS($A$5:$A$404,A169,$D$5:$D$404,"Có")&lt;&gt;0,"Choice tương tác không được đánh dấu đáp án đúng",""),"Choice chưa chọn loại")))))))</f>
        <v/>
      </c>
    </row>
    <row r="170" spans="1:11">
      <c r="A170" s="13"/>
      <c r="B170" s="13"/>
      <c r="C170" s="5"/>
      <c r="D170" s="13"/>
      <c r="E170" s="13"/>
      <c r="F170" s="13"/>
      <c r="G170" s="13"/>
      <c r="H170" s="5"/>
      <c r="I170" s="5"/>
      <c r="J170" s="6" t="str">
        <f t="shared" si="2"/>
        <v/>
      </c>
      <c r="K170" s="6" t="str">
        <f>IF(A170="","",IF(COUNTIFS('02_KICH_BAN_NODES'!$B$5:$B$204,A170,'02_KICH_BAN_NODES'!$D$5:$D$204,"choice")=0,"ChoiceNodeId không tồn tại hoặc không phải choice",IF(COUNTIFS($A$5:$A$404,A170,$B$5:$B$404,B170)&gt;1,"Trùng OptionOrder trong cùng choice",IF(OR(B170="",C170="",D170="",F170="",H170=""),"Thiếu trường bắt buộc",IF(OR(COUNTIF($A$5:$A$404,A170)&lt;2,COUNTIF($A$5:$A$404,A170)&gt;4),"Mỗi choice cần 2–4 option",IF(COUNTIFS('02_KICH_BAN_NODES'!$B$5:$B$204,A170,'02_KICH_BAN_NODES'!$E$5:$E$204,"Kiến thức")=1,IF(COUNTIFS($A$5:$A$404,A170,$D$5:$D$404,"Có")&lt;&gt;1,"Choice kiến thức cần đúng 1 đáp án đúng",""),IF(COUNTIFS('02_KICH_BAN_NODES'!$B$5:$B$204,A170,'02_KICH_BAN_NODES'!$E$5:$E$204,"Tương tác")=1,IF(COUNTIFS($A$5:$A$404,A170,$D$5:$D$404,"Có")&lt;&gt;0,"Choice tương tác không được đánh dấu đáp án đúng",""),"Choice chưa chọn loại")))))))</f>
        <v/>
      </c>
    </row>
    <row r="171" spans="1:11">
      <c r="A171" s="13"/>
      <c r="B171" s="13"/>
      <c r="C171" s="5"/>
      <c r="D171" s="13"/>
      <c r="E171" s="13"/>
      <c r="F171" s="13"/>
      <c r="G171" s="13"/>
      <c r="H171" s="5"/>
      <c r="I171" s="5"/>
      <c r="J171" s="6" t="str">
        <f t="shared" si="2"/>
        <v/>
      </c>
      <c r="K171" s="6" t="str">
        <f>IF(A171="","",IF(COUNTIFS('02_KICH_BAN_NODES'!$B$5:$B$204,A171,'02_KICH_BAN_NODES'!$D$5:$D$204,"choice")=0,"ChoiceNodeId không tồn tại hoặc không phải choice",IF(COUNTIFS($A$5:$A$404,A171,$B$5:$B$404,B171)&gt;1,"Trùng OptionOrder trong cùng choice",IF(OR(B171="",C171="",D171="",F171="",H171=""),"Thiếu trường bắt buộc",IF(OR(COUNTIF($A$5:$A$404,A171)&lt;2,COUNTIF($A$5:$A$404,A171)&gt;4),"Mỗi choice cần 2–4 option",IF(COUNTIFS('02_KICH_BAN_NODES'!$B$5:$B$204,A171,'02_KICH_BAN_NODES'!$E$5:$E$204,"Kiến thức")=1,IF(COUNTIFS($A$5:$A$404,A171,$D$5:$D$404,"Có")&lt;&gt;1,"Choice kiến thức cần đúng 1 đáp án đúng",""),IF(COUNTIFS('02_KICH_BAN_NODES'!$B$5:$B$204,A171,'02_KICH_BAN_NODES'!$E$5:$E$204,"Tương tác")=1,IF(COUNTIFS($A$5:$A$404,A171,$D$5:$D$404,"Có")&lt;&gt;0,"Choice tương tác không được đánh dấu đáp án đúng",""),"Choice chưa chọn loại")))))))</f>
        <v/>
      </c>
    </row>
    <row r="172" spans="1:11">
      <c r="A172" s="13"/>
      <c r="B172" s="13"/>
      <c r="C172" s="5"/>
      <c r="D172" s="13"/>
      <c r="E172" s="13"/>
      <c r="F172" s="13"/>
      <c r="G172" s="13"/>
      <c r="H172" s="5"/>
      <c r="I172" s="5"/>
      <c r="J172" s="6" t="str">
        <f t="shared" si="2"/>
        <v/>
      </c>
      <c r="K172" s="6" t="str">
        <f>IF(A172="","",IF(COUNTIFS('02_KICH_BAN_NODES'!$B$5:$B$204,A172,'02_KICH_BAN_NODES'!$D$5:$D$204,"choice")=0,"ChoiceNodeId không tồn tại hoặc không phải choice",IF(COUNTIFS($A$5:$A$404,A172,$B$5:$B$404,B172)&gt;1,"Trùng OptionOrder trong cùng choice",IF(OR(B172="",C172="",D172="",F172="",H172=""),"Thiếu trường bắt buộc",IF(OR(COUNTIF($A$5:$A$404,A172)&lt;2,COUNTIF($A$5:$A$404,A172)&gt;4),"Mỗi choice cần 2–4 option",IF(COUNTIFS('02_KICH_BAN_NODES'!$B$5:$B$204,A172,'02_KICH_BAN_NODES'!$E$5:$E$204,"Kiến thức")=1,IF(COUNTIFS($A$5:$A$404,A172,$D$5:$D$404,"Có")&lt;&gt;1,"Choice kiến thức cần đúng 1 đáp án đúng",""),IF(COUNTIFS('02_KICH_BAN_NODES'!$B$5:$B$204,A172,'02_KICH_BAN_NODES'!$E$5:$E$204,"Tương tác")=1,IF(COUNTIFS($A$5:$A$404,A172,$D$5:$D$404,"Có")&lt;&gt;0,"Choice tương tác không được đánh dấu đáp án đúng",""),"Choice chưa chọn loại")))))))</f>
        <v/>
      </c>
    </row>
    <row r="173" spans="1:11">
      <c r="A173" s="13"/>
      <c r="B173" s="13"/>
      <c r="C173" s="5"/>
      <c r="D173" s="13"/>
      <c r="E173" s="13"/>
      <c r="F173" s="13"/>
      <c r="G173" s="13"/>
      <c r="H173" s="5"/>
      <c r="I173" s="5"/>
      <c r="J173" s="6" t="str">
        <f t="shared" si="2"/>
        <v/>
      </c>
      <c r="K173" s="6" t="str">
        <f>IF(A173="","",IF(COUNTIFS('02_KICH_BAN_NODES'!$B$5:$B$204,A173,'02_KICH_BAN_NODES'!$D$5:$D$204,"choice")=0,"ChoiceNodeId không tồn tại hoặc không phải choice",IF(COUNTIFS($A$5:$A$404,A173,$B$5:$B$404,B173)&gt;1,"Trùng OptionOrder trong cùng choice",IF(OR(B173="",C173="",D173="",F173="",H173=""),"Thiếu trường bắt buộc",IF(OR(COUNTIF($A$5:$A$404,A173)&lt;2,COUNTIF($A$5:$A$404,A173)&gt;4),"Mỗi choice cần 2–4 option",IF(COUNTIFS('02_KICH_BAN_NODES'!$B$5:$B$204,A173,'02_KICH_BAN_NODES'!$E$5:$E$204,"Kiến thức")=1,IF(COUNTIFS($A$5:$A$404,A173,$D$5:$D$404,"Có")&lt;&gt;1,"Choice kiến thức cần đúng 1 đáp án đúng",""),IF(COUNTIFS('02_KICH_BAN_NODES'!$B$5:$B$204,A173,'02_KICH_BAN_NODES'!$E$5:$E$204,"Tương tác")=1,IF(COUNTIFS($A$5:$A$404,A173,$D$5:$D$404,"Có")&lt;&gt;0,"Choice tương tác không được đánh dấu đáp án đúng",""),"Choice chưa chọn loại")))))))</f>
        <v/>
      </c>
    </row>
    <row r="174" spans="1:11">
      <c r="A174" s="13"/>
      <c r="B174" s="13"/>
      <c r="C174" s="5"/>
      <c r="D174" s="13"/>
      <c r="E174" s="13"/>
      <c r="F174" s="13"/>
      <c r="G174" s="13"/>
      <c r="H174" s="5"/>
      <c r="I174" s="5"/>
      <c r="J174" s="6" t="str">
        <f t="shared" si="2"/>
        <v/>
      </c>
      <c r="K174" s="6" t="str">
        <f>IF(A174="","",IF(COUNTIFS('02_KICH_BAN_NODES'!$B$5:$B$204,A174,'02_KICH_BAN_NODES'!$D$5:$D$204,"choice")=0,"ChoiceNodeId không tồn tại hoặc không phải choice",IF(COUNTIFS($A$5:$A$404,A174,$B$5:$B$404,B174)&gt;1,"Trùng OptionOrder trong cùng choice",IF(OR(B174="",C174="",D174="",F174="",H174=""),"Thiếu trường bắt buộc",IF(OR(COUNTIF($A$5:$A$404,A174)&lt;2,COUNTIF($A$5:$A$404,A174)&gt;4),"Mỗi choice cần 2–4 option",IF(COUNTIFS('02_KICH_BAN_NODES'!$B$5:$B$204,A174,'02_KICH_BAN_NODES'!$E$5:$E$204,"Kiến thức")=1,IF(COUNTIFS($A$5:$A$404,A174,$D$5:$D$404,"Có")&lt;&gt;1,"Choice kiến thức cần đúng 1 đáp án đúng",""),IF(COUNTIFS('02_KICH_BAN_NODES'!$B$5:$B$204,A174,'02_KICH_BAN_NODES'!$E$5:$E$204,"Tương tác")=1,IF(COUNTIFS($A$5:$A$404,A174,$D$5:$D$404,"Có")&lt;&gt;0,"Choice tương tác không được đánh dấu đáp án đúng",""),"Choice chưa chọn loại")))))))</f>
        <v/>
      </c>
    </row>
    <row r="175" spans="1:11">
      <c r="A175" s="13"/>
      <c r="B175" s="13"/>
      <c r="C175" s="5"/>
      <c r="D175" s="13"/>
      <c r="E175" s="13"/>
      <c r="F175" s="13"/>
      <c r="G175" s="13"/>
      <c r="H175" s="5"/>
      <c r="I175" s="5"/>
      <c r="J175" s="6" t="str">
        <f t="shared" si="2"/>
        <v/>
      </c>
      <c r="K175" s="6" t="str">
        <f>IF(A175="","",IF(COUNTIFS('02_KICH_BAN_NODES'!$B$5:$B$204,A175,'02_KICH_BAN_NODES'!$D$5:$D$204,"choice")=0,"ChoiceNodeId không tồn tại hoặc không phải choice",IF(COUNTIFS($A$5:$A$404,A175,$B$5:$B$404,B175)&gt;1,"Trùng OptionOrder trong cùng choice",IF(OR(B175="",C175="",D175="",F175="",H175=""),"Thiếu trường bắt buộc",IF(OR(COUNTIF($A$5:$A$404,A175)&lt;2,COUNTIF($A$5:$A$404,A175)&gt;4),"Mỗi choice cần 2–4 option",IF(COUNTIFS('02_KICH_BAN_NODES'!$B$5:$B$204,A175,'02_KICH_BAN_NODES'!$E$5:$E$204,"Kiến thức")=1,IF(COUNTIFS($A$5:$A$404,A175,$D$5:$D$404,"Có")&lt;&gt;1,"Choice kiến thức cần đúng 1 đáp án đúng",""),IF(COUNTIFS('02_KICH_BAN_NODES'!$B$5:$B$204,A175,'02_KICH_BAN_NODES'!$E$5:$E$204,"Tương tác")=1,IF(COUNTIFS($A$5:$A$404,A175,$D$5:$D$404,"Có")&lt;&gt;0,"Choice tương tác không được đánh dấu đáp án đúng",""),"Choice chưa chọn loại")))))))</f>
        <v/>
      </c>
    </row>
    <row r="176" spans="1:11">
      <c r="A176" s="13"/>
      <c r="B176" s="13"/>
      <c r="C176" s="5"/>
      <c r="D176" s="13"/>
      <c r="E176" s="13"/>
      <c r="F176" s="13"/>
      <c r="G176" s="13"/>
      <c r="H176" s="5"/>
      <c r="I176" s="5"/>
      <c r="J176" s="6" t="str">
        <f t="shared" si="2"/>
        <v/>
      </c>
      <c r="K176" s="6" t="str">
        <f>IF(A176="","",IF(COUNTIFS('02_KICH_BAN_NODES'!$B$5:$B$204,A176,'02_KICH_BAN_NODES'!$D$5:$D$204,"choice")=0,"ChoiceNodeId không tồn tại hoặc không phải choice",IF(COUNTIFS($A$5:$A$404,A176,$B$5:$B$404,B176)&gt;1,"Trùng OptionOrder trong cùng choice",IF(OR(B176="",C176="",D176="",F176="",H176=""),"Thiếu trường bắt buộc",IF(OR(COUNTIF($A$5:$A$404,A176)&lt;2,COUNTIF($A$5:$A$404,A176)&gt;4),"Mỗi choice cần 2–4 option",IF(COUNTIFS('02_KICH_BAN_NODES'!$B$5:$B$204,A176,'02_KICH_BAN_NODES'!$E$5:$E$204,"Kiến thức")=1,IF(COUNTIFS($A$5:$A$404,A176,$D$5:$D$404,"Có")&lt;&gt;1,"Choice kiến thức cần đúng 1 đáp án đúng",""),IF(COUNTIFS('02_KICH_BAN_NODES'!$B$5:$B$204,A176,'02_KICH_BAN_NODES'!$E$5:$E$204,"Tương tác")=1,IF(COUNTIFS($A$5:$A$404,A176,$D$5:$D$404,"Có")&lt;&gt;0,"Choice tương tác không được đánh dấu đáp án đúng",""),"Choice chưa chọn loại")))))))</f>
        <v/>
      </c>
    </row>
    <row r="177" spans="1:11">
      <c r="A177" s="13"/>
      <c r="B177" s="13"/>
      <c r="C177" s="5"/>
      <c r="D177" s="13"/>
      <c r="E177" s="13"/>
      <c r="F177" s="13"/>
      <c r="G177" s="13"/>
      <c r="H177" s="5"/>
      <c r="I177" s="5"/>
      <c r="J177" s="6" t="str">
        <f t="shared" si="2"/>
        <v/>
      </c>
      <c r="K177" s="6" t="str">
        <f>IF(A177="","",IF(COUNTIFS('02_KICH_BAN_NODES'!$B$5:$B$204,A177,'02_KICH_BAN_NODES'!$D$5:$D$204,"choice")=0,"ChoiceNodeId không tồn tại hoặc không phải choice",IF(COUNTIFS($A$5:$A$404,A177,$B$5:$B$404,B177)&gt;1,"Trùng OptionOrder trong cùng choice",IF(OR(B177="",C177="",D177="",F177="",H177=""),"Thiếu trường bắt buộc",IF(OR(COUNTIF($A$5:$A$404,A177)&lt;2,COUNTIF($A$5:$A$404,A177)&gt;4),"Mỗi choice cần 2–4 option",IF(COUNTIFS('02_KICH_BAN_NODES'!$B$5:$B$204,A177,'02_KICH_BAN_NODES'!$E$5:$E$204,"Kiến thức")=1,IF(COUNTIFS($A$5:$A$404,A177,$D$5:$D$404,"Có")&lt;&gt;1,"Choice kiến thức cần đúng 1 đáp án đúng",""),IF(COUNTIFS('02_KICH_BAN_NODES'!$B$5:$B$204,A177,'02_KICH_BAN_NODES'!$E$5:$E$204,"Tương tác")=1,IF(COUNTIFS($A$5:$A$404,A177,$D$5:$D$404,"Có")&lt;&gt;0,"Choice tương tác không được đánh dấu đáp án đúng",""),"Choice chưa chọn loại")))))))</f>
        <v/>
      </c>
    </row>
    <row r="178" spans="1:11">
      <c r="A178" s="13"/>
      <c r="B178" s="13"/>
      <c r="C178" s="5"/>
      <c r="D178" s="13"/>
      <c r="E178" s="13"/>
      <c r="F178" s="13"/>
      <c r="G178" s="13"/>
      <c r="H178" s="5"/>
      <c r="I178" s="5"/>
      <c r="J178" s="6" t="str">
        <f t="shared" si="2"/>
        <v/>
      </c>
      <c r="K178" s="6" t="str">
        <f>IF(A178="","",IF(COUNTIFS('02_KICH_BAN_NODES'!$B$5:$B$204,A178,'02_KICH_BAN_NODES'!$D$5:$D$204,"choice")=0,"ChoiceNodeId không tồn tại hoặc không phải choice",IF(COUNTIFS($A$5:$A$404,A178,$B$5:$B$404,B178)&gt;1,"Trùng OptionOrder trong cùng choice",IF(OR(B178="",C178="",D178="",F178="",H178=""),"Thiếu trường bắt buộc",IF(OR(COUNTIF($A$5:$A$404,A178)&lt;2,COUNTIF($A$5:$A$404,A178)&gt;4),"Mỗi choice cần 2–4 option",IF(COUNTIFS('02_KICH_BAN_NODES'!$B$5:$B$204,A178,'02_KICH_BAN_NODES'!$E$5:$E$204,"Kiến thức")=1,IF(COUNTIFS($A$5:$A$404,A178,$D$5:$D$404,"Có")&lt;&gt;1,"Choice kiến thức cần đúng 1 đáp án đúng",""),IF(COUNTIFS('02_KICH_BAN_NODES'!$B$5:$B$204,A178,'02_KICH_BAN_NODES'!$E$5:$E$204,"Tương tác")=1,IF(COUNTIFS($A$5:$A$404,A178,$D$5:$D$404,"Có")&lt;&gt;0,"Choice tương tác không được đánh dấu đáp án đúng",""),"Choice chưa chọn loại")))))))</f>
        <v/>
      </c>
    </row>
    <row r="179" spans="1:11">
      <c r="A179" s="13"/>
      <c r="B179" s="13"/>
      <c r="C179" s="5"/>
      <c r="D179" s="13"/>
      <c r="E179" s="13"/>
      <c r="F179" s="13"/>
      <c r="G179" s="13"/>
      <c r="H179" s="5"/>
      <c r="I179" s="5"/>
      <c r="J179" s="6" t="str">
        <f t="shared" si="2"/>
        <v/>
      </c>
      <c r="K179" s="6" t="str">
        <f>IF(A179="","",IF(COUNTIFS('02_KICH_BAN_NODES'!$B$5:$B$204,A179,'02_KICH_BAN_NODES'!$D$5:$D$204,"choice")=0,"ChoiceNodeId không tồn tại hoặc không phải choice",IF(COUNTIFS($A$5:$A$404,A179,$B$5:$B$404,B179)&gt;1,"Trùng OptionOrder trong cùng choice",IF(OR(B179="",C179="",D179="",F179="",H179=""),"Thiếu trường bắt buộc",IF(OR(COUNTIF($A$5:$A$404,A179)&lt;2,COUNTIF($A$5:$A$404,A179)&gt;4),"Mỗi choice cần 2–4 option",IF(COUNTIFS('02_KICH_BAN_NODES'!$B$5:$B$204,A179,'02_KICH_BAN_NODES'!$E$5:$E$204,"Kiến thức")=1,IF(COUNTIFS($A$5:$A$404,A179,$D$5:$D$404,"Có")&lt;&gt;1,"Choice kiến thức cần đúng 1 đáp án đúng",""),IF(COUNTIFS('02_KICH_BAN_NODES'!$B$5:$B$204,A179,'02_KICH_BAN_NODES'!$E$5:$E$204,"Tương tác")=1,IF(COUNTIFS($A$5:$A$404,A179,$D$5:$D$404,"Có")&lt;&gt;0,"Choice tương tác không được đánh dấu đáp án đúng",""),"Choice chưa chọn loại")))))))</f>
        <v/>
      </c>
    </row>
    <row r="180" spans="1:11">
      <c r="A180" s="13"/>
      <c r="B180" s="13"/>
      <c r="C180" s="5"/>
      <c r="D180" s="13"/>
      <c r="E180" s="13"/>
      <c r="F180" s="13"/>
      <c r="G180" s="13"/>
      <c r="H180" s="5"/>
      <c r="I180" s="5"/>
      <c r="J180" s="6" t="str">
        <f t="shared" si="2"/>
        <v/>
      </c>
      <c r="K180" s="6" t="str">
        <f>IF(A180="","",IF(COUNTIFS('02_KICH_BAN_NODES'!$B$5:$B$204,A180,'02_KICH_BAN_NODES'!$D$5:$D$204,"choice")=0,"ChoiceNodeId không tồn tại hoặc không phải choice",IF(COUNTIFS($A$5:$A$404,A180,$B$5:$B$404,B180)&gt;1,"Trùng OptionOrder trong cùng choice",IF(OR(B180="",C180="",D180="",F180="",H180=""),"Thiếu trường bắt buộc",IF(OR(COUNTIF($A$5:$A$404,A180)&lt;2,COUNTIF($A$5:$A$404,A180)&gt;4),"Mỗi choice cần 2–4 option",IF(COUNTIFS('02_KICH_BAN_NODES'!$B$5:$B$204,A180,'02_KICH_BAN_NODES'!$E$5:$E$204,"Kiến thức")=1,IF(COUNTIFS($A$5:$A$404,A180,$D$5:$D$404,"Có")&lt;&gt;1,"Choice kiến thức cần đúng 1 đáp án đúng",""),IF(COUNTIFS('02_KICH_BAN_NODES'!$B$5:$B$204,A180,'02_KICH_BAN_NODES'!$E$5:$E$204,"Tương tác")=1,IF(COUNTIFS($A$5:$A$404,A180,$D$5:$D$404,"Có")&lt;&gt;0,"Choice tương tác không được đánh dấu đáp án đúng",""),"Choice chưa chọn loại")))))))</f>
        <v/>
      </c>
    </row>
    <row r="181" spans="1:11">
      <c r="A181" s="13"/>
      <c r="B181" s="13"/>
      <c r="C181" s="5"/>
      <c r="D181" s="13"/>
      <c r="E181" s="13"/>
      <c r="F181" s="13"/>
      <c r="G181" s="13"/>
      <c r="H181" s="5"/>
      <c r="I181" s="5"/>
      <c r="J181" s="6" t="str">
        <f t="shared" si="2"/>
        <v/>
      </c>
      <c r="K181" s="6" t="str">
        <f>IF(A181="","",IF(COUNTIFS('02_KICH_BAN_NODES'!$B$5:$B$204,A181,'02_KICH_BAN_NODES'!$D$5:$D$204,"choice")=0,"ChoiceNodeId không tồn tại hoặc không phải choice",IF(COUNTIFS($A$5:$A$404,A181,$B$5:$B$404,B181)&gt;1,"Trùng OptionOrder trong cùng choice",IF(OR(B181="",C181="",D181="",F181="",H181=""),"Thiếu trường bắt buộc",IF(OR(COUNTIF($A$5:$A$404,A181)&lt;2,COUNTIF($A$5:$A$404,A181)&gt;4),"Mỗi choice cần 2–4 option",IF(COUNTIFS('02_KICH_BAN_NODES'!$B$5:$B$204,A181,'02_KICH_BAN_NODES'!$E$5:$E$204,"Kiến thức")=1,IF(COUNTIFS($A$5:$A$404,A181,$D$5:$D$404,"Có")&lt;&gt;1,"Choice kiến thức cần đúng 1 đáp án đúng",""),IF(COUNTIFS('02_KICH_BAN_NODES'!$B$5:$B$204,A181,'02_KICH_BAN_NODES'!$E$5:$E$204,"Tương tác")=1,IF(COUNTIFS($A$5:$A$404,A181,$D$5:$D$404,"Có")&lt;&gt;0,"Choice tương tác không được đánh dấu đáp án đúng",""),"Choice chưa chọn loại")))))))</f>
        <v/>
      </c>
    </row>
    <row r="182" spans="1:11">
      <c r="A182" s="13"/>
      <c r="B182" s="13"/>
      <c r="C182" s="5"/>
      <c r="D182" s="13"/>
      <c r="E182" s="13"/>
      <c r="F182" s="13"/>
      <c r="G182" s="13"/>
      <c r="H182" s="5"/>
      <c r="I182" s="5"/>
      <c r="J182" s="6" t="str">
        <f t="shared" si="2"/>
        <v/>
      </c>
      <c r="K182" s="6" t="str">
        <f>IF(A182="","",IF(COUNTIFS('02_KICH_BAN_NODES'!$B$5:$B$204,A182,'02_KICH_BAN_NODES'!$D$5:$D$204,"choice")=0,"ChoiceNodeId không tồn tại hoặc không phải choice",IF(COUNTIFS($A$5:$A$404,A182,$B$5:$B$404,B182)&gt;1,"Trùng OptionOrder trong cùng choice",IF(OR(B182="",C182="",D182="",F182="",H182=""),"Thiếu trường bắt buộc",IF(OR(COUNTIF($A$5:$A$404,A182)&lt;2,COUNTIF($A$5:$A$404,A182)&gt;4),"Mỗi choice cần 2–4 option",IF(COUNTIFS('02_KICH_BAN_NODES'!$B$5:$B$204,A182,'02_KICH_BAN_NODES'!$E$5:$E$204,"Kiến thức")=1,IF(COUNTIFS($A$5:$A$404,A182,$D$5:$D$404,"Có")&lt;&gt;1,"Choice kiến thức cần đúng 1 đáp án đúng",""),IF(COUNTIFS('02_KICH_BAN_NODES'!$B$5:$B$204,A182,'02_KICH_BAN_NODES'!$E$5:$E$204,"Tương tác")=1,IF(COUNTIFS($A$5:$A$404,A182,$D$5:$D$404,"Có")&lt;&gt;0,"Choice tương tác không được đánh dấu đáp án đúng",""),"Choice chưa chọn loại")))))))</f>
        <v/>
      </c>
    </row>
    <row r="183" spans="1:11">
      <c r="A183" s="13"/>
      <c r="B183" s="13"/>
      <c r="C183" s="5"/>
      <c r="D183" s="13"/>
      <c r="E183" s="13"/>
      <c r="F183" s="13"/>
      <c r="G183" s="13"/>
      <c r="H183" s="5"/>
      <c r="I183" s="5"/>
      <c r="J183" s="6" t="str">
        <f t="shared" si="2"/>
        <v/>
      </c>
      <c r="K183" s="6" t="str">
        <f>IF(A183="","",IF(COUNTIFS('02_KICH_BAN_NODES'!$B$5:$B$204,A183,'02_KICH_BAN_NODES'!$D$5:$D$204,"choice")=0,"ChoiceNodeId không tồn tại hoặc không phải choice",IF(COUNTIFS($A$5:$A$404,A183,$B$5:$B$404,B183)&gt;1,"Trùng OptionOrder trong cùng choice",IF(OR(B183="",C183="",D183="",F183="",H183=""),"Thiếu trường bắt buộc",IF(OR(COUNTIF($A$5:$A$404,A183)&lt;2,COUNTIF($A$5:$A$404,A183)&gt;4),"Mỗi choice cần 2–4 option",IF(COUNTIFS('02_KICH_BAN_NODES'!$B$5:$B$204,A183,'02_KICH_BAN_NODES'!$E$5:$E$204,"Kiến thức")=1,IF(COUNTIFS($A$5:$A$404,A183,$D$5:$D$404,"Có")&lt;&gt;1,"Choice kiến thức cần đúng 1 đáp án đúng",""),IF(COUNTIFS('02_KICH_BAN_NODES'!$B$5:$B$204,A183,'02_KICH_BAN_NODES'!$E$5:$E$204,"Tương tác")=1,IF(COUNTIFS($A$5:$A$404,A183,$D$5:$D$404,"Có")&lt;&gt;0,"Choice tương tác không được đánh dấu đáp án đúng",""),"Choice chưa chọn loại")))))))</f>
        <v/>
      </c>
    </row>
    <row r="184" spans="1:11">
      <c r="A184" s="13"/>
      <c r="B184" s="13"/>
      <c r="C184" s="5"/>
      <c r="D184" s="13"/>
      <c r="E184" s="13"/>
      <c r="F184" s="13"/>
      <c r="G184" s="13"/>
      <c r="H184" s="5"/>
      <c r="I184" s="5"/>
      <c r="J184" s="6" t="str">
        <f t="shared" si="2"/>
        <v/>
      </c>
      <c r="K184" s="6" t="str">
        <f>IF(A184="","",IF(COUNTIFS('02_KICH_BAN_NODES'!$B$5:$B$204,A184,'02_KICH_BAN_NODES'!$D$5:$D$204,"choice")=0,"ChoiceNodeId không tồn tại hoặc không phải choice",IF(COUNTIFS($A$5:$A$404,A184,$B$5:$B$404,B184)&gt;1,"Trùng OptionOrder trong cùng choice",IF(OR(B184="",C184="",D184="",F184="",H184=""),"Thiếu trường bắt buộc",IF(OR(COUNTIF($A$5:$A$404,A184)&lt;2,COUNTIF($A$5:$A$404,A184)&gt;4),"Mỗi choice cần 2–4 option",IF(COUNTIFS('02_KICH_BAN_NODES'!$B$5:$B$204,A184,'02_KICH_BAN_NODES'!$E$5:$E$204,"Kiến thức")=1,IF(COUNTIFS($A$5:$A$404,A184,$D$5:$D$404,"Có")&lt;&gt;1,"Choice kiến thức cần đúng 1 đáp án đúng",""),IF(COUNTIFS('02_KICH_BAN_NODES'!$B$5:$B$204,A184,'02_KICH_BAN_NODES'!$E$5:$E$204,"Tương tác")=1,IF(COUNTIFS($A$5:$A$404,A184,$D$5:$D$404,"Có")&lt;&gt;0,"Choice tương tác không được đánh dấu đáp án đúng",""),"Choice chưa chọn loại")))))))</f>
        <v/>
      </c>
    </row>
    <row r="185" spans="1:11">
      <c r="A185" s="13"/>
      <c r="B185" s="13"/>
      <c r="C185" s="5"/>
      <c r="D185" s="13"/>
      <c r="E185" s="13"/>
      <c r="F185" s="13"/>
      <c r="G185" s="13"/>
      <c r="H185" s="5"/>
      <c r="I185" s="5"/>
      <c r="J185" s="6" t="str">
        <f t="shared" si="2"/>
        <v/>
      </c>
      <c r="K185" s="6" t="str">
        <f>IF(A185="","",IF(COUNTIFS('02_KICH_BAN_NODES'!$B$5:$B$204,A185,'02_KICH_BAN_NODES'!$D$5:$D$204,"choice")=0,"ChoiceNodeId không tồn tại hoặc không phải choice",IF(COUNTIFS($A$5:$A$404,A185,$B$5:$B$404,B185)&gt;1,"Trùng OptionOrder trong cùng choice",IF(OR(B185="",C185="",D185="",F185="",H185=""),"Thiếu trường bắt buộc",IF(OR(COUNTIF($A$5:$A$404,A185)&lt;2,COUNTIF($A$5:$A$404,A185)&gt;4),"Mỗi choice cần 2–4 option",IF(COUNTIFS('02_KICH_BAN_NODES'!$B$5:$B$204,A185,'02_KICH_BAN_NODES'!$E$5:$E$204,"Kiến thức")=1,IF(COUNTIFS($A$5:$A$404,A185,$D$5:$D$404,"Có")&lt;&gt;1,"Choice kiến thức cần đúng 1 đáp án đúng",""),IF(COUNTIFS('02_KICH_BAN_NODES'!$B$5:$B$204,A185,'02_KICH_BAN_NODES'!$E$5:$E$204,"Tương tác")=1,IF(COUNTIFS($A$5:$A$404,A185,$D$5:$D$404,"Có")&lt;&gt;0,"Choice tương tác không được đánh dấu đáp án đúng",""),"Choice chưa chọn loại")))))))</f>
        <v/>
      </c>
    </row>
    <row r="186" spans="1:11">
      <c r="A186" s="13"/>
      <c r="B186" s="13"/>
      <c r="C186" s="5"/>
      <c r="D186" s="13"/>
      <c r="E186" s="13"/>
      <c r="F186" s="13"/>
      <c r="G186" s="13"/>
      <c r="H186" s="5"/>
      <c r="I186" s="5"/>
      <c r="J186" s="6" t="str">
        <f t="shared" si="2"/>
        <v/>
      </c>
      <c r="K186" s="6" t="str">
        <f>IF(A186="","",IF(COUNTIFS('02_KICH_BAN_NODES'!$B$5:$B$204,A186,'02_KICH_BAN_NODES'!$D$5:$D$204,"choice")=0,"ChoiceNodeId không tồn tại hoặc không phải choice",IF(COUNTIFS($A$5:$A$404,A186,$B$5:$B$404,B186)&gt;1,"Trùng OptionOrder trong cùng choice",IF(OR(B186="",C186="",D186="",F186="",H186=""),"Thiếu trường bắt buộc",IF(OR(COUNTIF($A$5:$A$404,A186)&lt;2,COUNTIF($A$5:$A$404,A186)&gt;4),"Mỗi choice cần 2–4 option",IF(COUNTIFS('02_KICH_BAN_NODES'!$B$5:$B$204,A186,'02_KICH_BAN_NODES'!$E$5:$E$204,"Kiến thức")=1,IF(COUNTIFS($A$5:$A$404,A186,$D$5:$D$404,"Có")&lt;&gt;1,"Choice kiến thức cần đúng 1 đáp án đúng",""),IF(COUNTIFS('02_KICH_BAN_NODES'!$B$5:$B$204,A186,'02_KICH_BAN_NODES'!$E$5:$E$204,"Tương tác")=1,IF(COUNTIFS($A$5:$A$404,A186,$D$5:$D$404,"Có")&lt;&gt;0,"Choice tương tác không được đánh dấu đáp án đúng",""),"Choice chưa chọn loại")))))))</f>
        <v/>
      </c>
    </row>
    <row r="187" spans="1:11">
      <c r="A187" s="13"/>
      <c r="B187" s="13"/>
      <c r="C187" s="5"/>
      <c r="D187" s="13"/>
      <c r="E187" s="13"/>
      <c r="F187" s="13"/>
      <c r="G187" s="13"/>
      <c r="H187" s="5"/>
      <c r="I187" s="5"/>
      <c r="J187" s="6" t="str">
        <f t="shared" si="2"/>
        <v/>
      </c>
      <c r="K187" s="6" t="str">
        <f>IF(A187="","",IF(COUNTIFS('02_KICH_BAN_NODES'!$B$5:$B$204,A187,'02_KICH_BAN_NODES'!$D$5:$D$204,"choice")=0,"ChoiceNodeId không tồn tại hoặc không phải choice",IF(COUNTIFS($A$5:$A$404,A187,$B$5:$B$404,B187)&gt;1,"Trùng OptionOrder trong cùng choice",IF(OR(B187="",C187="",D187="",F187="",H187=""),"Thiếu trường bắt buộc",IF(OR(COUNTIF($A$5:$A$404,A187)&lt;2,COUNTIF($A$5:$A$404,A187)&gt;4),"Mỗi choice cần 2–4 option",IF(COUNTIFS('02_KICH_BAN_NODES'!$B$5:$B$204,A187,'02_KICH_BAN_NODES'!$E$5:$E$204,"Kiến thức")=1,IF(COUNTIFS($A$5:$A$404,A187,$D$5:$D$404,"Có")&lt;&gt;1,"Choice kiến thức cần đúng 1 đáp án đúng",""),IF(COUNTIFS('02_KICH_BAN_NODES'!$B$5:$B$204,A187,'02_KICH_BAN_NODES'!$E$5:$E$204,"Tương tác")=1,IF(COUNTIFS($A$5:$A$404,A187,$D$5:$D$404,"Có")&lt;&gt;0,"Choice tương tác không được đánh dấu đáp án đúng",""),"Choice chưa chọn loại")))))))</f>
        <v/>
      </c>
    </row>
    <row r="188" spans="1:11">
      <c r="A188" s="13"/>
      <c r="B188" s="13"/>
      <c r="C188" s="5"/>
      <c r="D188" s="13"/>
      <c r="E188" s="13"/>
      <c r="F188" s="13"/>
      <c r="G188" s="13"/>
      <c r="H188" s="5"/>
      <c r="I188" s="5"/>
      <c r="J188" s="6" t="str">
        <f t="shared" si="2"/>
        <v/>
      </c>
      <c r="K188" s="6" t="str">
        <f>IF(A188="","",IF(COUNTIFS('02_KICH_BAN_NODES'!$B$5:$B$204,A188,'02_KICH_BAN_NODES'!$D$5:$D$204,"choice")=0,"ChoiceNodeId không tồn tại hoặc không phải choice",IF(COUNTIFS($A$5:$A$404,A188,$B$5:$B$404,B188)&gt;1,"Trùng OptionOrder trong cùng choice",IF(OR(B188="",C188="",D188="",F188="",H188=""),"Thiếu trường bắt buộc",IF(OR(COUNTIF($A$5:$A$404,A188)&lt;2,COUNTIF($A$5:$A$404,A188)&gt;4),"Mỗi choice cần 2–4 option",IF(COUNTIFS('02_KICH_BAN_NODES'!$B$5:$B$204,A188,'02_KICH_BAN_NODES'!$E$5:$E$204,"Kiến thức")=1,IF(COUNTIFS($A$5:$A$404,A188,$D$5:$D$404,"Có")&lt;&gt;1,"Choice kiến thức cần đúng 1 đáp án đúng",""),IF(COUNTIFS('02_KICH_BAN_NODES'!$B$5:$B$204,A188,'02_KICH_BAN_NODES'!$E$5:$E$204,"Tương tác")=1,IF(COUNTIFS($A$5:$A$404,A188,$D$5:$D$404,"Có")&lt;&gt;0,"Choice tương tác không được đánh dấu đáp án đúng",""),"Choice chưa chọn loại")))))))</f>
        <v/>
      </c>
    </row>
    <row r="189" spans="1:11">
      <c r="A189" s="13"/>
      <c r="B189" s="13"/>
      <c r="C189" s="5"/>
      <c r="D189" s="13"/>
      <c r="E189" s="13"/>
      <c r="F189" s="13"/>
      <c r="G189" s="13"/>
      <c r="H189" s="5"/>
      <c r="I189" s="5"/>
      <c r="J189" s="6" t="str">
        <f t="shared" si="2"/>
        <v/>
      </c>
      <c r="K189" s="6" t="str">
        <f>IF(A189="","",IF(COUNTIFS('02_KICH_BAN_NODES'!$B$5:$B$204,A189,'02_KICH_BAN_NODES'!$D$5:$D$204,"choice")=0,"ChoiceNodeId không tồn tại hoặc không phải choice",IF(COUNTIFS($A$5:$A$404,A189,$B$5:$B$404,B189)&gt;1,"Trùng OptionOrder trong cùng choice",IF(OR(B189="",C189="",D189="",F189="",H189=""),"Thiếu trường bắt buộc",IF(OR(COUNTIF($A$5:$A$404,A189)&lt;2,COUNTIF($A$5:$A$404,A189)&gt;4),"Mỗi choice cần 2–4 option",IF(COUNTIFS('02_KICH_BAN_NODES'!$B$5:$B$204,A189,'02_KICH_BAN_NODES'!$E$5:$E$204,"Kiến thức")=1,IF(COUNTIFS($A$5:$A$404,A189,$D$5:$D$404,"Có")&lt;&gt;1,"Choice kiến thức cần đúng 1 đáp án đúng",""),IF(COUNTIFS('02_KICH_BAN_NODES'!$B$5:$B$204,A189,'02_KICH_BAN_NODES'!$E$5:$E$204,"Tương tác")=1,IF(COUNTIFS($A$5:$A$404,A189,$D$5:$D$404,"Có")&lt;&gt;0,"Choice tương tác không được đánh dấu đáp án đúng",""),"Choice chưa chọn loại")))))))</f>
        <v/>
      </c>
    </row>
    <row r="190" spans="1:11">
      <c r="A190" s="13"/>
      <c r="B190" s="13"/>
      <c r="C190" s="5"/>
      <c r="D190" s="13"/>
      <c r="E190" s="13"/>
      <c r="F190" s="13"/>
      <c r="G190" s="13"/>
      <c r="H190" s="5"/>
      <c r="I190" s="5"/>
      <c r="J190" s="6" t="str">
        <f t="shared" si="2"/>
        <v/>
      </c>
      <c r="K190" s="6" t="str">
        <f>IF(A190="","",IF(COUNTIFS('02_KICH_BAN_NODES'!$B$5:$B$204,A190,'02_KICH_BAN_NODES'!$D$5:$D$204,"choice")=0,"ChoiceNodeId không tồn tại hoặc không phải choice",IF(COUNTIFS($A$5:$A$404,A190,$B$5:$B$404,B190)&gt;1,"Trùng OptionOrder trong cùng choice",IF(OR(B190="",C190="",D190="",F190="",H190=""),"Thiếu trường bắt buộc",IF(OR(COUNTIF($A$5:$A$404,A190)&lt;2,COUNTIF($A$5:$A$404,A190)&gt;4),"Mỗi choice cần 2–4 option",IF(COUNTIFS('02_KICH_BAN_NODES'!$B$5:$B$204,A190,'02_KICH_BAN_NODES'!$E$5:$E$204,"Kiến thức")=1,IF(COUNTIFS($A$5:$A$404,A190,$D$5:$D$404,"Có")&lt;&gt;1,"Choice kiến thức cần đúng 1 đáp án đúng",""),IF(COUNTIFS('02_KICH_BAN_NODES'!$B$5:$B$204,A190,'02_KICH_BAN_NODES'!$E$5:$E$204,"Tương tác")=1,IF(COUNTIFS($A$5:$A$404,A190,$D$5:$D$404,"Có")&lt;&gt;0,"Choice tương tác không được đánh dấu đáp án đúng",""),"Choice chưa chọn loại")))))))</f>
        <v/>
      </c>
    </row>
    <row r="191" spans="1:11">
      <c r="A191" s="13"/>
      <c r="B191" s="13"/>
      <c r="C191" s="5"/>
      <c r="D191" s="13"/>
      <c r="E191" s="13"/>
      <c r="F191" s="13"/>
      <c r="G191" s="13"/>
      <c r="H191" s="5"/>
      <c r="I191" s="5"/>
      <c r="J191" s="6" t="str">
        <f t="shared" si="2"/>
        <v/>
      </c>
      <c r="K191" s="6" t="str">
        <f>IF(A191="","",IF(COUNTIFS('02_KICH_BAN_NODES'!$B$5:$B$204,A191,'02_KICH_BAN_NODES'!$D$5:$D$204,"choice")=0,"ChoiceNodeId không tồn tại hoặc không phải choice",IF(COUNTIFS($A$5:$A$404,A191,$B$5:$B$404,B191)&gt;1,"Trùng OptionOrder trong cùng choice",IF(OR(B191="",C191="",D191="",F191="",H191=""),"Thiếu trường bắt buộc",IF(OR(COUNTIF($A$5:$A$404,A191)&lt;2,COUNTIF($A$5:$A$404,A191)&gt;4),"Mỗi choice cần 2–4 option",IF(COUNTIFS('02_KICH_BAN_NODES'!$B$5:$B$204,A191,'02_KICH_BAN_NODES'!$E$5:$E$204,"Kiến thức")=1,IF(COUNTIFS($A$5:$A$404,A191,$D$5:$D$404,"Có")&lt;&gt;1,"Choice kiến thức cần đúng 1 đáp án đúng",""),IF(COUNTIFS('02_KICH_BAN_NODES'!$B$5:$B$204,A191,'02_KICH_BAN_NODES'!$E$5:$E$204,"Tương tác")=1,IF(COUNTIFS($A$5:$A$404,A191,$D$5:$D$404,"Có")&lt;&gt;0,"Choice tương tác không được đánh dấu đáp án đúng",""),"Choice chưa chọn loại")))))))</f>
        <v/>
      </c>
    </row>
    <row r="192" spans="1:11">
      <c r="A192" s="13"/>
      <c r="B192" s="13"/>
      <c r="C192" s="5"/>
      <c r="D192" s="13"/>
      <c r="E192" s="13"/>
      <c r="F192" s="13"/>
      <c r="G192" s="13"/>
      <c r="H192" s="5"/>
      <c r="I192" s="5"/>
      <c r="J192" s="6" t="str">
        <f t="shared" si="2"/>
        <v/>
      </c>
      <c r="K192" s="6" t="str">
        <f>IF(A192="","",IF(COUNTIFS('02_KICH_BAN_NODES'!$B$5:$B$204,A192,'02_KICH_BAN_NODES'!$D$5:$D$204,"choice")=0,"ChoiceNodeId không tồn tại hoặc không phải choice",IF(COUNTIFS($A$5:$A$404,A192,$B$5:$B$404,B192)&gt;1,"Trùng OptionOrder trong cùng choice",IF(OR(B192="",C192="",D192="",F192="",H192=""),"Thiếu trường bắt buộc",IF(OR(COUNTIF($A$5:$A$404,A192)&lt;2,COUNTIF($A$5:$A$404,A192)&gt;4),"Mỗi choice cần 2–4 option",IF(COUNTIFS('02_KICH_BAN_NODES'!$B$5:$B$204,A192,'02_KICH_BAN_NODES'!$E$5:$E$204,"Kiến thức")=1,IF(COUNTIFS($A$5:$A$404,A192,$D$5:$D$404,"Có")&lt;&gt;1,"Choice kiến thức cần đúng 1 đáp án đúng",""),IF(COUNTIFS('02_KICH_BAN_NODES'!$B$5:$B$204,A192,'02_KICH_BAN_NODES'!$E$5:$E$204,"Tương tác")=1,IF(COUNTIFS($A$5:$A$404,A192,$D$5:$D$404,"Có")&lt;&gt;0,"Choice tương tác không được đánh dấu đáp án đúng",""),"Choice chưa chọn loại")))))))</f>
        <v/>
      </c>
    </row>
    <row r="193" spans="1:11">
      <c r="A193" s="13"/>
      <c r="B193" s="13"/>
      <c r="C193" s="5"/>
      <c r="D193" s="13"/>
      <c r="E193" s="13"/>
      <c r="F193" s="13"/>
      <c r="G193" s="13"/>
      <c r="H193" s="5"/>
      <c r="I193" s="5"/>
      <c r="J193" s="6" t="str">
        <f t="shared" si="2"/>
        <v/>
      </c>
      <c r="K193" s="6" t="str">
        <f>IF(A193="","",IF(COUNTIFS('02_KICH_BAN_NODES'!$B$5:$B$204,A193,'02_KICH_BAN_NODES'!$D$5:$D$204,"choice")=0,"ChoiceNodeId không tồn tại hoặc không phải choice",IF(COUNTIFS($A$5:$A$404,A193,$B$5:$B$404,B193)&gt;1,"Trùng OptionOrder trong cùng choice",IF(OR(B193="",C193="",D193="",F193="",H193=""),"Thiếu trường bắt buộc",IF(OR(COUNTIF($A$5:$A$404,A193)&lt;2,COUNTIF($A$5:$A$404,A193)&gt;4),"Mỗi choice cần 2–4 option",IF(COUNTIFS('02_KICH_BAN_NODES'!$B$5:$B$204,A193,'02_KICH_BAN_NODES'!$E$5:$E$204,"Kiến thức")=1,IF(COUNTIFS($A$5:$A$404,A193,$D$5:$D$404,"Có")&lt;&gt;1,"Choice kiến thức cần đúng 1 đáp án đúng",""),IF(COUNTIFS('02_KICH_BAN_NODES'!$B$5:$B$204,A193,'02_KICH_BAN_NODES'!$E$5:$E$204,"Tương tác")=1,IF(COUNTIFS($A$5:$A$404,A193,$D$5:$D$404,"Có")&lt;&gt;0,"Choice tương tác không được đánh dấu đáp án đúng",""),"Choice chưa chọn loại")))))))</f>
        <v/>
      </c>
    </row>
    <row r="194" spans="1:11">
      <c r="A194" s="13"/>
      <c r="B194" s="13"/>
      <c r="C194" s="5"/>
      <c r="D194" s="13"/>
      <c r="E194" s="13"/>
      <c r="F194" s="13"/>
      <c r="G194" s="13"/>
      <c r="H194" s="5"/>
      <c r="I194" s="5"/>
      <c r="J194" s="6" t="str">
        <f t="shared" si="2"/>
        <v/>
      </c>
      <c r="K194" s="6" t="str">
        <f>IF(A194="","",IF(COUNTIFS('02_KICH_BAN_NODES'!$B$5:$B$204,A194,'02_KICH_BAN_NODES'!$D$5:$D$204,"choice")=0,"ChoiceNodeId không tồn tại hoặc không phải choice",IF(COUNTIFS($A$5:$A$404,A194,$B$5:$B$404,B194)&gt;1,"Trùng OptionOrder trong cùng choice",IF(OR(B194="",C194="",D194="",F194="",H194=""),"Thiếu trường bắt buộc",IF(OR(COUNTIF($A$5:$A$404,A194)&lt;2,COUNTIF($A$5:$A$404,A194)&gt;4),"Mỗi choice cần 2–4 option",IF(COUNTIFS('02_KICH_BAN_NODES'!$B$5:$B$204,A194,'02_KICH_BAN_NODES'!$E$5:$E$204,"Kiến thức")=1,IF(COUNTIFS($A$5:$A$404,A194,$D$5:$D$404,"Có")&lt;&gt;1,"Choice kiến thức cần đúng 1 đáp án đúng",""),IF(COUNTIFS('02_KICH_BAN_NODES'!$B$5:$B$204,A194,'02_KICH_BAN_NODES'!$E$5:$E$204,"Tương tác")=1,IF(COUNTIFS($A$5:$A$404,A194,$D$5:$D$404,"Có")&lt;&gt;0,"Choice tương tác không được đánh dấu đáp án đúng",""),"Choice chưa chọn loại")))))))</f>
        <v/>
      </c>
    </row>
    <row r="195" spans="1:11">
      <c r="A195" s="13"/>
      <c r="B195" s="13"/>
      <c r="C195" s="5"/>
      <c r="D195" s="13"/>
      <c r="E195" s="13"/>
      <c r="F195" s="13"/>
      <c r="G195" s="13"/>
      <c r="H195" s="5"/>
      <c r="I195" s="5"/>
      <c r="J195" s="6" t="str">
        <f t="shared" si="2"/>
        <v/>
      </c>
      <c r="K195" s="6" t="str">
        <f>IF(A195="","",IF(COUNTIFS('02_KICH_BAN_NODES'!$B$5:$B$204,A195,'02_KICH_BAN_NODES'!$D$5:$D$204,"choice")=0,"ChoiceNodeId không tồn tại hoặc không phải choice",IF(COUNTIFS($A$5:$A$404,A195,$B$5:$B$404,B195)&gt;1,"Trùng OptionOrder trong cùng choice",IF(OR(B195="",C195="",D195="",F195="",H195=""),"Thiếu trường bắt buộc",IF(OR(COUNTIF($A$5:$A$404,A195)&lt;2,COUNTIF($A$5:$A$404,A195)&gt;4),"Mỗi choice cần 2–4 option",IF(COUNTIFS('02_KICH_BAN_NODES'!$B$5:$B$204,A195,'02_KICH_BAN_NODES'!$E$5:$E$204,"Kiến thức")=1,IF(COUNTIFS($A$5:$A$404,A195,$D$5:$D$404,"Có")&lt;&gt;1,"Choice kiến thức cần đúng 1 đáp án đúng",""),IF(COUNTIFS('02_KICH_BAN_NODES'!$B$5:$B$204,A195,'02_KICH_BAN_NODES'!$E$5:$E$204,"Tương tác")=1,IF(COUNTIFS($A$5:$A$404,A195,$D$5:$D$404,"Có")&lt;&gt;0,"Choice tương tác không được đánh dấu đáp án đúng",""),"Choice chưa chọn loại")))))))</f>
        <v/>
      </c>
    </row>
    <row r="196" spans="1:11">
      <c r="A196" s="13"/>
      <c r="B196" s="13"/>
      <c r="C196" s="5"/>
      <c r="D196" s="13"/>
      <c r="E196" s="13"/>
      <c r="F196" s="13"/>
      <c r="G196" s="13"/>
      <c r="H196" s="5"/>
      <c r="I196" s="5"/>
      <c r="J196" s="6" t="str">
        <f t="shared" si="2"/>
        <v/>
      </c>
      <c r="K196" s="6" t="str">
        <f>IF(A196="","",IF(COUNTIFS('02_KICH_BAN_NODES'!$B$5:$B$204,A196,'02_KICH_BAN_NODES'!$D$5:$D$204,"choice")=0,"ChoiceNodeId không tồn tại hoặc không phải choice",IF(COUNTIFS($A$5:$A$404,A196,$B$5:$B$404,B196)&gt;1,"Trùng OptionOrder trong cùng choice",IF(OR(B196="",C196="",D196="",F196="",H196=""),"Thiếu trường bắt buộc",IF(OR(COUNTIF($A$5:$A$404,A196)&lt;2,COUNTIF($A$5:$A$404,A196)&gt;4),"Mỗi choice cần 2–4 option",IF(COUNTIFS('02_KICH_BAN_NODES'!$B$5:$B$204,A196,'02_KICH_BAN_NODES'!$E$5:$E$204,"Kiến thức")=1,IF(COUNTIFS($A$5:$A$404,A196,$D$5:$D$404,"Có")&lt;&gt;1,"Choice kiến thức cần đúng 1 đáp án đúng",""),IF(COUNTIFS('02_KICH_BAN_NODES'!$B$5:$B$204,A196,'02_KICH_BAN_NODES'!$E$5:$E$204,"Tương tác")=1,IF(COUNTIFS($A$5:$A$404,A196,$D$5:$D$404,"Có")&lt;&gt;0,"Choice tương tác không được đánh dấu đáp án đúng",""),"Choice chưa chọn loại")))))))</f>
        <v/>
      </c>
    </row>
    <row r="197" spans="1:11">
      <c r="A197" s="13"/>
      <c r="B197" s="13"/>
      <c r="C197" s="5"/>
      <c r="D197" s="13"/>
      <c r="E197" s="13"/>
      <c r="F197" s="13"/>
      <c r="G197" s="13"/>
      <c r="H197" s="5"/>
      <c r="I197" s="5"/>
      <c r="J197" s="6" t="str">
        <f t="shared" ref="J197:J260" si="3">IF(A197="","",IF(K197="","HỢP LỆ","CẦN SỬA"))</f>
        <v/>
      </c>
      <c r="K197" s="6" t="str">
        <f>IF(A197="","",IF(COUNTIFS('02_KICH_BAN_NODES'!$B$5:$B$204,A197,'02_KICH_BAN_NODES'!$D$5:$D$204,"choice")=0,"ChoiceNodeId không tồn tại hoặc không phải choice",IF(COUNTIFS($A$5:$A$404,A197,$B$5:$B$404,B197)&gt;1,"Trùng OptionOrder trong cùng choice",IF(OR(B197="",C197="",D197="",F197="",H197=""),"Thiếu trường bắt buộc",IF(OR(COUNTIF($A$5:$A$404,A197)&lt;2,COUNTIF($A$5:$A$404,A197)&gt;4),"Mỗi choice cần 2–4 option",IF(COUNTIFS('02_KICH_BAN_NODES'!$B$5:$B$204,A197,'02_KICH_BAN_NODES'!$E$5:$E$204,"Kiến thức")=1,IF(COUNTIFS($A$5:$A$404,A197,$D$5:$D$404,"Có")&lt;&gt;1,"Choice kiến thức cần đúng 1 đáp án đúng",""),IF(COUNTIFS('02_KICH_BAN_NODES'!$B$5:$B$204,A197,'02_KICH_BAN_NODES'!$E$5:$E$204,"Tương tác")=1,IF(COUNTIFS($A$5:$A$404,A197,$D$5:$D$404,"Có")&lt;&gt;0,"Choice tương tác không được đánh dấu đáp án đúng",""),"Choice chưa chọn loại")))))))</f>
        <v/>
      </c>
    </row>
    <row r="198" spans="1:11">
      <c r="A198" s="13"/>
      <c r="B198" s="13"/>
      <c r="C198" s="5"/>
      <c r="D198" s="13"/>
      <c r="E198" s="13"/>
      <c r="F198" s="13"/>
      <c r="G198" s="13"/>
      <c r="H198" s="5"/>
      <c r="I198" s="5"/>
      <c r="J198" s="6" t="str">
        <f t="shared" si="3"/>
        <v/>
      </c>
      <c r="K198" s="6" t="str">
        <f>IF(A198="","",IF(COUNTIFS('02_KICH_BAN_NODES'!$B$5:$B$204,A198,'02_KICH_BAN_NODES'!$D$5:$D$204,"choice")=0,"ChoiceNodeId không tồn tại hoặc không phải choice",IF(COUNTIFS($A$5:$A$404,A198,$B$5:$B$404,B198)&gt;1,"Trùng OptionOrder trong cùng choice",IF(OR(B198="",C198="",D198="",F198="",H198=""),"Thiếu trường bắt buộc",IF(OR(COUNTIF($A$5:$A$404,A198)&lt;2,COUNTIF($A$5:$A$404,A198)&gt;4),"Mỗi choice cần 2–4 option",IF(COUNTIFS('02_KICH_BAN_NODES'!$B$5:$B$204,A198,'02_KICH_BAN_NODES'!$E$5:$E$204,"Kiến thức")=1,IF(COUNTIFS($A$5:$A$404,A198,$D$5:$D$404,"Có")&lt;&gt;1,"Choice kiến thức cần đúng 1 đáp án đúng",""),IF(COUNTIFS('02_KICH_BAN_NODES'!$B$5:$B$204,A198,'02_KICH_BAN_NODES'!$E$5:$E$204,"Tương tác")=1,IF(COUNTIFS($A$5:$A$404,A198,$D$5:$D$404,"Có")&lt;&gt;0,"Choice tương tác không được đánh dấu đáp án đúng",""),"Choice chưa chọn loại")))))))</f>
        <v/>
      </c>
    </row>
    <row r="199" spans="1:11">
      <c r="A199" s="13"/>
      <c r="B199" s="13"/>
      <c r="C199" s="5"/>
      <c r="D199" s="13"/>
      <c r="E199" s="13"/>
      <c r="F199" s="13"/>
      <c r="G199" s="13"/>
      <c r="H199" s="5"/>
      <c r="I199" s="5"/>
      <c r="J199" s="6" t="str">
        <f t="shared" si="3"/>
        <v/>
      </c>
      <c r="K199" s="6" t="str">
        <f>IF(A199="","",IF(COUNTIFS('02_KICH_BAN_NODES'!$B$5:$B$204,A199,'02_KICH_BAN_NODES'!$D$5:$D$204,"choice")=0,"ChoiceNodeId không tồn tại hoặc không phải choice",IF(COUNTIFS($A$5:$A$404,A199,$B$5:$B$404,B199)&gt;1,"Trùng OptionOrder trong cùng choice",IF(OR(B199="",C199="",D199="",F199="",H199=""),"Thiếu trường bắt buộc",IF(OR(COUNTIF($A$5:$A$404,A199)&lt;2,COUNTIF($A$5:$A$404,A199)&gt;4),"Mỗi choice cần 2–4 option",IF(COUNTIFS('02_KICH_BAN_NODES'!$B$5:$B$204,A199,'02_KICH_BAN_NODES'!$E$5:$E$204,"Kiến thức")=1,IF(COUNTIFS($A$5:$A$404,A199,$D$5:$D$404,"Có")&lt;&gt;1,"Choice kiến thức cần đúng 1 đáp án đúng",""),IF(COUNTIFS('02_KICH_BAN_NODES'!$B$5:$B$204,A199,'02_KICH_BAN_NODES'!$E$5:$E$204,"Tương tác")=1,IF(COUNTIFS($A$5:$A$404,A199,$D$5:$D$404,"Có")&lt;&gt;0,"Choice tương tác không được đánh dấu đáp án đúng",""),"Choice chưa chọn loại")))))))</f>
        <v/>
      </c>
    </row>
    <row r="200" spans="1:11">
      <c r="A200" s="13"/>
      <c r="B200" s="13"/>
      <c r="C200" s="5"/>
      <c r="D200" s="13"/>
      <c r="E200" s="13"/>
      <c r="F200" s="13"/>
      <c r="G200" s="13"/>
      <c r="H200" s="5"/>
      <c r="I200" s="5"/>
      <c r="J200" s="6" t="str">
        <f t="shared" si="3"/>
        <v/>
      </c>
      <c r="K200" s="6" t="str">
        <f>IF(A200="","",IF(COUNTIFS('02_KICH_BAN_NODES'!$B$5:$B$204,A200,'02_KICH_BAN_NODES'!$D$5:$D$204,"choice")=0,"ChoiceNodeId không tồn tại hoặc không phải choice",IF(COUNTIFS($A$5:$A$404,A200,$B$5:$B$404,B200)&gt;1,"Trùng OptionOrder trong cùng choice",IF(OR(B200="",C200="",D200="",F200="",H200=""),"Thiếu trường bắt buộc",IF(OR(COUNTIF($A$5:$A$404,A200)&lt;2,COUNTIF($A$5:$A$404,A200)&gt;4),"Mỗi choice cần 2–4 option",IF(COUNTIFS('02_KICH_BAN_NODES'!$B$5:$B$204,A200,'02_KICH_BAN_NODES'!$E$5:$E$204,"Kiến thức")=1,IF(COUNTIFS($A$5:$A$404,A200,$D$5:$D$404,"Có")&lt;&gt;1,"Choice kiến thức cần đúng 1 đáp án đúng",""),IF(COUNTIFS('02_KICH_BAN_NODES'!$B$5:$B$204,A200,'02_KICH_BAN_NODES'!$E$5:$E$204,"Tương tác")=1,IF(COUNTIFS($A$5:$A$404,A200,$D$5:$D$404,"Có")&lt;&gt;0,"Choice tương tác không được đánh dấu đáp án đúng",""),"Choice chưa chọn loại")))))))</f>
        <v/>
      </c>
    </row>
    <row r="201" spans="1:11">
      <c r="A201" s="13"/>
      <c r="B201" s="13"/>
      <c r="C201" s="5"/>
      <c r="D201" s="13"/>
      <c r="E201" s="13"/>
      <c r="F201" s="13"/>
      <c r="G201" s="13"/>
      <c r="H201" s="5"/>
      <c r="I201" s="5"/>
      <c r="J201" s="6" t="str">
        <f t="shared" si="3"/>
        <v/>
      </c>
      <c r="K201" s="6" t="str">
        <f>IF(A201="","",IF(COUNTIFS('02_KICH_BAN_NODES'!$B$5:$B$204,A201,'02_KICH_BAN_NODES'!$D$5:$D$204,"choice")=0,"ChoiceNodeId không tồn tại hoặc không phải choice",IF(COUNTIFS($A$5:$A$404,A201,$B$5:$B$404,B201)&gt;1,"Trùng OptionOrder trong cùng choice",IF(OR(B201="",C201="",D201="",F201="",H201=""),"Thiếu trường bắt buộc",IF(OR(COUNTIF($A$5:$A$404,A201)&lt;2,COUNTIF($A$5:$A$404,A201)&gt;4),"Mỗi choice cần 2–4 option",IF(COUNTIFS('02_KICH_BAN_NODES'!$B$5:$B$204,A201,'02_KICH_BAN_NODES'!$E$5:$E$204,"Kiến thức")=1,IF(COUNTIFS($A$5:$A$404,A201,$D$5:$D$404,"Có")&lt;&gt;1,"Choice kiến thức cần đúng 1 đáp án đúng",""),IF(COUNTIFS('02_KICH_BAN_NODES'!$B$5:$B$204,A201,'02_KICH_BAN_NODES'!$E$5:$E$204,"Tương tác")=1,IF(COUNTIFS($A$5:$A$404,A201,$D$5:$D$404,"Có")&lt;&gt;0,"Choice tương tác không được đánh dấu đáp án đúng",""),"Choice chưa chọn loại")))))))</f>
        <v/>
      </c>
    </row>
    <row r="202" spans="1:11">
      <c r="A202" s="13"/>
      <c r="B202" s="13"/>
      <c r="C202" s="5"/>
      <c r="D202" s="13"/>
      <c r="E202" s="13"/>
      <c r="F202" s="13"/>
      <c r="G202" s="13"/>
      <c r="H202" s="5"/>
      <c r="I202" s="5"/>
      <c r="J202" s="6" t="str">
        <f t="shared" si="3"/>
        <v/>
      </c>
      <c r="K202" s="6" t="str">
        <f>IF(A202="","",IF(COUNTIFS('02_KICH_BAN_NODES'!$B$5:$B$204,A202,'02_KICH_BAN_NODES'!$D$5:$D$204,"choice")=0,"ChoiceNodeId không tồn tại hoặc không phải choice",IF(COUNTIFS($A$5:$A$404,A202,$B$5:$B$404,B202)&gt;1,"Trùng OptionOrder trong cùng choice",IF(OR(B202="",C202="",D202="",F202="",H202=""),"Thiếu trường bắt buộc",IF(OR(COUNTIF($A$5:$A$404,A202)&lt;2,COUNTIF($A$5:$A$404,A202)&gt;4),"Mỗi choice cần 2–4 option",IF(COUNTIFS('02_KICH_BAN_NODES'!$B$5:$B$204,A202,'02_KICH_BAN_NODES'!$E$5:$E$204,"Kiến thức")=1,IF(COUNTIFS($A$5:$A$404,A202,$D$5:$D$404,"Có")&lt;&gt;1,"Choice kiến thức cần đúng 1 đáp án đúng",""),IF(COUNTIFS('02_KICH_BAN_NODES'!$B$5:$B$204,A202,'02_KICH_BAN_NODES'!$E$5:$E$204,"Tương tác")=1,IF(COUNTIFS($A$5:$A$404,A202,$D$5:$D$404,"Có")&lt;&gt;0,"Choice tương tác không được đánh dấu đáp án đúng",""),"Choice chưa chọn loại")))))))</f>
        <v/>
      </c>
    </row>
    <row r="203" spans="1:11">
      <c r="A203" s="13"/>
      <c r="B203" s="13"/>
      <c r="C203" s="5"/>
      <c r="D203" s="13"/>
      <c r="E203" s="13"/>
      <c r="F203" s="13"/>
      <c r="G203" s="13"/>
      <c r="H203" s="5"/>
      <c r="I203" s="5"/>
      <c r="J203" s="6" t="str">
        <f t="shared" si="3"/>
        <v/>
      </c>
      <c r="K203" s="6" t="str">
        <f>IF(A203="","",IF(COUNTIFS('02_KICH_BAN_NODES'!$B$5:$B$204,A203,'02_KICH_BAN_NODES'!$D$5:$D$204,"choice")=0,"ChoiceNodeId không tồn tại hoặc không phải choice",IF(COUNTIFS($A$5:$A$404,A203,$B$5:$B$404,B203)&gt;1,"Trùng OptionOrder trong cùng choice",IF(OR(B203="",C203="",D203="",F203="",H203=""),"Thiếu trường bắt buộc",IF(OR(COUNTIF($A$5:$A$404,A203)&lt;2,COUNTIF($A$5:$A$404,A203)&gt;4),"Mỗi choice cần 2–4 option",IF(COUNTIFS('02_KICH_BAN_NODES'!$B$5:$B$204,A203,'02_KICH_BAN_NODES'!$E$5:$E$204,"Kiến thức")=1,IF(COUNTIFS($A$5:$A$404,A203,$D$5:$D$404,"Có")&lt;&gt;1,"Choice kiến thức cần đúng 1 đáp án đúng",""),IF(COUNTIFS('02_KICH_BAN_NODES'!$B$5:$B$204,A203,'02_KICH_BAN_NODES'!$E$5:$E$204,"Tương tác")=1,IF(COUNTIFS($A$5:$A$404,A203,$D$5:$D$404,"Có")&lt;&gt;0,"Choice tương tác không được đánh dấu đáp án đúng",""),"Choice chưa chọn loại")))))))</f>
        <v/>
      </c>
    </row>
    <row r="204" spans="1:11">
      <c r="A204" s="13"/>
      <c r="B204" s="13"/>
      <c r="C204" s="5"/>
      <c r="D204" s="13"/>
      <c r="E204" s="13"/>
      <c r="F204" s="13"/>
      <c r="G204" s="13"/>
      <c r="H204" s="5"/>
      <c r="I204" s="5"/>
      <c r="J204" s="6" t="str">
        <f t="shared" si="3"/>
        <v/>
      </c>
      <c r="K204" s="6" t="str">
        <f>IF(A204="","",IF(COUNTIFS('02_KICH_BAN_NODES'!$B$5:$B$204,A204,'02_KICH_BAN_NODES'!$D$5:$D$204,"choice")=0,"ChoiceNodeId không tồn tại hoặc không phải choice",IF(COUNTIFS($A$5:$A$404,A204,$B$5:$B$404,B204)&gt;1,"Trùng OptionOrder trong cùng choice",IF(OR(B204="",C204="",D204="",F204="",H204=""),"Thiếu trường bắt buộc",IF(OR(COUNTIF($A$5:$A$404,A204)&lt;2,COUNTIF($A$5:$A$404,A204)&gt;4),"Mỗi choice cần 2–4 option",IF(COUNTIFS('02_KICH_BAN_NODES'!$B$5:$B$204,A204,'02_KICH_BAN_NODES'!$E$5:$E$204,"Kiến thức")=1,IF(COUNTIFS($A$5:$A$404,A204,$D$5:$D$404,"Có")&lt;&gt;1,"Choice kiến thức cần đúng 1 đáp án đúng",""),IF(COUNTIFS('02_KICH_BAN_NODES'!$B$5:$B$204,A204,'02_KICH_BAN_NODES'!$E$5:$E$204,"Tương tác")=1,IF(COUNTIFS($A$5:$A$404,A204,$D$5:$D$404,"Có")&lt;&gt;0,"Choice tương tác không được đánh dấu đáp án đúng",""),"Choice chưa chọn loại")))))))</f>
        <v/>
      </c>
    </row>
    <row r="205" spans="1:11">
      <c r="A205" s="13"/>
      <c r="B205" s="13"/>
      <c r="C205" s="5"/>
      <c r="D205" s="13"/>
      <c r="E205" s="13"/>
      <c r="F205" s="13"/>
      <c r="G205" s="13"/>
      <c r="H205" s="5"/>
      <c r="I205" s="5"/>
      <c r="J205" s="6" t="str">
        <f t="shared" si="3"/>
        <v/>
      </c>
      <c r="K205" s="6" t="str">
        <f>IF(A205="","",IF(COUNTIFS('02_KICH_BAN_NODES'!$B$5:$B$204,A205,'02_KICH_BAN_NODES'!$D$5:$D$204,"choice")=0,"ChoiceNodeId không tồn tại hoặc không phải choice",IF(COUNTIFS($A$5:$A$404,A205,$B$5:$B$404,B205)&gt;1,"Trùng OptionOrder trong cùng choice",IF(OR(B205="",C205="",D205="",F205="",H205=""),"Thiếu trường bắt buộc",IF(OR(COUNTIF($A$5:$A$404,A205)&lt;2,COUNTIF($A$5:$A$404,A205)&gt;4),"Mỗi choice cần 2–4 option",IF(COUNTIFS('02_KICH_BAN_NODES'!$B$5:$B$204,A205,'02_KICH_BAN_NODES'!$E$5:$E$204,"Kiến thức")=1,IF(COUNTIFS($A$5:$A$404,A205,$D$5:$D$404,"Có")&lt;&gt;1,"Choice kiến thức cần đúng 1 đáp án đúng",""),IF(COUNTIFS('02_KICH_BAN_NODES'!$B$5:$B$204,A205,'02_KICH_BAN_NODES'!$E$5:$E$204,"Tương tác")=1,IF(COUNTIFS($A$5:$A$404,A205,$D$5:$D$404,"Có")&lt;&gt;0,"Choice tương tác không được đánh dấu đáp án đúng",""),"Choice chưa chọn loại")))))))</f>
        <v/>
      </c>
    </row>
    <row r="206" spans="1:11">
      <c r="A206" s="13"/>
      <c r="B206" s="13"/>
      <c r="C206" s="5"/>
      <c r="D206" s="13"/>
      <c r="E206" s="13"/>
      <c r="F206" s="13"/>
      <c r="G206" s="13"/>
      <c r="H206" s="5"/>
      <c r="I206" s="5"/>
      <c r="J206" s="6" t="str">
        <f t="shared" si="3"/>
        <v/>
      </c>
      <c r="K206" s="6" t="str">
        <f>IF(A206="","",IF(COUNTIFS('02_KICH_BAN_NODES'!$B$5:$B$204,A206,'02_KICH_BAN_NODES'!$D$5:$D$204,"choice")=0,"ChoiceNodeId không tồn tại hoặc không phải choice",IF(COUNTIFS($A$5:$A$404,A206,$B$5:$B$404,B206)&gt;1,"Trùng OptionOrder trong cùng choice",IF(OR(B206="",C206="",D206="",F206="",H206=""),"Thiếu trường bắt buộc",IF(OR(COUNTIF($A$5:$A$404,A206)&lt;2,COUNTIF($A$5:$A$404,A206)&gt;4),"Mỗi choice cần 2–4 option",IF(COUNTIFS('02_KICH_BAN_NODES'!$B$5:$B$204,A206,'02_KICH_BAN_NODES'!$E$5:$E$204,"Kiến thức")=1,IF(COUNTIFS($A$5:$A$404,A206,$D$5:$D$404,"Có")&lt;&gt;1,"Choice kiến thức cần đúng 1 đáp án đúng",""),IF(COUNTIFS('02_KICH_BAN_NODES'!$B$5:$B$204,A206,'02_KICH_BAN_NODES'!$E$5:$E$204,"Tương tác")=1,IF(COUNTIFS($A$5:$A$404,A206,$D$5:$D$404,"Có")&lt;&gt;0,"Choice tương tác không được đánh dấu đáp án đúng",""),"Choice chưa chọn loại")))))))</f>
        <v/>
      </c>
    </row>
    <row r="207" spans="1:11">
      <c r="A207" s="13"/>
      <c r="B207" s="13"/>
      <c r="C207" s="5"/>
      <c r="D207" s="13"/>
      <c r="E207" s="13"/>
      <c r="F207" s="13"/>
      <c r="G207" s="13"/>
      <c r="H207" s="5"/>
      <c r="I207" s="5"/>
      <c r="J207" s="6" t="str">
        <f t="shared" si="3"/>
        <v/>
      </c>
      <c r="K207" s="6" t="str">
        <f>IF(A207="","",IF(COUNTIFS('02_KICH_BAN_NODES'!$B$5:$B$204,A207,'02_KICH_BAN_NODES'!$D$5:$D$204,"choice")=0,"ChoiceNodeId không tồn tại hoặc không phải choice",IF(COUNTIFS($A$5:$A$404,A207,$B$5:$B$404,B207)&gt;1,"Trùng OptionOrder trong cùng choice",IF(OR(B207="",C207="",D207="",F207="",H207=""),"Thiếu trường bắt buộc",IF(OR(COUNTIF($A$5:$A$404,A207)&lt;2,COUNTIF($A$5:$A$404,A207)&gt;4),"Mỗi choice cần 2–4 option",IF(COUNTIFS('02_KICH_BAN_NODES'!$B$5:$B$204,A207,'02_KICH_BAN_NODES'!$E$5:$E$204,"Kiến thức")=1,IF(COUNTIFS($A$5:$A$404,A207,$D$5:$D$404,"Có")&lt;&gt;1,"Choice kiến thức cần đúng 1 đáp án đúng",""),IF(COUNTIFS('02_KICH_BAN_NODES'!$B$5:$B$204,A207,'02_KICH_BAN_NODES'!$E$5:$E$204,"Tương tác")=1,IF(COUNTIFS($A$5:$A$404,A207,$D$5:$D$404,"Có")&lt;&gt;0,"Choice tương tác không được đánh dấu đáp án đúng",""),"Choice chưa chọn loại")))))))</f>
        <v/>
      </c>
    </row>
    <row r="208" spans="1:11">
      <c r="A208" s="13"/>
      <c r="B208" s="13"/>
      <c r="C208" s="5"/>
      <c r="D208" s="13"/>
      <c r="E208" s="13"/>
      <c r="F208" s="13"/>
      <c r="G208" s="13"/>
      <c r="H208" s="5"/>
      <c r="I208" s="5"/>
      <c r="J208" s="6" t="str">
        <f t="shared" si="3"/>
        <v/>
      </c>
      <c r="K208" s="6" t="str">
        <f>IF(A208="","",IF(COUNTIFS('02_KICH_BAN_NODES'!$B$5:$B$204,A208,'02_KICH_BAN_NODES'!$D$5:$D$204,"choice")=0,"ChoiceNodeId không tồn tại hoặc không phải choice",IF(COUNTIFS($A$5:$A$404,A208,$B$5:$B$404,B208)&gt;1,"Trùng OptionOrder trong cùng choice",IF(OR(B208="",C208="",D208="",F208="",H208=""),"Thiếu trường bắt buộc",IF(OR(COUNTIF($A$5:$A$404,A208)&lt;2,COUNTIF($A$5:$A$404,A208)&gt;4),"Mỗi choice cần 2–4 option",IF(COUNTIFS('02_KICH_BAN_NODES'!$B$5:$B$204,A208,'02_KICH_BAN_NODES'!$E$5:$E$204,"Kiến thức")=1,IF(COUNTIFS($A$5:$A$404,A208,$D$5:$D$404,"Có")&lt;&gt;1,"Choice kiến thức cần đúng 1 đáp án đúng",""),IF(COUNTIFS('02_KICH_BAN_NODES'!$B$5:$B$204,A208,'02_KICH_BAN_NODES'!$E$5:$E$204,"Tương tác")=1,IF(COUNTIFS($A$5:$A$404,A208,$D$5:$D$404,"Có")&lt;&gt;0,"Choice tương tác không được đánh dấu đáp án đúng",""),"Choice chưa chọn loại")))))))</f>
        <v/>
      </c>
    </row>
    <row r="209" spans="1:11">
      <c r="A209" s="13"/>
      <c r="B209" s="13"/>
      <c r="C209" s="5"/>
      <c r="D209" s="13"/>
      <c r="E209" s="13"/>
      <c r="F209" s="13"/>
      <c r="G209" s="13"/>
      <c r="H209" s="5"/>
      <c r="I209" s="5"/>
      <c r="J209" s="6" t="str">
        <f t="shared" si="3"/>
        <v/>
      </c>
      <c r="K209" s="6" t="str">
        <f>IF(A209="","",IF(COUNTIFS('02_KICH_BAN_NODES'!$B$5:$B$204,A209,'02_KICH_BAN_NODES'!$D$5:$D$204,"choice")=0,"ChoiceNodeId không tồn tại hoặc không phải choice",IF(COUNTIFS($A$5:$A$404,A209,$B$5:$B$404,B209)&gt;1,"Trùng OptionOrder trong cùng choice",IF(OR(B209="",C209="",D209="",F209="",H209=""),"Thiếu trường bắt buộc",IF(OR(COUNTIF($A$5:$A$404,A209)&lt;2,COUNTIF($A$5:$A$404,A209)&gt;4),"Mỗi choice cần 2–4 option",IF(COUNTIFS('02_KICH_BAN_NODES'!$B$5:$B$204,A209,'02_KICH_BAN_NODES'!$E$5:$E$204,"Kiến thức")=1,IF(COUNTIFS($A$5:$A$404,A209,$D$5:$D$404,"Có")&lt;&gt;1,"Choice kiến thức cần đúng 1 đáp án đúng",""),IF(COUNTIFS('02_KICH_BAN_NODES'!$B$5:$B$204,A209,'02_KICH_BAN_NODES'!$E$5:$E$204,"Tương tác")=1,IF(COUNTIFS($A$5:$A$404,A209,$D$5:$D$404,"Có")&lt;&gt;0,"Choice tương tác không được đánh dấu đáp án đúng",""),"Choice chưa chọn loại")))))))</f>
        <v/>
      </c>
    </row>
    <row r="210" spans="1:11">
      <c r="A210" s="13"/>
      <c r="B210" s="13"/>
      <c r="C210" s="5"/>
      <c r="D210" s="13"/>
      <c r="E210" s="13"/>
      <c r="F210" s="13"/>
      <c r="G210" s="13"/>
      <c r="H210" s="5"/>
      <c r="I210" s="5"/>
      <c r="J210" s="6" t="str">
        <f t="shared" si="3"/>
        <v/>
      </c>
      <c r="K210" s="6" t="str">
        <f>IF(A210="","",IF(COUNTIFS('02_KICH_BAN_NODES'!$B$5:$B$204,A210,'02_KICH_BAN_NODES'!$D$5:$D$204,"choice")=0,"ChoiceNodeId không tồn tại hoặc không phải choice",IF(COUNTIFS($A$5:$A$404,A210,$B$5:$B$404,B210)&gt;1,"Trùng OptionOrder trong cùng choice",IF(OR(B210="",C210="",D210="",F210="",H210=""),"Thiếu trường bắt buộc",IF(OR(COUNTIF($A$5:$A$404,A210)&lt;2,COUNTIF($A$5:$A$404,A210)&gt;4),"Mỗi choice cần 2–4 option",IF(COUNTIFS('02_KICH_BAN_NODES'!$B$5:$B$204,A210,'02_KICH_BAN_NODES'!$E$5:$E$204,"Kiến thức")=1,IF(COUNTIFS($A$5:$A$404,A210,$D$5:$D$404,"Có")&lt;&gt;1,"Choice kiến thức cần đúng 1 đáp án đúng",""),IF(COUNTIFS('02_KICH_BAN_NODES'!$B$5:$B$204,A210,'02_KICH_BAN_NODES'!$E$5:$E$204,"Tương tác")=1,IF(COUNTIFS($A$5:$A$404,A210,$D$5:$D$404,"Có")&lt;&gt;0,"Choice tương tác không được đánh dấu đáp án đúng",""),"Choice chưa chọn loại")))))))</f>
        <v/>
      </c>
    </row>
    <row r="211" spans="1:11">
      <c r="A211" s="13"/>
      <c r="B211" s="13"/>
      <c r="C211" s="5"/>
      <c r="D211" s="13"/>
      <c r="E211" s="13"/>
      <c r="F211" s="13"/>
      <c r="G211" s="13"/>
      <c r="H211" s="5"/>
      <c r="I211" s="5"/>
      <c r="J211" s="6" t="str">
        <f t="shared" si="3"/>
        <v/>
      </c>
      <c r="K211" s="6" t="str">
        <f>IF(A211="","",IF(COUNTIFS('02_KICH_BAN_NODES'!$B$5:$B$204,A211,'02_KICH_BAN_NODES'!$D$5:$D$204,"choice")=0,"ChoiceNodeId không tồn tại hoặc không phải choice",IF(COUNTIFS($A$5:$A$404,A211,$B$5:$B$404,B211)&gt;1,"Trùng OptionOrder trong cùng choice",IF(OR(B211="",C211="",D211="",F211="",H211=""),"Thiếu trường bắt buộc",IF(OR(COUNTIF($A$5:$A$404,A211)&lt;2,COUNTIF($A$5:$A$404,A211)&gt;4),"Mỗi choice cần 2–4 option",IF(COUNTIFS('02_KICH_BAN_NODES'!$B$5:$B$204,A211,'02_KICH_BAN_NODES'!$E$5:$E$204,"Kiến thức")=1,IF(COUNTIFS($A$5:$A$404,A211,$D$5:$D$404,"Có")&lt;&gt;1,"Choice kiến thức cần đúng 1 đáp án đúng",""),IF(COUNTIFS('02_KICH_BAN_NODES'!$B$5:$B$204,A211,'02_KICH_BAN_NODES'!$E$5:$E$204,"Tương tác")=1,IF(COUNTIFS($A$5:$A$404,A211,$D$5:$D$404,"Có")&lt;&gt;0,"Choice tương tác không được đánh dấu đáp án đúng",""),"Choice chưa chọn loại")))))))</f>
        <v/>
      </c>
    </row>
    <row r="212" spans="1:11">
      <c r="A212" s="13"/>
      <c r="B212" s="13"/>
      <c r="C212" s="5"/>
      <c r="D212" s="13"/>
      <c r="E212" s="13"/>
      <c r="F212" s="13"/>
      <c r="G212" s="13"/>
      <c r="H212" s="5"/>
      <c r="I212" s="5"/>
      <c r="J212" s="6" t="str">
        <f t="shared" si="3"/>
        <v/>
      </c>
      <c r="K212" s="6" t="str">
        <f>IF(A212="","",IF(COUNTIFS('02_KICH_BAN_NODES'!$B$5:$B$204,A212,'02_KICH_BAN_NODES'!$D$5:$D$204,"choice")=0,"ChoiceNodeId không tồn tại hoặc không phải choice",IF(COUNTIFS($A$5:$A$404,A212,$B$5:$B$404,B212)&gt;1,"Trùng OptionOrder trong cùng choice",IF(OR(B212="",C212="",D212="",F212="",H212=""),"Thiếu trường bắt buộc",IF(OR(COUNTIF($A$5:$A$404,A212)&lt;2,COUNTIF($A$5:$A$404,A212)&gt;4),"Mỗi choice cần 2–4 option",IF(COUNTIFS('02_KICH_BAN_NODES'!$B$5:$B$204,A212,'02_KICH_BAN_NODES'!$E$5:$E$204,"Kiến thức")=1,IF(COUNTIFS($A$5:$A$404,A212,$D$5:$D$404,"Có")&lt;&gt;1,"Choice kiến thức cần đúng 1 đáp án đúng",""),IF(COUNTIFS('02_KICH_BAN_NODES'!$B$5:$B$204,A212,'02_KICH_BAN_NODES'!$E$5:$E$204,"Tương tác")=1,IF(COUNTIFS($A$5:$A$404,A212,$D$5:$D$404,"Có")&lt;&gt;0,"Choice tương tác không được đánh dấu đáp án đúng",""),"Choice chưa chọn loại")))))))</f>
        <v/>
      </c>
    </row>
    <row r="213" spans="1:11">
      <c r="A213" s="13"/>
      <c r="B213" s="13"/>
      <c r="C213" s="5"/>
      <c r="D213" s="13"/>
      <c r="E213" s="13"/>
      <c r="F213" s="13"/>
      <c r="G213" s="13"/>
      <c r="H213" s="5"/>
      <c r="I213" s="5"/>
      <c r="J213" s="6" t="str">
        <f t="shared" si="3"/>
        <v/>
      </c>
      <c r="K213" s="6" t="str">
        <f>IF(A213="","",IF(COUNTIFS('02_KICH_BAN_NODES'!$B$5:$B$204,A213,'02_KICH_BAN_NODES'!$D$5:$D$204,"choice")=0,"ChoiceNodeId không tồn tại hoặc không phải choice",IF(COUNTIFS($A$5:$A$404,A213,$B$5:$B$404,B213)&gt;1,"Trùng OptionOrder trong cùng choice",IF(OR(B213="",C213="",D213="",F213="",H213=""),"Thiếu trường bắt buộc",IF(OR(COUNTIF($A$5:$A$404,A213)&lt;2,COUNTIF($A$5:$A$404,A213)&gt;4),"Mỗi choice cần 2–4 option",IF(COUNTIFS('02_KICH_BAN_NODES'!$B$5:$B$204,A213,'02_KICH_BAN_NODES'!$E$5:$E$204,"Kiến thức")=1,IF(COUNTIFS($A$5:$A$404,A213,$D$5:$D$404,"Có")&lt;&gt;1,"Choice kiến thức cần đúng 1 đáp án đúng",""),IF(COUNTIFS('02_KICH_BAN_NODES'!$B$5:$B$204,A213,'02_KICH_BAN_NODES'!$E$5:$E$204,"Tương tác")=1,IF(COUNTIFS($A$5:$A$404,A213,$D$5:$D$404,"Có")&lt;&gt;0,"Choice tương tác không được đánh dấu đáp án đúng",""),"Choice chưa chọn loại")))))))</f>
        <v/>
      </c>
    </row>
    <row r="214" spans="1:11">
      <c r="A214" s="13"/>
      <c r="B214" s="13"/>
      <c r="C214" s="5"/>
      <c r="D214" s="13"/>
      <c r="E214" s="13"/>
      <c r="F214" s="13"/>
      <c r="G214" s="13"/>
      <c r="H214" s="5"/>
      <c r="I214" s="5"/>
      <c r="J214" s="6" t="str">
        <f t="shared" si="3"/>
        <v/>
      </c>
      <c r="K214" s="6" t="str">
        <f>IF(A214="","",IF(COUNTIFS('02_KICH_BAN_NODES'!$B$5:$B$204,A214,'02_KICH_BAN_NODES'!$D$5:$D$204,"choice")=0,"ChoiceNodeId không tồn tại hoặc không phải choice",IF(COUNTIFS($A$5:$A$404,A214,$B$5:$B$404,B214)&gt;1,"Trùng OptionOrder trong cùng choice",IF(OR(B214="",C214="",D214="",F214="",H214=""),"Thiếu trường bắt buộc",IF(OR(COUNTIF($A$5:$A$404,A214)&lt;2,COUNTIF($A$5:$A$404,A214)&gt;4),"Mỗi choice cần 2–4 option",IF(COUNTIFS('02_KICH_BAN_NODES'!$B$5:$B$204,A214,'02_KICH_BAN_NODES'!$E$5:$E$204,"Kiến thức")=1,IF(COUNTIFS($A$5:$A$404,A214,$D$5:$D$404,"Có")&lt;&gt;1,"Choice kiến thức cần đúng 1 đáp án đúng",""),IF(COUNTIFS('02_KICH_BAN_NODES'!$B$5:$B$204,A214,'02_KICH_BAN_NODES'!$E$5:$E$204,"Tương tác")=1,IF(COUNTIFS($A$5:$A$404,A214,$D$5:$D$404,"Có")&lt;&gt;0,"Choice tương tác không được đánh dấu đáp án đúng",""),"Choice chưa chọn loại")))))))</f>
        <v/>
      </c>
    </row>
    <row r="215" spans="1:11">
      <c r="A215" s="13"/>
      <c r="B215" s="13"/>
      <c r="C215" s="5"/>
      <c r="D215" s="13"/>
      <c r="E215" s="13"/>
      <c r="F215" s="13"/>
      <c r="G215" s="13"/>
      <c r="H215" s="5"/>
      <c r="I215" s="5"/>
      <c r="J215" s="6" t="str">
        <f t="shared" si="3"/>
        <v/>
      </c>
      <c r="K215" s="6" t="str">
        <f>IF(A215="","",IF(COUNTIFS('02_KICH_BAN_NODES'!$B$5:$B$204,A215,'02_KICH_BAN_NODES'!$D$5:$D$204,"choice")=0,"ChoiceNodeId không tồn tại hoặc không phải choice",IF(COUNTIFS($A$5:$A$404,A215,$B$5:$B$404,B215)&gt;1,"Trùng OptionOrder trong cùng choice",IF(OR(B215="",C215="",D215="",F215="",H215=""),"Thiếu trường bắt buộc",IF(OR(COUNTIF($A$5:$A$404,A215)&lt;2,COUNTIF($A$5:$A$404,A215)&gt;4),"Mỗi choice cần 2–4 option",IF(COUNTIFS('02_KICH_BAN_NODES'!$B$5:$B$204,A215,'02_KICH_BAN_NODES'!$E$5:$E$204,"Kiến thức")=1,IF(COUNTIFS($A$5:$A$404,A215,$D$5:$D$404,"Có")&lt;&gt;1,"Choice kiến thức cần đúng 1 đáp án đúng",""),IF(COUNTIFS('02_KICH_BAN_NODES'!$B$5:$B$204,A215,'02_KICH_BAN_NODES'!$E$5:$E$204,"Tương tác")=1,IF(COUNTIFS($A$5:$A$404,A215,$D$5:$D$404,"Có")&lt;&gt;0,"Choice tương tác không được đánh dấu đáp án đúng",""),"Choice chưa chọn loại")))))))</f>
        <v/>
      </c>
    </row>
    <row r="216" spans="1:11">
      <c r="A216" s="13"/>
      <c r="B216" s="13"/>
      <c r="C216" s="5"/>
      <c r="D216" s="13"/>
      <c r="E216" s="13"/>
      <c r="F216" s="13"/>
      <c r="G216" s="13"/>
      <c r="H216" s="5"/>
      <c r="I216" s="5"/>
      <c r="J216" s="6" t="str">
        <f t="shared" si="3"/>
        <v/>
      </c>
      <c r="K216" s="6" t="str">
        <f>IF(A216="","",IF(COUNTIFS('02_KICH_BAN_NODES'!$B$5:$B$204,A216,'02_KICH_BAN_NODES'!$D$5:$D$204,"choice")=0,"ChoiceNodeId không tồn tại hoặc không phải choice",IF(COUNTIFS($A$5:$A$404,A216,$B$5:$B$404,B216)&gt;1,"Trùng OptionOrder trong cùng choice",IF(OR(B216="",C216="",D216="",F216="",H216=""),"Thiếu trường bắt buộc",IF(OR(COUNTIF($A$5:$A$404,A216)&lt;2,COUNTIF($A$5:$A$404,A216)&gt;4),"Mỗi choice cần 2–4 option",IF(COUNTIFS('02_KICH_BAN_NODES'!$B$5:$B$204,A216,'02_KICH_BAN_NODES'!$E$5:$E$204,"Kiến thức")=1,IF(COUNTIFS($A$5:$A$404,A216,$D$5:$D$404,"Có")&lt;&gt;1,"Choice kiến thức cần đúng 1 đáp án đúng",""),IF(COUNTIFS('02_KICH_BAN_NODES'!$B$5:$B$204,A216,'02_KICH_BAN_NODES'!$E$5:$E$204,"Tương tác")=1,IF(COUNTIFS($A$5:$A$404,A216,$D$5:$D$404,"Có")&lt;&gt;0,"Choice tương tác không được đánh dấu đáp án đúng",""),"Choice chưa chọn loại")))))))</f>
        <v/>
      </c>
    </row>
    <row r="217" spans="1:11">
      <c r="A217" s="13"/>
      <c r="B217" s="13"/>
      <c r="C217" s="5"/>
      <c r="D217" s="13"/>
      <c r="E217" s="13"/>
      <c r="F217" s="13"/>
      <c r="G217" s="13"/>
      <c r="H217" s="5"/>
      <c r="I217" s="5"/>
      <c r="J217" s="6" t="str">
        <f t="shared" si="3"/>
        <v/>
      </c>
      <c r="K217" s="6" t="str">
        <f>IF(A217="","",IF(COUNTIFS('02_KICH_BAN_NODES'!$B$5:$B$204,A217,'02_KICH_BAN_NODES'!$D$5:$D$204,"choice")=0,"ChoiceNodeId không tồn tại hoặc không phải choice",IF(COUNTIFS($A$5:$A$404,A217,$B$5:$B$404,B217)&gt;1,"Trùng OptionOrder trong cùng choice",IF(OR(B217="",C217="",D217="",F217="",H217=""),"Thiếu trường bắt buộc",IF(OR(COUNTIF($A$5:$A$404,A217)&lt;2,COUNTIF($A$5:$A$404,A217)&gt;4),"Mỗi choice cần 2–4 option",IF(COUNTIFS('02_KICH_BAN_NODES'!$B$5:$B$204,A217,'02_KICH_BAN_NODES'!$E$5:$E$204,"Kiến thức")=1,IF(COUNTIFS($A$5:$A$404,A217,$D$5:$D$404,"Có")&lt;&gt;1,"Choice kiến thức cần đúng 1 đáp án đúng",""),IF(COUNTIFS('02_KICH_BAN_NODES'!$B$5:$B$204,A217,'02_KICH_BAN_NODES'!$E$5:$E$204,"Tương tác")=1,IF(COUNTIFS($A$5:$A$404,A217,$D$5:$D$404,"Có")&lt;&gt;0,"Choice tương tác không được đánh dấu đáp án đúng",""),"Choice chưa chọn loại")))))))</f>
        <v/>
      </c>
    </row>
    <row r="218" spans="1:11">
      <c r="A218" s="13"/>
      <c r="B218" s="13"/>
      <c r="C218" s="5"/>
      <c r="D218" s="13"/>
      <c r="E218" s="13"/>
      <c r="F218" s="13"/>
      <c r="G218" s="13"/>
      <c r="H218" s="5"/>
      <c r="I218" s="5"/>
      <c r="J218" s="6" t="str">
        <f t="shared" si="3"/>
        <v/>
      </c>
      <c r="K218" s="6" t="str">
        <f>IF(A218="","",IF(COUNTIFS('02_KICH_BAN_NODES'!$B$5:$B$204,A218,'02_KICH_BAN_NODES'!$D$5:$D$204,"choice")=0,"ChoiceNodeId không tồn tại hoặc không phải choice",IF(COUNTIFS($A$5:$A$404,A218,$B$5:$B$404,B218)&gt;1,"Trùng OptionOrder trong cùng choice",IF(OR(B218="",C218="",D218="",F218="",H218=""),"Thiếu trường bắt buộc",IF(OR(COUNTIF($A$5:$A$404,A218)&lt;2,COUNTIF($A$5:$A$404,A218)&gt;4),"Mỗi choice cần 2–4 option",IF(COUNTIFS('02_KICH_BAN_NODES'!$B$5:$B$204,A218,'02_KICH_BAN_NODES'!$E$5:$E$204,"Kiến thức")=1,IF(COUNTIFS($A$5:$A$404,A218,$D$5:$D$404,"Có")&lt;&gt;1,"Choice kiến thức cần đúng 1 đáp án đúng",""),IF(COUNTIFS('02_KICH_BAN_NODES'!$B$5:$B$204,A218,'02_KICH_BAN_NODES'!$E$5:$E$204,"Tương tác")=1,IF(COUNTIFS($A$5:$A$404,A218,$D$5:$D$404,"Có")&lt;&gt;0,"Choice tương tác không được đánh dấu đáp án đúng",""),"Choice chưa chọn loại")))))))</f>
        <v/>
      </c>
    </row>
    <row r="219" spans="1:11">
      <c r="A219" s="13"/>
      <c r="B219" s="13"/>
      <c r="C219" s="5"/>
      <c r="D219" s="13"/>
      <c r="E219" s="13"/>
      <c r="F219" s="13"/>
      <c r="G219" s="13"/>
      <c r="H219" s="5"/>
      <c r="I219" s="5"/>
      <c r="J219" s="6" t="str">
        <f t="shared" si="3"/>
        <v/>
      </c>
      <c r="K219" s="6" t="str">
        <f>IF(A219="","",IF(COUNTIFS('02_KICH_BAN_NODES'!$B$5:$B$204,A219,'02_KICH_BAN_NODES'!$D$5:$D$204,"choice")=0,"ChoiceNodeId không tồn tại hoặc không phải choice",IF(COUNTIFS($A$5:$A$404,A219,$B$5:$B$404,B219)&gt;1,"Trùng OptionOrder trong cùng choice",IF(OR(B219="",C219="",D219="",F219="",H219=""),"Thiếu trường bắt buộc",IF(OR(COUNTIF($A$5:$A$404,A219)&lt;2,COUNTIF($A$5:$A$404,A219)&gt;4),"Mỗi choice cần 2–4 option",IF(COUNTIFS('02_KICH_BAN_NODES'!$B$5:$B$204,A219,'02_KICH_BAN_NODES'!$E$5:$E$204,"Kiến thức")=1,IF(COUNTIFS($A$5:$A$404,A219,$D$5:$D$404,"Có")&lt;&gt;1,"Choice kiến thức cần đúng 1 đáp án đúng",""),IF(COUNTIFS('02_KICH_BAN_NODES'!$B$5:$B$204,A219,'02_KICH_BAN_NODES'!$E$5:$E$204,"Tương tác")=1,IF(COUNTIFS($A$5:$A$404,A219,$D$5:$D$404,"Có")&lt;&gt;0,"Choice tương tác không được đánh dấu đáp án đúng",""),"Choice chưa chọn loại")))))))</f>
        <v/>
      </c>
    </row>
    <row r="220" spans="1:11">
      <c r="A220" s="13"/>
      <c r="B220" s="13"/>
      <c r="C220" s="5"/>
      <c r="D220" s="13"/>
      <c r="E220" s="13"/>
      <c r="F220" s="13"/>
      <c r="G220" s="13"/>
      <c r="H220" s="5"/>
      <c r="I220" s="5"/>
      <c r="J220" s="6" t="str">
        <f t="shared" si="3"/>
        <v/>
      </c>
      <c r="K220" s="6" t="str">
        <f>IF(A220="","",IF(COUNTIFS('02_KICH_BAN_NODES'!$B$5:$B$204,A220,'02_KICH_BAN_NODES'!$D$5:$D$204,"choice")=0,"ChoiceNodeId không tồn tại hoặc không phải choice",IF(COUNTIFS($A$5:$A$404,A220,$B$5:$B$404,B220)&gt;1,"Trùng OptionOrder trong cùng choice",IF(OR(B220="",C220="",D220="",F220="",H220=""),"Thiếu trường bắt buộc",IF(OR(COUNTIF($A$5:$A$404,A220)&lt;2,COUNTIF($A$5:$A$404,A220)&gt;4),"Mỗi choice cần 2–4 option",IF(COUNTIFS('02_KICH_BAN_NODES'!$B$5:$B$204,A220,'02_KICH_BAN_NODES'!$E$5:$E$204,"Kiến thức")=1,IF(COUNTIFS($A$5:$A$404,A220,$D$5:$D$404,"Có")&lt;&gt;1,"Choice kiến thức cần đúng 1 đáp án đúng",""),IF(COUNTIFS('02_KICH_BAN_NODES'!$B$5:$B$204,A220,'02_KICH_BAN_NODES'!$E$5:$E$204,"Tương tác")=1,IF(COUNTIFS($A$5:$A$404,A220,$D$5:$D$404,"Có")&lt;&gt;0,"Choice tương tác không được đánh dấu đáp án đúng",""),"Choice chưa chọn loại")))))))</f>
        <v/>
      </c>
    </row>
    <row r="221" spans="1:11">
      <c r="A221" s="13"/>
      <c r="B221" s="13"/>
      <c r="C221" s="5"/>
      <c r="D221" s="13"/>
      <c r="E221" s="13"/>
      <c r="F221" s="13"/>
      <c r="G221" s="13"/>
      <c r="H221" s="5"/>
      <c r="I221" s="5"/>
      <c r="J221" s="6" t="str">
        <f t="shared" si="3"/>
        <v/>
      </c>
      <c r="K221" s="6" t="str">
        <f>IF(A221="","",IF(COUNTIFS('02_KICH_BAN_NODES'!$B$5:$B$204,A221,'02_KICH_BAN_NODES'!$D$5:$D$204,"choice")=0,"ChoiceNodeId không tồn tại hoặc không phải choice",IF(COUNTIFS($A$5:$A$404,A221,$B$5:$B$404,B221)&gt;1,"Trùng OptionOrder trong cùng choice",IF(OR(B221="",C221="",D221="",F221="",H221=""),"Thiếu trường bắt buộc",IF(OR(COUNTIF($A$5:$A$404,A221)&lt;2,COUNTIF($A$5:$A$404,A221)&gt;4),"Mỗi choice cần 2–4 option",IF(COUNTIFS('02_KICH_BAN_NODES'!$B$5:$B$204,A221,'02_KICH_BAN_NODES'!$E$5:$E$204,"Kiến thức")=1,IF(COUNTIFS($A$5:$A$404,A221,$D$5:$D$404,"Có")&lt;&gt;1,"Choice kiến thức cần đúng 1 đáp án đúng",""),IF(COUNTIFS('02_KICH_BAN_NODES'!$B$5:$B$204,A221,'02_KICH_BAN_NODES'!$E$5:$E$204,"Tương tác")=1,IF(COUNTIFS($A$5:$A$404,A221,$D$5:$D$404,"Có")&lt;&gt;0,"Choice tương tác không được đánh dấu đáp án đúng",""),"Choice chưa chọn loại")))))))</f>
        <v/>
      </c>
    </row>
    <row r="222" spans="1:11">
      <c r="A222" s="13"/>
      <c r="B222" s="13"/>
      <c r="C222" s="5"/>
      <c r="D222" s="13"/>
      <c r="E222" s="13"/>
      <c r="F222" s="13"/>
      <c r="G222" s="13"/>
      <c r="H222" s="5"/>
      <c r="I222" s="5"/>
      <c r="J222" s="6" t="str">
        <f t="shared" si="3"/>
        <v/>
      </c>
      <c r="K222" s="6" t="str">
        <f>IF(A222="","",IF(COUNTIFS('02_KICH_BAN_NODES'!$B$5:$B$204,A222,'02_KICH_BAN_NODES'!$D$5:$D$204,"choice")=0,"ChoiceNodeId không tồn tại hoặc không phải choice",IF(COUNTIFS($A$5:$A$404,A222,$B$5:$B$404,B222)&gt;1,"Trùng OptionOrder trong cùng choice",IF(OR(B222="",C222="",D222="",F222="",H222=""),"Thiếu trường bắt buộc",IF(OR(COUNTIF($A$5:$A$404,A222)&lt;2,COUNTIF($A$5:$A$404,A222)&gt;4),"Mỗi choice cần 2–4 option",IF(COUNTIFS('02_KICH_BAN_NODES'!$B$5:$B$204,A222,'02_KICH_BAN_NODES'!$E$5:$E$204,"Kiến thức")=1,IF(COUNTIFS($A$5:$A$404,A222,$D$5:$D$404,"Có")&lt;&gt;1,"Choice kiến thức cần đúng 1 đáp án đúng",""),IF(COUNTIFS('02_KICH_BAN_NODES'!$B$5:$B$204,A222,'02_KICH_BAN_NODES'!$E$5:$E$204,"Tương tác")=1,IF(COUNTIFS($A$5:$A$404,A222,$D$5:$D$404,"Có")&lt;&gt;0,"Choice tương tác không được đánh dấu đáp án đúng",""),"Choice chưa chọn loại")))))))</f>
        <v/>
      </c>
    </row>
    <row r="223" spans="1:11">
      <c r="A223" s="13"/>
      <c r="B223" s="13"/>
      <c r="C223" s="5"/>
      <c r="D223" s="13"/>
      <c r="E223" s="13"/>
      <c r="F223" s="13"/>
      <c r="G223" s="13"/>
      <c r="H223" s="5"/>
      <c r="I223" s="5"/>
      <c r="J223" s="6" t="str">
        <f t="shared" si="3"/>
        <v/>
      </c>
      <c r="K223" s="6" t="str">
        <f>IF(A223="","",IF(COUNTIFS('02_KICH_BAN_NODES'!$B$5:$B$204,A223,'02_KICH_BAN_NODES'!$D$5:$D$204,"choice")=0,"ChoiceNodeId không tồn tại hoặc không phải choice",IF(COUNTIFS($A$5:$A$404,A223,$B$5:$B$404,B223)&gt;1,"Trùng OptionOrder trong cùng choice",IF(OR(B223="",C223="",D223="",F223="",H223=""),"Thiếu trường bắt buộc",IF(OR(COUNTIF($A$5:$A$404,A223)&lt;2,COUNTIF($A$5:$A$404,A223)&gt;4),"Mỗi choice cần 2–4 option",IF(COUNTIFS('02_KICH_BAN_NODES'!$B$5:$B$204,A223,'02_KICH_BAN_NODES'!$E$5:$E$204,"Kiến thức")=1,IF(COUNTIFS($A$5:$A$404,A223,$D$5:$D$404,"Có")&lt;&gt;1,"Choice kiến thức cần đúng 1 đáp án đúng",""),IF(COUNTIFS('02_KICH_BAN_NODES'!$B$5:$B$204,A223,'02_KICH_BAN_NODES'!$E$5:$E$204,"Tương tác")=1,IF(COUNTIFS($A$5:$A$404,A223,$D$5:$D$404,"Có")&lt;&gt;0,"Choice tương tác không được đánh dấu đáp án đúng",""),"Choice chưa chọn loại")))))))</f>
        <v/>
      </c>
    </row>
    <row r="224" spans="1:11">
      <c r="A224" s="13"/>
      <c r="B224" s="13"/>
      <c r="C224" s="5"/>
      <c r="D224" s="13"/>
      <c r="E224" s="13"/>
      <c r="F224" s="13"/>
      <c r="G224" s="13"/>
      <c r="H224" s="5"/>
      <c r="I224" s="5"/>
      <c r="J224" s="6" t="str">
        <f t="shared" si="3"/>
        <v/>
      </c>
      <c r="K224" s="6" t="str">
        <f>IF(A224="","",IF(COUNTIFS('02_KICH_BAN_NODES'!$B$5:$B$204,A224,'02_KICH_BAN_NODES'!$D$5:$D$204,"choice")=0,"ChoiceNodeId không tồn tại hoặc không phải choice",IF(COUNTIFS($A$5:$A$404,A224,$B$5:$B$404,B224)&gt;1,"Trùng OptionOrder trong cùng choice",IF(OR(B224="",C224="",D224="",F224="",H224=""),"Thiếu trường bắt buộc",IF(OR(COUNTIF($A$5:$A$404,A224)&lt;2,COUNTIF($A$5:$A$404,A224)&gt;4),"Mỗi choice cần 2–4 option",IF(COUNTIFS('02_KICH_BAN_NODES'!$B$5:$B$204,A224,'02_KICH_BAN_NODES'!$E$5:$E$204,"Kiến thức")=1,IF(COUNTIFS($A$5:$A$404,A224,$D$5:$D$404,"Có")&lt;&gt;1,"Choice kiến thức cần đúng 1 đáp án đúng",""),IF(COUNTIFS('02_KICH_BAN_NODES'!$B$5:$B$204,A224,'02_KICH_BAN_NODES'!$E$5:$E$204,"Tương tác")=1,IF(COUNTIFS($A$5:$A$404,A224,$D$5:$D$404,"Có")&lt;&gt;0,"Choice tương tác không được đánh dấu đáp án đúng",""),"Choice chưa chọn loại")))))))</f>
        <v/>
      </c>
    </row>
    <row r="225" spans="1:11">
      <c r="A225" s="13"/>
      <c r="B225" s="13"/>
      <c r="C225" s="5"/>
      <c r="D225" s="13"/>
      <c r="E225" s="13"/>
      <c r="F225" s="13"/>
      <c r="G225" s="13"/>
      <c r="H225" s="5"/>
      <c r="I225" s="5"/>
      <c r="J225" s="6" t="str">
        <f t="shared" si="3"/>
        <v/>
      </c>
      <c r="K225" s="6" t="str">
        <f>IF(A225="","",IF(COUNTIFS('02_KICH_BAN_NODES'!$B$5:$B$204,A225,'02_KICH_BAN_NODES'!$D$5:$D$204,"choice")=0,"ChoiceNodeId không tồn tại hoặc không phải choice",IF(COUNTIFS($A$5:$A$404,A225,$B$5:$B$404,B225)&gt;1,"Trùng OptionOrder trong cùng choice",IF(OR(B225="",C225="",D225="",F225="",H225=""),"Thiếu trường bắt buộc",IF(OR(COUNTIF($A$5:$A$404,A225)&lt;2,COUNTIF($A$5:$A$404,A225)&gt;4),"Mỗi choice cần 2–4 option",IF(COUNTIFS('02_KICH_BAN_NODES'!$B$5:$B$204,A225,'02_KICH_BAN_NODES'!$E$5:$E$204,"Kiến thức")=1,IF(COUNTIFS($A$5:$A$404,A225,$D$5:$D$404,"Có")&lt;&gt;1,"Choice kiến thức cần đúng 1 đáp án đúng",""),IF(COUNTIFS('02_KICH_BAN_NODES'!$B$5:$B$204,A225,'02_KICH_BAN_NODES'!$E$5:$E$204,"Tương tác")=1,IF(COUNTIFS($A$5:$A$404,A225,$D$5:$D$404,"Có")&lt;&gt;0,"Choice tương tác không được đánh dấu đáp án đúng",""),"Choice chưa chọn loại")))))))</f>
        <v/>
      </c>
    </row>
    <row r="226" spans="1:11">
      <c r="A226" s="13"/>
      <c r="B226" s="13"/>
      <c r="C226" s="5"/>
      <c r="D226" s="13"/>
      <c r="E226" s="13"/>
      <c r="F226" s="13"/>
      <c r="G226" s="13"/>
      <c r="H226" s="5"/>
      <c r="I226" s="5"/>
      <c r="J226" s="6" t="str">
        <f t="shared" si="3"/>
        <v/>
      </c>
      <c r="K226" s="6" t="str">
        <f>IF(A226="","",IF(COUNTIFS('02_KICH_BAN_NODES'!$B$5:$B$204,A226,'02_KICH_BAN_NODES'!$D$5:$D$204,"choice")=0,"ChoiceNodeId không tồn tại hoặc không phải choice",IF(COUNTIFS($A$5:$A$404,A226,$B$5:$B$404,B226)&gt;1,"Trùng OptionOrder trong cùng choice",IF(OR(B226="",C226="",D226="",F226="",H226=""),"Thiếu trường bắt buộc",IF(OR(COUNTIF($A$5:$A$404,A226)&lt;2,COUNTIF($A$5:$A$404,A226)&gt;4),"Mỗi choice cần 2–4 option",IF(COUNTIFS('02_KICH_BAN_NODES'!$B$5:$B$204,A226,'02_KICH_BAN_NODES'!$E$5:$E$204,"Kiến thức")=1,IF(COUNTIFS($A$5:$A$404,A226,$D$5:$D$404,"Có")&lt;&gt;1,"Choice kiến thức cần đúng 1 đáp án đúng",""),IF(COUNTIFS('02_KICH_BAN_NODES'!$B$5:$B$204,A226,'02_KICH_BAN_NODES'!$E$5:$E$204,"Tương tác")=1,IF(COUNTIFS($A$5:$A$404,A226,$D$5:$D$404,"Có")&lt;&gt;0,"Choice tương tác không được đánh dấu đáp án đúng",""),"Choice chưa chọn loại")))))))</f>
        <v/>
      </c>
    </row>
    <row r="227" spans="1:11">
      <c r="A227" s="13"/>
      <c r="B227" s="13"/>
      <c r="C227" s="5"/>
      <c r="D227" s="13"/>
      <c r="E227" s="13"/>
      <c r="F227" s="13"/>
      <c r="G227" s="13"/>
      <c r="H227" s="5"/>
      <c r="I227" s="5"/>
      <c r="J227" s="6" t="str">
        <f t="shared" si="3"/>
        <v/>
      </c>
      <c r="K227" s="6" t="str">
        <f>IF(A227="","",IF(COUNTIFS('02_KICH_BAN_NODES'!$B$5:$B$204,A227,'02_KICH_BAN_NODES'!$D$5:$D$204,"choice")=0,"ChoiceNodeId không tồn tại hoặc không phải choice",IF(COUNTIFS($A$5:$A$404,A227,$B$5:$B$404,B227)&gt;1,"Trùng OptionOrder trong cùng choice",IF(OR(B227="",C227="",D227="",F227="",H227=""),"Thiếu trường bắt buộc",IF(OR(COUNTIF($A$5:$A$404,A227)&lt;2,COUNTIF($A$5:$A$404,A227)&gt;4),"Mỗi choice cần 2–4 option",IF(COUNTIFS('02_KICH_BAN_NODES'!$B$5:$B$204,A227,'02_KICH_BAN_NODES'!$E$5:$E$204,"Kiến thức")=1,IF(COUNTIFS($A$5:$A$404,A227,$D$5:$D$404,"Có")&lt;&gt;1,"Choice kiến thức cần đúng 1 đáp án đúng",""),IF(COUNTIFS('02_KICH_BAN_NODES'!$B$5:$B$204,A227,'02_KICH_BAN_NODES'!$E$5:$E$204,"Tương tác")=1,IF(COUNTIFS($A$5:$A$404,A227,$D$5:$D$404,"Có")&lt;&gt;0,"Choice tương tác không được đánh dấu đáp án đúng",""),"Choice chưa chọn loại")))))))</f>
        <v/>
      </c>
    </row>
    <row r="228" spans="1:11">
      <c r="A228" s="13"/>
      <c r="B228" s="13"/>
      <c r="C228" s="5"/>
      <c r="D228" s="13"/>
      <c r="E228" s="13"/>
      <c r="F228" s="13"/>
      <c r="G228" s="13"/>
      <c r="H228" s="5"/>
      <c r="I228" s="5"/>
      <c r="J228" s="6" t="str">
        <f t="shared" si="3"/>
        <v/>
      </c>
      <c r="K228" s="6" t="str">
        <f>IF(A228="","",IF(COUNTIFS('02_KICH_BAN_NODES'!$B$5:$B$204,A228,'02_KICH_BAN_NODES'!$D$5:$D$204,"choice")=0,"ChoiceNodeId không tồn tại hoặc không phải choice",IF(COUNTIFS($A$5:$A$404,A228,$B$5:$B$404,B228)&gt;1,"Trùng OptionOrder trong cùng choice",IF(OR(B228="",C228="",D228="",F228="",H228=""),"Thiếu trường bắt buộc",IF(OR(COUNTIF($A$5:$A$404,A228)&lt;2,COUNTIF($A$5:$A$404,A228)&gt;4),"Mỗi choice cần 2–4 option",IF(COUNTIFS('02_KICH_BAN_NODES'!$B$5:$B$204,A228,'02_KICH_BAN_NODES'!$E$5:$E$204,"Kiến thức")=1,IF(COUNTIFS($A$5:$A$404,A228,$D$5:$D$404,"Có")&lt;&gt;1,"Choice kiến thức cần đúng 1 đáp án đúng",""),IF(COUNTIFS('02_KICH_BAN_NODES'!$B$5:$B$204,A228,'02_KICH_BAN_NODES'!$E$5:$E$204,"Tương tác")=1,IF(COUNTIFS($A$5:$A$404,A228,$D$5:$D$404,"Có")&lt;&gt;0,"Choice tương tác không được đánh dấu đáp án đúng",""),"Choice chưa chọn loại")))))))</f>
        <v/>
      </c>
    </row>
    <row r="229" spans="1:11">
      <c r="A229" s="13"/>
      <c r="B229" s="13"/>
      <c r="C229" s="5"/>
      <c r="D229" s="13"/>
      <c r="E229" s="13"/>
      <c r="F229" s="13"/>
      <c r="G229" s="13"/>
      <c r="H229" s="5"/>
      <c r="I229" s="5"/>
      <c r="J229" s="6" t="str">
        <f t="shared" si="3"/>
        <v/>
      </c>
      <c r="K229" s="6" t="str">
        <f>IF(A229="","",IF(COUNTIFS('02_KICH_BAN_NODES'!$B$5:$B$204,A229,'02_KICH_BAN_NODES'!$D$5:$D$204,"choice")=0,"ChoiceNodeId không tồn tại hoặc không phải choice",IF(COUNTIFS($A$5:$A$404,A229,$B$5:$B$404,B229)&gt;1,"Trùng OptionOrder trong cùng choice",IF(OR(B229="",C229="",D229="",F229="",H229=""),"Thiếu trường bắt buộc",IF(OR(COUNTIF($A$5:$A$404,A229)&lt;2,COUNTIF($A$5:$A$404,A229)&gt;4),"Mỗi choice cần 2–4 option",IF(COUNTIFS('02_KICH_BAN_NODES'!$B$5:$B$204,A229,'02_KICH_BAN_NODES'!$E$5:$E$204,"Kiến thức")=1,IF(COUNTIFS($A$5:$A$404,A229,$D$5:$D$404,"Có")&lt;&gt;1,"Choice kiến thức cần đúng 1 đáp án đúng",""),IF(COUNTIFS('02_KICH_BAN_NODES'!$B$5:$B$204,A229,'02_KICH_BAN_NODES'!$E$5:$E$204,"Tương tác")=1,IF(COUNTIFS($A$5:$A$404,A229,$D$5:$D$404,"Có")&lt;&gt;0,"Choice tương tác không được đánh dấu đáp án đúng",""),"Choice chưa chọn loại")))))))</f>
        <v/>
      </c>
    </row>
    <row r="230" spans="1:11">
      <c r="A230" s="13"/>
      <c r="B230" s="13"/>
      <c r="C230" s="5"/>
      <c r="D230" s="13"/>
      <c r="E230" s="13"/>
      <c r="F230" s="13"/>
      <c r="G230" s="13"/>
      <c r="H230" s="5"/>
      <c r="I230" s="5"/>
      <c r="J230" s="6" t="str">
        <f t="shared" si="3"/>
        <v/>
      </c>
      <c r="K230" s="6" t="str">
        <f>IF(A230="","",IF(COUNTIFS('02_KICH_BAN_NODES'!$B$5:$B$204,A230,'02_KICH_BAN_NODES'!$D$5:$D$204,"choice")=0,"ChoiceNodeId không tồn tại hoặc không phải choice",IF(COUNTIFS($A$5:$A$404,A230,$B$5:$B$404,B230)&gt;1,"Trùng OptionOrder trong cùng choice",IF(OR(B230="",C230="",D230="",F230="",H230=""),"Thiếu trường bắt buộc",IF(OR(COUNTIF($A$5:$A$404,A230)&lt;2,COUNTIF($A$5:$A$404,A230)&gt;4),"Mỗi choice cần 2–4 option",IF(COUNTIFS('02_KICH_BAN_NODES'!$B$5:$B$204,A230,'02_KICH_BAN_NODES'!$E$5:$E$204,"Kiến thức")=1,IF(COUNTIFS($A$5:$A$404,A230,$D$5:$D$404,"Có")&lt;&gt;1,"Choice kiến thức cần đúng 1 đáp án đúng",""),IF(COUNTIFS('02_KICH_BAN_NODES'!$B$5:$B$204,A230,'02_KICH_BAN_NODES'!$E$5:$E$204,"Tương tác")=1,IF(COUNTIFS($A$5:$A$404,A230,$D$5:$D$404,"Có")&lt;&gt;0,"Choice tương tác không được đánh dấu đáp án đúng",""),"Choice chưa chọn loại")))))))</f>
        <v/>
      </c>
    </row>
    <row r="231" spans="1:11">
      <c r="A231" s="13"/>
      <c r="B231" s="13"/>
      <c r="C231" s="5"/>
      <c r="D231" s="13"/>
      <c r="E231" s="13"/>
      <c r="F231" s="13"/>
      <c r="G231" s="13"/>
      <c r="H231" s="5"/>
      <c r="I231" s="5"/>
      <c r="J231" s="6" t="str">
        <f t="shared" si="3"/>
        <v/>
      </c>
      <c r="K231" s="6" t="str">
        <f>IF(A231="","",IF(COUNTIFS('02_KICH_BAN_NODES'!$B$5:$B$204,A231,'02_KICH_BAN_NODES'!$D$5:$D$204,"choice")=0,"ChoiceNodeId không tồn tại hoặc không phải choice",IF(COUNTIFS($A$5:$A$404,A231,$B$5:$B$404,B231)&gt;1,"Trùng OptionOrder trong cùng choice",IF(OR(B231="",C231="",D231="",F231="",H231=""),"Thiếu trường bắt buộc",IF(OR(COUNTIF($A$5:$A$404,A231)&lt;2,COUNTIF($A$5:$A$404,A231)&gt;4),"Mỗi choice cần 2–4 option",IF(COUNTIFS('02_KICH_BAN_NODES'!$B$5:$B$204,A231,'02_KICH_BAN_NODES'!$E$5:$E$204,"Kiến thức")=1,IF(COUNTIFS($A$5:$A$404,A231,$D$5:$D$404,"Có")&lt;&gt;1,"Choice kiến thức cần đúng 1 đáp án đúng",""),IF(COUNTIFS('02_KICH_BAN_NODES'!$B$5:$B$204,A231,'02_KICH_BAN_NODES'!$E$5:$E$204,"Tương tác")=1,IF(COUNTIFS($A$5:$A$404,A231,$D$5:$D$404,"Có")&lt;&gt;0,"Choice tương tác không được đánh dấu đáp án đúng",""),"Choice chưa chọn loại")))))))</f>
        <v/>
      </c>
    </row>
    <row r="232" spans="1:11">
      <c r="A232" s="13"/>
      <c r="B232" s="13"/>
      <c r="C232" s="5"/>
      <c r="D232" s="13"/>
      <c r="E232" s="13"/>
      <c r="F232" s="13"/>
      <c r="G232" s="13"/>
      <c r="H232" s="5"/>
      <c r="I232" s="5"/>
      <c r="J232" s="6" t="str">
        <f t="shared" si="3"/>
        <v/>
      </c>
      <c r="K232" s="6" t="str">
        <f>IF(A232="","",IF(COUNTIFS('02_KICH_BAN_NODES'!$B$5:$B$204,A232,'02_KICH_BAN_NODES'!$D$5:$D$204,"choice")=0,"ChoiceNodeId không tồn tại hoặc không phải choice",IF(COUNTIFS($A$5:$A$404,A232,$B$5:$B$404,B232)&gt;1,"Trùng OptionOrder trong cùng choice",IF(OR(B232="",C232="",D232="",F232="",H232=""),"Thiếu trường bắt buộc",IF(OR(COUNTIF($A$5:$A$404,A232)&lt;2,COUNTIF($A$5:$A$404,A232)&gt;4),"Mỗi choice cần 2–4 option",IF(COUNTIFS('02_KICH_BAN_NODES'!$B$5:$B$204,A232,'02_KICH_BAN_NODES'!$E$5:$E$204,"Kiến thức")=1,IF(COUNTIFS($A$5:$A$404,A232,$D$5:$D$404,"Có")&lt;&gt;1,"Choice kiến thức cần đúng 1 đáp án đúng",""),IF(COUNTIFS('02_KICH_BAN_NODES'!$B$5:$B$204,A232,'02_KICH_BAN_NODES'!$E$5:$E$204,"Tương tác")=1,IF(COUNTIFS($A$5:$A$404,A232,$D$5:$D$404,"Có")&lt;&gt;0,"Choice tương tác không được đánh dấu đáp án đúng",""),"Choice chưa chọn loại")))))))</f>
        <v/>
      </c>
    </row>
    <row r="233" spans="1:11">
      <c r="A233" s="13"/>
      <c r="B233" s="13"/>
      <c r="C233" s="5"/>
      <c r="D233" s="13"/>
      <c r="E233" s="13"/>
      <c r="F233" s="13"/>
      <c r="G233" s="13"/>
      <c r="H233" s="5"/>
      <c r="I233" s="5"/>
      <c r="J233" s="6" t="str">
        <f t="shared" si="3"/>
        <v/>
      </c>
      <c r="K233" s="6" t="str">
        <f>IF(A233="","",IF(COUNTIFS('02_KICH_BAN_NODES'!$B$5:$B$204,A233,'02_KICH_BAN_NODES'!$D$5:$D$204,"choice")=0,"ChoiceNodeId không tồn tại hoặc không phải choice",IF(COUNTIFS($A$5:$A$404,A233,$B$5:$B$404,B233)&gt;1,"Trùng OptionOrder trong cùng choice",IF(OR(B233="",C233="",D233="",F233="",H233=""),"Thiếu trường bắt buộc",IF(OR(COUNTIF($A$5:$A$404,A233)&lt;2,COUNTIF($A$5:$A$404,A233)&gt;4),"Mỗi choice cần 2–4 option",IF(COUNTIFS('02_KICH_BAN_NODES'!$B$5:$B$204,A233,'02_KICH_BAN_NODES'!$E$5:$E$204,"Kiến thức")=1,IF(COUNTIFS($A$5:$A$404,A233,$D$5:$D$404,"Có")&lt;&gt;1,"Choice kiến thức cần đúng 1 đáp án đúng",""),IF(COUNTIFS('02_KICH_BAN_NODES'!$B$5:$B$204,A233,'02_KICH_BAN_NODES'!$E$5:$E$204,"Tương tác")=1,IF(COUNTIFS($A$5:$A$404,A233,$D$5:$D$404,"Có")&lt;&gt;0,"Choice tương tác không được đánh dấu đáp án đúng",""),"Choice chưa chọn loại")))))))</f>
        <v/>
      </c>
    </row>
    <row r="234" spans="1:11">
      <c r="A234" s="13"/>
      <c r="B234" s="13"/>
      <c r="C234" s="5"/>
      <c r="D234" s="13"/>
      <c r="E234" s="13"/>
      <c r="F234" s="13"/>
      <c r="G234" s="13"/>
      <c r="H234" s="5"/>
      <c r="I234" s="5"/>
      <c r="J234" s="6" t="str">
        <f t="shared" si="3"/>
        <v/>
      </c>
      <c r="K234" s="6" t="str">
        <f>IF(A234="","",IF(COUNTIFS('02_KICH_BAN_NODES'!$B$5:$B$204,A234,'02_KICH_BAN_NODES'!$D$5:$D$204,"choice")=0,"ChoiceNodeId không tồn tại hoặc không phải choice",IF(COUNTIFS($A$5:$A$404,A234,$B$5:$B$404,B234)&gt;1,"Trùng OptionOrder trong cùng choice",IF(OR(B234="",C234="",D234="",F234="",H234=""),"Thiếu trường bắt buộc",IF(OR(COUNTIF($A$5:$A$404,A234)&lt;2,COUNTIF($A$5:$A$404,A234)&gt;4),"Mỗi choice cần 2–4 option",IF(COUNTIFS('02_KICH_BAN_NODES'!$B$5:$B$204,A234,'02_KICH_BAN_NODES'!$E$5:$E$204,"Kiến thức")=1,IF(COUNTIFS($A$5:$A$404,A234,$D$5:$D$404,"Có")&lt;&gt;1,"Choice kiến thức cần đúng 1 đáp án đúng",""),IF(COUNTIFS('02_KICH_BAN_NODES'!$B$5:$B$204,A234,'02_KICH_BAN_NODES'!$E$5:$E$204,"Tương tác")=1,IF(COUNTIFS($A$5:$A$404,A234,$D$5:$D$404,"Có")&lt;&gt;0,"Choice tương tác không được đánh dấu đáp án đúng",""),"Choice chưa chọn loại")))))))</f>
        <v/>
      </c>
    </row>
    <row r="235" spans="1:11">
      <c r="A235" s="13"/>
      <c r="B235" s="13"/>
      <c r="C235" s="5"/>
      <c r="D235" s="13"/>
      <c r="E235" s="13"/>
      <c r="F235" s="13"/>
      <c r="G235" s="13"/>
      <c r="H235" s="5"/>
      <c r="I235" s="5"/>
      <c r="J235" s="6" t="str">
        <f t="shared" si="3"/>
        <v/>
      </c>
      <c r="K235" s="6" t="str">
        <f>IF(A235="","",IF(COUNTIFS('02_KICH_BAN_NODES'!$B$5:$B$204,A235,'02_KICH_BAN_NODES'!$D$5:$D$204,"choice")=0,"ChoiceNodeId không tồn tại hoặc không phải choice",IF(COUNTIFS($A$5:$A$404,A235,$B$5:$B$404,B235)&gt;1,"Trùng OptionOrder trong cùng choice",IF(OR(B235="",C235="",D235="",F235="",H235=""),"Thiếu trường bắt buộc",IF(OR(COUNTIF($A$5:$A$404,A235)&lt;2,COUNTIF($A$5:$A$404,A235)&gt;4),"Mỗi choice cần 2–4 option",IF(COUNTIFS('02_KICH_BAN_NODES'!$B$5:$B$204,A235,'02_KICH_BAN_NODES'!$E$5:$E$204,"Kiến thức")=1,IF(COUNTIFS($A$5:$A$404,A235,$D$5:$D$404,"Có")&lt;&gt;1,"Choice kiến thức cần đúng 1 đáp án đúng",""),IF(COUNTIFS('02_KICH_BAN_NODES'!$B$5:$B$204,A235,'02_KICH_BAN_NODES'!$E$5:$E$204,"Tương tác")=1,IF(COUNTIFS($A$5:$A$404,A235,$D$5:$D$404,"Có")&lt;&gt;0,"Choice tương tác không được đánh dấu đáp án đúng",""),"Choice chưa chọn loại")))))))</f>
        <v/>
      </c>
    </row>
    <row r="236" spans="1:11">
      <c r="A236" s="13"/>
      <c r="B236" s="13"/>
      <c r="C236" s="5"/>
      <c r="D236" s="13"/>
      <c r="E236" s="13"/>
      <c r="F236" s="13"/>
      <c r="G236" s="13"/>
      <c r="H236" s="5"/>
      <c r="I236" s="5"/>
      <c r="J236" s="6" t="str">
        <f t="shared" si="3"/>
        <v/>
      </c>
      <c r="K236" s="6" t="str">
        <f>IF(A236="","",IF(COUNTIFS('02_KICH_BAN_NODES'!$B$5:$B$204,A236,'02_KICH_BAN_NODES'!$D$5:$D$204,"choice")=0,"ChoiceNodeId không tồn tại hoặc không phải choice",IF(COUNTIFS($A$5:$A$404,A236,$B$5:$B$404,B236)&gt;1,"Trùng OptionOrder trong cùng choice",IF(OR(B236="",C236="",D236="",F236="",H236=""),"Thiếu trường bắt buộc",IF(OR(COUNTIF($A$5:$A$404,A236)&lt;2,COUNTIF($A$5:$A$404,A236)&gt;4),"Mỗi choice cần 2–4 option",IF(COUNTIFS('02_KICH_BAN_NODES'!$B$5:$B$204,A236,'02_KICH_BAN_NODES'!$E$5:$E$204,"Kiến thức")=1,IF(COUNTIFS($A$5:$A$404,A236,$D$5:$D$404,"Có")&lt;&gt;1,"Choice kiến thức cần đúng 1 đáp án đúng",""),IF(COUNTIFS('02_KICH_BAN_NODES'!$B$5:$B$204,A236,'02_KICH_BAN_NODES'!$E$5:$E$204,"Tương tác")=1,IF(COUNTIFS($A$5:$A$404,A236,$D$5:$D$404,"Có")&lt;&gt;0,"Choice tương tác không được đánh dấu đáp án đúng",""),"Choice chưa chọn loại")))))))</f>
        <v/>
      </c>
    </row>
    <row r="237" spans="1:11">
      <c r="A237" s="13"/>
      <c r="B237" s="13"/>
      <c r="C237" s="5"/>
      <c r="D237" s="13"/>
      <c r="E237" s="13"/>
      <c r="F237" s="13"/>
      <c r="G237" s="13"/>
      <c r="H237" s="5"/>
      <c r="I237" s="5"/>
      <c r="J237" s="6" t="str">
        <f t="shared" si="3"/>
        <v/>
      </c>
      <c r="K237" s="6" t="str">
        <f>IF(A237="","",IF(COUNTIFS('02_KICH_BAN_NODES'!$B$5:$B$204,A237,'02_KICH_BAN_NODES'!$D$5:$D$204,"choice")=0,"ChoiceNodeId không tồn tại hoặc không phải choice",IF(COUNTIFS($A$5:$A$404,A237,$B$5:$B$404,B237)&gt;1,"Trùng OptionOrder trong cùng choice",IF(OR(B237="",C237="",D237="",F237="",H237=""),"Thiếu trường bắt buộc",IF(OR(COUNTIF($A$5:$A$404,A237)&lt;2,COUNTIF($A$5:$A$404,A237)&gt;4),"Mỗi choice cần 2–4 option",IF(COUNTIFS('02_KICH_BAN_NODES'!$B$5:$B$204,A237,'02_KICH_BAN_NODES'!$E$5:$E$204,"Kiến thức")=1,IF(COUNTIFS($A$5:$A$404,A237,$D$5:$D$404,"Có")&lt;&gt;1,"Choice kiến thức cần đúng 1 đáp án đúng",""),IF(COUNTIFS('02_KICH_BAN_NODES'!$B$5:$B$204,A237,'02_KICH_BAN_NODES'!$E$5:$E$204,"Tương tác")=1,IF(COUNTIFS($A$5:$A$404,A237,$D$5:$D$404,"Có")&lt;&gt;0,"Choice tương tác không được đánh dấu đáp án đúng",""),"Choice chưa chọn loại")))))))</f>
        <v/>
      </c>
    </row>
    <row r="238" spans="1:11">
      <c r="A238" s="13"/>
      <c r="B238" s="13"/>
      <c r="C238" s="5"/>
      <c r="D238" s="13"/>
      <c r="E238" s="13"/>
      <c r="F238" s="13"/>
      <c r="G238" s="13"/>
      <c r="H238" s="5"/>
      <c r="I238" s="5"/>
      <c r="J238" s="6" t="str">
        <f t="shared" si="3"/>
        <v/>
      </c>
      <c r="K238" s="6" t="str">
        <f>IF(A238="","",IF(COUNTIFS('02_KICH_BAN_NODES'!$B$5:$B$204,A238,'02_KICH_BAN_NODES'!$D$5:$D$204,"choice")=0,"ChoiceNodeId không tồn tại hoặc không phải choice",IF(COUNTIFS($A$5:$A$404,A238,$B$5:$B$404,B238)&gt;1,"Trùng OptionOrder trong cùng choice",IF(OR(B238="",C238="",D238="",F238="",H238=""),"Thiếu trường bắt buộc",IF(OR(COUNTIF($A$5:$A$404,A238)&lt;2,COUNTIF($A$5:$A$404,A238)&gt;4),"Mỗi choice cần 2–4 option",IF(COUNTIFS('02_KICH_BAN_NODES'!$B$5:$B$204,A238,'02_KICH_BAN_NODES'!$E$5:$E$204,"Kiến thức")=1,IF(COUNTIFS($A$5:$A$404,A238,$D$5:$D$404,"Có")&lt;&gt;1,"Choice kiến thức cần đúng 1 đáp án đúng",""),IF(COUNTIFS('02_KICH_BAN_NODES'!$B$5:$B$204,A238,'02_KICH_BAN_NODES'!$E$5:$E$204,"Tương tác")=1,IF(COUNTIFS($A$5:$A$404,A238,$D$5:$D$404,"Có")&lt;&gt;0,"Choice tương tác không được đánh dấu đáp án đúng",""),"Choice chưa chọn loại")))))))</f>
        <v/>
      </c>
    </row>
    <row r="239" spans="1:11">
      <c r="A239" s="13"/>
      <c r="B239" s="13"/>
      <c r="C239" s="5"/>
      <c r="D239" s="13"/>
      <c r="E239" s="13"/>
      <c r="F239" s="13"/>
      <c r="G239" s="13"/>
      <c r="H239" s="5"/>
      <c r="I239" s="5"/>
      <c r="J239" s="6" t="str">
        <f t="shared" si="3"/>
        <v/>
      </c>
      <c r="K239" s="6" t="str">
        <f>IF(A239="","",IF(COUNTIFS('02_KICH_BAN_NODES'!$B$5:$B$204,A239,'02_KICH_BAN_NODES'!$D$5:$D$204,"choice")=0,"ChoiceNodeId không tồn tại hoặc không phải choice",IF(COUNTIFS($A$5:$A$404,A239,$B$5:$B$404,B239)&gt;1,"Trùng OptionOrder trong cùng choice",IF(OR(B239="",C239="",D239="",F239="",H239=""),"Thiếu trường bắt buộc",IF(OR(COUNTIF($A$5:$A$404,A239)&lt;2,COUNTIF($A$5:$A$404,A239)&gt;4),"Mỗi choice cần 2–4 option",IF(COUNTIFS('02_KICH_BAN_NODES'!$B$5:$B$204,A239,'02_KICH_BAN_NODES'!$E$5:$E$204,"Kiến thức")=1,IF(COUNTIFS($A$5:$A$404,A239,$D$5:$D$404,"Có")&lt;&gt;1,"Choice kiến thức cần đúng 1 đáp án đúng",""),IF(COUNTIFS('02_KICH_BAN_NODES'!$B$5:$B$204,A239,'02_KICH_BAN_NODES'!$E$5:$E$204,"Tương tác")=1,IF(COUNTIFS($A$5:$A$404,A239,$D$5:$D$404,"Có")&lt;&gt;0,"Choice tương tác không được đánh dấu đáp án đúng",""),"Choice chưa chọn loại")))))))</f>
        <v/>
      </c>
    </row>
    <row r="240" spans="1:11">
      <c r="A240" s="13"/>
      <c r="B240" s="13"/>
      <c r="C240" s="5"/>
      <c r="D240" s="13"/>
      <c r="E240" s="13"/>
      <c r="F240" s="13"/>
      <c r="G240" s="13"/>
      <c r="H240" s="5"/>
      <c r="I240" s="5"/>
      <c r="J240" s="6" t="str">
        <f t="shared" si="3"/>
        <v/>
      </c>
      <c r="K240" s="6" t="str">
        <f>IF(A240="","",IF(COUNTIFS('02_KICH_BAN_NODES'!$B$5:$B$204,A240,'02_KICH_BAN_NODES'!$D$5:$D$204,"choice")=0,"ChoiceNodeId không tồn tại hoặc không phải choice",IF(COUNTIFS($A$5:$A$404,A240,$B$5:$B$404,B240)&gt;1,"Trùng OptionOrder trong cùng choice",IF(OR(B240="",C240="",D240="",F240="",H240=""),"Thiếu trường bắt buộc",IF(OR(COUNTIF($A$5:$A$404,A240)&lt;2,COUNTIF($A$5:$A$404,A240)&gt;4),"Mỗi choice cần 2–4 option",IF(COUNTIFS('02_KICH_BAN_NODES'!$B$5:$B$204,A240,'02_KICH_BAN_NODES'!$E$5:$E$204,"Kiến thức")=1,IF(COUNTIFS($A$5:$A$404,A240,$D$5:$D$404,"Có")&lt;&gt;1,"Choice kiến thức cần đúng 1 đáp án đúng",""),IF(COUNTIFS('02_KICH_BAN_NODES'!$B$5:$B$204,A240,'02_KICH_BAN_NODES'!$E$5:$E$204,"Tương tác")=1,IF(COUNTIFS($A$5:$A$404,A240,$D$5:$D$404,"Có")&lt;&gt;0,"Choice tương tác không được đánh dấu đáp án đúng",""),"Choice chưa chọn loại")))))))</f>
        <v/>
      </c>
    </row>
    <row r="241" spans="1:11">
      <c r="A241" s="13"/>
      <c r="B241" s="13"/>
      <c r="C241" s="5"/>
      <c r="D241" s="13"/>
      <c r="E241" s="13"/>
      <c r="F241" s="13"/>
      <c r="G241" s="13"/>
      <c r="H241" s="5"/>
      <c r="I241" s="5"/>
      <c r="J241" s="6" t="str">
        <f t="shared" si="3"/>
        <v/>
      </c>
      <c r="K241" s="6" t="str">
        <f>IF(A241="","",IF(COUNTIFS('02_KICH_BAN_NODES'!$B$5:$B$204,A241,'02_KICH_BAN_NODES'!$D$5:$D$204,"choice")=0,"ChoiceNodeId không tồn tại hoặc không phải choice",IF(COUNTIFS($A$5:$A$404,A241,$B$5:$B$404,B241)&gt;1,"Trùng OptionOrder trong cùng choice",IF(OR(B241="",C241="",D241="",F241="",H241=""),"Thiếu trường bắt buộc",IF(OR(COUNTIF($A$5:$A$404,A241)&lt;2,COUNTIF($A$5:$A$404,A241)&gt;4),"Mỗi choice cần 2–4 option",IF(COUNTIFS('02_KICH_BAN_NODES'!$B$5:$B$204,A241,'02_KICH_BAN_NODES'!$E$5:$E$204,"Kiến thức")=1,IF(COUNTIFS($A$5:$A$404,A241,$D$5:$D$404,"Có")&lt;&gt;1,"Choice kiến thức cần đúng 1 đáp án đúng",""),IF(COUNTIFS('02_KICH_BAN_NODES'!$B$5:$B$204,A241,'02_KICH_BAN_NODES'!$E$5:$E$204,"Tương tác")=1,IF(COUNTIFS($A$5:$A$404,A241,$D$5:$D$404,"Có")&lt;&gt;0,"Choice tương tác không được đánh dấu đáp án đúng",""),"Choice chưa chọn loại")))))))</f>
        <v/>
      </c>
    </row>
    <row r="242" spans="1:11">
      <c r="A242" s="13"/>
      <c r="B242" s="13"/>
      <c r="C242" s="5"/>
      <c r="D242" s="13"/>
      <c r="E242" s="13"/>
      <c r="F242" s="13"/>
      <c r="G242" s="13"/>
      <c r="H242" s="5"/>
      <c r="I242" s="5"/>
      <c r="J242" s="6" t="str">
        <f t="shared" si="3"/>
        <v/>
      </c>
      <c r="K242" s="6" t="str">
        <f>IF(A242="","",IF(COUNTIFS('02_KICH_BAN_NODES'!$B$5:$B$204,A242,'02_KICH_BAN_NODES'!$D$5:$D$204,"choice")=0,"ChoiceNodeId không tồn tại hoặc không phải choice",IF(COUNTIFS($A$5:$A$404,A242,$B$5:$B$404,B242)&gt;1,"Trùng OptionOrder trong cùng choice",IF(OR(B242="",C242="",D242="",F242="",H242=""),"Thiếu trường bắt buộc",IF(OR(COUNTIF($A$5:$A$404,A242)&lt;2,COUNTIF($A$5:$A$404,A242)&gt;4),"Mỗi choice cần 2–4 option",IF(COUNTIFS('02_KICH_BAN_NODES'!$B$5:$B$204,A242,'02_KICH_BAN_NODES'!$E$5:$E$204,"Kiến thức")=1,IF(COUNTIFS($A$5:$A$404,A242,$D$5:$D$404,"Có")&lt;&gt;1,"Choice kiến thức cần đúng 1 đáp án đúng",""),IF(COUNTIFS('02_KICH_BAN_NODES'!$B$5:$B$204,A242,'02_KICH_BAN_NODES'!$E$5:$E$204,"Tương tác")=1,IF(COUNTIFS($A$5:$A$404,A242,$D$5:$D$404,"Có")&lt;&gt;0,"Choice tương tác không được đánh dấu đáp án đúng",""),"Choice chưa chọn loại")))))))</f>
        <v/>
      </c>
    </row>
    <row r="243" spans="1:11">
      <c r="A243" s="13"/>
      <c r="B243" s="13"/>
      <c r="C243" s="5"/>
      <c r="D243" s="13"/>
      <c r="E243" s="13"/>
      <c r="F243" s="13"/>
      <c r="G243" s="13"/>
      <c r="H243" s="5"/>
      <c r="I243" s="5"/>
      <c r="J243" s="6" t="str">
        <f t="shared" si="3"/>
        <v/>
      </c>
      <c r="K243" s="6" t="str">
        <f>IF(A243="","",IF(COUNTIFS('02_KICH_BAN_NODES'!$B$5:$B$204,A243,'02_KICH_BAN_NODES'!$D$5:$D$204,"choice")=0,"ChoiceNodeId không tồn tại hoặc không phải choice",IF(COUNTIFS($A$5:$A$404,A243,$B$5:$B$404,B243)&gt;1,"Trùng OptionOrder trong cùng choice",IF(OR(B243="",C243="",D243="",F243="",H243=""),"Thiếu trường bắt buộc",IF(OR(COUNTIF($A$5:$A$404,A243)&lt;2,COUNTIF($A$5:$A$404,A243)&gt;4),"Mỗi choice cần 2–4 option",IF(COUNTIFS('02_KICH_BAN_NODES'!$B$5:$B$204,A243,'02_KICH_BAN_NODES'!$E$5:$E$204,"Kiến thức")=1,IF(COUNTIFS($A$5:$A$404,A243,$D$5:$D$404,"Có")&lt;&gt;1,"Choice kiến thức cần đúng 1 đáp án đúng",""),IF(COUNTIFS('02_KICH_BAN_NODES'!$B$5:$B$204,A243,'02_KICH_BAN_NODES'!$E$5:$E$204,"Tương tác")=1,IF(COUNTIFS($A$5:$A$404,A243,$D$5:$D$404,"Có")&lt;&gt;0,"Choice tương tác không được đánh dấu đáp án đúng",""),"Choice chưa chọn loại")))))))</f>
        <v/>
      </c>
    </row>
    <row r="244" spans="1:11">
      <c r="A244" s="13"/>
      <c r="B244" s="13"/>
      <c r="C244" s="5"/>
      <c r="D244" s="13"/>
      <c r="E244" s="13"/>
      <c r="F244" s="13"/>
      <c r="G244" s="13"/>
      <c r="H244" s="5"/>
      <c r="I244" s="5"/>
      <c r="J244" s="6" t="str">
        <f t="shared" si="3"/>
        <v/>
      </c>
      <c r="K244" s="6" t="str">
        <f>IF(A244="","",IF(COUNTIFS('02_KICH_BAN_NODES'!$B$5:$B$204,A244,'02_KICH_BAN_NODES'!$D$5:$D$204,"choice")=0,"ChoiceNodeId không tồn tại hoặc không phải choice",IF(COUNTIFS($A$5:$A$404,A244,$B$5:$B$404,B244)&gt;1,"Trùng OptionOrder trong cùng choice",IF(OR(B244="",C244="",D244="",F244="",H244=""),"Thiếu trường bắt buộc",IF(OR(COUNTIF($A$5:$A$404,A244)&lt;2,COUNTIF($A$5:$A$404,A244)&gt;4),"Mỗi choice cần 2–4 option",IF(COUNTIFS('02_KICH_BAN_NODES'!$B$5:$B$204,A244,'02_KICH_BAN_NODES'!$E$5:$E$204,"Kiến thức")=1,IF(COUNTIFS($A$5:$A$404,A244,$D$5:$D$404,"Có")&lt;&gt;1,"Choice kiến thức cần đúng 1 đáp án đúng",""),IF(COUNTIFS('02_KICH_BAN_NODES'!$B$5:$B$204,A244,'02_KICH_BAN_NODES'!$E$5:$E$204,"Tương tác")=1,IF(COUNTIFS($A$5:$A$404,A244,$D$5:$D$404,"Có")&lt;&gt;0,"Choice tương tác không được đánh dấu đáp án đúng",""),"Choice chưa chọn loại")))))))</f>
        <v/>
      </c>
    </row>
    <row r="245" spans="1:11">
      <c r="A245" s="13"/>
      <c r="B245" s="13"/>
      <c r="C245" s="5"/>
      <c r="D245" s="13"/>
      <c r="E245" s="13"/>
      <c r="F245" s="13"/>
      <c r="G245" s="13"/>
      <c r="H245" s="5"/>
      <c r="I245" s="5"/>
      <c r="J245" s="6" t="str">
        <f t="shared" si="3"/>
        <v/>
      </c>
      <c r="K245" s="6" t="str">
        <f>IF(A245="","",IF(COUNTIFS('02_KICH_BAN_NODES'!$B$5:$B$204,A245,'02_KICH_BAN_NODES'!$D$5:$D$204,"choice")=0,"ChoiceNodeId không tồn tại hoặc không phải choice",IF(COUNTIFS($A$5:$A$404,A245,$B$5:$B$404,B245)&gt;1,"Trùng OptionOrder trong cùng choice",IF(OR(B245="",C245="",D245="",F245="",H245=""),"Thiếu trường bắt buộc",IF(OR(COUNTIF($A$5:$A$404,A245)&lt;2,COUNTIF($A$5:$A$404,A245)&gt;4),"Mỗi choice cần 2–4 option",IF(COUNTIFS('02_KICH_BAN_NODES'!$B$5:$B$204,A245,'02_KICH_BAN_NODES'!$E$5:$E$204,"Kiến thức")=1,IF(COUNTIFS($A$5:$A$404,A245,$D$5:$D$404,"Có")&lt;&gt;1,"Choice kiến thức cần đúng 1 đáp án đúng",""),IF(COUNTIFS('02_KICH_BAN_NODES'!$B$5:$B$204,A245,'02_KICH_BAN_NODES'!$E$5:$E$204,"Tương tác")=1,IF(COUNTIFS($A$5:$A$404,A245,$D$5:$D$404,"Có")&lt;&gt;0,"Choice tương tác không được đánh dấu đáp án đúng",""),"Choice chưa chọn loại")))))))</f>
        <v/>
      </c>
    </row>
    <row r="246" spans="1:11">
      <c r="A246" s="13"/>
      <c r="B246" s="13"/>
      <c r="C246" s="5"/>
      <c r="D246" s="13"/>
      <c r="E246" s="13"/>
      <c r="F246" s="13"/>
      <c r="G246" s="13"/>
      <c r="H246" s="5"/>
      <c r="I246" s="5"/>
      <c r="J246" s="6" t="str">
        <f t="shared" si="3"/>
        <v/>
      </c>
      <c r="K246" s="6" t="str">
        <f>IF(A246="","",IF(COUNTIFS('02_KICH_BAN_NODES'!$B$5:$B$204,A246,'02_KICH_BAN_NODES'!$D$5:$D$204,"choice")=0,"ChoiceNodeId không tồn tại hoặc không phải choice",IF(COUNTIFS($A$5:$A$404,A246,$B$5:$B$404,B246)&gt;1,"Trùng OptionOrder trong cùng choice",IF(OR(B246="",C246="",D246="",F246="",H246=""),"Thiếu trường bắt buộc",IF(OR(COUNTIF($A$5:$A$404,A246)&lt;2,COUNTIF($A$5:$A$404,A246)&gt;4),"Mỗi choice cần 2–4 option",IF(COUNTIFS('02_KICH_BAN_NODES'!$B$5:$B$204,A246,'02_KICH_BAN_NODES'!$E$5:$E$204,"Kiến thức")=1,IF(COUNTIFS($A$5:$A$404,A246,$D$5:$D$404,"Có")&lt;&gt;1,"Choice kiến thức cần đúng 1 đáp án đúng",""),IF(COUNTIFS('02_KICH_BAN_NODES'!$B$5:$B$204,A246,'02_KICH_BAN_NODES'!$E$5:$E$204,"Tương tác")=1,IF(COUNTIFS($A$5:$A$404,A246,$D$5:$D$404,"Có")&lt;&gt;0,"Choice tương tác không được đánh dấu đáp án đúng",""),"Choice chưa chọn loại")))))))</f>
        <v/>
      </c>
    </row>
    <row r="247" spans="1:11">
      <c r="A247" s="13"/>
      <c r="B247" s="13"/>
      <c r="C247" s="5"/>
      <c r="D247" s="13"/>
      <c r="E247" s="13"/>
      <c r="F247" s="13"/>
      <c r="G247" s="13"/>
      <c r="H247" s="5"/>
      <c r="I247" s="5"/>
      <c r="J247" s="6" t="str">
        <f t="shared" si="3"/>
        <v/>
      </c>
      <c r="K247" s="6" t="str">
        <f>IF(A247="","",IF(COUNTIFS('02_KICH_BAN_NODES'!$B$5:$B$204,A247,'02_KICH_BAN_NODES'!$D$5:$D$204,"choice")=0,"ChoiceNodeId không tồn tại hoặc không phải choice",IF(COUNTIFS($A$5:$A$404,A247,$B$5:$B$404,B247)&gt;1,"Trùng OptionOrder trong cùng choice",IF(OR(B247="",C247="",D247="",F247="",H247=""),"Thiếu trường bắt buộc",IF(OR(COUNTIF($A$5:$A$404,A247)&lt;2,COUNTIF($A$5:$A$404,A247)&gt;4),"Mỗi choice cần 2–4 option",IF(COUNTIFS('02_KICH_BAN_NODES'!$B$5:$B$204,A247,'02_KICH_BAN_NODES'!$E$5:$E$204,"Kiến thức")=1,IF(COUNTIFS($A$5:$A$404,A247,$D$5:$D$404,"Có")&lt;&gt;1,"Choice kiến thức cần đúng 1 đáp án đúng",""),IF(COUNTIFS('02_KICH_BAN_NODES'!$B$5:$B$204,A247,'02_KICH_BAN_NODES'!$E$5:$E$204,"Tương tác")=1,IF(COUNTIFS($A$5:$A$404,A247,$D$5:$D$404,"Có")&lt;&gt;0,"Choice tương tác không được đánh dấu đáp án đúng",""),"Choice chưa chọn loại")))))))</f>
        <v/>
      </c>
    </row>
    <row r="248" spans="1:11">
      <c r="A248" s="13"/>
      <c r="B248" s="13"/>
      <c r="C248" s="5"/>
      <c r="D248" s="13"/>
      <c r="E248" s="13"/>
      <c r="F248" s="13"/>
      <c r="G248" s="13"/>
      <c r="H248" s="5"/>
      <c r="I248" s="5"/>
      <c r="J248" s="6" t="str">
        <f t="shared" si="3"/>
        <v/>
      </c>
      <c r="K248" s="6" t="str">
        <f>IF(A248="","",IF(COUNTIFS('02_KICH_BAN_NODES'!$B$5:$B$204,A248,'02_KICH_BAN_NODES'!$D$5:$D$204,"choice")=0,"ChoiceNodeId không tồn tại hoặc không phải choice",IF(COUNTIFS($A$5:$A$404,A248,$B$5:$B$404,B248)&gt;1,"Trùng OptionOrder trong cùng choice",IF(OR(B248="",C248="",D248="",F248="",H248=""),"Thiếu trường bắt buộc",IF(OR(COUNTIF($A$5:$A$404,A248)&lt;2,COUNTIF($A$5:$A$404,A248)&gt;4),"Mỗi choice cần 2–4 option",IF(COUNTIFS('02_KICH_BAN_NODES'!$B$5:$B$204,A248,'02_KICH_BAN_NODES'!$E$5:$E$204,"Kiến thức")=1,IF(COUNTIFS($A$5:$A$404,A248,$D$5:$D$404,"Có")&lt;&gt;1,"Choice kiến thức cần đúng 1 đáp án đúng",""),IF(COUNTIFS('02_KICH_BAN_NODES'!$B$5:$B$204,A248,'02_KICH_BAN_NODES'!$E$5:$E$204,"Tương tác")=1,IF(COUNTIFS($A$5:$A$404,A248,$D$5:$D$404,"Có")&lt;&gt;0,"Choice tương tác không được đánh dấu đáp án đúng",""),"Choice chưa chọn loại")))))))</f>
        <v/>
      </c>
    </row>
    <row r="249" spans="1:11">
      <c r="A249" s="13"/>
      <c r="B249" s="13"/>
      <c r="C249" s="5"/>
      <c r="D249" s="13"/>
      <c r="E249" s="13"/>
      <c r="F249" s="13"/>
      <c r="G249" s="13"/>
      <c r="H249" s="5"/>
      <c r="I249" s="5"/>
      <c r="J249" s="6" t="str">
        <f t="shared" si="3"/>
        <v/>
      </c>
      <c r="K249" s="6" t="str">
        <f>IF(A249="","",IF(COUNTIFS('02_KICH_BAN_NODES'!$B$5:$B$204,A249,'02_KICH_BAN_NODES'!$D$5:$D$204,"choice")=0,"ChoiceNodeId không tồn tại hoặc không phải choice",IF(COUNTIFS($A$5:$A$404,A249,$B$5:$B$404,B249)&gt;1,"Trùng OptionOrder trong cùng choice",IF(OR(B249="",C249="",D249="",F249="",H249=""),"Thiếu trường bắt buộc",IF(OR(COUNTIF($A$5:$A$404,A249)&lt;2,COUNTIF($A$5:$A$404,A249)&gt;4),"Mỗi choice cần 2–4 option",IF(COUNTIFS('02_KICH_BAN_NODES'!$B$5:$B$204,A249,'02_KICH_BAN_NODES'!$E$5:$E$204,"Kiến thức")=1,IF(COUNTIFS($A$5:$A$404,A249,$D$5:$D$404,"Có")&lt;&gt;1,"Choice kiến thức cần đúng 1 đáp án đúng",""),IF(COUNTIFS('02_KICH_BAN_NODES'!$B$5:$B$204,A249,'02_KICH_BAN_NODES'!$E$5:$E$204,"Tương tác")=1,IF(COUNTIFS($A$5:$A$404,A249,$D$5:$D$404,"Có")&lt;&gt;0,"Choice tương tác không được đánh dấu đáp án đúng",""),"Choice chưa chọn loại")))))))</f>
        <v/>
      </c>
    </row>
    <row r="250" spans="1:11">
      <c r="A250" s="13"/>
      <c r="B250" s="13"/>
      <c r="C250" s="5"/>
      <c r="D250" s="13"/>
      <c r="E250" s="13"/>
      <c r="F250" s="13"/>
      <c r="G250" s="13"/>
      <c r="H250" s="5"/>
      <c r="I250" s="5"/>
      <c r="J250" s="6" t="str">
        <f t="shared" si="3"/>
        <v/>
      </c>
      <c r="K250" s="6" t="str">
        <f>IF(A250="","",IF(COUNTIFS('02_KICH_BAN_NODES'!$B$5:$B$204,A250,'02_KICH_BAN_NODES'!$D$5:$D$204,"choice")=0,"ChoiceNodeId không tồn tại hoặc không phải choice",IF(COUNTIFS($A$5:$A$404,A250,$B$5:$B$404,B250)&gt;1,"Trùng OptionOrder trong cùng choice",IF(OR(B250="",C250="",D250="",F250="",H250=""),"Thiếu trường bắt buộc",IF(OR(COUNTIF($A$5:$A$404,A250)&lt;2,COUNTIF($A$5:$A$404,A250)&gt;4),"Mỗi choice cần 2–4 option",IF(COUNTIFS('02_KICH_BAN_NODES'!$B$5:$B$204,A250,'02_KICH_BAN_NODES'!$E$5:$E$204,"Kiến thức")=1,IF(COUNTIFS($A$5:$A$404,A250,$D$5:$D$404,"Có")&lt;&gt;1,"Choice kiến thức cần đúng 1 đáp án đúng",""),IF(COUNTIFS('02_KICH_BAN_NODES'!$B$5:$B$204,A250,'02_KICH_BAN_NODES'!$E$5:$E$204,"Tương tác")=1,IF(COUNTIFS($A$5:$A$404,A250,$D$5:$D$404,"Có")&lt;&gt;0,"Choice tương tác không được đánh dấu đáp án đúng",""),"Choice chưa chọn loại")))))))</f>
        <v/>
      </c>
    </row>
    <row r="251" spans="1:11">
      <c r="A251" s="13"/>
      <c r="B251" s="13"/>
      <c r="C251" s="5"/>
      <c r="D251" s="13"/>
      <c r="E251" s="13"/>
      <c r="F251" s="13"/>
      <c r="G251" s="13"/>
      <c r="H251" s="5"/>
      <c r="I251" s="5"/>
      <c r="J251" s="6" t="str">
        <f t="shared" si="3"/>
        <v/>
      </c>
      <c r="K251" s="6" t="str">
        <f>IF(A251="","",IF(COUNTIFS('02_KICH_BAN_NODES'!$B$5:$B$204,A251,'02_KICH_BAN_NODES'!$D$5:$D$204,"choice")=0,"ChoiceNodeId không tồn tại hoặc không phải choice",IF(COUNTIFS($A$5:$A$404,A251,$B$5:$B$404,B251)&gt;1,"Trùng OptionOrder trong cùng choice",IF(OR(B251="",C251="",D251="",F251="",H251=""),"Thiếu trường bắt buộc",IF(OR(COUNTIF($A$5:$A$404,A251)&lt;2,COUNTIF($A$5:$A$404,A251)&gt;4),"Mỗi choice cần 2–4 option",IF(COUNTIFS('02_KICH_BAN_NODES'!$B$5:$B$204,A251,'02_KICH_BAN_NODES'!$E$5:$E$204,"Kiến thức")=1,IF(COUNTIFS($A$5:$A$404,A251,$D$5:$D$404,"Có")&lt;&gt;1,"Choice kiến thức cần đúng 1 đáp án đúng",""),IF(COUNTIFS('02_KICH_BAN_NODES'!$B$5:$B$204,A251,'02_KICH_BAN_NODES'!$E$5:$E$204,"Tương tác")=1,IF(COUNTIFS($A$5:$A$404,A251,$D$5:$D$404,"Có")&lt;&gt;0,"Choice tương tác không được đánh dấu đáp án đúng",""),"Choice chưa chọn loại")))))))</f>
        <v/>
      </c>
    </row>
    <row r="252" spans="1:11">
      <c r="A252" s="13"/>
      <c r="B252" s="13"/>
      <c r="C252" s="5"/>
      <c r="D252" s="13"/>
      <c r="E252" s="13"/>
      <c r="F252" s="13"/>
      <c r="G252" s="13"/>
      <c r="H252" s="5"/>
      <c r="I252" s="5"/>
      <c r="J252" s="6" t="str">
        <f t="shared" si="3"/>
        <v/>
      </c>
      <c r="K252" s="6" t="str">
        <f>IF(A252="","",IF(COUNTIFS('02_KICH_BAN_NODES'!$B$5:$B$204,A252,'02_KICH_BAN_NODES'!$D$5:$D$204,"choice")=0,"ChoiceNodeId không tồn tại hoặc không phải choice",IF(COUNTIFS($A$5:$A$404,A252,$B$5:$B$404,B252)&gt;1,"Trùng OptionOrder trong cùng choice",IF(OR(B252="",C252="",D252="",F252="",H252=""),"Thiếu trường bắt buộc",IF(OR(COUNTIF($A$5:$A$404,A252)&lt;2,COUNTIF($A$5:$A$404,A252)&gt;4),"Mỗi choice cần 2–4 option",IF(COUNTIFS('02_KICH_BAN_NODES'!$B$5:$B$204,A252,'02_KICH_BAN_NODES'!$E$5:$E$204,"Kiến thức")=1,IF(COUNTIFS($A$5:$A$404,A252,$D$5:$D$404,"Có")&lt;&gt;1,"Choice kiến thức cần đúng 1 đáp án đúng",""),IF(COUNTIFS('02_KICH_BAN_NODES'!$B$5:$B$204,A252,'02_KICH_BAN_NODES'!$E$5:$E$204,"Tương tác")=1,IF(COUNTIFS($A$5:$A$404,A252,$D$5:$D$404,"Có")&lt;&gt;0,"Choice tương tác không được đánh dấu đáp án đúng",""),"Choice chưa chọn loại")))))))</f>
        <v/>
      </c>
    </row>
    <row r="253" spans="1:11">
      <c r="A253" s="13"/>
      <c r="B253" s="13"/>
      <c r="C253" s="5"/>
      <c r="D253" s="13"/>
      <c r="E253" s="13"/>
      <c r="F253" s="13"/>
      <c r="G253" s="13"/>
      <c r="H253" s="5"/>
      <c r="I253" s="5"/>
      <c r="J253" s="6" t="str">
        <f t="shared" si="3"/>
        <v/>
      </c>
      <c r="K253" s="6" t="str">
        <f>IF(A253="","",IF(COUNTIFS('02_KICH_BAN_NODES'!$B$5:$B$204,A253,'02_KICH_BAN_NODES'!$D$5:$D$204,"choice")=0,"ChoiceNodeId không tồn tại hoặc không phải choice",IF(COUNTIFS($A$5:$A$404,A253,$B$5:$B$404,B253)&gt;1,"Trùng OptionOrder trong cùng choice",IF(OR(B253="",C253="",D253="",F253="",H253=""),"Thiếu trường bắt buộc",IF(OR(COUNTIF($A$5:$A$404,A253)&lt;2,COUNTIF($A$5:$A$404,A253)&gt;4),"Mỗi choice cần 2–4 option",IF(COUNTIFS('02_KICH_BAN_NODES'!$B$5:$B$204,A253,'02_KICH_BAN_NODES'!$E$5:$E$204,"Kiến thức")=1,IF(COUNTIFS($A$5:$A$404,A253,$D$5:$D$404,"Có")&lt;&gt;1,"Choice kiến thức cần đúng 1 đáp án đúng",""),IF(COUNTIFS('02_KICH_BAN_NODES'!$B$5:$B$204,A253,'02_KICH_BAN_NODES'!$E$5:$E$204,"Tương tác")=1,IF(COUNTIFS($A$5:$A$404,A253,$D$5:$D$404,"Có")&lt;&gt;0,"Choice tương tác không được đánh dấu đáp án đúng",""),"Choice chưa chọn loại")))))))</f>
        <v/>
      </c>
    </row>
    <row r="254" spans="1:11">
      <c r="A254" s="13"/>
      <c r="B254" s="13"/>
      <c r="C254" s="5"/>
      <c r="D254" s="13"/>
      <c r="E254" s="13"/>
      <c r="F254" s="13"/>
      <c r="G254" s="13"/>
      <c r="H254" s="5"/>
      <c r="I254" s="5"/>
      <c r="J254" s="6" t="str">
        <f t="shared" si="3"/>
        <v/>
      </c>
      <c r="K254" s="6" t="str">
        <f>IF(A254="","",IF(COUNTIFS('02_KICH_BAN_NODES'!$B$5:$B$204,A254,'02_KICH_BAN_NODES'!$D$5:$D$204,"choice")=0,"ChoiceNodeId không tồn tại hoặc không phải choice",IF(COUNTIFS($A$5:$A$404,A254,$B$5:$B$404,B254)&gt;1,"Trùng OptionOrder trong cùng choice",IF(OR(B254="",C254="",D254="",F254="",H254=""),"Thiếu trường bắt buộc",IF(OR(COUNTIF($A$5:$A$404,A254)&lt;2,COUNTIF($A$5:$A$404,A254)&gt;4),"Mỗi choice cần 2–4 option",IF(COUNTIFS('02_KICH_BAN_NODES'!$B$5:$B$204,A254,'02_KICH_BAN_NODES'!$E$5:$E$204,"Kiến thức")=1,IF(COUNTIFS($A$5:$A$404,A254,$D$5:$D$404,"Có")&lt;&gt;1,"Choice kiến thức cần đúng 1 đáp án đúng",""),IF(COUNTIFS('02_KICH_BAN_NODES'!$B$5:$B$204,A254,'02_KICH_BAN_NODES'!$E$5:$E$204,"Tương tác")=1,IF(COUNTIFS($A$5:$A$404,A254,$D$5:$D$404,"Có")&lt;&gt;0,"Choice tương tác không được đánh dấu đáp án đúng",""),"Choice chưa chọn loại")))))))</f>
        <v/>
      </c>
    </row>
    <row r="255" spans="1:11">
      <c r="A255" s="13"/>
      <c r="B255" s="13"/>
      <c r="C255" s="5"/>
      <c r="D255" s="13"/>
      <c r="E255" s="13"/>
      <c r="F255" s="13"/>
      <c r="G255" s="13"/>
      <c r="H255" s="5"/>
      <c r="I255" s="5"/>
      <c r="J255" s="6" t="str">
        <f t="shared" si="3"/>
        <v/>
      </c>
      <c r="K255" s="6" t="str">
        <f>IF(A255="","",IF(COUNTIFS('02_KICH_BAN_NODES'!$B$5:$B$204,A255,'02_KICH_BAN_NODES'!$D$5:$D$204,"choice")=0,"ChoiceNodeId không tồn tại hoặc không phải choice",IF(COUNTIFS($A$5:$A$404,A255,$B$5:$B$404,B255)&gt;1,"Trùng OptionOrder trong cùng choice",IF(OR(B255="",C255="",D255="",F255="",H255=""),"Thiếu trường bắt buộc",IF(OR(COUNTIF($A$5:$A$404,A255)&lt;2,COUNTIF($A$5:$A$404,A255)&gt;4),"Mỗi choice cần 2–4 option",IF(COUNTIFS('02_KICH_BAN_NODES'!$B$5:$B$204,A255,'02_KICH_BAN_NODES'!$E$5:$E$204,"Kiến thức")=1,IF(COUNTIFS($A$5:$A$404,A255,$D$5:$D$404,"Có")&lt;&gt;1,"Choice kiến thức cần đúng 1 đáp án đúng",""),IF(COUNTIFS('02_KICH_BAN_NODES'!$B$5:$B$204,A255,'02_KICH_BAN_NODES'!$E$5:$E$204,"Tương tác")=1,IF(COUNTIFS($A$5:$A$404,A255,$D$5:$D$404,"Có")&lt;&gt;0,"Choice tương tác không được đánh dấu đáp án đúng",""),"Choice chưa chọn loại")))))))</f>
        <v/>
      </c>
    </row>
    <row r="256" spans="1:11">
      <c r="A256" s="13"/>
      <c r="B256" s="13"/>
      <c r="C256" s="5"/>
      <c r="D256" s="13"/>
      <c r="E256" s="13"/>
      <c r="F256" s="13"/>
      <c r="G256" s="13"/>
      <c r="H256" s="5"/>
      <c r="I256" s="5"/>
      <c r="J256" s="6" t="str">
        <f t="shared" si="3"/>
        <v/>
      </c>
      <c r="K256" s="6" t="str">
        <f>IF(A256="","",IF(COUNTIFS('02_KICH_BAN_NODES'!$B$5:$B$204,A256,'02_KICH_BAN_NODES'!$D$5:$D$204,"choice")=0,"ChoiceNodeId không tồn tại hoặc không phải choice",IF(COUNTIFS($A$5:$A$404,A256,$B$5:$B$404,B256)&gt;1,"Trùng OptionOrder trong cùng choice",IF(OR(B256="",C256="",D256="",F256="",H256=""),"Thiếu trường bắt buộc",IF(OR(COUNTIF($A$5:$A$404,A256)&lt;2,COUNTIF($A$5:$A$404,A256)&gt;4),"Mỗi choice cần 2–4 option",IF(COUNTIFS('02_KICH_BAN_NODES'!$B$5:$B$204,A256,'02_KICH_BAN_NODES'!$E$5:$E$204,"Kiến thức")=1,IF(COUNTIFS($A$5:$A$404,A256,$D$5:$D$404,"Có")&lt;&gt;1,"Choice kiến thức cần đúng 1 đáp án đúng",""),IF(COUNTIFS('02_KICH_BAN_NODES'!$B$5:$B$204,A256,'02_KICH_BAN_NODES'!$E$5:$E$204,"Tương tác")=1,IF(COUNTIFS($A$5:$A$404,A256,$D$5:$D$404,"Có")&lt;&gt;0,"Choice tương tác không được đánh dấu đáp án đúng",""),"Choice chưa chọn loại")))))))</f>
        <v/>
      </c>
    </row>
    <row r="257" spans="1:11">
      <c r="A257" s="13"/>
      <c r="B257" s="13"/>
      <c r="C257" s="5"/>
      <c r="D257" s="13"/>
      <c r="E257" s="13"/>
      <c r="F257" s="13"/>
      <c r="G257" s="13"/>
      <c r="H257" s="5"/>
      <c r="I257" s="5"/>
      <c r="J257" s="6" t="str">
        <f t="shared" si="3"/>
        <v/>
      </c>
      <c r="K257" s="6" t="str">
        <f>IF(A257="","",IF(COUNTIFS('02_KICH_BAN_NODES'!$B$5:$B$204,A257,'02_KICH_BAN_NODES'!$D$5:$D$204,"choice")=0,"ChoiceNodeId không tồn tại hoặc không phải choice",IF(COUNTIFS($A$5:$A$404,A257,$B$5:$B$404,B257)&gt;1,"Trùng OptionOrder trong cùng choice",IF(OR(B257="",C257="",D257="",F257="",H257=""),"Thiếu trường bắt buộc",IF(OR(COUNTIF($A$5:$A$404,A257)&lt;2,COUNTIF($A$5:$A$404,A257)&gt;4),"Mỗi choice cần 2–4 option",IF(COUNTIFS('02_KICH_BAN_NODES'!$B$5:$B$204,A257,'02_KICH_BAN_NODES'!$E$5:$E$204,"Kiến thức")=1,IF(COUNTIFS($A$5:$A$404,A257,$D$5:$D$404,"Có")&lt;&gt;1,"Choice kiến thức cần đúng 1 đáp án đúng",""),IF(COUNTIFS('02_KICH_BAN_NODES'!$B$5:$B$204,A257,'02_KICH_BAN_NODES'!$E$5:$E$204,"Tương tác")=1,IF(COUNTIFS($A$5:$A$404,A257,$D$5:$D$404,"Có")&lt;&gt;0,"Choice tương tác không được đánh dấu đáp án đúng",""),"Choice chưa chọn loại")))))))</f>
        <v/>
      </c>
    </row>
    <row r="258" spans="1:11">
      <c r="A258" s="13"/>
      <c r="B258" s="13"/>
      <c r="C258" s="5"/>
      <c r="D258" s="13"/>
      <c r="E258" s="13"/>
      <c r="F258" s="13"/>
      <c r="G258" s="13"/>
      <c r="H258" s="5"/>
      <c r="I258" s="5"/>
      <c r="J258" s="6" t="str">
        <f t="shared" si="3"/>
        <v/>
      </c>
      <c r="K258" s="6" t="str">
        <f>IF(A258="","",IF(COUNTIFS('02_KICH_BAN_NODES'!$B$5:$B$204,A258,'02_KICH_BAN_NODES'!$D$5:$D$204,"choice")=0,"ChoiceNodeId không tồn tại hoặc không phải choice",IF(COUNTIFS($A$5:$A$404,A258,$B$5:$B$404,B258)&gt;1,"Trùng OptionOrder trong cùng choice",IF(OR(B258="",C258="",D258="",F258="",H258=""),"Thiếu trường bắt buộc",IF(OR(COUNTIF($A$5:$A$404,A258)&lt;2,COUNTIF($A$5:$A$404,A258)&gt;4),"Mỗi choice cần 2–4 option",IF(COUNTIFS('02_KICH_BAN_NODES'!$B$5:$B$204,A258,'02_KICH_BAN_NODES'!$E$5:$E$204,"Kiến thức")=1,IF(COUNTIFS($A$5:$A$404,A258,$D$5:$D$404,"Có")&lt;&gt;1,"Choice kiến thức cần đúng 1 đáp án đúng",""),IF(COUNTIFS('02_KICH_BAN_NODES'!$B$5:$B$204,A258,'02_KICH_BAN_NODES'!$E$5:$E$204,"Tương tác")=1,IF(COUNTIFS($A$5:$A$404,A258,$D$5:$D$404,"Có")&lt;&gt;0,"Choice tương tác không được đánh dấu đáp án đúng",""),"Choice chưa chọn loại")))))))</f>
        <v/>
      </c>
    </row>
    <row r="259" spans="1:11">
      <c r="A259" s="13"/>
      <c r="B259" s="13"/>
      <c r="C259" s="5"/>
      <c r="D259" s="13"/>
      <c r="E259" s="13"/>
      <c r="F259" s="13"/>
      <c r="G259" s="13"/>
      <c r="H259" s="5"/>
      <c r="I259" s="5"/>
      <c r="J259" s="6" t="str">
        <f t="shared" si="3"/>
        <v/>
      </c>
      <c r="K259" s="6" t="str">
        <f>IF(A259="","",IF(COUNTIFS('02_KICH_BAN_NODES'!$B$5:$B$204,A259,'02_KICH_BAN_NODES'!$D$5:$D$204,"choice")=0,"ChoiceNodeId không tồn tại hoặc không phải choice",IF(COUNTIFS($A$5:$A$404,A259,$B$5:$B$404,B259)&gt;1,"Trùng OptionOrder trong cùng choice",IF(OR(B259="",C259="",D259="",F259="",H259=""),"Thiếu trường bắt buộc",IF(OR(COUNTIF($A$5:$A$404,A259)&lt;2,COUNTIF($A$5:$A$404,A259)&gt;4),"Mỗi choice cần 2–4 option",IF(COUNTIFS('02_KICH_BAN_NODES'!$B$5:$B$204,A259,'02_KICH_BAN_NODES'!$E$5:$E$204,"Kiến thức")=1,IF(COUNTIFS($A$5:$A$404,A259,$D$5:$D$404,"Có")&lt;&gt;1,"Choice kiến thức cần đúng 1 đáp án đúng",""),IF(COUNTIFS('02_KICH_BAN_NODES'!$B$5:$B$204,A259,'02_KICH_BAN_NODES'!$E$5:$E$204,"Tương tác")=1,IF(COUNTIFS($A$5:$A$404,A259,$D$5:$D$404,"Có")&lt;&gt;0,"Choice tương tác không được đánh dấu đáp án đúng",""),"Choice chưa chọn loại")))))))</f>
        <v/>
      </c>
    </row>
    <row r="260" spans="1:11">
      <c r="A260" s="13"/>
      <c r="B260" s="13"/>
      <c r="C260" s="5"/>
      <c r="D260" s="13"/>
      <c r="E260" s="13"/>
      <c r="F260" s="13"/>
      <c r="G260" s="13"/>
      <c r="H260" s="5"/>
      <c r="I260" s="5"/>
      <c r="J260" s="6" t="str">
        <f t="shared" si="3"/>
        <v/>
      </c>
      <c r="K260" s="6" t="str">
        <f>IF(A260="","",IF(COUNTIFS('02_KICH_BAN_NODES'!$B$5:$B$204,A260,'02_KICH_BAN_NODES'!$D$5:$D$204,"choice")=0,"ChoiceNodeId không tồn tại hoặc không phải choice",IF(COUNTIFS($A$5:$A$404,A260,$B$5:$B$404,B260)&gt;1,"Trùng OptionOrder trong cùng choice",IF(OR(B260="",C260="",D260="",F260="",H260=""),"Thiếu trường bắt buộc",IF(OR(COUNTIF($A$5:$A$404,A260)&lt;2,COUNTIF($A$5:$A$404,A260)&gt;4),"Mỗi choice cần 2–4 option",IF(COUNTIFS('02_KICH_BAN_NODES'!$B$5:$B$204,A260,'02_KICH_BAN_NODES'!$E$5:$E$204,"Kiến thức")=1,IF(COUNTIFS($A$5:$A$404,A260,$D$5:$D$404,"Có")&lt;&gt;1,"Choice kiến thức cần đúng 1 đáp án đúng",""),IF(COUNTIFS('02_KICH_BAN_NODES'!$B$5:$B$204,A260,'02_KICH_BAN_NODES'!$E$5:$E$204,"Tương tác")=1,IF(COUNTIFS($A$5:$A$404,A260,$D$5:$D$404,"Có")&lt;&gt;0,"Choice tương tác không được đánh dấu đáp án đúng",""),"Choice chưa chọn loại")))))))</f>
        <v/>
      </c>
    </row>
    <row r="261" spans="1:11">
      <c r="A261" s="13"/>
      <c r="B261" s="13"/>
      <c r="C261" s="5"/>
      <c r="D261" s="13"/>
      <c r="E261" s="13"/>
      <c r="F261" s="13"/>
      <c r="G261" s="13"/>
      <c r="H261" s="5"/>
      <c r="I261" s="5"/>
      <c r="J261" s="6" t="str">
        <f t="shared" ref="J261:J324" si="4">IF(A261="","",IF(K261="","HỢP LỆ","CẦN SỬA"))</f>
        <v/>
      </c>
      <c r="K261" s="6" t="str">
        <f>IF(A261="","",IF(COUNTIFS('02_KICH_BAN_NODES'!$B$5:$B$204,A261,'02_KICH_BAN_NODES'!$D$5:$D$204,"choice")=0,"ChoiceNodeId không tồn tại hoặc không phải choice",IF(COUNTIFS($A$5:$A$404,A261,$B$5:$B$404,B261)&gt;1,"Trùng OptionOrder trong cùng choice",IF(OR(B261="",C261="",D261="",F261="",H261=""),"Thiếu trường bắt buộc",IF(OR(COUNTIF($A$5:$A$404,A261)&lt;2,COUNTIF($A$5:$A$404,A261)&gt;4),"Mỗi choice cần 2–4 option",IF(COUNTIFS('02_KICH_BAN_NODES'!$B$5:$B$204,A261,'02_KICH_BAN_NODES'!$E$5:$E$204,"Kiến thức")=1,IF(COUNTIFS($A$5:$A$404,A261,$D$5:$D$404,"Có")&lt;&gt;1,"Choice kiến thức cần đúng 1 đáp án đúng",""),IF(COUNTIFS('02_KICH_BAN_NODES'!$B$5:$B$204,A261,'02_KICH_BAN_NODES'!$E$5:$E$204,"Tương tác")=1,IF(COUNTIFS($A$5:$A$404,A261,$D$5:$D$404,"Có")&lt;&gt;0,"Choice tương tác không được đánh dấu đáp án đúng",""),"Choice chưa chọn loại")))))))</f>
        <v/>
      </c>
    </row>
    <row r="262" spans="1:11">
      <c r="A262" s="13"/>
      <c r="B262" s="13"/>
      <c r="C262" s="5"/>
      <c r="D262" s="13"/>
      <c r="E262" s="13"/>
      <c r="F262" s="13"/>
      <c r="G262" s="13"/>
      <c r="H262" s="5"/>
      <c r="I262" s="5"/>
      <c r="J262" s="6" t="str">
        <f t="shared" si="4"/>
        <v/>
      </c>
      <c r="K262" s="6" t="str">
        <f>IF(A262="","",IF(COUNTIFS('02_KICH_BAN_NODES'!$B$5:$B$204,A262,'02_KICH_BAN_NODES'!$D$5:$D$204,"choice")=0,"ChoiceNodeId không tồn tại hoặc không phải choice",IF(COUNTIFS($A$5:$A$404,A262,$B$5:$B$404,B262)&gt;1,"Trùng OptionOrder trong cùng choice",IF(OR(B262="",C262="",D262="",F262="",H262=""),"Thiếu trường bắt buộc",IF(OR(COUNTIF($A$5:$A$404,A262)&lt;2,COUNTIF($A$5:$A$404,A262)&gt;4),"Mỗi choice cần 2–4 option",IF(COUNTIFS('02_KICH_BAN_NODES'!$B$5:$B$204,A262,'02_KICH_BAN_NODES'!$E$5:$E$204,"Kiến thức")=1,IF(COUNTIFS($A$5:$A$404,A262,$D$5:$D$404,"Có")&lt;&gt;1,"Choice kiến thức cần đúng 1 đáp án đúng",""),IF(COUNTIFS('02_KICH_BAN_NODES'!$B$5:$B$204,A262,'02_KICH_BAN_NODES'!$E$5:$E$204,"Tương tác")=1,IF(COUNTIFS($A$5:$A$404,A262,$D$5:$D$404,"Có")&lt;&gt;0,"Choice tương tác không được đánh dấu đáp án đúng",""),"Choice chưa chọn loại")))))))</f>
        <v/>
      </c>
    </row>
    <row r="263" spans="1:11">
      <c r="A263" s="13"/>
      <c r="B263" s="13"/>
      <c r="C263" s="5"/>
      <c r="D263" s="13"/>
      <c r="E263" s="13"/>
      <c r="F263" s="13"/>
      <c r="G263" s="13"/>
      <c r="H263" s="5"/>
      <c r="I263" s="5"/>
      <c r="J263" s="6" t="str">
        <f t="shared" si="4"/>
        <v/>
      </c>
      <c r="K263" s="6" t="str">
        <f>IF(A263="","",IF(COUNTIFS('02_KICH_BAN_NODES'!$B$5:$B$204,A263,'02_KICH_BAN_NODES'!$D$5:$D$204,"choice")=0,"ChoiceNodeId không tồn tại hoặc không phải choice",IF(COUNTIFS($A$5:$A$404,A263,$B$5:$B$404,B263)&gt;1,"Trùng OptionOrder trong cùng choice",IF(OR(B263="",C263="",D263="",F263="",H263=""),"Thiếu trường bắt buộc",IF(OR(COUNTIF($A$5:$A$404,A263)&lt;2,COUNTIF($A$5:$A$404,A263)&gt;4),"Mỗi choice cần 2–4 option",IF(COUNTIFS('02_KICH_BAN_NODES'!$B$5:$B$204,A263,'02_KICH_BAN_NODES'!$E$5:$E$204,"Kiến thức")=1,IF(COUNTIFS($A$5:$A$404,A263,$D$5:$D$404,"Có")&lt;&gt;1,"Choice kiến thức cần đúng 1 đáp án đúng",""),IF(COUNTIFS('02_KICH_BAN_NODES'!$B$5:$B$204,A263,'02_KICH_BAN_NODES'!$E$5:$E$204,"Tương tác")=1,IF(COUNTIFS($A$5:$A$404,A263,$D$5:$D$404,"Có")&lt;&gt;0,"Choice tương tác không được đánh dấu đáp án đúng",""),"Choice chưa chọn loại")))))))</f>
        <v/>
      </c>
    </row>
    <row r="264" spans="1:11">
      <c r="A264" s="13"/>
      <c r="B264" s="13"/>
      <c r="C264" s="5"/>
      <c r="D264" s="13"/>
      <c r="E264" s="13"/>
      <c r="F264" s="13"/>
      <c r="G264" s="13"/>
      <c r="H264" s="5"/>
      <c r="I264" s="5"/>
      <c r="J264" s="6" t="str">
        <f t="shared" si="4"/>
        <v/>
      </c>
      <c r="K264" s="6" t="str">
        <f>IF(A264="","",IF(COUNTIFS('02_KICH_BAN_NODES'!$B$5:$B$204,A264,'02_KICH_BAN_NODES'!$D$5:$D$204,"choice")=0,"ChoiceNodeId không tồn tại hoặc không phải choice",IF(COUNTIFS($A$5:$A$404,A264,$B$5:$B$404,B264)&gt;1,"Trùng OptionOrder trong cùng choice",IF(OR(B264="",C264="",D264="",F264="",H264=""),"Thiếu trường bắt buộc",IF(OR(COUNTIF($A$5:$A$404,A264)&lt;2,COUNTIF($A$5:$A$404,A264)&gt;4),"Mỗi choice cần 2–4 option",IF(COUNTIFS('02_KICH_BAN_NODES'!$B$5:$B$204,A264,'02_KICH_BAN_NODES'!$E$5:$E$204,"Kiến thức")=1,IF(COUNTIFS($A$5:$A$404,A264,$D$5:$D$404,"Có")&lt;&gt;1,"Choice kiến thức cần đúng 1 đáp án đúng",""),IF(COUNTIFS('02_KICH_BAN_NODES'!$B$5:$B$204,A264,'02_KICH_BAN_NODES'!$E$5:$E$204,"Tương tác")=1,IF(COUNTIFS($A$5:$A$404,A264,$D$5:$D$404,"Có")&lt;&gt;0,"Choice tương tác không được đánh dấu đáp án đúng",""),"Choice chưa chọn loại")))))))</f>
        <v/>
      </c>
    </row>
    <row r="265" spans="1:11">
      <c r="A265" s="13"/>
      <c r="B265" s="13"/>
      <c r="C265" s="5"/>
      <c r="D265" s="13"/>
      <c r="E265" s="13"/>
      <c r="F265" s="13"/>
      <c r="G265" s="13"/>
      <c r="H265" s="5"/>
      <c r="I265" s="5"/>
      <c r="J265" s="6" t="str">
        <f t="shared" si="4"/>
        <v/>
      </c>
      <c r="K265" s="6" t="str">
        <f>IF(A265="","",IF(COUNTIFS('02_KICH_BAN_NODES'!$B$5:$B$204,A265,'02_KICH_BAN_NODES'!$D$5:$D$204,"choice")=0,"ChoiceNodeId không tồn tại hoặc không phải choice",IF(COUNTIFS($A$5:$A$404,A265,$B$5:$B$404,B265)&gt;1,"Trùng OptionOrder trong cùng choice",IF(OR(B265="",C265="",D265="",F265="",H265=""),"Thiếu trường bắt buộc",IF(OR(COUNTIF($A$5:$A$404,A265)&lt;2,COUNTIF($A$5:$A$404,A265)&gt;4),"Mỗi choice cần 2–4 option",IF(COUNTIFS('02_KICH_BAN_NODES'!$B$5:$B$204,A265,'02_KICH_BAN_NODES'!$E$5:$E$204,"Kiến thức")=1,IF(COUNTIFS($A$5:$A$404,A265,$D$5:$D$404,"Có")&lt;&gt;1,"Choice kiến thức cần đúng 1 đáp án đúng",""),IF(COUNTIFS('02_KICH_BAN_NODES'!$B$5:$B$204,A265,'02_KICH_BAN_NODES'!$E$5:$E$204,"Tương tác")=1,IF(COUNTIFS($A$5:$A$404,A265,$D$5:$D$404,"Có")&lt;&gt;0,"Choice tương tác không được đánh dấu đáp án đúng",""),"Choice chưa chọn loại")))))))</f>
        <v/>
      </c>
    </row>
    <row r="266" spans="1:11">
      <c r="A266" s="13"/>
      <c r="B266" s="13"/>
      <c r="C266" s="5"/>
      <c r="D266" s="13"/>
      <c r="E266" s="13"/>
      <c r="F266" s="13"/>
      <c r="G266" s="13"/>
      <c r="H266" s="5"/>
      <c r="I266" s="5"/>
      <c r="J266" s="6" t="str">
        <f t="shared" si="4"/>
        <v/>
      </c>
      <c r="K266" s="6" t="str">
        <f>IF(A266="","",IF(COUNTIFS('02_KICH_BAN_NODES'!$B$5:$B$204,A266,'02_KICH_BAN_NODES'!$D$5:$D$204,"choice")=0,"ChoiceNodeId không tồn tại hoặc không phải choice",IF(COUNTIFS($A$5:$A$404,A266,$B$5:$B$404,B266)&gt;1,"Trùng OptionOrder trong cùng choice",IF(OR(B266="",C266="",D266="",F266="",H266=""),"Thiếu trường bắt buộc",IF(OR(COUNTIF($A$5:$A$404,A266)&lt;2,COUNTIF($A$5:$A$404,A266)&gt;4),"Mỗi choice cần 2–4 option",IF(COUNTIFS('02_KICH_BAN_NODES'!$B$5:$B$204,A266,'02_KICH_BAN_NODES'!$E$5:$E$204,"Kiến thức")=1,IF(COUNTIFS($A$5:$A$404,A266,$D$5:$D$404,"Có")&lt;&gt;1,"Choice kiến thức cần đúng 1 đáp án đúng",""),IF(COUNTIFS('02_KICH_BAN_NODES'!$B$5:$B$204,A266,'02_KICH_BAN_NODES'!$E$5:$E$204,"Tương tác")=1,IF(COUNTIFS($A$5:$A$404,A266,$D$5:$D$404,"Có")&lt;&gt;0,"Choice tương tác không được đánh dấu đáp án đúng",""),"Choice chưa chọn loại")))))))</f>
        <v/>
      </c>
    </row>
    <row r="267" spans="1:11">
      <c r="A267" s="13"/>
      <c r="B267" s="13"/>
      <c r="C267" s="5"/>
      <c r="D267" s="13"/>
      <c r="E267" s="13"/>
      <c r="F267" s="13"/>
      <c r="G267" s="13"/>
      <c r="H267" s="5"/>
      <c r="I267" s="5"/>
      <c r="J267" s="6" t="str">
        <f t="shared" si="4"/>
        <v/>
      </c>
      <c r="K267" s="6" t="str">
        <f>IF(A267="","",IF(COUNTIFS('02_KICH_BAN_NODES'!$B$5:$B$204,A267,'02_KICH_BAN_NODES'!$D$5:$D$204,"choice")=0,"ChoiceNodeId không tồn tại hoặc không phải choice",IF(COUNTIFS($A$5:$A$404,A267,$B$5:$B$404,B267)&gt;1,"Trùng OptionOrder trong cùng choice",IF(OR(B267="",C267="",D267="",F267="",H267=""),"Thiếu trường bắt buộc",IF(OR(COUNTIF($A$5:$A$404,A267)&lt;2,COUNTIF($A$5:$A$404,A267)&gt;4),"Mỗi choice cần 2–4 option",IF(COUNTIFS('02_KICH_BAN_NODES'!$B$5:$B$204,A267,'02_KICH_BAN_NODES'!$E$5:$E$204,"Kiến thức")=1,IF(COUNTIFS($A$5:$A$404,A267,$D$5:$D$404,"Có")&lt;&gt;1,"Choice kiến thức cần đúng 1 đáp án đúng",""),IF(COUNTIFS('02_KICH_BAN_NODES'!$B$5:$B$204,A267,'02_KICH_BAN_NODES'!$E$5:$E$204,"Tương tác")=1,IF(COUNTIFS($A$5:$A$404,A267,$D$5:$D$404,"Có")&lt;&gt;0,"Choice tương tác không được đánh dấu đáp án đúng",""),"Choice chưa chọn loại")))))))</f>
        <v/>
      </c>
    </row>
    <row r="268" spans="1:11">
      <c r="A268" s="13"/>
      <c r="B268" s="13"/>
      <c r="C268" s="5"/>
      <c r="D268" s="13"/>
      <c r="E268" s="13"/>
      <c r="F268" s="13"/>
      <c r="G268" s="13"/>
      <c r="H268" s="5"/>
      <c r="I268" s="5"/>
      <c r="J268" s="6" t="str">
        <f t="shared" si="4"/>
        <v/>
      </c>
      <c r="K268" s="6" t="str">
        <f>IF(A268="","",IF(COUNTIFS('02_KICH_BAN_NODES'!$B$5:$B$204,A268,'02_KICH_BAN_NODES'!$D$5:$D$204,"choice")=0,"ChoiceNodeId không tồn tại hoặc không phải choice",IF(COUNTIFS($A$5:$A$404,A268,$B$5:$B$404,B268)&gt;1,"Trùng OptionOrder trong cùng choice",IF(OR(B268="",C268="",D268="",F268="",H268=""),"Thiếu trường bắt buộc",IF(OR(COUNTIF($A$5:$A$404,A268)&lt;2,COUNTIF($A$5:$A$404,A268)&gt;4),"Mỗi choice cần 2–4 option",IF(COUNTIFS('02_KICH_BAN_NODES'!$B$5:$B$204,A268,'02_KICH_BAN_NODES'!$E$5:$E$204,"Kiến thức")=1,IF(COUNTIFS($A$5:$A$404,A268,$D$5:$D$404,"Có")&lt;&gt;1,"Choice kiến thức cần đúng 1 đáp án đúng",""),IF(COUNTIFS('02_KICH_BAN_NODES'!$B$5:$B$204,A268,'02_KICH_BAN_NODES'!$E$5:$E$204,"Tương tác")=1,IF(COUNTIFS($A$5:$A$404,A268,$D$5:$D$404,"Có")&lt;&gt;0,"Choice tương tác không được đánh dấu đáp án đúng",""),"Choice chưa chọn loại")))))))</f>
        <v/>
      </c>
    </row>
    <row r="269" spans="1:11">
      <c r="A269" s="13"/>
      <c r="B269" s="13"/>
      <c r="C269" s="5"/>
      <c r="D269" s="13"/>
      <c r="E269" s="13"/>
      <c r="F269" s="13"/>
      <c r="G269" s="13"/>
      <c r="H269" s="5"/>
      <c r="I269" s="5"/>
      <c r="J269" s="6" t="str">
        <f t="shared" si="4"/>
        <v/>
      </c>
      <c r="K269" s="6" t="str">
        <f>IF(A269="","",IF(COUNTIFS('02_KICH_BAN_NODES'!$B$5:$B$204,A269,'02_KICH_BAN_NODES'!$D$5:$D$204,"choice")=0,"ChoiceNodeId không tồn tại hoặc không phải choice",IF(COUNTIFS($A$5:$A$404,A269,$B$5:$B$404,B269)&gt;1,"Trùng OptionOrder trong cùng choice",IF(OR(B269="",C269="",D269="",F269="",H269=""),"Thiếu trường bắt buộc",IF(OR(COUNTIF($A$5:$A$404,A269)&lt;2,COUNTIF($A$5:$A$404,A269)&gt;4),"Mỗi choice cần 2–4 option",IF(COUNTIFS('02_KICH_BAN_NODES'!$B$5:$B$204,A269,'02_KICH_BAN_NODES'!$E$5:$E$204,"Kiến thức")=1,IF(COUNTIFS($A$5:$A$404,A269,$D$5:$D$404,"Có")&lt;&gt;1,"Choice kiến thức cần đúng 1 đáp án đúng",""),IF(COUNTIFS('02_KICH_BAN_NODES'!$B$5:$B$204,A269,'02_KICH_BAN_NODES'!$E$5:$E$204,"Tương tác")=1,IF(COUNTIFS($A$5:$A$404,A269,$D$5:$D$404,"Có")&lt;&gt;0,"Choice tương tác không được đánh dấu đáp án đúng",""),"Choice chưa chọn loại")))))))</f>
        <v/>
      </c>
    </row>
    <row r="270" spans="1:11">
      <c r="A270" s="13"/>
      <c r="B270" s="13"/>
      <c r="C270" s="5"/>
      <c r="D270" s="13"/>
      <c r="E270" s="13"/>
      <c r="F270" s="13"/>
      <c r="G270" s="13"/>
      <c r="H270" s="5"/>
      <c r="I270" s="5"/>
      <c r="J270" s="6" t="str">
        <f t="shared" si="4"/>
        <v/>
      </c>
      <c r="K270" s="6" t="str">
        <f>IF(A270="","",IF(COUNTIFS('02_KICH_BAN_NODES'!$B$5:$B$204,A270,'02_KICH_BAN_NODES'!$D$5:$D$204,"choice")=0,"ChoiceNodeId không tồn tại hoặc không phải choice",IF(COUNTIFS($A$5:$A$404,A270,$B$5:$B$404,B270)&gt;1,"Trùng OptionOrder trong cùng choice",IF(OR(B270="",C270="",D270="",F270="",H270=""),"Thiếu trường bắt buộc",IF(OR(COUNTIF($A$5:$A$404,A270)&lt;2,COUNTIF($A$5:$A$404,A270)&gt;4),"Mỗi choice cần 2–4 option",IF(COUNTIFS('02_KICH_BAN_NODES'!$B$5:$B$204,A270,'02_KICH_BAN_NODES'!$E$5:$E$204,"Kiến thức")=1,IF(COUNTIFS($A$5:$A$404,A270,$D$5:$D$404,"Có")&lt;&gt;1,"Choice kiến thức cần đúng 1 đáp án đúng",""),IF(COUNTIFS('02_KICH_BAN_NODES'!$B$5:$B$204,A270,'02_KICH_BAN_NODES'!$E$5:$E$204,"Tương tác")=1,IF(COUNTIFS($A$5:$A$404,A270,$D$5:$D$404,"Có")&lt;&gt;0,"Choice tương tác không được đánh dấu đáp án đúng",""),"Choice chưa chọn loại")))))))</f>
        <v/>
      </c>
    </row>
    <row r="271" spans="1:11">
      <c r="A271" s="13"/>
      <c r="B271" s="13"/>
      <c r="C271" s="5"/>
      <c r="D271" s="13"/>
      <c r="E271" s="13"/>
      <c r="F271" s="13"/>
      <c r="G271" s="13"/>
      <c r="H271" s="5"/>
      <c r="I271" s="5"/>
      <c r="J271" s="6" t="str">
        <f t="shared" si="4"/>
        <v/>
      </c>
      <c r="K271" s="6" t="str">
        <f>IF(A271="","",IF(COUNTIFS('02_KICH_BAN_NODES'!$B$5:$B$204,A271,'02_KICH_BAN_NODES'!$D$5:$D$204,"choice")=0,"ChoiceNodeId không tồn tại hoặc không phải choice",IF(COUNTIFS($A$5:$A$404,A271,$B$5:$B$404,B271)&gt;1,"Trùng OptionOrder trong cùng choice",IF(OR(B271="",C271="",D271="",F271="",H271=""),"Thiếu trường bắt buộc",IF(OR(COUNTIF($A$5:$A$404,A271)&lt;2,COUNTIF($A$5:$A$404,A271)&gt;4),"Mỗi choice cần 2–4 option",IF(COUNTIFS('02_KICH_BAN_NODES'!$B$5:$B$204,A271,'02_KICH_BAN_NODES'!$E$5:$E$204,"Kiến thức")=1,IF(COUNTIFS($A$5:$A$404,A271,$D$5:$D$404,"Có")&lt;&gt;1,"Choice kiến thức cần đúng 1 đáp án đúng",""),IF(COUNTIFS('02_KICH_BAN_NODES'!$B$5:$B$204,A271,'02_KICH_BAN_NODES'!$E$5:$E$204,"Tương tác")=1,IF(COUNTIFS($A$5:$A$404,A271,$D$5:$D$404,"Có")&lt;&gt;0,"Choice tương tác không được đánh dấu đáp án đúng",""),"Choice chưa chọn loại")))))))</f>
        <v/>
      </c>
    </row>
    <row r="272" spans="1:11">
      <c r="A272" s="13"/>
      <c r="B272" s="13"/>
      <c r="C272" s="5"/>
      <c r="D272" s="13"/>
      <c r="E272" s="13"/>
      <c r="F272" s="13"/>
      <c r="G272" s="13"/>
      <c r="H272" s="5"/>
      <c r="I272" s="5"/>
      <c r="J272" s="6" t="str">
        <f t="shared" si="4"/>
        <v/>
      </c>
      <c r="K272" s="6" t="str">
        <f>IF(A272="","",IF(COUNTIFS('02_KICH_BAN_NODES'!$B$5:$B$204,A272,'02_KICH_BAN_NODES'!$D$5:$D$204,"choice")=0,"ChoiceNodeId không tồn tại hoặc không phải choice",IF(COUNTIFS($A$5:$A$404,A272,$B$5:$B$404,B272)&gt;1,"Trùng OptionOrder trong cùng choice",IF(OR(B272="",C272="",D272="",F272="",H272=""),"Thiếu trường bắt buộc",IF(OR(COUNTIF($A$5:$A$404,A272)&lt;2,COUNTIF($A$5:$A$404,A272)&gt;4),"Mỗi choice cần 2–4 option",IF(COUNTIFS('02_KICH_BAN_NODES'!$B$5:$B$204,A272,'02_KICH_BAN_NODES'!$E$5:$E$204,"Kiến thức")=1,IF(COUNTIFS($A$5:$A$404,A272,$D$5:$D$404,"Có")&lt;&gt;1,"Choice kiến thức cần đúng 1 đáp án đúng",""),IF(COUNTIFS('02_KICH_BAN_NODES'!$B$5:$B$204,A272,'02_KICH_BAN_NODES'!$E$5:$E$204,"Tương tác")=1,IF(COUNTIFS($A$5:$A$404,A272,$D$5:$D$404,"Có")&lt;&gt;0,"Choice tương tác không được đánh dấu đáp án đúng",""),"Choice chưa chọn loại")))))))</f>
        <v/>
      </c>
    </row>
    <row r="273" spans="1:11">
      <c r="A273" s="13"/>
      <c r="B273" s="13"/>
      <c r="C273" s="5"/>
      <c r="D273" s="13"/>
      <c r="E273" s="13"/>
      <c r="F273" s="13"/>
      <c r="G273" s="13"/>
      <c r="H273" s="5"/>
      <c r="I273" s="5"/>
      <c r="J273" s="6" t="str">
        <f t="shared" si="4"/>
        <v/>
      </c>
      <c r="K273" s="6" t="str">
        <f>IF(A273="","",IF(COUNTIFS('02_KICH_BAN_NODES'!$B$5:$B$204,A273,'02_KICH_BAN_NODES'!$D$5:$D$204,"choice")=0,"ChoiceNodeId không tồn tại hoặc không phải choice",IF(COUNTIFS($A$5:$A$404,A273,$B$5:$B$404,B273)&gt;1,"Trùng OptionOrder trong cùng choice",IF(OR(B273="",C273="",D273="",F273="",H273=""),"Thiếu trường bắt buộc",IF(OR(COUNTIF($A$5:$A$404,A273)&lt;2,COUNTIF($A$5:$A$404,A273)&gt;4),"Mỗi choice cần 2–4 option",IF(COUNTIFS('02_KICH_BAN_NODES'!$B$5:$B$204,A273,'02_KICH_BAN_NODES'!$E$5:$E$204,"Kiến thức")=1,IF(COUNTIFS($A$5:$A$404,A273,$D$5:$D$404,"Có")&lt;&gt;1,"Choice kiến thức cần đúng 1 đáp án đúng",""),IF(COUNTIFS('02_KICH_BAN_NODES'!$B$5:$B$204,A273,'02_KICH_BAN_NODES'!$E$5:$E$204,"Tương tác")=1,IF(COUNTIFS($A$5:$A$404,A273,$D$5:$D$404,"Có")&lt;&gt;0,"Choice tương tác không được đánh dấu đáp án đúng",""),"Choice chưa chọn loại")))))))</f>
        <v/>
      </c>
    </row>
    <row r="274" spans="1:11">
      <c r="A274" s="13"/>
      <c r="B274" s="13"/>
      <c r="C274" s="5"/>
      <c r="D274" s="13"/>
      <c r="E274" s="13"/>
      <c r="F274" s="13"/>
      <c r="G274" s="13"/>
      <c r="H274" s="5"/>
      <c r="I274" s="5"/>
      <c r="J274" s="6" t="str">
        <f t="shared" si="4"/>
        <v/>
      </c>
      <c r="K274" s="6" t="str">
        <f>IF(A274="","",IF(COUNTIFS('02_KICH_BAN_NODES'!$B$5:$B$204,A274,'02_KICH_BAN_NODES'!$D$5:$D$204,"choice")=0,"ChoiceNodeId không tồn tại hoặc không phải choice",IF(COUNTIFS($A$5:$A$404,A274,$B$5:$B$404,B274)&gt;1,"Trùng OptionOrder trong cùng choice",IF(OR(B274="",C274="",D274="",F274="",H274=""),"Thiếu trường bắt buộc",IF(OR(COUNTIF($A$5:$A$404,A274)&lt;2,COUNTIF($A$5:$A$404,A274)&gt;4),"Mỗi choice cần 2–4 option",IF(COUNTIFS('02_KICH_BAN_NODES'!$B$5:$B$204,A274,'02_KICH_BAN_NODES'!$E$5:$E$204,"Kiến thức")=1,IF(COUNTIFS($A$5:$A$404,A274,$D$5:$D$404,"Có")&lt;&gt;1,"Choice kiến thức cần đúng 1 đáp án đúng",""),IF(COUNTIFS('02_KICH_BAN_NODES'!$B$5:$B$204,A274,'02_KICH_BAN_NODES'!$E$5:$E$204,"Tương tác")=1,IF(COUNTIFS($A$5:$A$404,A274,$D$5:$D$404,"Có")&lt;&gt;0,"Choice tương tác không được đánh dấu đáp án đúng",""),"Choice chưa chọn loại")))))))</f>
        <v/>
      </c>
    </row>
    <row r="275" spans="1:11">
      <c r="A275" s="13"/>
      <c r="B275" s="13"/>
      <c r="C275" s="5"/>
      <c r="D275" s="13"/>
      <c r="E275" s="13"/>
      <c r="F275" s="13"/>
      <c r="G275" s="13"/>
      <c r="H275" s="5"/>
      <c r="I275" s="5"/>
      <c r="J275" s="6" t="str">
        <f t="shared" si="4"/>
        <v/>
      </c>
      <c r="K275" s="6" t="str">
        <f>IF(A275="","",IF(COUNTIFS('02_KICH_BAN_NODES'!$B$5:$B$204,A275,'02_KICH_BAN_NODES'!$D$5:$D$204,"choice")=0,"ChoiceNodeId không tồn tại hoặc không phải choice",IF(COUNTIFS($A$5:$A$404,A275,$B$5:$B$404,B275)&gt;1,"Trùng OptionOrder trong cùng choice",IF(OR(B275="",C275="",D275="",F275="",H275=""),"Thiếu trường bắt buộc",IF(OR(COUNTIF($A$5:$A$404,A275)&lt;2,COUNTIF($A$5:$A$404,A275)&gt;4),"Mỗi choice cần 2–4 option",IF(COUNTIFS('02_KICH_BAN_NODES'!$B$5:$B$204,A275,'02_KICH_BAN_NODES'!$E$5:$E$204,"Kiến thức")=1,IF(COUNTIFS($A$5:$A$404,A275,$D$5:$D$404,"Có")&lt;&gt;1,"Choice kiến thức cần đúng 1 đáp án đúng",""),IF(COUNTIFS('02_KICH_BAN_NODES'!$B$5:$B$204,A275,'02_KICH_BAN_NODES'!$E$5:$E$204,"Tương tác")=1,IF(COUNTIFS($A$5:$A$404,A275,$D$5:$D$404,"Có")&lt;&gt;0,"Choice tương tác không được đánh dấu đáp án đúng",""),"Choice chưa chọn loại")))))))</f>
        <v/>
      </c>
    </row>
    <row r="276" spans="1:11">
      <c r="A276" s="13"/>
      <c r="B276" s="13"/>
      <c r="C276" s="5"/>
      <c r="D276" s="13"/>
      <c r="E276" s="13"/>
      <c r="F276" s="13"/>
      <c r="G276" s="13"/>
      <c r="H276" s="5"/>
      <c r="I276" s="5"/>
      <c r="J276" s="6" t="str">
        <f t="shared" si="4"/>
        <v/>
      </c>
      <c r="K276" s="6" t="str">
        <f>IF(A276="","",IF(COUNTIFS('02_KICH_BAN_NODES'!$B$5:$B$204,A276,'02_KICH_BAN_NODES'!$D$5:$D$204,"choice")=0,"ChoiceNodeId không tồn tại hoặc không phải choice",IF(COUNTIFS($A$5:$A$404,A276,$B$5:$B$404,B276)&gt;1,"Trùng OptionOrder trong cùng choice",IF(OR(B276="",C276="",D276="",F276="",H276=""),"Thiếu trường bắt buộc",IF(OR(COUNTIF($A$5:$A$404,A276)&lt;2,COUNTIF($A$5:$A$404,A276)&gt;4),"Mỗi choice cần 2–4 option",IF(COUNTIFS('02_KICH_BAN_NODES'!$B$5:$B$204,A276,'02_KICH_BAN_NODES'!$E$5:$E$204,"Kiến thức")=1,IF(COUNTIFS($A$5:$A$404,A276,$D$5:$D$404,"Có")&lt;&gt;1,"Choice kiến thức cần đúng 1 đáp án đúng",""),IF(COUNTIFS('02_KICH_BAN_NODES'!$B$5:$B$204,A276,'02_KICH_BAN_NODES'!$E$5:$E$204,"Tương tác")=1,IF(COUNTIFS($A$5:$A$404,A276,$D$5:$D$404,"Có")&lt;&gt;0,"Choice tương tác không được đánh dấu đáp án đúng",""),"Choice chưa chọn loại")))))))</f>
        <v/>
      </c>
    </row>
    <row r="277" spans="1:11">
      <c r="A277" s="13"/>
      <c r="B277" s="13"/>
      <c r="C277" s="5"/>
      <c r="D277" s="13"/>
      <c r="E277" s="13"/>
      <c r="F277" s="13"/>
      <c r="G277" s="13"/>
      <c r="H277" s="5"/>
      <c r="I277" s="5"/>
      <c r="J277" s="6" t="str">
        <f t="shared" si="4"/>
        <v/>
      </c>
      <c r="K277" s="6" t="str">
        <f>IF(A277="","",IF(COUNTIFS('02_KICH_BAN_NODES'!$B$5:$B$204,A277,'02_KICH_BAN_NODES'!$D$5:$D$204,"choice")=0,"ChoiceNodeId không tồn tại hoặc không phải choice",IF(COUNTIFS($A$5:$A$404,A277,$B$5:$B$404,B277)&gt;1,"Trùng OptionOrder trong cùng choice",IF(OR(B277="",C277="",D277="",F277="",H277=""),"Thiếu trường bắt buộc",IF(OR(COUNTIF($A$5:$A$404,A277)&lt;2,COUNTIF($A$5:$A$404,A277)&gt;4),"Mỗi choice cần 2–4 option",IF(COUNTIFS('02_KICH_BAN_NODES'!$B$5:$B$204,A277,'02_KICH_BAN_NODES'!$E$5:$E$204,"Kiến thức")=1,IF(COUNTIFS($A$5:$A$404,A277,$D$5:$D$404,"Có")&lt;&gt;1,"Choice kiến thức cần đúng 1 đáp án đúng",""),IF(COUNTIFS('02_KICH_BAN_NODES'!$B$5:$B$204,A277,'02_KICH_BAN_NODES'!$E$5:$E$204,"Tương tác")=1,IF(COUNTIFS($A$5:$A$404,A277,$D$5:$D$404,"Có")&lt;&gt;0,"Choice tương tác không được đánh dấu đáp án đúng",""),"Choice chưa chọn loại")))))))</f>
        <v/>
      </c>
    </row>
    <row r="278" spans="1:11">
      <c r="A278" s="13"/>
      <c r="B278" s="13"/>
      <c r="C278" s="5"/>
      <c r="D278" s="13"/>
      <c r="E278" s="13"/>
      <c r="F278" s="13"/>
      <c r="G278" s="13"/>
      <c r="H278" s="5"/>
      <c r="I278" s="5"/>
      <c r="J278" s="6" t="str">
        <f t="shared" si="4"/>
        <v/>
      </c>
      <c r="K278" s="6" t="str">
        <f>IF(A278="","",IF(COUNTIFS('02_KICH_BAN_NODES'!$B$5:$B$204,A278,'02_KICH_BAN_NODES'!$D$5:$D$204,"choice")=0,"ChoiceNodeId không tồn tại hoặc không phải choice",IF(COUNTIFS($A$5:$A$404,A278,$B$5:$B$404,B278)&gt;1,"Trùng OptionOrder trong cùng choice",IF(OR(B278="",C278="",D278="",F278="",H278=""),"Thiếu trường bắt buộc",IF(OR(COUNTIF($A$5:$A$404,A278)&lt;2,COUNTIF($A$5:$A$404,A278)&gt;4),"Mỗi choice cần 2–4 option",IF(COUNTIFS('02_KICH_BAN_NODES'!$B$5:$B$204,A278,'02_KICH_BAN_NODES'!$E$5:$E$204,"Kiến thức")=1,IF(COUNTIFS($A$5:$A$404,A278,$D$5:$D$404,"Có")&lt;&gt;1,"Choice kiến thức cần đúng 1 đáp án đúng",""),IF(COUNTIFS('02_KICH_BAN_NODES'!$B$5:$B$204,A278,'02_KICH_BAN_NODES'!$E$5:$E$204,"Tương tác")=1,IF(COUNTIFS($A$5:$A$404,A278,$D$5:$D$404,"Có")&lt;&gt;0,"Choice tương tác không được đánh dấu đáp án đúng",""),"Choice chưa chọn loại")))))))</f>
        <v/>
      </c>
    </row>
    <row r="279" spans="1:11">
      <c r="A279" s="13"/>
      <c r="B279" s="13"/>
      <c r="C279" s="5"/>
      <c r="D279" s="13"/>
      <c r="E279" s="13"/>
      <c r="F279" s="13"/>
      <c r="G279" s="13"/>
      <c r="H279" s="5"/>
      <c r="I279" s="5"/>
      <c r="J279" s="6" t="str">
        <f t="shared" si="4"/>
        <v/>
      </c>
      <c r="K279" s="6" t="str">
        <f>IF(A279="","",IF(COUNTIFS('02_KICH_BAN_NODES'!$B$5:$B$204,A279,'02_KICH_BAN_NODES'!$D$5:$D$204,"choice")=0,"ChoiceNodeId không tồn tại hoặc không phải choice",IF(COUNTIFS($A$5:$A$404,A279,$B$5:$B$404,B279)&gt;1,"Trùng OptionOrder trong cùng choice",IF(OR(B279="",C279="",D279="",F279="",H279=""),"Thiếu trường bắt buộc",IF(OR(COUNTIF($A$5:$A$404,A279)&lt;2,COUNTIF($A$5:$A$404,A279)&gt;4),"Mỗi choice cần 2–4 option",IF(COUNTIFS('02_KICH_BAN_NODES'!$B$5:$B$204,A279,'02_KICH_BAN_NODES'!$E$5:$E$204,"Kiến thức")=1,IF(COUNTIFS($A$5:$A$404,A279,$D$5:$D$404,"Có")&lt;&gt;1,"Choice kiến thức cần đúng 1 đáp án đúng",""),IF(COUNTIFS('02_KICH_BAN_NODES'!$B$5:$B$204,A279,'02_KICH_BAN_NODES'!$E$5:$E$204,"Tương tác")=1,IF(COUNTIFS($A$5:$A$404,A279,$D$5:$D$404,"Có")&lt;&gt;0,"Choice tương tác không được đánh dấu đáp án đúng",""),"Choice chưa chọn loại")))))))</f>
        <v/>
      </c>
    </row>
    <row r="280" spans="1:11">
      <c r="A280" s="13"/>
      <c r="B280" s="13"/>
      <c r="C280" s="5"/>
      <c r="D280" s="13"/>
      <c r="E280" s="13"/>
      <c r="F280" s="13"/>
      <c r="G280" s="13"/>
      <c r="H280" s="5"/>
      <c r="I280" s="5"/>
      <c r="J280" s="6" t="str">
        <f t="shared" si="4"/>
        <v/>
      </c>
      <c r="K280" s="6" t="str">
        <f>IF(A280="","",IF(COUNTIFS('02_KICH_BAN_NODES'!$B$5:$B$204,A280,'02_KICH_BAN_NODES'!$D$5:$D$204,"choice")=0,"ChoiceNodeId không tồn tại hoặc không phải choice",IF(COUNTIFS($A$5:$A$404,A280,$B$5:$B$404,B280)&gt;1,"Trùng OptionOrder trong cùng choice",IF(OR(B280="",C280="",D280="",F280="",H280=""),"Thiếu trường bắt buộc",IF(OR(COUNTIF($A$5:$A$404,A280)&lt;2,COUNTIF($A$5:$A$404,A280)&gt;4),"Mỗi choice cần 2–4 option",IF(COUNTIFS('02_KICH_BAN_NODES'!$B$5:$B$204,A280,'02_KICH_BAN_NODES'!$E$5:$E$204,"Kiến thức")=1,IF(COUNTIFS($A$5:$A$404,A280,$D$5:$D$404,"Có")&lt;&gt;1,"Choice kiến thức cần đúng 1 đáp án đúng",""),IF(COUNTIFS('02_KICH_BAN_NODES'!$B$5:$B$204,A280,'02_KICH_BAN_NODES'!$E$5:$E$204,"Tương tác")=1,IF(COUNTIFS($A$5:$A$404,A280,$D$5:$D$404,"Có")&lt;&gt;0,"Choice tương tác không được đánh dấu đáp án đúng",""),"Choice chưa chọn loại")))))))</f>
        <v/>
      </c>
    </row>
    <row r="281" spans="1:11">
      <c r="A281" s="13"/>
      <c r="B281" s="13"/>
      <c r="C281" s="5"/>
      <c r="D281" s="13"/>
      <c r="E281" s="13"/>
      <c r="F281" s="13"/>
      <c r="G281" s="13"/>
      <c r="H281" s="5"/>
      <c r="I281" s="5"/>
      <c r="J281" s="6" t="str">
        <f t="shared" si="4"/>
        <v/>
      </c>
      <c r="K281" s="6" t="str">
        <f>IF(A281="","",IF(COUNTIFS('02_KICH_BAN_NODES'!$B$5:$B$204,A281,'02_KICH_BAN_NODES'!$D$5:$D$204,"choice")=0,"ChoiceNodeId không tồn tại hoặc không phải choice",IF(COUNTIFS($A$5:$A$404,A281,$B$5:$B$404,B281)&gt;1,"Trùng OptionOrder trong cùng choice",IF(OR(B281="",C281="",D281="",F281="",H281=""),"Thiếu trường bắt buộc",IF(OR(COUNTIF($A$5:$A$404,A281)&lt;2,COUNTIF($A$5:$A$404,A281)&gt;4),"Mỗi choice cần 2–4 option",IF(COUNTIFS('02_KICH_BAN_NODES'!$B$5:$B$204,A281,'02_KICH_BAN_NODES'!$E$5:$E$204,"Kiến thức")=1,IF(COUNTIFS($A$5:$A$404,A281,$D$5:$D$404,"Có")&lt;&gt;1,"Choice kiến thức cần đúng 1 đáp án đúng",""),IF(COUNTIFS('02_KICH_BAN_NODES'!$B$5:$B$204,A281,'02_KICH_BAN_NODES'!$E$5:$E$204,"Tương tác")=1,IF(COUNTIFS($A$5:$A$404,A281,$D$5:$D$404,"Có")&lt;&gt;0,"Choice tương tác không được đánh dấu đáp án đúng",""),"Choice chưa chọn loại")))))))</f>
        <v/>
      </c>
    </row>
    <row r="282" spans="1:11">
      <c r="A282" s="13"/>
      <c r="B282" s="13"/>
      <c r="C282" s="5"/>
      <c r="D282" s="13"/>
      <c r="E282" s="13"/>
      <c r="F282" s="13"/>
      <c r="G282" s="13"/>
      <c r="H282" s="5"/>
      <c r="I282" s="5"/>
      <c r="J282" s="6" t="str">
        <f t="shared" si="4"/>
        <v/>
      </c>
      <c r="K282" s="6" t="str">
        <f>IF(A282="","",IF(COUNTIFS('02_KICH_BAN_NODES'!$B$5:$B$204,A282,'02_KICH_BAN_NODES'!$D$5:$D$204,"choice")=0,"ChoiceNodeId không tồn tại hoặc không phải choice",IF(COUNTIFS($A$5:$A$404,A282,$B$5:$B$404,B282)&gt;1,"Trùng OptionOrder trong cùng choice",IF(OR(B282="",C282="",D282="",F282="",H282=""),"Thiếu trường bắt buộc",IF(OR(COUNTIF($A$5:$A$404,A282)&lt;2,COUNTIF($A$5:$A$404,A282)&gt;4),"Mỗi choice cần 2–4 option",IF(COUNTIFS('02_KICH_BAN_NODES'!$B$5:$B$204,A282,'02_KICH_BAN_NODES'!$E$5:$E$204,"Kiến thức")=1,IF(COUNTIFS($A$5:$A$404,A282,$D$5:$D$404,"Có")&lt;&gt;1,"Choice kiến thức cần đúng 1 đáp án đúng",""),IF(COUNTIFS('02_KICH_BAN_NODES'!$B$5:$B$204,A282,'02_KICH_BAN_NODES'!$E$5:$E$204,"Tương tác")=1,IF(COUNTIFS($A$5:$A$404,A282,$D$5:$D$404,"Có")&lt;&gt;0,"Choice tương tác không được đánh dấu đáp án đúng",""),"Choice chưa chọn loại")))))))</f>
        <v/>
      </c>
    </row>
    <row r="283" spans="1:11">
      <c r="A283" s="13"/>
      <c r="B283" s="13"/>
      <c r="C283" s="5"/>
      <c r="D283" s="13"/>
      <c r="E283" s="13"/>
      <c r="F283" s="13"/>
      <c r="G283" s="13"/>
      <c r="H283" s="5"/>
      <c r="I283" s="5"/>
      <c r="J283" s="6" t="str">
        <f t="shared" si="4"/>
        <v/>
      </c>
      <c r="K283" s="6" t="str">
        <f>IF(A283="","",IF(COUNTIFS('02_KICH_BAN_NODES'!$B$5:$B$204,A283,'02_KICH_BAN_NODES'!$D$5:$D$204,"choice")=0,"ChoiceNodeId không tồn tại hoặc không phải choice",IF(COUNTIFS($A$5:$A$404,A283,$B$5:$B$404,B283)&gt;1,"Trùng OptionOrder trong cùng choice",IF(OR(B283="",C283="",D283="",F283="",H283=""),"Thiếu trường bắt buộc",IF(OR(COUNTIF($A$5:$A$404,A283)&lt;2,COUNTIF($A$5:$A$404,A283)&gt;4),"Mỗi choice cần 2–4 option",IF(COUNTIFS('02_KICH_BAN_NODES'!$B$5:$B$204,A283,'02_KICH_BAN_NODES'!$E$5:$E$204,"Kiến thức")=1,IF(COUNTIFS($A$5:$A$404,A283,$D$5:$D$404,"Có")&lt;&gt;1,"Choice kiến thức cần đúng 1 đáp án đúng",""),IF(COUNTIFS('02_KICH_BAN_NODES'!$B$5:$B$204,A283,'02_KICH_BAN_NODES'!$E$5:$E$204,"Tương tác")=1,IF(COUNTIFS($A$5:$A$404,A283,$D$5:$D$404,"Có")&lt;&gt;0,"Choice tương tác không được đánh dấu đáp án đúng",""),"Choice chưa chọn loại")))))))</f>
        <v/>
      </c>
    </row>
    <row r="284" spans="1:11">
      <c r="A284" s="13"/>
      <c r="B284" s="13"/>
      <c r="C284" s="5"/>
      <c r="D284" s="13"/>
      <c r="E284" s="13"/>
      <c r="F284" s="13"/>
      <c r="G284" s="13"/>
      <c r="H284" s="5"/>
      <c r="I284" s="5"/>
      <c r="J284" s="6" t="str">
        <f t="shared" si="4"/>
        <v/>
      </c>
      <c r="K284" s="6" t="str">
        <f>IF(A284="","",IF(COUNTIFS('02_KICH_BAN_NODES'!$B$5:$B$204,A284,'02_KICH_BAN_NODES'!$D$5:$D$204,"choice")=0,"ChoiceNodeId không tồn tại hoặc không phải choice",IF(COUNTIFS($A$5:$A$404,A284,$B$5:$B$404,B284)&gt;1,"Trùng OptionOrder trong cùng choice",IF(OR(B284="",C284="",D284="",F284="",H284=""),"Thiếu trường bắt buộc",IF(OR(COUNTIF($A$5:$A$404,A284)&lt;2,COUNTIF($A$5:$A$404,A284)&gt;4),"Mỗi choice cần 2–4 option",IF(COUNTIFS('02_KICH_BAN_NODES'!$B$5:$B$204,A284,'02_KICH_BAN_NODES'!$E$5:$E$204,"Kiến thức")=1,IF(COUNTIFS($A$5:$A$404,A284,$D$5:$D$404,"Có")&lt;&gt;1,"Choice kiến thức cần đúng 1 đáp án đúng",""),IF(COUNTIFS('02_KICH_BAN_NODES'!$B$5:$B$204,A284,'02_KICH_BAN_NODES'!$E$5:$E$204,"Tương tác")=1,IF(COUNTIFS($A$5:$A$404,A284,$D$5:$D$404,"Có")&lt;&gt;0,"Choice tương tác không được đánh dấu đáp án đúng",""),"Choice chưa chọn loại")))))))</f>
        <v/>
      </c>
    </row>
    <row r="285" spans="1:11">
      <c r="A285" s="13"/>
      <c r="B285" s="13"/>
      <c r="C285" s="5"/>
      <c r="D285" s="13"/>
      <c r="E285" s="13"/>
      <c r="F285" s="13"/>
      <c r="G285" s="13"/>
      <c r="H285" s="5"/>
      <c r="I285" s="5"/>
      <c r="J285" s="6" t="str">
        <f t="shared" si="4"/>
        <v/>
      </c>
      <c r="K285" s="6" t="str">
        <f>IF(A285="","",IF(COUNTIFS('02_KICH_BAN_NODES'!$B$5:$B$204,A285,'02_KICH_BAN_NODES'!$D$5:$D$204,"choice")=0,"ChoiceNodeId không tồn tại hoặc không phải choice",IF(COUNTIFS($A$5:$A$404,A285,$B$5:$B$404,B285)&gt;1,"Trùng OptionOrder trong cùng choice",IF(OR(B285="",C285="",D285="",F285="",H285=""),"Thiếu trường bắt buộc",IF(OR(COUNTIF($A$5:$A$404,A285)&lt;2,COUNTIF($A$5:$A$404,A285)&gt;4),"Mỗi choice cần 2–4 option",IF(COUNTIFS('02_KICH_BAN_NODES'!$B$5:$B$204,A285,'02_KICH_BAN_NODES'!$E$5:$E$204,"Kiến thức")=1,IF(COUNTIFS($A$5:$A$404,A285,$D$5:$D$404,"Có")&lt;&gt;1,"Choice kiến thức cần đúng 1 đáp án đúng",""),IF(COUNTIFS('02_KICH_BAN_NODES'!$B$5:$B$204,A285,'02_KICH_BAN_NODES'!$E$5:$E$204,"Tương tác")=1,IF(COUNTIFS($A$5:$A$404,A285,$D$5:$D$404,"Có")&lt;&gt;0,"Choice tương tác không được đánh dấu đáp án đúng",""),"Choice chưa chọn loại")))))))</f>
        <v/>
      </c>
    </row>
    <row r="286" spans="1:11">
      <c r="A286" s="13"/>
      <c r="B286" s="13"/>
      <c r="C286" s="5"/>
      <c r="D286" s="13"/>
      <c r="E286" s="13"/>
      <c r="F286" s="13"/>
      <c r="G286" s="13"/>
      <c r="H286" s="5"/>
      <c r="I286" s="5"/>
      <c r="J286" s="6" t="str">
        <f t="shared" si="4"/>
        <v/>
      </c>
      <c r="K286" s="6" t="str">
        <f>IF(A286="","",IF(COUNTIFS('02_KICH_BAN_NODES'!$B$5:$B$204,A286,'02_KICH_BAN_NODES'!$D$5:$D$204,"choice")=0,"ChoiceNodeId không tồn tại hoặc không phải choice",IF(COUNTIFS($A$5:$A$404,A286,$B$5:$B$404,B286)&gt;1,"Trùng OptionOrder trong cùng choice",IF(OR(B286="",C286="",D286="",F286="",H286=""),"Thiếu trường bắt buộc",IF(OR(COUNTIF($A$5:$A$404,A286)&lt;2,COUNTIF($A$5:$A$404,A286)&gt;4),"Mỗi choice cần 2–4 option",IF(COUNTIFS('02_KICH_BAN_NODES'!$B$5:$B$204,A286,'02_KICH_BAN_NODES'!$E$5:$E$204,"Kiến thức")=1,IF(COUNTIFS($A$5:$A$404,A286,$D$5:$D$404,"Có")&lt;&gt;1,"Choice kiến thức cần đúng 1 đáp án đúng",""),IF(COUNTIFS('02_KICH_BAN_NODES'!$B$5:$B$204,A286,'02_KICH_BAN_NODES'!$E$5:$E$204,"Tương tác")=1,IF(COUNTIFS($A$5:$A$404,A286,$D$5:$D$404,"Có")&lt;&gt;0,"Choice tương tác không được đánh dấu đáp án đúng",""),"Choice chưa chọn loại")))))))</f>
        <v/>
      </c>
    </row>
    <row r="287" spans="1:11">
      <c r="A287" s="13"/>
      <c r="B287" s="13"/>
      <c r="C287" s="5"/>
      <c r="D287" s="13"/>
      <c r="E287" s="13"/>
      <c r="F287" s="13"/>
      <c r="G287" s="13"/>
      <c r="H287" s="5"/>
      <c r="I287" s="5"/>
      <c r="J287" s="6" t="str">
        <f t="shared" si="4"/>
        <v/>
      </c>
      <c r="K287" s="6" t="str">
        <f>IF(A287="","",IF(COUNTIFS('02_KICH_BAN_NODES'!$B$5:$B$204,A287,'02_KICH_BAN_NODES'!$D$5:$D$204,"choice")=0,"ChoiceNodeId không tồn tại hoặc không phải choice",IF(COUNTIFS($A$5:$A$404,A287,$B$5:$B$404,B287)&gt;1,"Trùng OptionOrder trong cùng choice",IF(OR(B287="",C287="",D287="",F287="",H287=""),"Thiếu trường bắt buộc",IF(OR(COUNTIF($A$5:$A$404,A287)&lt;2,COUNTIF($A$5:$A$404,A287)&gt;4),"Mỗi choice cần 2–4 option",IF(COUNTIFS('02_KICH_BAN_NODES'!$B$5:$B$204,A287,'02_KICH_BAN_NODES'!$E$5:$E$204,"Kiến thức")=1,IF(COUNTIFS($A$5:$A$404,A287,$D$5:$D$404,"Có")&lt;&gt;1,"Choice kiến thức cần đúng 1 đáp án đúng",""),IF(COUNTIFS('02_KICH_BAN_NODES'!$B$5:$B$204,A287,'02_KICH_BAN_NODES'!$E$5:$E$204,"Tương tác")=1,IF(COUNTIFS($A$5:$A$404,A287,$D$5:$D$404,"Có")&lt;&gt;0,"Choice tương tác không được đánh dấu đáp án đúng",""),"Choice chưa chọn loại")))))))</f>
        <v/>
      </c>
    </row>
    <row r="288" spans="1:11">
      <c r="A288" s="13"/>
      <c r="B288" s="13"/>
      <c r="C288" s="5"/>
      <c r="D288" s="13"/>
      <c r="E288" s="13"/>
      <c r="F288" s="13"/>
      <c r="G288" s="13"/>
      <c r="H288" s="5"/>
      <c r="I288" s="5"/>
      <c r="J288" s="6" t="str">
        <f t="shared" si="4"/>
        <v/>
      </c>
      <c r="K288" s="6" t="str">
        <f>IF(A288="","",IF(COUNTIFS('02_KICH_BAN_NODES'!$B$5:$B$204,A288,'02_KICH_BAN_NODES'!$D$5:$D$204,"choice")=0,"ChoiceNodeId không tồn tại hoặc không phải choice",IF(COUNTIFS($A$5:$A$404,A288,$B$5:$B$404,B288)&gt;1,"Trùng OptionOrder trong cùng choice",IF(OR(B288="",C288="",D288="",F288="",H288=""),"Thiếu trường bắt buộc",IF(OR(COUNTIF($A$5:$A$404,A288)&lt;2,COUNTIF($A$5:$A$404,A288)&gt;4),"Mỗi choice cần 2–4 option",IF(COUNTIFS('02_KICH_BAN_NODES'!$B$5:$B$204,A288,'02_KICH_BAN_NODES'!$E$5:$E$204,"Kiến thức")=1,IF(COUNTIFS($A$5:$A$404,A288,$D$5:$D$404,"Có")&lt;&gt;1,"Choice kiến thức cần đúng 1 đáp án đúng",""),IF(COUNTIFS('02_KICH_BAN_NODES'!$B$5:$B$204,A288,'02_KICH_BAN_NODES'!$E$5:$E$204,"Tương tác")=1,IF(COUNTIFS($A$5:$A$404,A288,$D$5:$D$404,"Có")&lt;&gt;0,"Choice tương tác không được đánh dấu đáp án đúng",""),"Choice chưa chọn loại")))))))</f>
        <v/>
      </c>
    </row>
    <row r="289" spans="1:11">
      <c r="A289" s="13"/>
      <c r="B289" s="13"/>
      <c r="C289" s="5"/>
      <c r="D289" s="13"/>
      <c r="E289" s="13"/>
      <c r="F289" s="13"/>
      <c r="G289" s="13"/>
      <c r="H289" s="5"/>
      <c r="I289" s="5"/>
      <c r="J289" s="6" t="str">
        <f t="shared" si="4"/>
        <v/>
      </c>
      <c r="K289" s="6" t="str">
        <f>IF(A289="","",IF(COUNTIFS('02_KICH_BAN_NODES'!$B$5:$B$204,A289,'02_KICH_BAN_NODES'!$D$5:$D$204,"choice")=0,"ChoiceNodeId không tồn tại hoặc không phải choice",IF(COUNTIFS($A$5:$A$404,A289,$B$5:$B$404,B289)&gt;1,"Trùng OptionOrder trong cùng choice",IF(OR(B289="",C289="",D289="",F289="",H289=""),"Thiếu trường bắt buộc",IF(OR(COUNTIF($A$5:$A$404,A289)&lt;2,COUNTIF($A$5:$A$404,A289)&gt;4),"Mỗi choice cần 2–4 option",IF(COUNTIFS('02_KICH_BAN_NODES'!$B$5:$B$204,A289,'02_KICH_BAN_NODES'!$E$5:$E$204,"Kiến thức")=1,IF(COUNTIFS($A$5:$A$404,A289,$D$5:$D$404,"Có")&lt;&gt;1,"Choice kiến thức cần đúng 1 đáp án đúng",""),IF(COUNTIFS('02_KICH_BAN_NODES'!$B$5:$B$204,A289,'02_KICH_BAN_NODES'!$E$5:$E$204,"Tương tác")=1,IF(COUNTIFS($A$5:$A$404,A289,$D$5:$D$404,"Có")&lt;&gt;0,"Choice tương tác không được đánh dấu đáp án đúng",""),"Choice chưa chọn loại")))))))</f>
        <v/>
      </c>
    </row>
    <row r="290" spans="1:11">
      <c r="A290" s="13"/>
      <c r="B290" s="13"/>
      <c r="C290" s="5"/>
      <c r="D290" s="13"/>
      <c r="E290" s="13"/>
      <c r="F290" s="13"/>
      <c r="G290" s="13"/>
      <c r="H290" s="5"/>
      <c r="I290" s="5"/>
      <c r="J290" s="6" t="str">
        <f t="shared" si="4"/>
        <v/>
      </c>
      <c r="K290" s="6" t="str">
        <f>IF(A290="","",IF(COUNTIFS('02_KICH_BAN_NODES'!$B$5:$B$204,A290,'02_KICH_BAN_NODES'!$D$5:$D$204,"choice")=0,"ChoiceNodeId không tồn tại hoặc không phải choice",IF(COUNTIFS($A$5:$A$404,A290,$B$5:$B$404,B290)&gt;1,"Trùng OptionOrder trong cùng choice",IF(OR(B290="",C290="",D290="",F290="",H290=""),"Thiếu trường bắt buộc",IF(OR(COUNTIF($A$5:$A$404,A290)&lt;2,COUNTIF($A$5:$A$404,A290)&gt;4),"Mỗi choice cần 2–4 option",IF(COUNTIFS('02_KICH_BAN_NODES'!$B$5:$B$204,A290,'02_KICH_BAN_NODES'!$E$5:$E$204,"Kiến thức")=1,IF(COUNTIFS($A$5:$A$404,A290,$D$5:$D$404,"Có")&lt;&gt;1,"Choice kiến thức cần đúng 1 đáp án đúng",""),IF(COUNTIFS('02_KICH_BAN_NODES'!$B$5:$B$204,A290,'02_KICH_BAN_NODES'!$E$5:$E$204,"Tương tác")=1,IF(COUNTIFS($A$5:$A$404,A290,$D$5:$D$404,"Có")&lt;&gt;0,"Choice tương tác không được đánh dấu đáp án đúng",""),"Choice chưa chọn loại")))))))</f>
        <v/>
      </c>
    </row>
    <row r="291" spans="1:11">
      <c r="A291" s="13"/>
      <c r="B291" s="13"/>
      <c r="C291" s="5"/>
      <c r="D291" s="13"/>
      <c r="E291" s="13"/>
      <c r="F291" s="13"/>
      <c r="G291" s="13"/>
      <c r="H291" s="5"/>
      <c r="I291" s="5"/>
      <c r="J291" s="6" t="str">
        <f t="shared" si="4"/>
        <v/>
      </c>
      <c r="K291" s="6" t="str">
        <f>IF(A291="","",IF(COUNTIFS('02_KICH_BAN_NODES'!$B$5:$B$204,A291,'02_KICH_BAN_NODES'!$D$5:$D$204,"choice")=0,"ChoiceNodeId không tồn tại hoặc không phải choice",IF(COUNTIFS($A$5:$A$404,A291,$B$5:$B$404,B291)&gt;1,"Trùng OptionOrder trong cùng choice",IF(OR(B291="",C291="",D291="",F291="",H291=""),"Thiếu trường bắt buộc",IF(OR(COUNTIF($A$5:$A$404,A291)&lt;2,COUNTIF($A$5:$A$404,A291)&gt;4),"Mỗi choice cần 2–4 option",IF(COUNTIFS('02_KICH_BAN_NODES'!$B$5:$B$204,A291,'02_KICH_BAN_NODES'!$E$5:$E$204,"Kiến thức")=1,IF(COUNTIFS($A$5:$A$404,A291,$D$5:$D$404,"Có")&lt;&gt;1,"Choice kiến thức cần đúng 1 đáp án đúng",""),IF(COUNTIFS('02_KICH_BAN_NODES'!$B$5:$B$204,A291,'02_KICH_BAN_NODES'!$E$5:$E$204,"Tương tác")=1,IF(COUNTIFS($A$5:$A$404,A291,$D$5:$D$404,"Có")&lt;&gt;0,"Choice tương tác không được đánh dấu đáp án đúng",""),"Choice chưa chọn loại")))))))</f>
        <v/>
      </c>
    </row>
    <row r="292" spans="1:11">
      <c r="A292" s="13"/>
      <c r="B292" s="13"/>
      <c r="C292" s="5"/>
      <c r="D292" s="13"/>
      <c r="E292" s="13"/>
      <c r="F292" s="13"/>
      <c r="G292" s="13"/>
      <c r="H292" s="5"/>
      <c r="I292" s="5"/>
      <c r="J292" s="6" t="str">
        <f t="shared" si="4"/>
        <v/>
      </c>
      <c r="K292" s="6" t="str">
        <f>IF(A292="","",IF(COUNTIFS('02_KICH_BAN_NODES'!$B$5:$B$204,A292,'02_KICH_BAN_NODES'!$D$5:$D$204,"choice")=0,"ChoiceNodeId không tồn tại hoặc không phải choice",IF(COUNTIFS($A$5:$A$404,A292,$B$5:$B$404,B292)&gt;1,"Trùng OptionOrder trong cùng choice",IF(OR(B292="",C292="",D292="",F292="",H292=""),"Thiếu trường bắt buộc",IF(OR(COUNTIF($A$5:$A$404,A292)&lt;2,COUNTIF($A$5:$A$404,A292)&gt;4),"Mỗi choice cần 2–4 option",IF(COUNTIFS('02_KICH_BAN_NODES'!$B$5:$B$204,A292,'02_KICH_BAN_NODES'!$E$5:$E$204,"Kiến thức")=1,IF(COUNTIFS($A$5:$A$404,A292,$D$5:$D$404,"Có")&lt;&gt;1,"Choice kiến thức cần đúng 1 đáp án đúng",""),IF(COUNTIFS('02_KICH_BAN_NODES'!$B$5:$B$204,A292,'02_KICH_BAN_NODES'!$E$5:$E$204,"Tương tác")=1,IF(COUNTIFS($A$5:$A$404,A292,$D$5:$D$404,"Có")&lt;&gt;0,"Choice tương tác không được đánh dấu đáp án đúng",""),"Choice chưa chọn loại")))))))</f>
        <v/>
      </c>
    </row>
    <row r="293" spans="1:11">
      <c r="A293" s="13"/>
      <c r="B293" s="13"/>
      <c r="C293" s="5"/>
      <c r="D293" s="13"/>
      <c r="E293" s="13"/>
      <c r="F293" s="13"/>
      <c r="G293" s="13"/>
      <c r="H293" s="5"/>
      <c r="I293" s="5"/>
      <c r="J293" s="6" t="str">
        <f t="shared" si="4"/>
        <v/>
      </c>
      <c r="K293" s="6" t="str">
        <f>IF(A293="","",IF(COUNTIFS('02_KICH_BAN_NODES'!$B$5:$B$204,A293,'02_KICH_BAN_NODES'!$D$5:$D$204,"choice")=0,"ChoiceNodeId không tồn tại hoặc không phải choice",IF(COUNTIFS($A$5:$A$404,A293,$B$5:$B$404,B293)&gt;1,"Trùng OptionOrder trong cùng choice",IF(OR(B293="",C293="",D293="",F293="",H293=""),"Thiếu trường bắt buộc",IF(OR(COUNTIF($A$5:$A$404,A293)&lt;2,COUNTIF($A$5:$A$404,A293)&gt;4),"Mỗi choice cần 2–4 option",IF(COUNTIFS('02_KICH_BAN_NODES'!$B$5:$B$204,A293,'02_KICH_BAN_NODES'!$E$5:$E$204,"Kiến thức")=1,IF(COUNTIFS($A$5:$A$404,A293,$D$5:$D$404,"Có")&lt;&gt;1,"Choice kiến thức cần đúng 1 đáp án đúng",""),IF(COUNTIFS('02_KICH_BAN_NODES'!$B$5:$B$204,A293,'02_KICH_BAN_NODES'!$E$5:$E$204,"Tương tác")=1,IF(COUNTIFS($A$5:$A$404,A293,$D$5:$D$404,"Có")&lt;&gt;0,"Choice tương tác không được đánh dấu đáp án đúng",""),"Choice chưa chọn loại")))))))</f>
        <v/>
      </c>
    </row>
    <row r="294" spans="1:11">
      <c r="A294" s="13"/>
      <c r="B294" s="13"/>
      <c r="C294" s="5"/>
      <c r="D294" s="13"/>
      <c r="E294" s="13"/>
      <c r="F294" s="13"/>
      <c r="G294" s="13"/>
      <c r="H294" s="5"/>
      <c r="I294" s="5"/>
      <c r="J294" s="6" t="str">
        <f t="shared" si="4"/>
        <v/>
      </c>
      <c r="K294" s="6" t="str">
        <f>IF(A294="","",IF(COUNTIFS('02_KICH_BAN_NODES'!$B$5:$B$204,A294,'02_KICH_BAN_NODES'!$D$5:$D$204,"choice")=0,"ChoiceNodeId không tồn tại hoặc không phải choice",IF(COUNTIFS($A$5:$A$404,A294,$B$5:$B$404,B294)&gt;1,"Trùng OptionOrder trong cùng choice",IF(OR(B294="",C294="",D294="",F294="",H294=""),"Thiếu trường bắt buộc",IF(OR(COUNTIF($A$5:$A$404,A294)&lt;2,COUNTIF($A$5:$A$404,A294)&gt;4),"Mỗi choice cần 2–4 option",IF(COUNTIFS('02_KICH_BAN_NODES'!$B$5:$B$204,A294,'02_KICH_BAN_NODES'!$E$5:$E$204,"Kiến thức")=1,IF(COUNTIFS($A$5:$A$404,A294,$D$5:$D$404,"Có")&lt;&gt;1,"Choice kiến thức cần đúng 1 đáp án đúng",""),IF(COUNTIFS('02_KICH_BAN_NODES'!$B$5:$B$204,A294,'02_KICH_BAN_NODES'!$E$5:$E$204,"Tương tác")=1,IF(COUNTIFS($A$5:$A$404,A294,$D$5:$D$404,"Có")&lt;&gt;0,"Choice tương tác không được đánh dấu đáp án đúng",""),"Choice chưa chọn loại")))))))</f>
        <v/>
      </c>
    </row>
    <row r="295" spans="1:11">
      <c r="A295" s="13"/>
      <c r="B295" s="13"/>
      <c r="C295" s="5"/>
      <c r="D295" s="13"/>
      <c r="E295" s="13"/>
      <c r="F295" s="13"/>
      <c r="G295" s="13"/>
      <c r="H295" s="5"/>
      <c r="I295" s="5"/>
      <c r="J295" s="6" t="str">
        <f t="shared" si="4"/>
        <v/>
      </c>
      <c r="K295" s="6" t="str">
        <f>IF(A295="","",IF(COUNTIFS('02_KICH_BAN_NODES'!$B$5:$B$204,A295,'02_KICH_BAN_NODES'!$D$5:$D$204,"choice")=0,"ChoiceNodeId không tồn tại hoặc không phải choice",IF(COUNTIFS($A$5:$A$404,A295,$B$5:$B$404,B295)&gt;1,"Trùng OptionOrder trong cùng choice",IF(OR(B295="",C295="",D295="",F295="",H295=""),"Thiếu trường bắt buộc",IF(OR(COUNTIF($A$5:$A$404,A295)&lt;2,COUNTIF($A$5:$A$404,A295)&gt;4),"Mỗi choice cần 2–4 option",IF(COUNTIFS('02_KICH_BAN_NODES'!$B$5:$B$204,A295,'02_KICH_BAN_NODES'!$E$5:$E$204,"Kiến thức")=1,IF(COUNTIFS($A$5:$A$404,A295,$D$5:$D$404,"Có")&lt;&gt;1,"Choice kiến thức cần đúng 1 đáp án đúng",""),IF(COUNTIFS('02_KICH_BAN_NODES'!$B$5:$B$204,A295,'02_KICH_BAN_NODES'!$E$5:$E$204,"Tương tác")=1,IF(COUNTIFS($A$5:$A$404,A295,$D$5:$D$404,"Có")&lt;&gt;0,"Choice tương tác không được đánh dấu đáp án đúng",""),"Choice chưa chọn loại")))))))</f>
        <v/>
      </c>
    </row>
    <row r="296" spans="1:11">
      <c r="A296" s="13"/>
      <c r="B296" s="13"/>
      <c r="C296" s="5"/>
      <c r="D296" s="13"/>
      <c r="E296" s="13"/>
      <c r="F296" s="13"/>
      <c r="G296" s="13"/>
      <c r="H296" s="5"/>
      <c r="I296" s="5"/>
      <c r="J296" s="6" t="str">
        <f t="shared" si="4"/>
        <v/>
      </c>
      <c r="K296" s="6" t="str">
        <f>IF(A296="","",IF(COUNTIFS('02_KICH_BAN_NODES'!$B$5:$B$204,A296,'02_KICH_BAN_NODES'!$D$5:$D$204,"choice")=0,"ChoiceNodeId không tồn tại hoặc không phải choice",IF(COUNTIFS($A$5:$A$404,A296,$B$5:$B$404,B296)&gt;1,"Trùng OptionOrder trong cùng choice",IF(OR(B296="",C296="",D296="",F296="",H296=""),"Thiếu trường bắt buộc",IF(OR(COUNTIF($A$5:$A$404,A296)&lt;2,COUNTIF($A$5:$A$404,A296)&gt;4),"Mỗi choice cần 2–4 option",IF(COUNTIFS('02_KICH_BAN_NODES'!$B$5:$B$204,A296,'02_KICH_BAN_NODES'!$E$5:$E$204,"Kiến thức")=1,IF(COUNTIFS($A$5:$A$404,A296,$D$5:$D$404,"Có")&lt;&gt;1,"Choice kiến thức cần đúng 1 đáp án đúng",""),IF(COUNTIFS('02_KICH_BAN_NODES'!$B$5:$B$204,A296,'02_KICH_BAN_NODES'!$E$5:$E$204,"Tương tác")=1,IF(COUNTIFS($A$5:$A$404,A296,$D$5:$D$404,"Có")&lt;&gt;0,"Choice tương tác không được đánh dấu đáp án đúng",""),"Choice chưa chọn loại")))))))</f>
        <v/>
      </c>
    </row>
    <row r="297" spans="1:11">
      <c r="A297" s="13"/>
      <c r="B297" s="13"/>
      <c r="C297" s="5"/>
      <c r="D297" s="13"/>
      <c r="E297" s="13"/>
      <c r="F297" s="13"/>
      <c r="G297" s="13"/>
      <c r="H297" s="5"/>
      <c r="I297" s="5"/>
      <c r="J297" s="6" t="str">
        <f t="shared" si="4"/>
        <v/>
      </c>
      <c r="K297" s="6" t="str">
        <f>IF(A297="","",IF(COUNTIFS('02_KICH_BAN_NODES'!$B$5:$B$204,A297,'02_KICH_BAN_NODES'!$D$5:$D$204,"choice")=0,"ChoiceNodeId không tồn tại hoặc không phải choice",IF(COUNTIFS($A$5:$A$404,A297,$B$5:$B$404,B297)&gt;1,"Trùng OptionOrder trong cùng choice",IF(OR(B297="",C297="",D297="",F297="",H297=""),"Thiếu trường bắt buộc",IF(OR(COUNTIF($A$5:$A$404,A297)&lt;2,COUNTIF($A$5:$A$404,A297)&gt;4),"Mỗi choice cần 2–4 option",IF(COUNTIFS('02_KICH_BAN_NODES'!$B$5:$B$204,A297,'02_KICH_BAN_NODES'!$E$5:$E$204,"Kiến thức")=1,IF(COUNTIFS($A$5:$A$404,A297,$D$5:$D$404,"Có")&lt;&gt;1,"Choice kiến thức cần đúng 1 đáp án đúng",""),IF(COUNTIFS('02_KICH_BAN_NODES'!$B$5:$B$204,A297,'02_KICH_BAN_NODES'!$E$5:$E$204,"Tương tác")=1,IF(COUNTIFS($A$5:$A$404,A297,$D$5:$D$404,"Có")&lt;&gt;0,"Choice tương tác không được đánh dấu đáp án đúng",""),"Choice chưa chọn loại")))))))</f>
        <v/>
      </c>
    </row>
    <row r="298" spans="1:11">
      <c r="A298" s="13"/>
      <c r="B298" s="13"/>
      <c r="C298" s="5"/>
      <c r="D298" s="13"/>
      <c r="E298" s="13"/>
      <c r="F298" s="13"/>
      <c r="G298" s="13"/>
      <c r="H298" s="5"/>
      <c r="I298" s="5"/>
      <c r="J298" s="6" t="str">
        <f t="shared" si="4"/>
        <v/>
      </c>
      <c r="K298" s="6" t="str">
        <f>IF(A298="","",IF(COUNTIFS('02_KICH_BAN_NODES'!$B$5:$B$204,A298,'02_KICH_BAN_NODES'!$D$5:$D$204,"choice")=0,"ChoiceNodeId không tồn tại hoặc không phải choice",IF(COUNTIFS($A$5:$A$404,A298,$B$5:$B$404,B298)&gt;1,"Trùng OptionOrder trong cùng choice",IF(OR(B298="",C298="",D298="",F298="",H298=""),"Thiếu trường bắt buộc",IF(OR(COUNTIF($A$5:$A$404,A298)&lt;2,COUNTIF($A$5:$A$404,A298)&gt;4),"Mỗi choice cần 2–4 option",IF(COUNTIFS('02_KICH_BAN_NODES'!$B$5:$B$204,A298,'02_KICH_BAN_NODES'!$E$5:$E$204,"Kiến thức")=1,IF(COUNTIFS($A$5:$A$404,A298,$D$5:$D$404,"Có")&lt;&gt;1,"Choice kiến thức cần đúng 1 đáp án đúng",""),IF(COUNTIFS('02_KICH_BAN_NODES'!$B$5:$B$204,A298,'02_KICH_BAN_NODES'!$E$5:$E$204,"Tương tác")=1,IF(COUNTIFS($A$5:$A$404,A298,$D$5:$D$404,"Có")&lt;&gt;0,"Choice tương tác không được đánh dấu đáp án đúng",""),"Choice chưa chọn loại")))))))</f>
        <v/>
      </c>
    </row>
    <row r="299" spans="1:11">
      <c r="A299" s="13"/>
      <c r="B299" s="13"/>
      <c r="C299" s="5"/>
      <c r="D299" s="13"/>
      <c r="E299" s="13"/>
      <c r="F299" s="13"/>
      <c r="G299" s="13"/>
      <c r="H299" s="5"/>
      <c r="I299" s="5"/>
      <c r="J299" s="6" t="str">
        <f t="shared" si="4"/>
        <v/>
      </c>
      <c r="K299" s="6" t="str">
        <f>IF(A299="","",IF(COUNTIFS('02_KICH_BAN_NODES'!$B$5:$B$204,A299,'02_KICH_BAN_NODES'!$D$5:$D$204,"choice")=0,"ChoiceNodeId không tồn tại hoặc không phải choice",IF(COUNTIFS($A$5:$A$404,A299,$B$5:$B$404,B299)&gt;1,"Trùng OptionOrder trong cùng choice",IF(OR(B299="",C299="",D299="",F299="",H299=""),"Thiếu trường bắt buộc",IF(OR(COUNTIF($A$5:$A$404,A299)&lt;2,COUNTIF($A$5:$A$404,A299)&gt;4),"Mỗi choice cần 2–4 option",IF(COUNTIFS('02_KICH_BAN_NODES'!$B$5:$B$204,A299,'02_KICH_BAN_NODES'!$E$5:$E$204,"Kiến thức")=1,IF(COUNTIFS($A$5:$A$404,A299,$D$5:$D$404,"Có")&lt;&gt;1,"Choice kiến thức cần đúng 1 đáp án đúng",""),IF(COUNTIFS('02_KICH_BAN_NODES'!$B$5:$B$204,A299,'02_KICH_BAN_NODES'!$E$5:$E$204,"Tương tác")=1,IF(COUNTIFS($A$5:$A$404,A299,$D$5:$D$404,"Có")&lt;&gt;0,"Choice tương tác không được đánh dấu đáp án đúng",""),"Choice chưa chọn loại")))))))</f>
        <v/>
      </c>
    </row>
    <row r="300" spans="1:11">
      <c r="A300" s="13"/>
      <c r="B300" s="13"/>
      <c r="C300" s="5"/>
      <c r="D300" s="13"/>
      <c r="E300" s="13"/>
      <c r="F300" s="13"/>
      <c r="G300" s="13"/>
      <c r="H300" s="5"/>
      <c r="I300" s="5"/>
      <c r="J300" s="6" t="str">
        <f t="shared" si="4"/>
        <v/>
      </c>
      <c r="K300" s="6" t="str">
        <f>IF(A300="","",IF(COUNTIFS('02_KICH_BAN_NODES'!$B$5:$B$204,A300,'02_KICH_BAN_NODES'!$D$5:$D$204,"choice")=0,"ChoiceNodeId không tồn tại hoặc không phải choice",IF(COUNTIFS($A$5:$A$404,A300,$B$5:$B$404,B300)&gt;1,"Trùng OptionOrder trong cùng choice",IF(OR(B300="",C300="",D300="",F300="",H300=""),"Thiếu trường bắt buộc",IF(OR(COUNTIF($A$5:$A$404,A300)&lt;2,COUNTIF($A$5:$A$404,A300)&gt;4),"Mỗi choice cần 2–4 option",IF(COUNTIFS('02_KICH_BAN_NODES'!$B$5:$B$204,A300,'02_KICH_BAN_NODES'!$E$5:$E$204,"Kiến thức")=1,IF(COUNTIFS($A$5:$A$404,A300,$D$5:$D$404,"Có")&lt;&gt;1,"Choice kiến thức cần đúng 1 đáp án đúng",""),IF(COUNTIFS('02_KICH_BAN_NODES'!$B$5:$B$204,A300,'02_KICH_BAN_NODES'!$E$5:$E$204,"Tương tác")=1,IF(COUNTIFS($A$5:$A$404,A300,$D$5:$D$404,"Có")&lt;&gt;0,"Choice tương tác không được đánh dấu đáp án đúng",""),"Choice chưa chọn loại")))))))</f>
        <v/>
      </c>
    </row>
    <row r="301" spans="1:11">
      <c r="A301" s="13"/>
      <c r="B301" s="13"/>
      <c r="C301" s="5"/>
      <c r="D301" s="13"/>
      <c r="E301" s="13"/>
      <c r="F301" s="13"/>
      <c r="G301" s="13"/>
      <c r="H301" s="5"/>
      <c r="I301" s="5"/>
      <c r="J301" s="6" t="str">
        <f t="shared" si="4"/>
        <v/>
      </c>
      <c r="K301" s="6" t="str">
        <f>IF(A301="","",IF(COUNTIFS('02_KICH_BAN_NODES'!$B$5:$B$204,A301,'02_KICH_BAN_NODES'!$D$5:$D$204,"choice")=0,"ChoiceNodeId không tồn tại hoặc không phải choice",IF(COUNTIFS($A$5:$A$404,A301,$B$5:$B$404,B301)&gt;1,"Trùng OptionOrder trong cùng choice",IF(OR(B301="",C301="",D301="",F301="",H301=""),"Thiếu trường bắt buộc",IF(OR(COUNTIF($A$5:$A$404,A301)&lt;2,COUNTIF($A$5:$A$404,A301)&gt;4),"Mỗi choice cần 2–4 option",IF(COUNTIFS('02_KICH_BAN_NODES'!$B$5:$B$204,A301,'02_KICH_BAN_NODES'!$E$5:$E$204,"Kiến thức")=1,IF(COUNTIFS($A$5:$A$404,A301,$D$5:$D$404,"Có")&lt;&gt;1,"Choice kiến thức cần đúng 1 đáp án đúng",""),IF(COUNTIFS('02_KICH_BAN_NODES'!$B$5:$B$204,A301,'02_KICH_BAN_NODES'!$E$5:$E$204,"Tương tác")=1,IF(COUNTIFS($A$5:$A$404,A301,$D$5:$D$404,"Có")&lt;&gt;0,"Choice tương tác không được đánh dấu đáp án đúng",""),"Choice chưa chọn loại")))))))</f>
        <v/>
      </c>
    </row>
    <row r="302" spans="1:11">
      <c r="A302" s="13"/>
      <c r="B302" s="13"/>
      <c r="C302" s="5"/>
      <c r="D302" s="13"/>
      <c r="E302" s="13"/>
      <c r="F302" s="13"/>
      <c r="G302" s="13"/>
      <c r="H302" s="5"/>
      <c r="I302" s="5"/>
      <c r="J302" s="6" t="str">
        <f t="shared" si="4"/>
        <v/>
      </c>
      <c r="K302" s="6" t="str">
        <f>IF(A302="","",IF(COUNTIFS('02_KICH_BAN_NODES'!$B$5:$B$204,A302,'02_KICH_BAN_NODES'!$D$5:$D$204,"choice")=0,"ChoiceNodeId không tồn tại hoặc không phải choice",IF(COUNTIFS($A$5:$A$404,A302,$B$5:$B$404,B302)&gt;1,"Trùng OptionOrder trong cùng choice",IF(OR(B302="",C302="",D302="",F302="",H302=""),"Thiếu trường bắt buộc",IF(OR(COUNTIF($A$5:$A$404,A302)&lt;2,COUNTIF($A$5:$A$404,A302)&gt;4),"Mỗi choice cần 2–4 option",IF(COUNTIFS('02_KICH_BAN_NODES'!$B$5:$B$204,A302,'02_KICH_BAN_NODES'!$E$5:$E$204,"Kiến thức")=1,IF(COUNTIFS($A$5:$A$404,A302,$D$5:$D$404,"Có")&lt;&gt;1,"Choice kiến thức cần đúng 1 đáp án đúng",""),IF(COUNTIFS('02_KICH_BAN_NODES'!$B$5:$B$204,A302,'02_KICH_BAN_NODES'!$E$5:$E$204,"Tương tác")=1,IF(COUNTIFS($A$5:$A$404,A302,$D$5:$D$404,"Có")&lt;&gt;0,"Choice tương tác không được đánh dấu đáp án đúng",""),"Choice chưa chọn loại")))))))</f>
        <v/>
      </c>
    </row>
    <row r="303" spans="1:11">
      <c r="A303" s="13"/>
      <c r="B303" s="13"/>
      <c r="C303" s="5"/>
      <c r="D303" s="13"/>
      <c r="E303" s="13"/>
      <c r="F303" s="13"/>
      <c r="G303" s="13"/>
      <c r="H303" s="5"/>
      <c r="I303" s="5"/>
      <c r="J303" s="6" t="str">
        <f t="shared" si="4"/>
        <v/>
      </c>
      <c r="K303" s="6" t="str">
        <f>IF(A303="","",IF(COUNTIFS('02_KICH_BAN_NODES'!$B$5:$B$204,A303,'02_KICH_BAN_NODES'!$D$5:$D$204,"choice")=0,"ChoiceNodeId không tồn tại hoặc không phải choice",IF(COUNTIFS($A$5:$A$404,A303,$B$5:$B$404,B303)&gt;1,"Trùng OptionOrder trong cùng choice",IF(OR(B303="",C303="",D303="",F303="",H303=""),"Thiếu trường bắt buộc",IF(OR(COUNTIF($A$5:$A$404,A303)&lt;2,COUNTIF($A$5:$A$404,A303)&gt;4),"Mỗi choice cần 2–4 option",IF(COUNTIFS('02_KICH_BAN_NODES'!$B$5:$B$204,A303,'02_KICH_BAN_NODES'!$E$5:$E$204,"Kiến thức")=1,IF(COUNTIFS($A$5:$A$404,A303,$D$5:$D$404,"Có")&lt;&gt;1,"Choice kiến thức cần đúng 1 đáp án đúng",""),IF(COUNTIFS('02_KICH_BAN_NODES'!$B$5:$B$204,A303,'02_KICH_BAN_NODES'!$E$5:$E$204,"Tương tác")=1,IF(COUNTIFS($A$5:$A$404,A303,$D$5:$D$404,"Có")&lt;&gt;0,"Choice tương tác không được đánh dấu đáp án đúng",""),"Choice chưa chọn loại")))))))</f>
        <v/>
      </c>
    </row>
    <row r="304" spans="1:11">
      <c r="A304" s="13"/>
      <c r="B304" s="13"/>
      <c r="C304" s="5"/>
      <c r="D304" s="13"/>
      <c r="E304" s="13"/>
      <c r="F304" s="13"/>
      <c r="G304" s="13"/>
      <c r="H304" s="5"/>
      <c r="I304" s="5"/>
      <c r="J304" s="6" t="str">
        <f t="shared" si="4"/>
        <v/>
      </c>
      <c r="K304" s="6" t="str">
        <f>IF(A304="","",IF(COUNTIFS('02_KICH_BAN_NODES'!$B$5:$B$204,A304,'02_KICH_BAN_NODES'!$D$5:$D$204,"choice")=0,"ChoiceNodeId không tồn tại hoặc không phải choice",IF(COUNTIFS($A$5:$A$404,A304,$B$5:$B$404,B304)&gt;1,"Trùng OptionOrder trong cùng choice",IF(OR(B304="",C304="",D304="",F304="",H304=""),"Thiếu trường bắt buộc",IF(OR(COUNTIF($A$5:$A$404,A304)&lt;2,COUNTIF($A$5:$A$404,A304)&gt;4),"Mỗi choice cần 2–4 option",IF(COUNTIFS('02_KICH_BAN_NODES'!$B$5:$B$204,A304,'02_KICH_BAN_NODES'!$E$5:$E$204,"Kiến thức")=1,IF(COUNTIFS($A$5:$A$404,A304,$D$5:$D$404,"Có")&lt;&gt;1,"Choice kiến thức cần đúng 1 đáp án đúng",""),IF(COUNTIFS('02_KICH_BAN_NODES'!$B$5:$B$204,A304,'02_KICH_BAN_NODES'!$E$5:$E$204,"Tương tác")=1,IF(COUNTIFS($A$5:$A$404,A304,$D$5:$D$404,"Có")&lt;&gt;0,"Choice tương tác không được đánh dấu đáp án đúng",""),"Choice chưa chọn loại")))))))</f>
        <v/>
      </c>
    </row>
    <row r="305" spans="1:11">
      <c r="A305" s="13"/>
      <c r="B305" s="13"/>
      <c r="C305" s="5"/>
      <c r="D305" s="13"/>
      <c r="E305" s="13"/>
      <c r="F305" s="13"/>
      <c r="G305" s="13"/>
      <c r="H305" s="5"/>
      <c r="I305" s="5"/>
      <c r="J305" s="6" t="str">
        <f t="shared" si="4"/>
        <v/>
      </c>
      <c r="K305" s="6" t="str">
        <f>IF(A305="","",IF(COUNTIFS('02_KICH_BAN_NODES'!$B$5:$B$204,A305,'02_KICH_BAN_NODES'!$D$5:$D$204,"choice")=0,"ChoiceNodeId không tồn tại hoặc không phải choice",IF(COUNTIFS($A$5:$A$404,A305,$B$5:$B$404,B305)&gt;1,"Trùng OptionOrder trong cùng choice",IF(OR(B305="",C305="",D305="",F305="",H305=""),"Thiếu trường bắt buộc",IF(OR(COUNTIF($A$5:$A$404,A305)&lt;2,COUNTIF($A$5:$A$404,A305)&gt;4),"Mỗi choice cần 2–4 option",IF(COUNTIFS('02_KICH_BAN_NODES'!$B$5:$B$204,A305,'02_KICH_BAN_NODES'!$E$5:$E$204,"Kiến thức")=1,IF(COUNTIFS($A$5:$A$404,A305,$D$5:$D$404,"Có")&lt;&gt;1,"Choice kiến thức cần đúng 1 đáp án đúng",""),IF(COUNTIFS('02_KICH_BAN_NODES'!$B$5:$B$204,A305,'02_KICH_BAN_NODES'!$E$5:$E$204,"Tương tác")=1,IF(COUNTIFS($A$5:$A$404,A305,$D$5:$D$404,"Có")&lt;&gt;0,"Choice tương tác không được đánh dấu đáp án đúng",""),"Choice chưa chọn loại")))))))</f>
        <v/>
      </c>
    </row>
    <row r="306" spans="1:11">
      <c r="A306" s="13"/>
      <c r="B306" s="13"/>
      <c r="C306" s="5"/>
      <c r="D306" s="13"/>
      <c r="E306" s="13"/>
      <c r="F306" s="13"/>
      <c r="G306" s="13"/>
      <c r="H306" s="5"/>
      <c r="I306" s="5"/>
      <c r="J306" s="6" t="str">
        <f t="shared" si="4"/>
        <v/>
      </c>
      <c r="K306" s="6" t="str">
        <f>IF(A306="","",IF(COUNTIFS('02_KICH_BAN_NODES'!$B$5:$B$204,A306,'02_KICH_BAN_NODES'!$D$5:$D$204,"choice")=0,"ChoiceNodeId không tồn tại hoặc không phải choice",IF(COUNTIFS($A$5:$A$404,A306,$B$5:$B$404,B306)&gt;1,"Trùng OptionOrder trong cùng choice",IF(OR(B306="",C306="",D306="",F306="",H306=""),"Thiếu trường bắt buộc",IF(OR(COUNTIF($A$5:$A$404,A306)&lt;2,COUNTIF($A$5:$A$404,A306)&gt;4),"Mỗi choice cần 2–4 option",IF(COUNTIFS('02_KICH_BAN_NODES'!$B$5:$B$204,A306,'02_KICH_BAN_NODES'!$E$5:$E$204,"Kiến thức")=1,IF(COUNTIFS($A$5:$A$404,A306,$D$5:$D$404,"Có")&lt;&gt;1,"Choice kiến thức cần đúng 1 đáp án đúng",""),IF(COUNTIFS('02_KICH_BAN_NODES'!$B$5:$B$204,A306,'02_KICH_BAN_NODES'!$E$5:$E$204,"Tương tác")=1,IF(COUNTIFS($A$5:$A$404,A306,$D$5:$D$404,"Có")&lt;&gt;0,"Choice tương tác không được đánh dấu đáp án đúng",""),"Choice chưa chọn loại")))))))</f>
        <v/>
      </c>
    </row>
    <row r="307" spans="1:11">
      <c r="A307" s="13"/>
      <c r="B307" s="13"/>
      <c r="C307" s="5"/>
      <c r="D307" s="13"/>
      <c r="E307" s="13"/>
      <c r="F307" s="13"/>
      <c r="G307" s="13"/>
      <c r="H307" s="5"/>
      <c r="I307" s="5"/>
      <c r="J307" s="6" t="str">
        <f t="shared" si="4"/>
        <v/>
      </c>
      <c r="K307" s="6" t="str">
        <f>IF(A307="","",IF(COUNTIFS('02_KICH_BAN_NODES'!$B$5:$B$204,A307,'02_KICH_BAN_NODES'!$D$5:$D$204,"choice")=0,"ChoiceNodeId không tồn tại hoặc không phải choice",IF(COUNTIFS($A$5:$A$404,A307,$B$5:$B$404,B307)&gt;1,"Trùng OptionOrder trong cùng choice",IF(OR(B307="",C307="",D307="",F307="",H307=""),"Thiếu trường bắt buộc",IF(OR(COUNTIF($A$5:$A$404,A307)&lt;2,COUNTIF($A$5:$A$404,A307)&gt;4),"Mỗi choice cần 2–4 option",IF(COUNTIFS('02_KICH_BAN_NODES'!$B$5:$B$204,A307,'02_KICH_BAN_NODES'!$E$5:$E$204,"Kiến thức")=1,IF(COUNTIFS($A$5:$A$404,A307,$D$5:$D$404,"Có")&lt;&gt;1,"Choice kiến thức cần đúng 1 đáp án đúng",""),IF(COUNTIFS('02_KICH_BAN_NODES'!$B$5:$B$204,A307,'02_KICH_BAN_NODES'!$E$5:$E$204,"Tương tác")=1,IF(COUNTIFS($A$5:$A$404,A307,$D$5:$D$404,"Có")&lt;&gt;0,"Choice tương tác không được đánh dấu đáp án đúng",""),"Choice chưa chọn loại")))))))</f>
        <v/>
      </c>
    </row>
    <row r="308" spans="1:11">
      <c r="A308" s="13"/>
      <c r="B308" s="13"/>
      <c r="C308" s="5"/>
      <c r="D308" s="13"/>
      <c r="E308" s="13"/>
      <c r="F308" s="13"/>
      <c r="G308" s="13"/>
      <c r="H308" s="5"/>
      <c r="I308" s="5"/>
      <c r="J308" s="6" t="str">
        <f t="shared" si="4"/>
        <v/>
      </c>
      <c r="K308" s="6" t="str">
        <f>IF(A308="","",IF(COUNTIFS('02_KICH_BAN_NODES'!$B$5:$B$204,A308,'02_KICH_BAN_NODES'!$D$5:$D$204,"choice")=0,"ChoiceNodeId không tồn tại hoặc không phải choice",IF(COUNTIFS($A$5:$A$404,A308,$B$5:$B$404,B308)&gt;1,"Trùng OptionOrder trong cùng choice",IF(OR(B308="",C308="",D308="",F308="",H308=""),"Thiếu trường bắt buộc",IF(OR(COUNTIF($A$5:$A$404,A308)&lt;2,COUNTIF($A$5:$A$404,A308)&gt;4),"Mỗi choice cần 2–4 option",IF(COUNTIFS('02_KICH_BAN_NODES'!$B$5:$B$204,A308,'02_KICH_BAN_NODES'!$E$5:$E$204,"Kiến thức")=1,IF(COUNTIFS($A$5:$A$404,A308,$D$5:$D$404,"Có")&lt;&gt;1,"Choice kiến thức cần đúng 1 đáp án đúng",""),IF(COUNTIFS('02_KICH_BAN_NODES'!$B$5:$B$204,A308,'02_KICH_BAN_NODES'!$E$5:$E$204,"Tương tác")=1,IF(COUNTIFS($A$5:$A$404,A308,$D$5:$D$404,"Có")&lt;&gt;0,"Choice tương tác không được đánh dấu đáp án đúng",""),"Choice chưa chọn loại")))))))</f>
        <v/>
      </c>
    </row>
    <row r="309" spans="1:11">
      <c r="A309" s="13"/>
      <c r="B309" s="13"/>
      <c r="C309" s="5"/>
      <c r="D309" s="13"/>
      <c r="E309" s="13"/>
      <c r="F309" s="13"/>
      <c r="G309" s="13"/>
      <c r="H309" s="5"/>
      <c r="I309" s="5"/>
      <c r="J309" s="6" t="str">
        <f t="shared" si="4"/>
        <v/>
      </c>
      <c r="K309" s="6" t="str">
        <f>IF(A309="","",IF(COUNTIFS('02_KICH_BAN_NODES'!$B$5:$B$204,A309,'02_KICH_BAN_NODES'!$D$5:$D$204,"choice")=0,"ChoiceNodeId không tồn tại hoặc không phải choice",IF(COUNTIFS($A$5:$A$404,A309,$B$5:$B$404,B309)&gt;1,"Trùng OptionOrder trong cùng choice",IF(OR(B309="",C309="",D309="",F309="",H309=""),"Thiếu trường bắt buộc",IF(OR(COUNTIF($A$5:$A$404,A309)&lt;2,COUNTIF($A$5:$A$404,A309)&gt;4),"Mỗi choice cần 2–4 option",IF(COUNTIFS('02_KICH_BAN_NODES'!$B$5:$B$204,A309,'02_KICH_BAN_NODES'!$E$5:$E$204,"Kiến thức")=1,IF(COUNTIFS($A$5:$A$404,A309,$D$5:$D$404,"Có")&lt;&gt;1,"Choice kiến thức cần đúng 1 đáp án đúng",""),IF(COUNTIFS('02_KICH_BAN_NODES'!$B$5:$B$204,A309,'02_KICH_BAN_NODES'!$E$5:$E$204,"Tương tác")=1,IF(COUNTIFS($A$5:$A$404,A309,$D$5:$D$404,"Có")&lt;&gt;0,"Choice tương tác không được đánh dấu đáp án đúng",""),"Choice chưa chọn loại")))))))</f>
        <v/>
      </c>
    </row>
    <row r="310" spans="1:11">
      <c r="A310" s="13"/>
      <c r="B310" s="13"/>
      <c r="C310" s="5"/>
      <c r="D310" s="13"/>
      <c r="E310" s="13"/>
      <c r="F310" s="13"/>
      <c r="G310" s="13"/>
      <c r="H310" s="5"/>
      <c r="I310" s="5"/>
      <c r="J310" s="6" t="str">
        <f t="shared" si="4"/>
        <v/>
      </c>
      <c r="K310" s="6" t="str">
        <f>IF(A310="","",IF(COUNTIFS('02_KICH_BAN_NODES'!$B$5:$B$204,A310,'02_KICH_BAN_NODES'!$D$5:$D$204,"choice")=0,"ChoiceNodeId không tồn tại hoặc không phải choice",IF(COUNTIFS($A$5:$A$404,A310,$B$5:$B$404,B310)&gt;1,"Trùng OptionOrder trong cùng choice",IF(OR(B310="",C310="",D310="",F310="",H310=""),"Thiếu trường bắt buộc",IF(OR(COUNTIF($A$5:$A$404,A310)&lt;2,COUNTIF($A$5:$A$404,A310)&gt;4),"Mỗi choice cần 2–4 option",IF(COUNTIFS('02_KICH_BAN_NODES'!$B$5:$B$204,A310,'02_KICH_BAN_NODES'!$E$5:$E$204,"Kiến thức")=1,IF(COUNTIFS($A$5:$A$404,A310,$D$5:$D$404,"Có")&lt;&gt;1,"Choice kiến thức cần đúng 1 đáp án đúng",""),IF(COUNTIFS('02_KICH_BAN_NODES'!$B$5:$B$204,A310,'02_KICH_BAN_NODES'!$E$5:$E$204,"Tương tác")=1,IF(COUNTIFS($A$5:$A$404,A310,$D$5:$D$404,"Có")&lt;&gt;0,"Choice tương tác không được đánh dấu đáp án đúng",""),"Choice chưa chọn loại")))))))</f>
        <v/>
      </c>
    </row>
    <row r="311" spans="1:11">
      <c r="A311" s="13"/>
      <c r="B311" s="13"/>
      <c r="C311" s="5"/>
      <c r="D311" s="13"/>
      <c r="E311" s="13"/>
      <c r="F311" s="13"/>
      <c r="G311" s="13"/>
      <c r="H311" s="5"/>
      <c r="I311" s="5"/>
      <c r="J311" s="6" t="str">
        <f t="shared" si="4"/>
        <v/>
      </c>
      <c r="K311" s="6" t="str">
        <f>IF(A311="","",IF(COUNTIFS('02_KICH_BAN_NODES'!$B$5:$B$204,A311,'02_KICH_BAN_NODES'!$D$5:$D$204,"choice")=0,"ChoiceNodeId không tồn tại hoặc không phải choice",IF(COUNTIFS($A$5:$A$404,A311,$B$5:$B$404,B311)&gt;1,"Trùng OptionOrder trong cùng choice",IF(OR(B311="",C311="",D311="",F311="",H311=""),"Thiếu trường bắt buộc",IF(OR(COUNTIF($A$5:$A$404,A311)&lt;2,COUNTIF($A$5:$A$404,A311)&gt;4),"Mỗi choice cần 2–4 option",IF(COUNTIFS('02_KICH_BAN_NODES'!$B$5:$B$204,A311,'02_KICH_BAN_NODES'!$E$5:$E$204,"Kiến thức")=1,IF(COUNTIFS($A$5:$A$404,A311,$D$5:$D$404,"Có")&lt;&gt;1,"Choice kiến thức cần đúng 1 đáp án đúng",""),IF(COUNTIFS('02_KICH_BAN_NODES'!$B$5:$B$204,A311,'02_KICH_BAN_NODES'!$E$5:$E$204,"Tương tác")=1,IF(COUNTIFS($A$5:$A$404,A311,$D$5:$D$404,"Có")&lt;&gt;0,"Choice tương tác không được đánh dấu đáp án đúng",""),"Choice chưa chọn loại")))))))</f>
        <v/>
      </c>
    </row>
    <row r="312" spans="1:11">
      <c r="A312" s="13"/>
      <c r="B312" s="13"/>
      <c r="C312" s="5"/>
      <c r="D312" s="13"/>
      <c r="E312" s="13"/>
      <c r="F312" s="13"/>
      <c r="G312" s="13"/>
      <c r="H312" s="5"/>
      <c r="I312" s="5"/>
      <c r="J312" s="6" t="str">
        <f t="shared" si="4"/>
        <v/>
      </c>
      <c r="K312" s="6" t="str">
        <f>IF(A312="","",IF(COUNTIFS('02_KICH_BAN_NODES'!$B$5:$B$204,A312,'02_KICH_BAN_NODES'!$D$5:$D$204,"choice")=0,"ChoiceNodeId không tồn tại hoặc không phải choice",IF(COUNTIFS($A$5:$A$404,A312,$B$5:$B$404,B312)&gt;1,"Trùng OptionOrder trong cùng choice",IF(OR(B312="",C312="",D312="",F312="",H312=""),"Thiếu trường bắt buộc",IF(OR(COUNTIF($A$5:$A$404,A312)&lt;2,COUNTIF($A$5:$A$404,A312)&gt;4),"Mỗi choice cần 2–4 option",IF(COUNTIFS('02_KICH_BAN_NODES'!$B$5:$B$204,A312,'02_KICH_BAN_NODES'!$E$5:$E$204,"Kiến thức")=1,IF(COUNTIFS($A$5:$A$404,A312,$D$5:$D$404,"Có")&lt;&gt;1,"Choice kiến thức cần đúng 1 đáp án đúng",""),IF(COUNTIFS('02_KICH_BAN_NODES'!$B$5:$B$204,A312,'02_KICH_BAN_NODES'!$E$5:$E$204,"Tương tác")=1,IF(COUNTIFS($A$5:$A$404,A312,$D$5:$D$404,"Có")&lt;&gt;0,"Choice tương tác không được đánh dấu đáp án đúng",""),"Choice chưa chọn loại")))))))</f>
        <v/>
      </c>
    </row>
    <row r="313" spans="1:11">
      <c r="A313" s="13"/>
      <c r="B313" s="13"/>
      <c r="C313" s="5"/>
      <c r="D313" s="13"/>
      <c r="E313" s="13"/>
      <c r="F313" s="13"/>
      <c r="G313" s="13"/>
      <c r="H313" s="5"/>
      <c r="I313" s="5"/>
      <c r="J313" s="6" t="str">
        <f t="shared" si="4"/>
        <v/>
      </c>
      <c r="K313" s="6" t="str">
        <f>IF(A313="","",IF(COUNTIFS('02_KICH_BAN_NODES'!$B$5:$B$204,A313,'02_KICH_BAN_NODES'!$D$5:$D$204,"choice")=0,"ChoiceNodeId không tồn tại hoặc không phải choice",IF(COUNTIFS($A$5:$A$404,A313,$B$5:$B$404,B313)&gt;1,"Trùng OptionOrder trong cùng choice",IF(OR(B313="",C313="",D313="",F313="",H313=""),"Thiếu trường bắt buộc",IF(OR(COUNTIF($A$5:$A$404,A313)&lt;2,COUNTIF($A$5:$A$404,A313)&gt;4),"Mỗi choice cần 2–4 option",IF(COUNTIFS('02_KICH_BAN_NODES'!$B$5:$B$204,A313,'02_KICH_BAN_NODES'!$E$5:$E$204,"Kiến thức")=1,IF(COUNTIFS($A$5:$A$404,A313,$D$5:$D$404,"Có")&lt;&gt;1,"Choice kiến thức cần đúng 1 đáp án đúng",""),IF(COUNTIFS('02_KICH_BAN_NODES'!$B$5:$B$204,A313,'02_KICH_BAN_NODES'!$E$5:$E$204,"Tương tác")=1,IF(COUNTIFS($A$5:$A$404,A313,$D$5:$D$404,"Có")&lt;&gt;0,"Choice tương tác không được đánh dấu đáp án đúng",""),"Choice chưa chọn loại")))))))</f>
        <v/>
      </c>
    </row>
    <row r="314" spans="1:11">
      <c r="A314" s="13"/>
      <c r="B314" s="13"/>
      <c r="C314" s="5"/>
      <c r="D314" s="13"/>
      <c r="E314" s="13"/>
      <c r="F314" s="13"/>
      <c r="G314" s="13"/>
      <c r="H314" s="5"/>
      <c r="I314" s="5"/>
      <c r="J314" s="6" t="str">
        <f t="shared" si="4"/>
        <v/>
      </c>
      <c r="K314" s="6" t="str">
        <f>IF(A314="","",IF(COUNTIFS('02_KICH_BAN_NODES'!$B$5:$B$204,A314,'02_KICH_BAN_NODES'!$D$5:$D$204,"choice")=0,"ChoiceNodeId không tồn tại hoặc không phải choice",IF(COUNTIFS($A$5:$A$404,A314,$B$5:$B$404,B314)&gt;1,"Trùng OptionOrder trong cùng choice",IF(OR(B314="",C314="",D314="",F314="",H314=""),"Thiếu trường bắt buộc",IF(OR(COUNTIF($A$5:$A$404,A314)&lt;2,COUNTIF($A$5:$A$404,A314)&gt;4),"Mỗi choice cần 2–4 option",IF(COUNTIFS('02_KICH_BAN_NODES'!$B$5:$B$204,A314,'02_KICH_BAN_NODES'!$E$5:$E$204,"Kiến thức")=1,IF(COUNTIFS($A$5:$A$404,A314,$D$5:$D$404,"Có")&lt;&gt;1,"Choice kiến thức cần đúng 1 đáp án đúng",""),IF(COUNTIFS('02_KICH_BAN_NODES'!$B$5:$B$204,A314,'02_KICH_BAN_NODES'!$E$5:$E$204,"Tương tác")=1,IF(COUNTIFS($A$5:$A$404,A314,$D$5:$D$404,"Có")&lt;&gt;0,"Choice tương tác không được đánh dấu đáp án đúng",""),"Choice chưa chọn loại")))))))</f>
        <v/>
      </c>
    </row>
    <row r="315" spans="1:11">
      <c r="A315" s="13"/>
      <c r="B315" s="13"/>
      <c r="C315" s="5"/>
      <c r="D315" s="13"/>
      <c r="E315" s="13"/>
      <c r="F315" s="13"/>
      <c r="G315" s="13"/>
      <c r="H315" s="5"/>
      <c r="I315" s="5"/>
      <c r="J315" s="6" t="str">
        <f t="shared" si="4"/>
        <v/>
      </c>
      <c r="K315" s="6" t="str">
        <f>IF(A315="","",IF(COUNTIFS('02_KICH_BAN_NODES'!$B$5:$B$204,A315,'02_KICH_BAN_NODES'!$D$5:$D$204,"choice")=0,"ChoiceNodeId không tồn tại hoặc không phải choice",IF(COUNTIFS($A$5:$A$404,A315,$B$5:$B$404,B315)&gt;1,"Trùng OptionOrder trong cùng choice",IF(OR(B315="",C315="",D315="",F315="",H315=""),"Thiếu trường bắt buộc",IF(OR(COUNTIF($A$5:$A$404,A315)&lt;2,COUNTIF($A$5:$A$404,A315)&gt;4),"Mỗi choice cần 2–4 option",IF(COUNTIFS('02_KICH_BAN_NODES'!$B$5:$B$204,A315,'02_KICH_BAN_NODES'!$E$5:$E$204,"Kiến thức")=1,IF(COUNTIFS($A$5:$A$404,A315,$D$5:$D$404,"Có")&lt;&gt;1,"Choice kiến thức cần đúng 1 đáp án đúng",""),IF(COUNTIFS('02_KICH_BAN_NODES'!$B$5:$B$204,A315,'02_KICH_BAN_NODES'!$E$5:$E$204,"Tương tác")=1,IF(COUNTIFS($A$5:$A$404,A315,$D$5:$D$404,"Có")&lt;&gt;0,"Choice tương tác không được đánh dấu đáp án đúng",""),"Choice chưa chọn loại")))))))</f>
        <v/>
      </c>
    </row>
    <row r="316" spans="1:11">
      <c r="A316" s="13"/>
      <c r="B316" s="13"/>
      <c r="C316" s="5"/>
      <c r="D316" s="13"/>
      <c r="E316" s="13"/>
      <c r="F316" s="13"/>
      <c r="G316" s="13"/>
      <c r="H316" s="5"/>
      <c r="I316" s="5"/>
      <c r="J316" s="6" t="str">
        <f t="shared" si="4"/>
        <v/>
      </c>
      <c r="K316" s="6" t="str">
        <f>IF(A316="","",IF(COUNTIFS('02_KICH_BAN_NODES'!$B$5:$B$204,A316,'02_KICH_BAN_NODES'!$D$5:$D$204,"choice")=0,"ChoiceNodeId không tồn tại hoặc không phải choice",IF(COUNTIFS($A$5:$A$404,A316,$B$5:$B$404,B316)&gt;1,"Trùng OptionOrder trong cùng choice",IF(OR(B316="",C316="",D316="",F316="",H316=""),"Thiếu trường bắt buộc",IF(OR(COUNTIF($A$5:$A$404,A316)&lt;2,COUNTIF($A$5:$A$404,A316)&gt;4),"Mỗi choice cần 2–4 option",IF(COUNTIFS('02_KICH_BAN_NODES'!$B$5:$B$204,A316,'02_KICH_BAN_NODES'!$E$5:$E$204,"Kiến thức")=1,IF(COUNTIFS($A$5:$A$404,A316,$D$5:$D$404,"Có")&lt;&gt;1,"Choice kiến thức cần đúng 1 đáp án đúng",""),IF(COUNTIFS('02_KICH_BAN_NODES'!$B$5:$B$204,A316,'02_KICH_BAN_NODES'!$E$5:$E$204,"Tương tác")=1,IF(COUNTIFS($A$5:$A$404,A316,$D$5:$D$404,"Có")&lt;&gt;0,"Choice tương tác không được đánh dấu đáp án đúng",""),"Choice chưa chọn loại")))))))</f>
        <v/>
      </c>
    </row>
    <row r="317" spans="1:11">
      <c r="A317" s="13"/>
      <c r="B317" s="13"/>
      <c r="C317" s="5"/>
      <c r="D317" s="13"/>
      <c r="E317" s="13"/>
      <c r="F317" s="13"/>
      <c r="G317" s="13"/>
      <c r="H317" s="5"/>
      <c r="I317" s="5"/>
      <c r="J317" s="6" t="str">
        <f t="shared" si="4"/>
        <v/>
      </c>
      <c r="K317" s="6" t="str">
        <f>IF(A317="","",IF(COUNTIFS('02_KICH_BAN_NODES'!$B$5:$B$204,A317,'02_KICH_BAN_NODES'!$D$5:$D$204,"choice")=0,"ChoiceNodeId không tồn tại hoặc không phải choice",IF(COUNTIFS($A$5:$A$404,A317,$B$5:$B$404,B317)&gt;1,"Trùng OptionOrder trong cùng choice",IF(OR(B317="",C317="",D317="",F317="",H317=""),"Thiếu trường bắt buộc",IF(OR(COUNTIF($A$5:$A$404,A317)&lt;2,COUNTIF($A$5:$A$404,A317)&gt;4),"Mỗi choice cần 2–4 option",IF(COUNTIFS('02_KICH_BAN_NODES'!$B$5:$B$204,A317,'02_KICH_BAN_NODES'!$E$5:$E$204,"Kiến thức")=1,IF(COUNTIFS($A$5:$A$404,A317,$D$5:$D$404,"Có")&lt;&gt;1,"Choice kiến thức cần đúng 1 đáp án đúng",""),IF(COUNTIFS('02_KICH_BAN_NODES'!$B$5:$B$204,A317,'02_KICH_BAN_NODES'!$E$5:$E$204,"Tương tác")=1,IF(COUNTIFS($A$5:$A$404,A317,$D$5:$D$404,"Có")&lt;&gt;0,"Choice tương tác không được đánh dấu đáp án đúng",""),"Choice chưa chọn loại")))))))</f>
        <v/>
      </c>
    </row>
    <row r="318" spans="1:11">
      <c r="A318" s="13"/>
      <c r="B318" s="13"/>
      <c r="C318" s="5"/>
      <c r="D318" s="13"/>
      <c r="E318" s="13"/>
      <c r="F318" s="13"/>
      <c r="G318" s="13"/>
      <c r="H318" s="5"/>
      <c r="I318" s="5"/>
      <c r="J318" s="6" t="str">
        <f t="shared" si="4"/>
        <v/>
      </c>
      <c r="K318" s="6" t="str">
        <f>IF(A318="","",IF(COUNTIFS('02_KICH_BAN_NODES'!$B$5:$B$204,A318,'02_KICH_BAN_NODES'!$D$5:$D$204,"choice")=0,"ChoiceNodeId không tồn tại hoặc không phải choice",IF(COUNTIFS($A$5:$A$404,A318,$B$5:$B$404,B318)&gt;1,"Trùng OptionOrder trong cùng choice",IF(OR(B318="",C318="",D318="",F318="",H318=""),"Thiếu trường bắt buộc",IF(OR(COUNTIF($A$5:$A$404,A318)&lt;2,COUNTIF($A$5:$A$404,A318)&gt;4),"Mỗi choice cần 2–4 option",IF(COUNTIFS('02_KICH_BAN_NODES'!$B$5:$B$204,A318,'02_KICH_BAN_NODES'!$E$5:$E$204,"Kiến thức")=1,IF(COUNTIFS($A$5:$A$404,A318,$D$5:$D$404,"Có")&lt;&gt;1,"Choice kiến thức cần đúng 1 đáp án đúng",""),IF(COUNTIFS('02_KICH_BAN_NODES'!$B$5:$B$204,A318,'02_KICH_BAN_NODES'!$E$5:$E$204,"Tương tác")=1,IF(COUNTIFS($A$5:$A$404,A318,$D$5:$D$404,"Có")&lt;&gt;0,"Choice tương tác không được đánh dấu đáp án đúng",""),"Choice chưa chọn loại")))))))</f>
        <v/>
      </c>
    </row>
    <row r="319" spans="1:11">
      <c r="A319" s="13"/>
      <c r="B319" s="13"/>
      <c r="C319" s="5"/>
      <c r="D319" s="13"/>
      <c r="E319" s="13"/>
      <c r="F319" s="13"/>
      <c r="G319" s="13"/>
      <c r="H319" s="5"/>
      <c r="I319" s="5"/>
      <c r="J319" s="6" t="str">
        <f t="shared" si="4"/>
        <v/>
      </c>
      <c r="K319" s="6" t="str">
        <f>IF(A319="","",IF(COUNTIFS('02_KICH_BAN_NODES'!$B$5:$B$204,A319,'02_KICH_BAN_NODES'!$D$5:$D$204,"choice")=0,"ChoiceNodeId không tồn tại hoặc không phải choice",IF(COUNTIFS($A$5:$A$404,A319,$B$5:$B$404,B319)&gt;1,"Trùng OptionOrder trong cùng choice",IF(OR(B319="",C319="",D319="",F319="",H319=""),"Thiếu trường bắt buộc",IF(OR(COUNTIF($A$5:$A$404,A319)&lt;2,COUNTIF($A$5:$A$404,A319)&gt;4),"Mỗi choice cần 2–4 option",IF(COUNTIFS('02_KICH_BAN_NODES'!$B$5:$B$204,A319,'02_KICH_BAN_NODES'!$E$5:$E$204,"Kiến thức")=1,IF(COUNTIFS($A$5:$A$404,A319,$D$5:$D$404,"Có")&lt;&gt;1,"Choice kiến thức cần đúng 1 đáp án đúng",""),IF(COUNTIFS('02_KICH_BAN_NODES'!$B$5:$B$204,A319,'02_KICH_BAN_NODES'!$E$5:$E$204,"Tương tác")=1,IF(COUNTIFS($A$5:$A$404,A319,$D$5:$D$404,"Có")&lt;&gt;0,"Choice tương tác không được đánh dấu đáp án đúng",""),"Choice chưa chọn loại")))))))</f>
        <v/>
      </c>
    </row>
    <row r="320" spans="1:11">
      <c r="A320" s="13"/>
      <c r="B320" s="13"/>
      <c r="C320" s="5"/>
      <c r="D320" s="13"/>
      <c r="E320" s="13"/>
      <c r="F320" s="13"/>
      <c r="G320" s="13"/>
      <c r="H320" s="5"/>
      <c r="I320" s="5"/>
      <c r="J320" s="6" t="str">
        <f t="shared" si="4"/>
        <v/>
      </c>
      <c r="K320" s="6" t="str">
        <f>IF(A320="","",IF(COUNTIFS('02_KICH_BAN_NODES'!$B$5:$B$204,A320,'02_KICH_BAN_NODES'!$D$5:$D$204,"choice")=0,"ChoiceNodeId không tồn tại hoặc không phải choice",IF(COUNTIFS($A$5:$A$404,A320,$B$5:$B$404,B320)&gt;1,"Trùng OptionOrder trong cùng choice",IF(OR(B320="",C320="",D320="",F320="",H320=""),"Thiếu trường bắt buộc",IF(OR(COUNTIF($A$5:$A$404,A320)&lt;2,COUNTIF($A$5:$A$404,A320)&gt;4),"Mỗi choice cần 2–4 option",IF(COUNTIFS('02_KICH_BAN_NODES'!$B$5:$B$204,A320,'02_KICH_BAN_NODES'!$E$5:$E$204,"Kiến thức")=1,IF(COUNTIFS($A$5:$A$404,A320,$D$5:$D$404,"Có")&lt;&gt;1,"Choice kiến thức cần đúng 1 đáp án đúng",""),IF(COUNTIFS('02_KICH_BAN_NODES'!$B$5:$B$204,A320,'02_KICH_BAN_NODES'!$E$5:$E$204,"Tương tác")=1,IF(COUNTIFS($A$5:$A$404,A320,$D$5:$D$404,"Có")&lt;&gt;0,"Choice tương tác không được đánh dấu đáp án đúng",""),"Choice chưa chọn loại")))))))</f>
        <v/>
      </c>
    </row>
    <row r="321" spans="1:11">
      <c r="A321" s="13"/>
      <c r="B321" s="13"/>
      <c r="C321" s="5"/>
      <c r="D321" s="13"/>
      <c r="E321" s="13"/>
      <c r="F321" s="13"/>
      <c r="G321" s="13"/>
      <c r="H321" s="5"/>
      <c r="I321" s="5"/>
      <c r="J321" s="6" t="str">
        <f t="shared" si="4"/>
        <v/>
      </c>
      <c r="K321" s="6" t="str">
        <f>IF(A321="","",IF(COUNTIFS('02_KICH_BAN_NODES'!$B$5:$B$204,A321,'02_KICH_BAN_NODES'!$D$5:$D$204,"choice")=0,"ChoiceNodeId không tồn tại hoặc không phải choice",IF(COUNTIFS($A$5:$A$404,A321,$B$5:$B$404,B321)&gt;1,"Trùng OptionOrder trong cùng choice",IF(OR(B321="",C321="",D321="",F321="",H321=""),"Thiếu trường bắt buộc",IF(OR(COUNTIF($A$5:$A$404,A321)&lt;2,COUNTIF($A$5:$A$404,A321)&gt;4),"Mỗi choice cần 2–4 option",IF(COUNTIFS('02_KICH_BAN_NODES'!$B$5:$B$204,A321,'02_KICH_BAN_NODES'!$E$5:$E$204,"Kiến thức")=1,IF(COUNTIFS($A$5:$A$404,A321,$D$5:$D$404,"Có")&lt;&gt;1,"Choice kiến thức cần đúng 1 đáp án đúng",""),IF(COUNTIFS('02_KICH_BAN_NODES'!$B$5:$B$204,A321,'02_KICH_BAN_NODES'!$E$5:$E$204,"Tương tác")=1,IF(COUNTIFS($A$5:$A$404,A321,$D$5:$D$404,"Có")&lt;&gt;0,"Choice tương tác không được đánh dấu đáp án đúng",""),"Choice chưa chọn loại")))))))</f>
        <v/>
      </c>
    </row>
    <row r="322" spans="1:11">
      <c r="A322" s="13"/>
      <c r="B322" s="13"/>
      <c r="C322" s="5"/>
      <c r="D322" s="13"/>
      <c r="E322" s="13"/>
      <c r="F322" s="13"/>
      <c r="G322" s="13"/>
      <c r="H322" s="5"/>
      <c r="I322" s="5"/>
      <c r="J322" s="6" t="str">
        <f t="shared" si="4"/>
        <v/>
      </c>
      <c r="K322" s="6" t="str">
        <f>IF(A322="","",IF(COUNTIFS('02_KICH_BAN_NODES'!$B$5:$B$204,A322,'02_KICH_BAN_NODES'!$D$5:$D$204,"choice")=0,"ChoiceNodeId không tồn tại hoặc không phải choice",IF(COUNTIFS($A$5:$A$404,A322,$B$5:$B$404,B322)&gt;1,"Trùng OptionOrder trong cùng choice",IF(OR(B322="",C322="",D322="",F322="",H322=""),"Thiếu trường bắt buộc",IF(OR(COUNTIF($A$5:$A$404,A322)&lt;2,COUNTIF($A$5:$A$404,A322)&gt;4),"Mỗi choice cần 2–4 option",IF(COUNTIFS('02_KICH_BAN_NODES'!$B$5:$B$204,A322,'02_KICH_BAN_NODES'!$E$5:$E$204,"Kiến thức")=1,IF(COUNTIFS($A$5:$A$404,A322,$D$5:$D$404,"Có")&lt;&gt;1,"Choice kiến thức cần đúng 1 đáp án đúng",""),IF(COUNTIFS('02_KICH_BAN_NODES'!$B$5:$B$204,A322,'02_KICH_BAN_NODES'!$E$5:$E$204,"Tương tác")=1,IF(COUNTIFS($A$5:$A$404,A322,$D$5:$D$404,"Có")&lt;&gt;0,"Choice tương tác không được đánh dấu đáp án đúng",""),"Choice chưa chọn loại")))))))</f>
        <v/>
      </c>
    </row>
    <row r="323" spans="1:11">
      <c r="A323" s="13"/>
      <c r="B323" s="13"/>
      <c r="C323" s="5"/>
      <c r="D323" s="13"/>
      <c r="E323" s="13"/>
      <c r="F323" s="13"/>
      <c r="G323" s="13"/>
      <c r="H323" s="5"/>
      <c r="I323" s="5"/>
      <c r="J323" s="6" t="str">
        <f t="shared" si="4"/>
        <v/>
      </c>
      <c r="K323" s="6" t="str">
        <f>IF(A323="","",IF(COUNTIFS('02_KICH_BAN_NODES'!$B$5:$B$204,A323,'02_KICH_BAN_NODES'!$D$5:$D$204,"choice")=0,"ChoiceNodeId không tồn tại hoặc không phải choice",IF(COUNTIFS($A$5:$A$404,A323,$B$5:$B$404,B323)&gt;1,"Trùng OptionOrder trong cùng choice",IF(OR(B323="",C323="",D323="",F323="",H323=""),"Thiếu trường bắt buộc",IF(OR(COUNTIF($A$5:$A$404,A323)&lt;2,COUNTIF($A$5:$A$404,A323)&gt;4),"Mỗi choice cần 2–4 option",IF(COUNTIFS('02_KICH_BAN_NODES'!$B$5:$B$204,A323,'02_KICH_BAN_NODES'!$E$5:$E$204,"Kiến thức")=1,IF(COUNTIFS($A$5:$A$404,A323,$D$5:$D$404,"Có")&lt;&gt;1,"Choice kiến thức cần đúng 1 đáp án đúng",""),IF(COUNTIFS('02_KICH_BAN_NODES'!$B$5:$B$204,A323,'02_KICH_BAN_NODES'!$E$5:$E$204,"Tương tác")=1,IF(COUNTIFS($A$5:$A$404,A323,$D$5:$D$404,"Có")&lt;&gt;0,"Choice tương tác không được đánh dấu đáp án đúng",""),"Choice chưa chọn loại")))))))</f>
        <v/>
      </c>
    </row>
    <row r="324" spans="1:11">
      <c r="A324" s="13"/>
      <c r="B324" s="13"/>
      <c r="C324" s="5"/>
      <c r="D324" s="13"/>
      <c r="E324" s="13"/>
      <c r="F324" s="13"/>
      <c r="G324" s="13"/>
      <c r="H324" s="5"/>
      <c r="I324" s="5"/>
      <c r="J324" s="6" t="str">
        <f t="shared" si="4"/>
        <v/>
      </c>
      <c r="K324" s="6" t="str">
        <f>IF(A324="","",IF(COUNTIFS('02_KICH_BAN_NODES'!$B$5:$B$204,A324,'02_KICH_BAN_NODES'!$D$5:$D$204,"choice")=0,"ChoiceNodeId không tồn tại hoặc không phải choice",IF(COUNTIFS($A$5:$A$404,A324,$B$5:$B$404,B324)&gt;1,"Trùng OptionOrder trong cùng choice",IF(OR(B324="",C324="",D324="",F324="",H324=""),"Thiếu trường bắt buộc",IF(OR(COUNTIF($A$5:$A$404,A324)&lt;2,COUNTIF($A$5:$A$404,A324)&gt;4),"Mỗi choice cần 2–4 option",IF(COUNTIFS('02_KICH_BAN_NODES'!$B$5:$B$204,A324,'02_KICH_BAN_NODES'!$E$5:$E$204,"Kiến thức")=1,IF(COUNTIFS($A$5:$A$404,A324,$D$5:$D$404,"Có")&lt;&gt;1,"Choice kiến thức cần đúng 1 đáp án đúng",""),IF(COUNTIFS('02_KICH_BAN_NODES'!$B$5:$B$204,A324,'02_KICH_BAN_NODES'!$E$5:$E$204,"Tương tác")=1,IF(COUNTIFS($A$5:$A$404,A324,$D$5:$D$404,"Có")&lt;&gt;0,"Choice tương tác không được đánh dấu đáp án đúng",""),"Choice chưa chọn loại")))))))</f>
        <v/>
      </c>
    </row>
    <row r="325" spans="1:11">
      <c r="A325" s="13"/>
      <c r="B325" s="13"/>
      <c r="C325" s="5"/>
      <c r="D325" s="13"/>
      <c r="E325" s="13"/>
      <c r="F325" s="13"/>
      <c r="G325" s="13"/>
      <c r="H325" s="5"/>
      <c r="I325" s="5"/>
      <c r="J325" s="6" t="str">
        <f t="shared" ref="J325:J388" si="5">IF(A325="","",IF(K325="","HỢP LỆ","CẦN SỬA"))</f>
        <v/>
      </c>
      <c r="K325" s="6" t="str">
        <f>IF(A325="","",IF(COUNTIFS('02_KICH_BAN_NODES'!$B$5:$B$204,A325,'02_KICH_BAN_NODES'!$D$5:$D$204,"choice")=0,"ChoiceNodeId không tồn tại hoặc không phải choice",IF(COUNTIFS($A$5:$A$404,A325,$B$5:$B$404,B325)&gt;1,"Trùng OptionOrder trong cùng choice",IF(OR(B325="",C325="",D325="",F325="",H325=""),"Thiếu trường bắt buộc",IF(OR(COUNTIF($A$5:$A$404,A325)&lt;2,COUNTIF($A$5:$A$404,A325)&gt;4),"Mỗi choice cần 2–4 option",IF(COUNTIFS('02_KICH_BAN_NODES'!$B$5:$B$204,A325,'02_KICH_BAN_NODES'!$E$5:$E$204,"Kiến thức")=1,IF(COUNTIFS($A$5:$A$404,A325,$D$5:$D$404,"Có")&lt;&gt;1,"Choice kiến thức cần đúng 1 đáp án đúng",""),IF(COUNTIFS('02_KICH_BAN_NODES'!$B$5:$B$204,A325,'02_KICH_BAN_NODES'!$E$5:$E$204,"Tương tác")=1,IF(COUNTIFS($A$5:$A$404,A325,$D$5:$D$404,"Có")&lt;&gt;0,"Choice tương tác không được đánh dấu đáp án đúng",""),"Choice chưa chọn loại")))))))</f>
        <v/>
      </c>
    </row>
    <row r="326" spans="1:11">
      <c r="A326" s="13"/>
      <c r="B326" s="13"/>
      <c r="C326" s="5"/>
      <c r="D326" s="13"/>
      <c r="E326" s="13"/>
      <c r="F326" s="13"/>
      <c r="G326" s="13"/>
      <c r="H326" s="5"/>
      <c r="I326" s="5"/>
      <c r="J326" s="6" t="str">
        <f t="shared" si="5"/>
        <v/>
      </c>
      <c r="K326" s="6" t="str">
        <f>IF(A326="","",IF(COUNTIFS('02_KICH_BAN_NODES'!$B$5:$B$204,A326,'02_KICH_BAN_NODES'!$D$5:$D$204,"choice")=0,"ChoiceNodeId không tồn tại hoặc không phải choice",IF(COUNTIFS($A$5:$A$404,A326,$B$5:$B$404,B326)&gt;1,"Trùng OptionOrder trong cùng choice",IF(OR(B326="",C326="",D326="",F326="",H326=""),"Thiếu trường bắt buộc",IF(OR(COUNTIF($A$5:$A$404,A326)&lt;2,COUNTIF($A$5:$A$404,A326)&gt;4),"Mỗi choice cần 2–4 option",IF(COUNTIFS('02_KICH_BAN_NODES'!$B$5:$B$204,A326,'02_KICH_BAN_NODES'!$E$5:$E$204,"Kiến thức")=1,IF(COUNTIFS($A$5:$A$404,A326,$D$5:$D$404,"Có")&lt;&gt;1,"Choice kiến thức cần đúng 1 đáp án đúng",""),IF(COUNTIFS('02_KICH_BAN_NODES'!$B$5:$B$204,A326,'02_KICH_BAN_NODES'!$E$5:$E$204,"Tương tác")=1,IF(COUNTIFS($A$5:$A$404,A326,$D$5:$D$404,"Có")&lt;&gt;0,"Choice tương tác không được đánh dấu đáp án đúng",""),"Choice chưa chọn loại")))))))</f>
        <v/>
      </c>
    </row>
    <row r="327" spans="1:11">
      <c r="A327" s="13"/>
      <c r="B327" s="13"/>
      <c r="C327" s="5"/>
      <c r="D327" s="13"/>
      <c r="E327" s="13"/>
      <c r="F327" s="13"/>
      <c r="G327" s="13"/>
      <c r="H327" s="5"/>
      <c r="I327" s="5"/>
      <c r="J327" s="6" t="str">
        <f t="shared" si="5"/>
        <v/>
      </c>
      <c r="K327" s="6" t="str">
        <f>IF(A327="","",IF(COUNTIFS('02_KICH_BAN_NODES'!$B$5:$B$204,A327,'02_KICH_BAN_NODES'!$D$5:$D$204,"choice")=0,"ChoiceNodeId không tồn tại hoặc không phải choice",IF(COUNTIFS($A$5:$A$404,A327,$B$5:$B$404,B327)&gt;1,"Trùng OptionOrder trong cùng choice",IF(OR(B327="",C327="",D327="",F327="",H327=""),"Thiếu trường bắt buộc",IF(OR(COUNTIF($A$5:$A$404,A327)&lt;2,COUNTIF($A$5:$A$404,A327)&gt;4),"Mỗi choice cần 2–4 option",IF(COUNTIFS('02_KICH_BAN_NODES'!$B$5:$B$204,A327,'02_KICH_BAN_NODES'!$E$5:$E$204,"Kiến thức")=1,IF(COUNTIFS($A$5:$A$404,A327,$D$5:$D$404,"Có")&lt;&gt;1,"Choice kiến thức cần đúng 1 đáp án đúng",""),IF(COUNTIFS('02_KICH_BAN_NODES'!$B$5:$B$204,A327,'02_KICH_BAN_NODES'!$E$5:$E$204,"Tương tác")=1,IF(COUNTIFS($A$5:$A$404,A327,$D$5:$D$404,"Có")&lt;&gt;0,"Choice tương tác không được đánh dấu đáp án đúng",""),"Choice chưa chọn loại")))))))</f>
        <v/>
      </c>
    </row>
    <row r="328" spans="1:11">
      <c r="A328" s="13"/>
      <c r="B328" s="13"/>
      <c r="C328" s="5"/>
      <c r="D328" s="13"/>
      <c r="E328" s="13"/>
      <c r="F328" s="13"/>
      <c r="G328" s="13"/>
      <c r="H328" s="5"/>
      <c r="I328" s="5"/>
      <c r="J328" s="6" t="str">
        <f t="shared" si="5"/>
        <v/>
      </c>
      <c r="K328" s="6" t="str">
        <f>IF(A328="","",IF(COUNTIFS('02_KICH_BAN_NODES'!$B$5:$B$204,A328,'02_KICH_BAN_NODES'!$D$5:$D$204,"choice")=0,"ChoiceNodeId không tồn tại hoặc không phải choice",IF(COUNTIFS($A$5:$A$404,A328,$B$5:$B$404,B328)&gt;1,"Trùng OptionOrder trong cùng choice",IF(OR(B328="",C328="",D328="",F328="",H328=""),"Thiếu trường bắt buộc",IF(OR(COUNTIF($A$5:$A$404,A328)&lt;2,COUNTIF($A$5:$A$404,A328)&gt;4),"Mỗi choice cần 2–4 option",IF(COUNTIFS('02_KICH_BAN_NODES'!$B$5:$B$204,A328,'02_KICH_BAN_NODES'!$E$5:$E$204,"Kiến thức")=1,IF(COUNTIFS($A$5:$A$404,A328,$D$5:$D$404,"Có")&lt;&gt;1,"Choice kiến thức cần đúng 1 đáp án đúng",""),IF(COUNTIFS('02_KICH_BAN_NODES'!$B$5:$B$204,A328,'02_KICH_BAN_NODES'!$E$5:$E$204,"Tương tác")=1,IF(COUNTIFS($A$5:$A$404,A328,$D$5:$D$404,"Có")&lt;&gt;0,"Choice tương tác không được đánh dấu đáp án đúng",""),"Choice chưa chọn loại")))))))</f>
        <v/>
      </c>
    </row>
    <row r="329" spans="1:11">
      <c r="A329" s="13"/>
      <c r="B329" s="13"/>
      <c r="C329" s="5"/>
      <c r="D329" s="13"/>
      <c r="E329" s="13"/>
      <c r="F329" s="13"/>
      <c r="G329" s="13"/>
      <c r="H329" s="5"/>
      <c r="I329" s="5"/>
      <c r="J329" s="6" t="str">
        <f t="shared" si="5"/>
        <v/>
      </c>
      <c r="K329" s="6" t="str">
        <f>IF(A329="","",IF(COUNTIFS('02_KICH_BAN_NODES'!$B$5:$B$204,A329,'02_KICH_BAN_NODES'!$D$5:$D$204,"choice")=0,"ChoiceNodeId không tồn tại hoặc không phải choice",IF(COUNTIFS($A$5:$A$404,A329,$B$5:$B$404,B329)&gt;1,"Trùng OptionOrder trong cùng choice",IF(OR(B329="",C329="",D329="",F329="",H329=""),"Thiếu trường bắt buộc",IF(OR(COUNTIF($A$5:$A$404,A329)&lt;2,COUNTIF($A$5:$A$404,A329)&gt;4),"Mỗi choice cần 2–4 option",IF(COUNTIFS('02_KICH_BAN_NODES'!$B$5:$B$204,A329,'02_KICH_BAN_NODES'!$E$5:$E$204,"Kiến thức")=1,IF(COUNTIFS($A$5:$A$404,A329,$D$5:$D$404,"Có")&lt;&gt;1,"Choice kiến thức cần đúng 1 đáp án đúng",""),IF(COUNTIFS('02_KICH_BAN_NODES'!$B$5:$B$204,A329,'02_KICH_BAN_NODES'!$E$5:$E$204,"Tương tác")=1,IF(COUNTIFS($A$5:$A$404,A329,$D$5:$D$404,"Có")&lt;&gt;0,"Choice tương tác không được đánh dấu đáp án đúng",""),"Choice chưa chọn loại")))))))</f>
        <v/>
      </c>
    </row>
    <row r="330" spans="1:11">
      <c r="A330" s="13"/>
      <c r="B330" s="13"/>
      <c r="C330" s="5"/>
      <c r="D330" s="13"/>
      <c r="E330" s="13"/>
      <c r="F330" s="13"/>
      <c r="G330" s="13"/>
      <c r="H330" s="5"/>
      <c r="I330" s="5"/>
      <c r="J330" s="6" t="str">
        <f t="shared" si="5"/>
        <v/>
      </c>
      <c r="K330" s="6" t="str">
        <f>IF(A330="","",IF(COUNTIFS('02_KICH_BAN_NODES'!$B$5:$B$204,A330,'02_KICH_BAN_NODES'!$D$5:$D$204,"choice")=0,"ChoiceNodeId không tồn tại hoặc không phải choice",IF(COUNTIFS($A$5:$A$404,A330,$B$5:$B$404,B330)&gt;1,"Trùng OptionOrder trong cùng choice",IF(OR(B330="",C330="",D330="",F330="",H330=""),"Thiếu trường bắt buộc",IF(OR(COUNTIF($A$5:$A$404,A330)&lt;2,COUNTIF($A$5:$A$404,A330)&gt;4),"Mỗi choice cần 2–4 option",IF(COUNTIFS('02_KICH_BAN_NODES'!$B$5:$B$204,A330,'02_KICH_BAN_NODES'!$E$5:$E$204,"Kiến thức")=1,IF(COUNTIFS($A$5:$A$404,A330,$D$5:$D$404,"Có")&lt;&gt;1,"Choice kiến thức cần đúng 1 đáp án đúng",""),IF(COUNTIFS('02_KICH_BAN_NODES'!$B$5:$B$204,A330,'02_KICH_BAN_NODES'!$E$5:$E$204,"Tương tác")=1,IF(COUNTIFS($A$5:$A$404,A330,$D$5:$D$404,"Có")&lt;&gt;0,"Choice tương tác không được đánh dấu đáp án đúng",""),"Choice chưa chọn loại")))))))</f>
        <v/>
      </c>
    </row>
    <row r="331" spans="1:11">
      <c r="A331" s="13"/>
      <c r="B331" s="13"/>
      <c r="C331" s="5"/>
      <c r="D331" s="13"/>
      <c r="E331" s="13"/>
      <c r="F331" s="13"/>
      <c r="G331" s="13"/>
      <c r="H331" s="5"/>
      <c r="I331" s="5"/>
      <c r="J331" s="6" t="str">
        <f t="shared" si="5"/>
        <v/>
      </c>
      <c r="K331" s="6" t="str">
        <f>IF(A331="","",IF(COUNTIFS('02_KICH_BAN_NODES'!$B$5:$B$204,A331,'02_KICH_BAN_NODES'!$D$5:$D$204,"choice")=0,"ChoiceNodeId không tồn tại hoặc không phải choice",IF(COUNTIFS($A$5:$A$404,A331,$B$5:$B$404,B331)&gt;1,"Trùng OptionOrder trong cùng choice",IF(OR(B331="",C331="",D331="",F331="",H331=""),"Thiếu trường bắt buộc",IF(OR(COUNTIF($A$5:$A$404,A331)&lt;2,COUNTIF($A$5:$A$404,A331)&gt;4),"Mỗi choice cần 2–4 option",IF(COUNTIFS('02_KICH_BAN_NODES'!$B$5:$B$204,A331,'02_KICH_BAN_NODES'!$E$5:$E$204,"Kiến thức")=1,IF(COUNTIFS($A$5:$A$404,A331,$D$5:$D$404,"Có")&lt;&gt;1,"Choice kiến thức cần đúng 1 đáp án đúng",""),IF(COUNTIFS('02_KICH_BAN_NODES'!$B$5:$B$204,A331,'02_KICH_BAN_NODES'!$E$5:$E$204,"Tương tác")=1,IF(COUNTIFS($A$5:$A$404,A331,$D$5:$D$404,"Có")&lt;&gt;0,"Choice tương tác không được đánh dấu đáp án đúng",""),"Choice chưa chọn loại")))))))</f>
        <v/>
      </c>
    </row>
    <row r="332" spans="1:11">
      <c r="A332" s="13"/>
      <c r="B332" s="13"/>
      <c r="C332" s="5"/>
      <c r="D332" s="13"/>
      <c r="E332" s="13"/>
      <c r="F332" s="13"/>
      <c r="G332" s="13"/>
      <c r="H332" s="5"/>
      <c r="I332" s="5"/>
      <c r="J332" s="6" t="str">
        <f t="shared" si="5"/>
        <v/>
      </c>
      <c r="K332" s="6" t="str">
        <f>IF(A332="","",IF(COUNTIFS('02_KICH_BAN_NODES'!$B$5:$B$204,A332,'02_KICH_BAN_NODES'!$D$5:$D$204,"choice")=0,"ChoiceNodeId không tồn tại hoặc không phải choice",IF(COUNTIFS($A$5:$A$404,A332,$B$5:$B$404,B332)&gt;1,"Trùng OptionOrder trong cùng choice",IF(OR(B332="",C332="",D332="",F332="",H332=""),"Thiếu trường bắt buộc",IF(OR(COUNTIF($A$5:$A$404,A332)&lt;2,COUNTIF($A$5:$A$404,A332)&gt;4),"Mỗi choice cần 2–4 option",IF(COUNTIFS('02_KICH_BAN_NODES'!$B$5:$B$204,A332,'02_KICH_BAN_NODES'!$E$5:$E$204,"Kiến thức")=1,IF(COUNTIFS($A$5:$A$404,A332,$D$5:$D$404,"Có")&lt;&gt;1,"Choice kiến thức cần đúng 1 đáp án đúng",""),IF(COUNTIFS('02_KICH_BAN_NODES'!$B$5:$B$204,A332,'02_KICH_BAN_NODES'!$E$5:$E$204,"Tương tác")=1,IF(COUNTIFS($A$5:$A$404,A332,$D$5:$D$404,"Có")&lt;&gt;0,"Choice tương tác không được đánh dấu đáp án đúng",""),"Choice chưa chọn loại")))))))</f>
        <v/>
      </c>
    </row>
    <row r="333" spans="1:11">
      <c r="A333" s="13"/>
      <c r="B333" s="13"/>
      <c r="C333" s="5"/>
      <c r="D333" s="13"/>
      <c r="E333" s="13"/>
      <c r="F333" s="13"/>
      <c r="G333" s="13"/>
      <c r="H333" s="5"/>
      <c r="I333" s="5"/>
      <c r="J333" s="6" t="str">
        <f t="shared" si="5"/>
        <v/>
      </c>
      <c r="K333" s="6" t="str">
        <f>IF(A333="","",IF(COUNTIFS('02_KICH_BAN_NODES'!$B$5:$B$204,A333,'02_KICH_BAN_NODES'!$D$5:$D$204,"choice")=0,"ChoiceNodeId không tồn tại hoặc không phải choice",IF(COUNTIFS($A$5:$A$404,A333,$B$5:$B$404,B333)&gt;1,"Trùng OptionOrder trong cùng choice",IF(OR(B333="",C333="",D333="",F333="",H333=""),"Thiếu trường bắt buộc",IF(OR(COUNTIF($A$5:$A$404,A333)&lt;2,COUNTIF($A$5:$A$404,A333)&gt;4),"Mỗi choice cần 2–4 option",IF(COUNTIFS('02_KICH_BAN_NODES'!$B$5:$B$204,A333,'02_KICH_BAN_NODES'!$E$5:$E$204,"Kiến thức")=1,IF(COUNTIFS($A$5:$A$404,A333,$D$5:$D$404,"Có")&lt;&gt;1,"Choice kiến thức cần đúng 1 đáp án đúng",""),IF(COUNTIFS('02_KICH_BAN_NODES'!$B$5:$B$204,A333,'02_KICH_BAN_NODES'!$E$5:$E$204,"Tương tác")=1,IF(COUNTIFS($A$5:$A$404,A333,$D$5:$D$404,"Có")&lt;&gt;0,"Choice tương tác không được đánh dấu đáp án đúng",""),"Choice chưa chọn loại")))))))</f>
        <v/>
      </c>
    </row>
    <row r="334" spans="1:11">
      <c r="A334" s="13"/>
      <c r="B334" s="13"/>
      <c r="C334" s="5"/>
      <c r="D334" s="13"/>
      <c r="E334" s="13"/>
      <c r="F334" s="13"/>
      <c r="G334" s="13"/>
      <c r="H334" s="5"/>
      <c r="I334" s="5"/>
      <c r="J334" s="6" t="str">
        <f t="shared" si="5"/>
        <v/>
      </c>
      <c r="K334" s="6" t="str">
        <f>IF(A334="","",IF(COUNTIFS('02_KICH_BAN_NODES'!$B$5:$B$204,A334,'02_KICH_BAN_NODES'!$D$5:$D$204,"choice")=0,"ChoiceNodeId không tồn tại hoặc không phải choice",IF(COUNTIFS($A$5:$A$404,A334,$B$5:$B$404,B334)&gt;1,"Trùng OptionOrder trong cùng choice",IF(OR(B334="",C334="",D334="",F334="",H334=""),"Thiếu trường bắt buộc",IF(OR(COUNTIF($A$5:$A$404,A334)&lt;2,COUNTIF($A$5:$A$404,A334)&gt;4),"Mỗi choice cần 2–4 option",IF(COUNTIFS('02_KICH_BAN_NODES'!$B$5:$B$204,A334,'02_KICH_BAN_NODES'!$E$5:$E$204,"Kiến thức")=1,IF(COUNTIFS($A$5:$A$404,A334,$D$5:$D$404,"Có")&lt;&gt;1,"Choice kiến thức cần đúng 1 đáp án đúng",""),IF(COUNTIFS('02_KICH_BAN_NODES'!$B$5:$B$204,A334,'02_KICH_BAN_NODES'!$E$5:$E$204,"Tương tác")=1,IF(COUNTIFS($A$5:$A$404,A334,$D$5:$D$404,"Có")&lt;&gt;0,"Choice tương tác không được đánh dấu đáp án đúng",""),"Choice chưa chọn loại")))))))</f>
        <v/>
      </c>
    </row>
    <row r="335" spans="1:11">
      <c r="A335" s="13"/>
      <c r="B335" s="13"/>
      <c r="C335" s="5"/>
      <c r="D335" s="13"/>
      <c r="E335" s="13"/>
      <c r="F335" s="13"/>
      <c r="G335" s="13"/>
      <c r="H335" s="5"/>
      <c r="I335" s="5"/>
      <c r="J335" s="6" t="str">
        <f t="shared" si="5"/>
        <v/>
      </c>
      <c r="K335" s="6" t="str">
        <f>IF(A335="","",IF(COUNTIFS('02_KICH_BAN_NODES'!$B$5:$B$204,A335,'02_KICH_BAN_NODES'!$D$5:$D$204,"choice")=0,"ChoiceNodeId không tồn tại hoặc không phải choice",IF(COUNTIFS($A$5:$A$404,A335,$B$5:$B$404,B335)&gt;1,"Trùng OptionOrder trong cùng choice",IF(OR(B335="",C335="",D335="",F335="",H335=""),"Thiếu trường bắt buộc",IF(OR(COUNTIF($A$5:$A$404,A335)&lt;2,COUNTIF($A$5:$A$404,A335)&gt;4),"Mỗi choice cần 2–4 option",IF(COUNTIFS('02_KICH_BAN_NODES'!$B$5:$B$204,A335,'02_KICH_BAN_NODES'!$E$5:$E$204,"Kiến thức")=1,IF(COUNTIFS($A$5:$A$404,A335,$D$5:$D$404,"Có")&lt;&gt;1,"Choice kiến thức cần đúng 1 đáp án đúng",""),IF(COUNTIFS('02_KICH_BAN_NODES'!$B$5:$B$204,A335,'02_KICH_BAN_NODES'!$E$5:$E$204,"Tương tác")=1,IF(COUNTIFS($A$5:$A$404,A335,$D$5:$D$404,"Có")&lt;&gt;0,"Choice tương tác không được đánh dấu đáp án đúng",""),"Choice chưa chọn loại")))))))</f>
        <v/>
      </c>
    </row>
    <row r="336" spans="1:11">
      <c r="A336" s="13"/>
      <c r="B336" s="13"/>
      <c r="C336" s="5"/>
      <c r="D336" s="13"/>
      <c r="E336" s="13"/>
      <c r="F336" s="13"/>
      <c r="G336" s="13"/>
      <c r="H336" s="5"/>
      <c r="I336" s="5"/>
      <c r="J336" s="6" t="str">
        <f t="shared" si="5"/>
        <v/>
      </c>
      <c r="K336" s="6" t="str">
        <f>IF(A336="","",IF(COUNTIFS('02_KICH_BAN_NODES'!$B$5:$B$204,A336,'02_KICH_BAN_NODES'!$D$5:$D$204,"choice")=0,"ChoiceNodeId không tồn tại hoặc không phải choice",IF(COUNTIFS($A$5:$A$404,A336,$B$5:$B$404,B336)&gt;1,"Trùng OptionOrder trong cùng choice",IF(OR(B336="",C336="",D336="",F336="",H336=""),"Thiếu trường bắt buộc",IF(OR(COUNTIF($A$5:$A$404,A336)&lt;2,COUNTIF($A$5:$A$404,A336)&gt;4),"Mỗi choice cần 2–4 option",IF(COUNTIFS('02_KICH_BAN_NODES'!$B$5:$B$204,A336,'02_KICH_BAN_NODES'!$E$5:$E$204,"Kiến thức")=1,IF(COUNTIFS($A$5:$A$404,A336,$D$5:$D$404,"Có")&lt;&gt;1,"Choice kiến thức cần đúng 1 đáp án đúng",""),IF(COUNTIFS('02_KICH_BAN_NODES'!$B$5:$B$204,A336,'02_KICH_BAN_NODES'!$E$5:$E$204,"Tương tác")=1,IF(COUNTIFS($A$5:$A$404,A336,$D$5:$D$404,"Có")&lt;&gt;0,"Choice tương tác không được đánh dấu đáp án đúng",""),"Choice chưa chọn loại")))))))</f>
        <v/>
      </c>
    </row>
    <row r="337" spans="1:11">
      <c r="A337" s="13"/>
      <c r="B337" s="13"/>
      <c r="C337" s="5"/>
      <c r="D337" s="13"/>
      <c r="E337" s="13"/>
      <c r="F337" s="13"/>
      <c r="G337" s="13"/>
      <c r="H337" s="5"/>
      <c r="I337" s="5"/>
      <c r="J337" s="6" t="str">
        <f t="shared" si="5"/>
        <v/>
      </c>
      <c r="K337" s="6" t="str">
        <f>IF(A337="","",IF(COUNTIFS('02_KICH_BAN_NODES'!$B$5:$B$204,A337,'02_KICH_BAN_NODES'!$D$5:$D$204,"choice")=0,"ChoiceNodeId không tồn tại hoặc không phải choice",IF(COUNTIFS($A$5:$A$404,A337,$B$5:$B$404,B337)&gt;1,"Trùng OptionOrder trong cùng choice",IF(OR(B337="",C337="",D337="",F337="",H337=""),"Thiếu trường bắt buộc",IF(OR(COUNTIF($A$5:$A$404,A337)&lt;2,COUNTIF($A$5:$A$404,A337)&gt;4),"Mỗi choice cần 2–4 option",IF(COUNTIFS('02_KICH_BAN_NODES'!$B$5:$B$204,A337,'02_KICH_BAN_NODES'!$E$5:$E$204,"Kiến thức")=1,IF(COUNTIFS($A$5:$A$404,A337,$D$5:$D$404,"Có")&lt;&gt;1,"Choice kiến thức cần đúng 1 đáp án đúng",""),IF(COUNTIFS('02_KICH_BAN_NODES'!$B$5:$B$204,A337,'02_KICH_BAN_NODES'!$E$5:$E$204,"Tương tác")=1,IF(COUNTIFS($A$5:$A$404,A337,$D$5:$D$404,"Có")&lt;&gt;0,"Choice tương tác không được đánh dấu đáp án đúng",""),"Choice chưa chọn loại")))))))</f>
        <v/>
      </c>
    </row>
    <row r="338" spans="1:11">
      <c r="A338" s="13"/>
      <c r="B338" s="13"/>
      <c r="C338" s="5"/>
      <c r="D338" s="13"/>
      <c r="E338" s="13"/>
      <c r="F338" s="13"/>
      <c r="G338" s="13"/>
      <c r="H338" s="5"/>
      <c r="I338" s="5"/>
      <c r="J338" s="6" t="str">
        <f t="shared" si="5"/>
        <v/>
      </c>
      <c r="K338" s="6" t="str">
        <f>IF(A338="","",IF(COUNTIFS('02_KICH_BAN_NODES'!$B$5:$B$204,A338,'02_KICH_BAN_NODES'!$D$5:$D$204,"choice")=0,"ChoiceNodeId không tồn tại hoặc không phải choice",IF(COUNTIFS($A$5:$A$404,A338,$B$5:$B$404,B338)&gt;1,"Trùng OptionOrder trong cùng choice",IF(OR(B338="",C338="",D338="",F338="",H338=""),"Thiếu trường bắt buộc",IF(OR(COUNTIF($A$5:$A$404,A338)&lt;2,COUNTIF($A$5:$A$404,A338)&gt;4),"Mỗi choice cần 2–4 option",IF(COUNTIFS('02_KICH_BAN_NODES'!$B$5:$B$204,A338,'02_KICH_BAN_NODES'!$E$5:$E$204,"Kiến thức")=1,IF(COUNTIFS($A$5:$A$404,A338,$D$5:$D$404,"Có")&lt;&gt;1,"Choice kiến thức cần đúng 1 đáp án đúng",""),IF(COUNTIFS('02_KICH_BAN_NODES'!$B$5:$B$204,A338,'02_KICH_BAN_NODES'!$E$5:$E$204,"Tương tác")=1,IF(COUNTIFS($A$5:$A$404,A338,$D$5:$D$404,"Có")&lt;&gt;0,"Choice tương tác không được đánh dấu đáp án đúng",""),"Choice chưa chọn loại")))))))</f>
        <v/>
      </c>
    </row>
    <row r="339" spans="1:11">
      <c r="A339" s="13"/>
      <c r="B339" s="13"/>
      <c r="C339" s="5"/>
      <c r="D339" s="13"/>
      <c r="E339" s="13"/>
      <c r="F339" s="13"/>
      <c r="G339" s="13"/>
      <c r="H339" s="5"/>
      <c r="I339" s="5"/>
      <c r="J339" s="6" t="str">
        <f t="shared" si="5"/>
        <v/>
      </c>
      <c r="K339" s="6" t="str">
        <f>IF(A339="","",IF(COUNTIFS('02_KICH_BAN_NODES'!$B$5:$B$204,A339,'02_KICH_BAN_NODES'!$D$5:$D$204,"choice")=0,"ChoiceNodeId không tồn tại hoặc không phải choice",IF(COUNTIFS($A$5:$A$404,A339,$B$5:$B$404,B339)&gt;1,"Trùng OptionOrder trong cùng choice",IF(OR(B339="",C339="",D339="",F339="",H339=""),"Thiếu trường bắt buộc",IF(OR(COUNTIF($A$5:$A$404,A339)&lt;2,COUNTIF($A$5:$A$404,A339)&gt;4),"Mỗi choice cần 2–4 option",IF(COUNTIFS('02_KICH_BAN_NODES'!$B$5:$B$204,A339,'02_KICH_BAN_NODES'!$E$5:$E$204,"Kiến thức")=1,IF(COUNTIFS($A$5:$A$404,A339,$D$5:$D$404,"Có")&lt;&gt;1,"Choice kiến thức cần đúng 1 đáp án đúng",""),IF(COUNTIFS('02_KICH_BAN_NODES'!$B$5:$B$204,A339,'02_KICH_BAN_NODES'!$E$5:$E$204,"Tương tác")=1,IF(COUNTIFS($A$5:$A$404,A339,$D$5:$D$404,"Có")&lt;&gt;0,"Choice tương tác không được đánh dấu đáp án đúng",""),"Choice chưa chọn loại")))))))</f>
        <v/>
      </c>
    </row>
    <row r="340" spans="1:11">
      <c r="A340" s="13"/>
      <c r="B340" s="13"/>
      <c r="C340" s="5"/>
      <c r="D340" s="13"/>
      <c r="E340" s="13"/>
      <c r="F340" s="13"/>
      <c r="G340" s="13"/>
      <c r="H340" s="5"/>
      <c r="I340" s="5"/>
      <c r="J340" s="6" t="str">
        <f t="shared" si="5"/>
        <v/>
      </c>
      <c r="K340" s="6" t="str">
        <f>IF(A340="","",IF(COUNTIFS('02_KICH_BAN_NODES'!$B$5:$B$204,A340,'02_KICH_BAN_NODES'!$D$5:$D$204,"choice")=0,"ChoiceNodeId không tồn tại hoặc không phải choice",IF(COUNTIFS($A$5:$A$404,A340,$B$5:$B$404,B340)&gt;1,"Trùng OptionOrder trong cùng choice",IF(OR(B340="",C340="",D340="",F340="",H340=""),"Thiếu trường bắt buộc",IF(OR(COUNTIF($A$5:$A$404,A340)&lt;2,COUNTIF($A$5:$A$404,A340)&gt;4),"Mỗi choice cần 2–4 option",IF(COUNTIFS('02_KICH_BAN_NODES'!$B$5:$B$204,A340,'02_KICH_BAN_NODES'!$E$5:$E$204,"Kiến thức")=1,IF(COUNTIFS($A$5:$A$404,A340,$D$5:$D$404,"Có")&lt;&gt;1,"Choice kiến thức cần đúng 1 đáp án đúng",""),IF(COUNTIFS('02_KICH_BAN_NODES'!$B$5:$B$204,A340,'02_KICH_BAN_NODES'!$E$5:$E$204,"Tương tác")=1,IF(COUNTIFS($A$5:$A$404,A340,$D$5:$D$404,"Có")&lt;&gt;0,"Choice tương tác không được đánh dấu đáp án đúng",""),"Choice chưa chọn loại")))))))</f>
        <v/>
      </c>
    </row>
    <row r="341" spans="1:11">
      <c r="A341" s="13"/>
      <c r="B341" s="13"/>
      <c r="C341" s="5"/>
      <c r="D341" s="13"/>
      <c r="E341" s="13"/>
      <c r="F341" s="13"/>
      <c r="G341" s="13"/>
      <c r="H341" s="5"/>
      <c r="I341" s="5"/>
      <c r="J341" s="6" t="str">
        <f t="shared" si="5"/>
        <v/>
      </c>
      <c r="K341" s="6" t="str">
        <f>IF(A341="","",IF(COUNTIFS('02_KICH_BAN_NODES'!$B$5:$B$204,A341,'02_KICH_BAN_NODES'!$D$5:$D$204,"choice")=0,"ChoiceNodeId không tồn tại hoặc không phải choice",IF(COUNTIFS($A$5:$A$404,A341,$B$5:$B$404,B341)&gt;1,"Trùng OptionOrder trong cùng choice",IF(OR(B341="",C341="",D341="",F341="",H341=""),"Thiếu trường bắt buộc",IF(OR(COUNTIF($A$5:$A$404,A341)&lt;2,COUNTIF($A$5:$A$404,A341)&gt;4),"Mỗi choice cần 2–4 option",IF(COUNTIFS('02_KICH_BAN_NODES'!$B$5:$B$204,A341,'02_KICH_BAN_NODES'!$E$5:$E$204,"Kiến thức")=1,IF(COUNTIFS($A$5:$A$404,A341,$D$5:$D$404,"Có")&lt;&gt;1,"Choice kiến thức cần đúng 1 đáp án đúng",""),IF(COUNTIFS('02_KICH_BAN_NODES'!$B$5:$B$204,A341,'02_KICH_BAN_NODES'!$E$5:$E$204,"Tương tác")=1,IF(COUNTIFS($A$5:$A$404,A341,$D$5:$D$404,"Có")&lt;&gt;0,"Choice tương tác không được đánh dấu đáp án đúng",""),"Choice chưa chọn loại")))))))</f>
        <v/>
      </c>
    </row>
    <row r="342" spans="1:11">
      <c r="A342" s="13"/>
      <c r="B342" s="13"/>
      <c r="C342" s="5"/>
      <c r="D342" s="13"/>
      <c r="E342" s="13"/>
      <c r="F342" s="13"/>
      <c r="G342" s="13"/>
      <c r="H342" s="5"/>
      <c r="I342" s="5"/>
      <c r="J342" s="6" t="str">
        <f t="shared" si="5"/>
        <v/>
      </c>
      <c r="K342" s="6" t="str">
        <f>IF(A342="","",IF(COUNTIFS('02_KICH_BAN_NODES'!$B$5:$B$204,A342,'02_KICH_BAN_NODES'!$D$5:$D$204,"choice")=0,"ChoiceNodeId không tồn tại hoặc không phải choice",IF(COUNTIFS($A$5:$A$404,A342,$B$5:$B$404,B342)&gt;1,"Trùng OptionOrder trong cùng choice",IF(OR(B342="",C342="",D342="",F342="",H342=""),"Thiếu trường bắt buộc",IF(OR(COUNTIF($A$5:$A$404,A342)&lt;2,COUNTIF($A$5:$A$404,A342)&gt;4),"Mỗi choice cần 2–4 option",IF(COUNTIFS('02_KICH_BAN_NODES'!$B$5:$B$204,A342,'02_KICH_BAN_NODES'!$E$5:$E$204,"Kiến thức")=1,IF(COUNTIFS($A$5:$A$404,A342,$D$5:$D$404,"Có")&lt;&gt;1,"Choice kiến thức cần đúng 1 đáp án đúng",""),IF(COUNTIFS('02_KICH_BAN_NODES'!$B$5:$B$204,A342,'02_KICH_BAN_NODES'!$E$5:$E$204,"Tương tác")=1,IF(COUNTIFS($A$5:$A$404,A342,$D$5:$D$404,"Có")&lt;&gt;0,"Choice tương tác không được đánh dấu đáp án đúng",""),"Choice chưa chọn loại")))))))</f>
        <v/>
      </c>
    </row>
    <row r="343" spans="1:11">
      <c r="A343" s="13"/>
      <c r="B343" s="13"/>
      <c r="C343" s="5"/>
      <c r="D343" s="13"/>
      <c r="E343" s="13"/>
      <c r="F343" s="13"/>
      <c r="G343" s="13"/>
      <c r="H343" s="5"/>
      <c r="I343" s="5"/>
      <c r="J343" s="6" t="str">
        <f t="shared" si="5"/>
        <v/>
      </c>
      <c r="K343" s="6" t="str">
        <f>IF(A343="","",IF(COUNTIFS('02_KICH_BAN_NODES'!$B$5:$B$204,A343,'02_KICH_BAN_NODES'!$D$5:$D$204,"choice")=0,"ChoiceNodeId không tồn tại hoặc không phải choice",IF(COUNTIFS($A$5:$A$404,A343,$B$5:$B$404,B343)&gt;1,"Trùng OptionOrder trong cùng choice",IF(OR(B343="",C343="",D343="",F343="",H343=""),"Thiếu trường bắt buộc",IF(OR(COUNTIF($A$5:$A$404,A343)&lt;2,COUNTIF($A$5:$A$404,A343)&gt;4),"Mỗi choice cần 2–4 option",IF(COUNTIFS('02_KICH_BAN_NODES'!$B$5:$B$204,A343,'02_KICH_BAN_NODES'!$E$5:$E$204,"Kiến thức")=1,IF(COUNTIFS($A$5:$A$404,A343,$D$5:$D$404,"Có")&lt;&gt;1,"Choice kiến thức cần đúng 1 đáp án đúng",""),IF(COUNTIFS('02_KICH_BAN_NODES'!$B$5:$B$204,A343,'02_KICH_BAN_NODES'!$E$5:$E$204,"Tương tác")=1,IF(COUNTIFS($A$5:$A$404,A343,$D$5:$D$404,"Có")&lt;&gt;0,"Choice tương tác không được đánh dấu đáp án đúng",""),"Choice chưa chọn loại")))))))</f>
        <v/>
      </c>
    </row>
    <row r="344" spans="1:11">
      <c r="A344" s="13"/>
      <c r="B344" s="13"/>
      <c r="C344" s="5"/>
      <c r="D344" s="13"/>
      <c r="E344" s="13"/>
      <c r="F344" s="13"/>
      <c r="G344" s="13"/>
      <c r="H344" s="5"/>
      <c r="I344" s="5"/>
      <c r="J344" s="6" t="str">
        <f t="shared" si="5"/>
        <v/>
      </c>
      <c r="K344" s="6" t="str">
        <f>IF(A344="","",IF(COUNTIFS('02_KICH_BAN_NODES'!$B$5:$B$204,A344,'02_KICH_BAN_NODES'!$D$5:$D$204,"choice")=0,"ChoiceNodeId không tồn tại hoặc không phải choice",IF(COUNTIFS($A$5:$A$404,A344,$B$5:$B$404,B344)&gt;1,"Trùng OptionOrder trong cùng choice",IF(OR(B344="",C344="",D344="",F344="",H344=""),"Thiếu trường bắt buộc",IF(OR(COUNTIF($A$5:$A$404,A344)&lt;2,COUNTIF($A$5:$A$404,A344)&gt;4),"Mỗi choice cần 2–4 option",IF(COUNTIFS('02_KICH_BAN_NODES'!$B$5:$B$204,A344,'02_KICH_BAN_NODES'!$E$5:$E$204,"Kiến thức")=1,IF(COUNTIFS($A$5:$A$404,A344,$D$5:$D$404,"Có")&lt;&gt;1,"Choice kiến thức cần đúng 1 đáp án đúng",""),IF(COUNTIFS('02_KICH_BAN_NODES'!$B$5:$B$204,A344,'02_KICH_BAN_NODES'!$E$5:$E$204,"Tương tác")=1,IF(COUNTIFS($A$5:$A$404,A344,$D$5:$D$404,"Có")&lt;&gt;0,"Choice tương tác không được đánh dấu đáp án đúng",""),"Choice chưa chọn loại")))))))</f>
        <v/>
      </c>
    </row>
    <row r="345" spans="1:11">
      <c r="A345" s="13"/>
      <c r="B345" s="13"/>
      <c r="C345" s="5"/>
      <c r="D345" s="13"/>
      <c r="E345" s="13"/>
      <c r="F345" s="13"/>
      <c r="G345" s="13"/>
      <c r="H345" s="5"/>
      <c r="I345" s="5"/>
      <c r="J345" s="6" t="str">
        <f t="shared" si="5"/>
        <v/>
      </c>
      <c r="K345" s="6" t="str">
        <f>IF(A345="","",IF(COUNTIFS('02_KICH_BAN_NODES'!$B$5:$B$204,A345,'02_KICH_BAN_NODES'!$D$5:$D$204,"choice")=0,"ChoiceNodeId không tồn tại hoặc không phải choice",IF(COUNTIFS($A$5:$A$404,A345,$B$5:$B$404,B345)&gt;1,"Trùng OptionOrder trong cùng choice",IF(OR(B345="",C345="",D345="",F345="",H345=""),"Thiếu trường bắt buộc",IF(OR(COUNTIF($A$5:$A$404,A345)&lt;2,COUNTIF($A$5:$A$404,A345)&gt;4),"Mỗi choice cần 2–4 option",IF(COUNTIFS('02_KICH_BAN_NODES'!$B$5:$B$204,A345,'02_KICH_BAN_NODES'!$E$5:$E$204,"Kiến thức")=1,IF(COUNTIFS($A$5:$A$404,A345,$D$5:$D$404,"Có")&lt;&gt;1,"Choice kiến thức cần đúng 1 đáp án đúng",""),IF(COUNTIFS('02_KICH_BAN_NODES'!$B$5:$B$204,A345,'02_KICH_BAN_NODES'!$E$5:$E$204,"Tương tác")=1,IF(COUNTIFS($A$5:$A$404,A345,$D$5:$D$404,"Có")&lt;&gt;0,"Choice tương tác không được đánh dấu đáp án đúng",""),"Choice chưa chọn loại")))))))</f>
        <v/>
      </c>
    </row>
    <row r="346" spans="1:11">
      <c r="A346" s="13"/>
      <c r="B346" s="13"/>
      <c r="C346" s="5"/>
      <c r="D346" s="13"/>
      <c r="E346" s="13"/>
      <c r="F346" s="13"/>
      <c r="G346" s="13"/>
      <c r="H346" s="5"/>
      <c r="I346" s="5"/>
      <c r="J346" s="6" t="str">
        <f t="shared" si="5"/>
        <v/>
      </c>
      <c r="K346" s="6" t="str">
        <f>IF(A346="","",IF(COUNTIFS('02_KICH_BAN_NODES'!$B$5:$B$204,A346,'02_KICH_BAN_NODES'!$D$5:$D$204,"choice")=0,"ChoiceNodeId không tồn tại hoặc không phải choice",IF(COUNTIFS($A$5:$A$404,A346,$B$5:$B$404,B346)&gt;1,"Trùng OptionOrder trong cùng choice",IF(OR(B346="",C346="",D346="",F346="",H346=""),"Thiếu trường bắt buộc",IF(OR(COUNTIF($A$5:$A$404,A346)&lt;2,COUNTIF($A$5:$A$404,A346)&gt;4),"Mỗi choice cần 2–4 option",IF(COUNTIFS('02_KICH_BAN_NODES'!$B$5:$B$204,A346,'02_KICH_BAN_NODES'!$E$5:$E$204,"Kiến thức")=1,IF(COUNTIFS($A$5:$A$404,A346,$D$5:$D$404,"Có")&lt;&gt;1,"Choice kiến thức cần đúng 1 đáp án đúng",""),IF(COUNTIFS('02_KICH_BAN_NODES'!$B$5:$B$204,A346,'02_KICH_BAN_NODES'!$E$5:$E$204,"Tương tác")=1,IF(COUNTIFS($A$5:$A$404,A346,$D$5:$D$404,"Có")&lt;&gt;0,"Choice tương tác không được đánh dấu đáp án đúng",""),"Choice chưa chọn loại")))))))</f>
        <v/>
      </c>
    </row>
    <row r="347" spans="1:11">
      <c r="A347" s="13"/>
      <c r="B347" s="13"/>
      <c r="C347" s="5"/>
      <c r="D347" s="13"/>
      <c r="E347" s="13"/>
      <c r="F347" s="13"/>
      <c r="G347" s="13"/>
      <c r="H347" s="5"/>
      <c r="I347" s="5"/>
      <c r="J347" s="6" t="str">
        <f t="shared" si="5"/>
        <v/>
      </c>
      <c r="K347" s="6" t="str">
        <f>IF(A347="","",IF(COUNTIFS('02_KICH_BAN_NODES'!$B$5:$B$204,A347,'02_KICH_BAN_NODES'!$D$5:$D$204,"choice")=0,"ChoiceNodeId không tồn tại hoặc không phải choice",IF(COUNTIFS($A$5:$A$404,A347,$B$5:$B$404,B347)&gt;1,"Trùng OptionOrder trong cùng choice",IF(OR(B347="",C347="",D347="",F347="",H347=""),"Thiếu trường bắt buộc",IF(OR(COUNTIF($A$5:$A$404,A347)&lt;2,COUNTIF($A$5:$A$404,A347)&gt;4),"Mỗi choice cần 2–4 option",IF(COUNTIFS('02_KICH_BAN_NODES'!$B$5:$B$204,A347,'02_KICH_BAN_NODES'!$E$5:$E$204,"Kiến thức")=1,IF(COUNTIFS($A$5:$A$404,A347,$D$5:$D$404,"Có")&lt;&gt;1,"Choice kiến thức cần đúng 1 đáp án đúng",""),IF(COUNTIFS('02_KICH_BAN_NODES'!$B$5:$B$204,A347,'02_KICH_BAN_NODES'!$E$5:$E$204,"Tương tác")=1,IF(COUNTIFS($A$5:$A$404,A347,$D$5:$D$404,"Có")&lt;&gt;0,"Choice tương tác không được đánh dấu đáp án đúng",""),"Choice chưa chọn loại")))))))</f>
        <v/>
      </c>
    </row>
    <row r="348" spans="1:11">
      <c r="A348" s="13"/>
      <c r="B348" s="13"/>
      <c r="C348" s="5"/>
      <c r="D348" s="13"/>
      <c r="E348" s="13"/>
      <c r="F348" s="13"/>
      <c r="G348" s="13"/>
      <c r="H348" s="5"/>
      <c r="I348" s="5"/>
      <c r="J348" s="6" t="str">
        <f t="shared" si="5"/>
        <v/>
      </c>
      <c r="K348" s="6" t="str">
        <f>IF(A348="","",IF(COUNTIFS('02_KICH_BAN_NODES'!$B$5:$B$204,A348,'02_KICH_BAN_NODES'!$D$5:$D$204,"choice")=0,"ChoiceNodeId không tồn tại hoặc không phải choice",IF(COUNTIFS($A$5:$A$404,A348,$B$5:$B$404,B348)&gt;1,"Trùng OptionOrder trong cùng choice",IF(OR(B348="",C348="",D348="",F348="",H348=""),"Thiếu trường bắt buộc",IF(OR(COUNTIF($A$5:$A$404,A348)&lt;2,COUNTIF($A$5:$A$404,A348)&gt;4),"Mỗi choice cần 2–4 option",IF(COUNTIFS('02_KICH_BAN_NODES'!$B$5:$B$204,A348,'02_KICH_BAN_NODES'!$E$5:$E$204,"Kiến thức")=1,IF(COUNTIFS($A$5:$A$404,A348,$D$5:$D$404,"Có")&lt;&gt;1,"Choice kiến thức cần đúng 1 đáp án đúng",""),IF(COUNTIFS('02_KICH_BAN_NODES'!$B$5:$B$204,A348,'02_KICH_BAN_NODES'!$E$5:$E$204,"Tương tác")=1,IF(COUNTIFS($A$5:$A$404,A348,$D$5:$D$404,"Có")&lt;&gt;0,"Choice tương tác không được đánh dấu đáp án đúng",""),"Choice chưa chọn loại")))))))</f>
        <v/>
      </c>
    </row>
    <row r="349" spans="1:11">
      <c r="A349" s="13"/>
      <c r="B349" s="13"/>
      <c r="C349" s="5"/>
      <c r="D349" s="13"/>
      <c r="E349" s="13"/>
      <c r="F349" s="13"/>
      <c r="G349" s="13"/>
      <c r="H349" s="5"/>
      <c r="I349" s="5"/>
      <c r="J349" s="6" t="str">
        <f t="shared" si="5"/>
        <v/>
      </c>
      <c r="K349" s="6" t="str">
        <f>IF(A349="","",IF(COUNTIFS('02_KICH_BAN_NODES'!$B$5:$B$204,A349,'02_KICH_BAN_NODES'!$D$5:$D$204,"choice")=0,"ChoiceNodeId không tồn tại hoặc không phải choice",IF(COUNTIFS($A$5:$A$404,A349,$B$5:$B$404,B349)&gt;1,"Trùng OptionOrder trong cùng choice",IF(OR(B349="",C349="",D349="",F349="",H349=""),"Thiếu trường bắt buộc",IF(OR(COUNTIF($A$5:$A$404,A349)&lt;2,COUNTIF($A$5:$A$404,A349)&gt;4),"Mỗi choice cần 2–4 option",IF(COUNTIFS('02_KICH_BAN_NODES'!$B$5:$B$204,A349,'02_KICH_BAN_NODES'!$E$5:$E$204,"Kiến thức")=1,IF(COUNTIFS($A$5:$A$404,A349,$D$5:$D$404,"Có")&lt;&gt;1,"Choice kiến thức cần đúng 1 đáp án đúng",""),IF(COUNTIFS('02_KICH_BAN_NODES'!$B$5:$B$204,A349,'02_KICH_BAN_NODES'!$E$5:$E$204,"Tương tác")=1,IF(COUNTIFS($A$5:$A$404,A349,$D$5:$D$404,"Có")&lt;&gt;0,"Choice tương tác không được đánh dấu đáp án đúng",""),"Choice chưa chọn loại")))))))</f>
        <v/>
      </c>
    </row>
    <row r="350" spans="1:11">
      <c r="A350" s="13"/>
      <c r="B350" s="13"/>
      <c r="C350" s="5"/>
      <c r="D350" s="13"/>
      <c r="E350" s="13"/>
      <c r="F350" s="13"/>
      <c r="G350" s="13"/>
      <c r="H350" s="5"/>
      <c r="I350" s="5"/>
      <c r="J350" s="6" t="str">
        <f t="shared" si="5"/>
        <v/>
      </c>
      <c r="K350" s="6" t="str">
        <f>IF(A350="","",IF(COUNTIFS('02_KICH_BAN_NODES'!$B$5:$B$204,A350,'02_KICH_BAN_NODES'!$D$5:$D$204,"choice")=0,"ChoiceNodeId không tồn tại hoặc không phải choice",IF(COUNTIFS($A$5:$A$404,A350,$B$5:$B$404,B350)&gt;1,"Trùng OptionOrder trong cùng choice",IF(OR(B350="",C350="",D350="",F350="",H350=""),"Thiếu trường bắt buộc",IF(OR(COUNTIF($A$5:$A$404,A350)&lt;2,COUNTIF($A$5:$A$404,A350)&gt;4),"Mỗi choice cần 2–4 option",IF(COUNTIFS('02_KICH_BAN_NODES'!$B$5:$B$204,A350,'02_KICH_BAN_NODES'!$E$5:$E$204,"Kiến thức")=1,IF(COUNTIFS($A$5:$A$404,A350,$D$5:$D$404,"Có")&lt;&gt;1,"Choice kiến thức cần đúng 1 đáp án đúng",""),IF(COUNTIFS('02_KICH_BAN_NODES'!$B$5:$B$204,A350,'02_KICH_BAN_NODES'!$E$5:$E$204,"Tương tác")=1,IF(COUNTIFS($A$5:$A$404,A350,$D$5:$D$404,"Có")&lt;&gt;0,"Choice tương tác không được đánh dấu đáp án đúng",""),"Choice chưa chọn loại")))))))</f>
        <v/>
      </c>
    </row>
    <row r="351" spans="1:11">
      <c r="A351" s="13"/>
      <c r="B351" s="13"/>
      <c r="C351" s="5"/>
      <c r="D351" s="13"/>
      <c r="E351" s="13"/>
      <c r="F351" s="13"/>
      <c r="G351" s="13"/>
      <c r="H351" s="5"/>
      <c r="I351" s="5"/>
      <c r="J351" s="6" t="str">
        <f t="shared" si="5"/>
        <v/>
      </c>
      <c r="K351" s="6" t="str">
        <f>IF(A351="","",IF(COUNTIFS('02_KICH_BAN_NODES'!$B$5:$B$204,A351,'02_KICH_BAN_NODES'!$D$5:$D$204,"choice")=0,"ChoiceNodeId không tồn tại hoặc không phải choice",IF(COUNTIFS($A$5:$A$404,A351,$B$5:$B$404,B351)&gt;1,"Trùng OptionOrder trong cùng choice",IF(OR(B351="",C351="",D351="",F351="",H351=""),"Thiếu trường bắt buộc",IF(OR(COUNTIF($A$5:$A$404,A351)&lt;2,COUNTIF($A$5:$A$404,A351)&gt;4),"Mỗi choice cần 2–4 option",IF(COUNTIFS('02_KICH_BAN_NODES'!$B$5:$B$204,A351,'02_KICH_BAN_NODES'!$E$5:$E$204,"Kiến thức")=1,IF(COUNTIFS($A$5:$A$404,A351,$D$5:$D$404,"Có")&lt;&gt;1,"Choice kiến thức cần đúng 1 đáp án đúng",""),IF(COUNTIFS('02_KICH_BAN_NODES'!$B$5:$B$204,A351,'02_KICH_BAN_NODES'!$E$5:$E$204,"Tương tác")=1,IF(COUNTIFS($A$5:$A$404,A351,$D$5:$D$404,"Có")&lt;&gt;0,"Choice tương tác không được đánh dấu đáp án đúng",""),"Choice chưa chọn loại")))))))</f>
        <v/>
      </c>
    </row>
    <row r="352" spans="1:11">
      <c r="A352" s="13"/>
      <c r="B352" s="13"/>
      <c r="C352" s="5"/>
      <c r="D352" s="13"/>
      <c r="E352" s="13"/>
      <c r="F352" s="13"/>
      <c r="G352" s="13"/>
      <c r="H352" s="5"/>
      <c r="I352" s="5"/>
      <c r="J352" s="6" t="str">
        <f t="shared" si="5"/>
        <v/>
      </c>
      <c r="K352" s="6" t="str">
        <f>IF(A352="","",IF(COUNTIFS('02_KICH_BAN_NODES'!$B$5:$B$204,A352,'02_KICH_BAN_NODES'!$D$5:$D$204,"choice")=0,"ChoiceNodeId không tồn tại hoặc không phải choice",IF(COUNTIFS($A$5:$A$404,A352,$B$5:$B$404,B352)&gt;1,"Trùng OptionOrder trong cùng choice",IF(OR(B352="",C352="",D352="",F352="",H352=""),"Thiếu trường bắt buộc",IF(OR(COUNTIF($A$5:$A$404,A352)&lt;2,COUNTIF($A$5:$A$404,A352)&gt;4),"Mỗi choice cần 2–4 option",IF(COUNTIFS('02_KICH_BAN_NODES'!$B$5:$B$204,A352,'02_KICH_BAN_NODES'!$E$5:$E$204,"Kiến thức")=1,IF(COUNTIFS($A$5:$A$404,A352,$D$5:$D$404,"Có")&lt;&gt;1,"Choice kiến thức cần đúng 1 đáp án đúng",""),IF(COUNTIFS('02_KICH_BAN_NODES'!$B$5:$B$204,A352,'02_KICH_BAN_NODES'!$E$5:$E$204,"Tương tác")=1,IF(COUNTIFS($A$5:$A$404,A352,$D$5:$D$404,"Có")&lt;&gt;0,"Choice tương tác không được đánh dấu đáp án đúng",""),"Choice chưa chọn loại")))))))</f>
        <v/>
      </c>
    </row>
    <row r="353" spans="1:11">
      <c r="A353" s="13"/>
      <c r="B353" s="13"/>
      <c r="C353" s="5"/>
      <c r="D353" s="13"/>
      <c r="E353" s="13"/>
      <c r="F353" s="13"/>
      <c r="G353" s="13"/>
      <c r="H353" s="5"/>
      <c r="I353" s="5"/>
      <c r="J353" s="6" t="str">
        <f t="shared" si="5"/>
        <v/>
      </c>
      <c r="K353" s="6" t="str">
        <f>IF(A353="","",IF(COUNTIFS('02_KICH_BAN_NODES'!$B$5:$B$204,A353,'02_KICH_BAN_NODES'!$D$5:$D$204,"choice")=0,"ChoiceNodeId không tồn tại hoặc không phải choice",IF(COUNTIFS($A$5:$A$404,A353,$B$5:$B$404,B353)&gt;1,"Trùng OptionOrder trong cùng choice",IF(OR(B353="",C353="",D353="",F353="",H353=""),"Thiếu trường bắt buộc",IF(OR(COUNTIF($A$5:$A$404,A353)&lt;2,COUNTIF($A$5:$A$404,A353)&gt;4),"Mỗi choice cần 2–4 option",IF(COUNTIFS('02_KICH_BAN_NODES'!$B$5:$B$204,A353,'02_KICH_BAN_NODES'!$E$5:$E$204,"Kiến thức")=1,IF(COUNTIFS($A$5:$A$404,A353,$D$5:$D$404,"Có")&lt;&gt;1,"Choice kiến thức cần đúng 1 đáp án đúng",""),IF(COUNTIFS('02_KICH_BAN_NODES'!$B$5:$B$204,A353,'02_KICH_BAN_NODES'!$E$5:$E$204,"Tương tác")=1,IF(COUNTIFS($A$5:$A$404,A353,$D$5:$D$404,"Có")&lt;&gt;0,"Choice tương tác không được đánh dấu đáp án đúng",""),"Choice chưa chọn loại")))))))</f>
        <v/>
      </c>
    </row>
    <row r="354" spans="1:11">
      <c r="A354" s="13"/>
      <c r="B354" s="13"/>
      <c r="C354" s="5"/>
      <c r="D354" s="13"/>
      <c r="E354" s="13"/>
      <c r="F354" s="13"/>
      <c r="G354" s="13"/>
      <c r="H354" s="5"/>
      <c r="I354" s="5"/>
      <c r="J354" s="6" t="str">
        <f t="shared" si="5"/>
        <v/>
      </c>
      <c r="K354" s="6" t="str">
        <f>IF(A354="","",IF(COUNTIFS('02_KICH_BAN_NODES'!$B$5:$B$204,A354,'02_KICH_BAN_NODES'!$D$5:$D$204,"choice")=0,"ChoiceNodeId không tồn tại hoặc không phải choice",IF(COUNTIFS($A$5:$A$404,A354,$B$5:$B$404,B354)&gt;1,"Trùng OptionOrder trong cùng choice",IF(OR(B354="",C354="",D354="",F354="",H354=""),"Thiếu trường bắt buộc",IF(OR(COUNTIF($A$5:$A$404,A354)&lt;2,COUNTIF($A$5:$A$404,A354)&gt;4),"Mỗi choice cần 2–4 option",IF(COUNTIFS('02_KICH_BAN_NODES'!$B$5:$B$204,A354,'02_KICH_BAN_NODES'!$E$5:$E$204,"Kiến thức")=1,IF(COUNTIFS($A$5:$A$404,A354,$D$5:$D$404,"Có")&lt;&gt;1,"Choice kiến thức cần đúng 1 đáp án đúng",""),IF(COUNTIFS('02_KICH_BAN_NODES'!$B$5:$B$204,A354,'02_KICH_BAN_NODES'!$E$5:$E$204,"Tương tác")=1,IF(COUNTIFS($A$5:$A$404,A354,$D$5:$D$404,"Có")&lt;&gt;0,"Choice tương tác không được đánh dấu đáp án đúng",""),"Choice chưa chọn loại")))))))</f>
        <v/>
      </c>
    </row>
    <row r="355" spans="1:11">
      <c r="A355" s="13"/>
      <c r="B355" s="13"/>
      <c r="C355" s="5"/>
      <c r="D355" s="13"/>
      <c r="E355" s="13"/>
      <c r="F355" s="13"/>
      <c r="G355" s="13"/>
      <c r="H355" s="5"/>
      <c r="I355" s="5"/>
      <c r="J355" s="6" t="str">
        <f t="shared" si="5"/>
        <v/>
      </c>
      <c r="K355" s="6" t="str">
        <f>IF(A355="","",IF(COUNTIFS('02_KICH_BAN_NODES'!$B$5:$B$204,A355,'02_KICH_BAN_NODES'!$D$5:$D$204,"choice")=0,"ChoiceNodeId không tồn tại hoặc không phải choice",IF(COUNTIFS($A$5:$A$404,A355,$B$5:$B$404,B355)&gt;1,"Trùng OptionOrder trong cùng choice",IF(OR(B355="",C355="",D355="",F355="",H355=""),"Thiếu trường bắt buộc",IF(OR(COUNTIF($A$5:$A$404,A355)&lt;2,COUNTIF($A$5:$A$404,A355)&gt;4),"Mỗi choice cần 2–4 option",IF(COUNTIFS('02_KICH_BAN_NODES'!$B$5:$B$204,A355,'02_KICH_BAN_NODES'!$E$5:$E$204,"Kiến thức")=1,IF(COUNTIFS($A$5:$A$404,A355,$D$5:$D$404,"Có")&lt;&gt;1,"Choice kiến thức cần đúng 1 đáp án đúng",""),IF(COUNTIFS('02_KICH_BAN_NODES'!$B$5:$B$204,A355,'02_KICH_BAN_NODES'!$E$5:$E$204,"Tương tác")=1,IF(COUNTIFS($A$5:$A$404,A355,$D$5:$D$404,"Có")&lt;&gt;0,"Choice tương tác không được đánh dấu đáp án đúng",""),"Choice chưa chọn loại")))))))</f>
        <v/>
      </c>
    </row>
    <row r="356" spans="1:11">
      <c r="A356" s="13"/>
      <c r="B356" s="13"/>
      <c r="C356" s="5"/>
      <c r="D356" s="13"/>
      <c r="E356" s="13"/>
      <c r="F356" s="13"/>
      <c r="G356" s="13"/>
      <c r="H356" s="5"/>
      <c r="I356" s="5"/>
      <c r="J356" s="6" t="str">
        <f t="shared" si="5"/>
        <v/>
      </c>
      <c r="K356" s="6" t="str">
        <f>IF(A356="","",IF(COUNTIFS('02_KICH_BAN_NODES'!$B$5:$B$204,A356,'02_KICH_BAN_NODES'!$D$5:$D$204,"choice")=0,"ChoiceNodeId không tồn tại hoặc không phải choice",IF(COUNTIFS($A$5:$A$404,A356,$B$5:$B$404,B356)&gt;1,"Trùng OptionOrder trong cùng choice",IF(OR(B356="",C356="",D356="",F356="",H356=""),"Thiếu trường bắt buộc",IF(OR(COUNTIF($A$5:$A$404,A356)&lt;2,COUNTIF($A$5:$A$404,A356)&gt;4),"Mỗi choice cần 2–4 option",IF(COUNTIFS('02_KICH_BAN_NODES'!$B$5:$B$204,A356,'02_KICH_BAN_NODES'!$E$5:$E$204,"Kiến thức")=1,IF(COUNTIFS($A$5:$A$404,A356,$D$5:$D$404,"Có")&lt;&gt;1,"Choice kiến thức cần đúng 1 đáp án đúng",""),IF(COUNTIFS('02_KICH_BAN_NODES'!$B$5:$B$204,A356,'02_KICH_BAN_NODES'!$E$5:$E$204,"Tương tác")=1,IF(COUNTIFS($A$5:$A$404,A356,$D$5:$D$404,"Có")&lt;&gt;0,"Choice tương tác không được đánh dấu đáp án đúng",""),"Choice chưa chọn loại")))))))</f>
        <v/>
      </c>
    </row>
    <row r="357" spans="1:11">
      <c r="A357" s="13"/>
      <c r="B357" s="13"/>
      <c r="C357" s="5"/>
      <c r="D357" s="13"/>
      <c r="E357" s="13"/>
      <c r="F357" s="13"/>
      <c r="G357" s="13"/>
      <c r="H357" s="5"/>
      <c r="I357" s="5"/>
      <c r="J357" s="6" t="str">
        <f t="shared" si="5"/>
        <v/>
      </c>
      <c r="K357" s="6" t="str">
        <f>IF(A357="","",IF(COUNTIFS('02_KICH_BAN_NODES'!$B$5:$B$204,A357,'02_KICH_BAN_NODES'!$D$5:$D$204,"choice")=0,"ChoiceNodeId không tồn tại hoặc không phải choice",IF(COUNTIFS($A$5:$A$404,A357,$B$5:$B$404,B357)&gt;1,"Trùng OptionOrder trong cùng choice",IF(OR(B357="",C357="",D357="",F357="",H357=""),"Thiếu trường bắt buộc",IF(OR(COUNTIF($A$5:$A$404,A357)&lt;2,COUNTIF($A$5:$A$404,A357)&gt;4),"Mỗi choice cần 2–4 option",IF(COUNTIFS('02_KICH_BAN_NODES'!$B$5:$B$204,A357,'02_KICH_BAN_NODES'!$E$5:$E$204,"Kiến thức")=1,IF(COUNTIFS($A$5:$A$404,A357,$D$5:$D$404,"Có")&lt;&gt;1,"Choice kiến thức cần đúng 1 đáp án đúng",""),IF(COUNTIFS('02_KICH_BAN_NODES'!$B$5:$B$204,A357,'02_KICH_BAN_NODES'!$E$5:$E$204,"Tương tác")=1,IF(COUNTIFS($A$5:$A$404,A357,$D$5:$D$404,"Có")&lt;&gt;0,"Choice tương tác không được đánh dấu đáp án đúng",""),"Choice chưa chọn loại")))))))</f>
        <v/>
      </c>
    </row>
    <row r="358" spans="1:11">
      <c r="A358" s="13"/>
      <c r="B358" s="13"/>
      <c r="C358" s="5"/>
      <c r="D358" s="13"/>
      <c r="E358" s="13"/>
      <c r="F358" s="13"/>
      <c r="G358" s="13"/>
      <c r="H358" s="5"/>
      <c r="I358" s="5"/>
      <c r="J358" s="6" t="str">
        <f t="shared" si="5"/>
        <v/>
      </c>
      <c r="K358" s="6" t="str">
        <f>IF(A358="","",IF(COUNTIFS('02_KICH_BAN_NODES'!$B$5:$B$204,A358,'02_KICH_BAN_NODES'!$D$5:$D$204,"choice")=0,"ChoiceNodeId không tồn tại hoặc không phải choice",IF(COUNTIFS($A$5:$A$404,A358,$B$5:$B$404,B358)&gt;1,"Trùng OptionOrder trong cùng choice",IF(OR(B358="",C358="",D358="",F358="",H358=""),"Thiếu trường bắt buộc",IF(OR(COUNTIF($A$5:$A$404,A358)&lt;2,COUNTIF($A$5:$A$404,A358)&gt;4),"Mỗi choice cần 2–4 option",IF(COUNTIFS('02_KICH_BAN_NODES'!$B$5:$B$204,A358,'02_KICH_BAN_NODES'!$E$5:$E$204,"Kiến thức")=1,IF(COUNTIFS($A$5:$A$404,A358,$D$5:$D$404,"Có")&lt;&gt;1,"Choice kiến thức cần đúng 1 đáp án đúng",""),IF(COUNTIFS('02_KICH_BAN_NODES'!$B$5:$B$204,A358,'02_KICH_BAN_NODES'!$E$5:$E$204,"Tương tác")=1,IF(COUNTIFS($A$5:$A$404,A358,$D$5:$D$404,"Có")&lt;&gt;0,"Choice tương tác không được đánh dấu đáp án đúng",""),"Choice chưa chọn loại")))))))</f>
        <v/>
      </c>
    </row>
    <row r="359" spans="1:11">
      <c r="A359" s="13"/>
      <c r="B359" s="13"/>
      <c r="C359" s="5"/>
      <c r="D359" s="13"/>
      <c r="E359" s="13"/>
      <c r="F359" s="13"/>
      <c r="G359" s="13"/>
      <c r="H359" s="5"/>
      <c r="I359" s="5"/>
      <c r="J359" s="6" t="str">
        <f t="shared" si="5"/>
        <v/>
      </c>
      <c r="K359" s="6" t="str">
        <f>IF(A359="","",IF(COUNTIFS('02_KICH_BAN_NODES'!$B$5:$B$204,A359,'02_KICH_BAN_NODES'!$D$5:$D$204,"choice")=0,"ChoiceNodeId không tồn tại hoặc không phải choice",IF(COUNTIFS($A$5:$A$404,A359,$B$5:$B$404,B359)&gt;1,"Trùng OptionOrder trong cùng choice",IF(OR(B359="",C359="",D359="",F359="",H359=""),"Thiếu trường bắt buộc",IF(OR(COUNTIF($A$5:$A$404,A359)&lt;2,COUNTIF($A$5:$A$404,A359)&gt;4),"Mỗi choice cần 2–4 option",IF(COUNTIFS('02_KICH_BAN_NODES'!$B$5:$B$204,A359,'02_KICH_BAN_NODES'!$E$5:$E$204,"Kiến thức")=1,IF(COUNTIFS($A$5:$A$404,A359,$D$5:$D$404,"Có")&lt;&gt;1,"Choice kiến thức cần đúng 1 đáp án đúng",""),IF(COUNTIFS('02_KICH_BAN_NODES'!$B$5:$B$204,A359,'02_KICH_BAN_NODES'!$E$5:$E$204,"Tương tác")=1,IF(COUNTIFS($A$5:$A$404,A359,$D$5:$D$404,"Có")&lt;&gt;0,"Choice tương tác không được đánh dấu đáp án đúng",""),"Choice chưa chọn loại")))))))</f>
        <v/>
      </c>
    </row>
    <row r="360" spans="1:11">
      <c r="A360" s="13"/>
      <c r="B360" s="13"/>
      <c r="C360" s="5"/>
      <c r="D360" s="13"/>
      <c r="E360" s="13"/>
      <c r="F360" s="13"/>
      <c r="G360" s="13"/>
      <c r="H360" s="5"/>
      <c r="I360" s="5"/>
      <c r="J360" s="6" t="str">
        <f t="shared" si="5"/>
        <v/>
      </c>
      <c r="K360" s="6" t="str">
        <f>IF(A360="","",IF(COUNTIFS('02_KICH_BAN_NODES'!$B$5:$B$204,A360,'02_KICH_BAN_NODES'!$D$5:$D$204,"choice")=0,"ChoiceNodeId không tồn tại hoặc không phải choice",IF(COUNTIFS($A$5:$A$404,A360,$B$5:$B$404,B360)&gt;1,"Trùng OptionOrder trong cùng choice",IF(OR(B360="",C360="",D360="",F360="",H360=""),"Thiếu trường bắt buộc",IF(OR(COUNTIF($A$5:$A$404,A360)&lt;2,COUNTIF($A$5:$A$404,A360)&gt;4),"Mỗi choice cần 2–4 option",IF(COUNTIFS('02_KICH_BAN_NODES'!$B$5:$B$204,A360,'02_KICH_BAN_NODES'!$E$5:$E$204,"Kiến thức")=1,IF(COUNTIFS($A$5:$A$404,A360,$D$5:$D$404,"Có")&lt;&gt;1,"Choice kiến thức cần đúng 1 đáp án đúng",""),IF(COUNTIFS('02_KICH_BAN_NODES'!$B$5:$B$204,A360,'02_KICH_BAN_NODES'!$E$5:$E$204,"Tương tác")=1,IF(COUNTIFS($A$5:$A$404,A360,$D$5:$D$404,"Có")&lt;&gt;0,"Choice tương tác không được đánh dấu đáp án đúng",""),"Choice chưa chọn loại")))))))</f>
        <v/>
      </c>
    </row>
    <row r="361" spans="1:11">
      <c r="A361" s="13"/>
      <c r="B361" s="13"/>
      <c r="C361" s="5"/>
      <c r="D361" s="13"/>
      <c r="E361" s="13"/>
      <c r="F361" s="13"/>
      <c r="G361" s="13"/>
      <c r="H361" s="5"/>
      <c r="I361" s="5"/>
      <c r="J361" s="6" t="str">
        <f t="shared" si="5"/>
        <v/>
      </c>
      <c r="K361" s="6" t="str">
        <f>IF(A361="","",IF(COUNTIFS('02_KICH_BAN_NODES'!$B$5:$B$204,A361,'02_KICH_BAN_NODES'!$D$5:$D$204,"choice")=0,"ChoiceNodeId không tồn tại hoặc không phải choice",IF(COUNTIFS($A$5:$A$404,A361,$B$5:$B$404,B361)&gt;1,"Trùng OptionOrder trong cùng choice",IF(OR(B361="",C361="",D361="",F361="",H361=""),"Thiếu trường bắt buộc",IF(OR(COUNTIF($A$5:$A$404,A361)&lt;2,COUNTIF($A$5:$A$404,A361)&gt;4),"Mỗi choice cần 2–4 option",IF(COUNTIFS('02_KICH_BAN_NODES'!$B$5:$B$204,A361,'02_KICH_BAN_NODES'!$E$5:$E$204,"Kiến thức")=1,IF(COUNTIFS($A$5:$A$404,A361,$D$5:$D$404,"Có")&lt;&gt;1,"Choice kiến thức cần đúng 1 đáp án đúng",""),IF(COUNTIFS('02_KICH_BAN_NODES'!$B$5:$B$204,A361,'02_KICH_BAN_NODES'!$E$5:$E$204,"Tương tác")=1,IF(COUNTIFS($A$5:$A$404,A361,$D$5:$D$404,"Có")&lt;&gt;0,"Choice tương tác không được đánh dấu đáp án đúng",""),"Choice chưa chọn loại")))))))</f>
        <v/>
      </c>
    </row>
    <row r="362" spans="1:11">
      <c r="A362" s="13"/>
      <c r="B362" s="13"/>
      <c r="C362" s="5"/>
      <c r="D362" s="13"/>
      <c r="E362" s="13"/>
      <c r="F362" s="13"/>
      <c r="G362" s="13"/>
      <c r="H362" s="5"/>
      <c r="I362" s="5"/>
      <c r="J362" s="6" t="str">
        <f t="shared" si="5"/>
        <v/>
      </c>
      <c r="K362" s="6" t="str">
        <f>IF(A362="","",IF(COUNTIFS('02_KICH_BAN_NODES'!$B$5:$B$204,A362,'02_KICH_BAN_NODES'!$D$5:$D$204,"choice")=0,"ChoiceNodeId không tồn tại hoặc không phải choice",IF(COUNTIFS($A$5:$A$404,A362,$B$5:$B$404,B362)&gt;1,"Trùng OptionOrder trong cùng choice",IF(OR(B362="",C362="",D362="",F362="",H362=""),"Thiếu trường bắt buộc",IF(OR(COUNTIF($A$5:$A$404,A362)&lt;2,COUNTIF($A$5:$A$404,A362)&gt;4),"Mỗi choice cần 2–4 option",IF(COUNTIFS('02_KICH_BAN_NODES'!$B$5:$B$204,A362,'02_KICH_BAN_NODES'!$E$5:$E$204,"Kiến thức")=1,IF(COUNTIFS($A$5:$A$404,A362,$D$5:$D$404,"Có")&lt;&gt;1,"Choice kiến thức cần đúng 1 đáp án đúng",""),IF(COUNTIFS('02_KICH_BAN_NODES'!$B$5:$B$204,A362,'02_KICH_BAN_NODES'!$E$5:$E$204,"Tương tác")=1,IF(COUNTIFS($A$5:$A$404,A362,$D$5:$D$404,"Có")&lt;&gt;0,"Choice tương tác không được đánh dấu đáp án đúng",""),"Choice chưa chọn loại")))))))</f>
        <v/>
      </c>
    </row>
    <row r="363" spans="1:11">
      <c r="A363" s="13"/>
      <c r="B363" s="13"/>
      <c r="C363" s="5"/>
      <c r="D363" s="13"/>
      <c r="E363" s="13"/>
      <c r="F363" s="13"/>
      <c r="G363" s="13"/>
      <c r="H363" s="5"/>
      <c r="I363" s="5"/>
      <c r="J363" s="6" t="str">
        <f t="shared" si="5"/>
        <v/>
      </c>
      <c r="K363" s="6" t="str">
        <f>IF(A363="","",IF(COUNTIFS('02_KICH_BAN_NODES'!$B$5:$B$204,A363,'02_KICH_BAN_NODES'!$D$5:$D$204,"choice")=0,"ChoiceNodeId không tồn tại hoặc không phải choice",IF(COUNTIFS($A$5:$A$404,A363,$B$5:$B$404,B363)&gt;1,"Trùng OptionOrder trong cùng choice",IF(OR(B363="",C363="",D363="",F363="",H363=""),"Thiếu trường bắt buộc",IF(OR(COUNTIF($A$5:$A$404,A363)&lt;2,COUNTIF($A$5:$A$404,A363)&gt;4),"Mỗi choice cần 2–4 option",IF(COUNTIFS('02_KICH_BAN_NODES'!$B$5:$B$204,A363,'02_KICH_BAN_NODES'!$E$5:$E$204,"Kiến thức")=1,IF(COUNTIFS($A$5:$A$404,A363,$D$5:$D$404,"Có")&lt;&gt;1,"Choice kiến thức cần đúng 1 đáp án đúng",""),IF(COUNTIFS('02_KICH_BAN_NODES'!$B$5:$B$204,A363,'02_KICH_BAN_NODES'!$E$5:$E$204,"Tương tác")=1,IF(COUNTIFS($A$5:$A$404,A363,$D$5:$D$404,"Có")&lt;&gt;0,"Choice tương tác không được đánh dấu đáp án đúng",""),"Choice chưa chọn loại")))))))</f>
        <v/>
      </c>
    </row>
    <row r="364" spans="1:11">
      <c r="A364" s="13"/>
      <c r="B364" s="13"/>
      <c r="C364" s="5"/>
      <c r="D364" s="13"/>
      <c r="E364" s="13"/>
      <c r="F364" s="13"/>
      <c r="G364" s="13"/>
      <c r="H364" s="5"/>
      <c r="I364" s="5"/>
      <c r="J364" s="6" t="str">
        <f t="shared" si="5"/>
        <v/>
      </c>
      <c r="K364" s="6" t="str">
        <f>IF(A364="","",IF(COUNTIFS('02_KICH_BAN_NODES'!$B$5:$B$204,A364,'02_KICH_BAN_NODES'!$D$5:$D$204,"choice")=0,"ChoiceNodeId không tồn tại hoặc không phải choice",IF(COUNTIFS($A$5:$A$404,A364,$B$5:$B$404,B364)&gt;1,"Trùng OptionOrder trong cùng choice",IF(OR(B364="",C364="",D364="",F364="",H364=""),"Thiếu trường bắt buộc",IF(OR(COUNTIF($A$5:$A$404,A364)&lt;2,COUNTIF($A$5:$A$404,A364)&gt;4),"Mỗi choice cần 2–4 option",IF(COUNTIFS('02_KICH_BAN_NODES'!$B$5:$B$204,A364,'02_KICH_BAN_NODES'!$E$5:$E$204,"Kiến thức")=1,IF(COUNTIFS($A$5:$A$404,A364,$D$5:$D$404,"Có")&lt;&gt;1,"Choice kiến thức cần đúng 1 đáp án đúng",""),IF(COUNTIFS('02_KICH_BAN_NODES'!$B$5:$B$204,A364,'02_KICH_BAN_NODES'!$E$5:$E$204,"Tương tác")=1,IF(COUNTIFS($A$5:$A$404,A364,$D$5:$D$404,"Có")&lt;&gt;0,"Choice tương tác không được đánh dấu đáp án đúng",""),"Choice chưa chọn loại")))))))</f>
        <v/>
      </c>
    </row>
    <row r="365" spans="1:11">
      <c r="A365" s="13"/>
      <c r="B365" s="13"/>
      <c r="C365" s="5"/>
      <c r="D365" s="13"/>
      <c r="E365" s="13"/>
      <c r="F365" s="13"/>
      <c r="G365" s="13"/>
      <c r="H365" s="5"/>
      <c r="I365" s="5"/>
      <c r="J365" s="6" t="str">
        <f t="shared" si="5"/>
        <v/>
      </c>
      <c r="K365" s="6" t="str">
        <f>IF(A365="","",IF(COUNTIFS('02_KICH_BAN_NODES'!$B$5:$B$204,A365,'02_KICH_BAN_NODES'!$D$5:$D$204,"choice")=0,"ChoiceNodeId không tồn tại hoặc không phải choice",IF(COUNTIFS($A$5:$A$404,A365,$B$5:$B$404,B365)&gt;1,"Trùng OptionOrder trong cùng choice",IF(OR(B365="",C365="",D365="",F365="",H365=""),"Thiếu trường bắt buộc",IF(OR(COUNTIF($A$5:$A$404,A365)&lt;2,COUNTIF($A$5:$A$404,A365)&gt;4),"Mỗi choice cần 2–4 option",IF(COUNTIFS('02_KICH_BAN_NODES'!$B$5:$B$204,A365,'02_KICH_BAN_NODES'!$E$5:$E$204,"Kiến thức")=1,IF(COUNTIFS($A$5:$A$404,A365,$D$5:$D$404,"Có")&lt;&gt;1,"Choice kiến thức cần đúng 1 đáp án đúng",""),IF(COUNTIFS('02_KICH_BAN_NODES'!$B$5:$B$204,A365,'02_KICH_BAN_NODES'!$E$5:$E$204,"Tương tác")=1,IF(COUNTIFS($A$5:$A$404,A365,$D$5:$D$404,"Có")&lt;&gt;0,"Choice tương tác không được đánh dấu đáp án đúng",""),"Choice chưa chọn loại")))))))</f>
        <v/>
      </c>
    </row>
    <row r="366" spans="1:11">
      <c r="A366" s="13"/>
      <c r="B366" s="13"/>
      <c r="C366" s="5"/>
      <c r="D366" s="13"/>
      <c r="E366" s="13"/>
      <c r="F366" s="13"/>
      <c r="G366" s="13"/>
      <c r="H366" s="5"/>
      <c r="I366" s="5"/>
      <c r="J366" s="6" t="str">
        <f t="shared" si="5"/>
        <v/>
      </c>
      <c r="K366" s="6" t="str">
        <f>IF(A366="","",IF(COUNTIFS('02_KICH_BAN_NODES'!$B$5:$B$204,A366,'02_KICH_BAN_NODES'!$D$5:$D$204,"choice")=0,"ChoiceNodeId không tồn tại hoặc không phải choice",IF(COUNTIFS($A$5:$A$404,A366,$B$5:$B$404,B366)&gt;1,"Trùng OptionOrder trong cùng choice",IF(OR(B366="",C366="",D366="",F366="",H366=""),"Thiếu trường bắt buộc",IF(OR(COUNTIF($A$5:$A$404,A366)&lt;2,COUNTIF($A$5:$A$404,A366)&gt;4),"Mỗi choice cần 2–4 option",IF(COUNTIFS('02_KICH_BAN_NODES'!$B$5:$B$204,A366,'02_KICH_BAN_NODES'!$E$5:$E$204,"Kiến thức")=1,IF(COUNTIFS($A$5:$A$404,A366,$D$5:$D$404,"Có")&lt;&gt;1,"Choice kiến thức cần đúng 1 đáp án đúng",""),IF(COUNTIFS('02_KICH_BAN_NODES'!$B$5:$B$204,A366,'02_KICH_BAN_NODES'!$E$5:$E$204,"Tương tác")=1,IF(COUNTIFS($A$5:$A$404,A366,$D$5:$D$404,"Có")&lt;&gt;0,"Choice tương tác không được đánh dấu đáp án đúng",""),"Choice chưa chọn loại")))))))</f>
        <v/>
      </c>
    </row>
    <row r="367" spans="1:11">
      <c r="A367" s="13"/>
      <c r="B367" s="13"/>
      <c r="C367" s="5"/>
      <c r="D367" s="13"/>
      <c r="E367" s="13"/>
      <c r="F367" s="13"/>
      <c r="G367" s="13"/>
      <c r="H367" s="5"/>
      <c r="I367" s="5"/>
      <c r="J367" s="6" t="str">
        <f t="shared" si="5"/>
        <v/>
      </c>
      <c r="K367" s="6" t="str">
        <f>IF(A367="","",IF(COUNTIFS('02_KICH_BAN_NODES'!$B$5:$B$204,A367,'02_KICH_BAN_NODES'!$D$5:$D$204,"choice")=0,"ChoiceNodeId không tồn tại hoặc không phải choice",IF(COUNTIFS($A$5:$A$404,A367,$B$5:$B$404,B367)&gt;1,"Trùng OptionOrder trong cùng choice",IF(OR(B367="",C367="",D367="",F367="",H367=""),"Thiếu trường bắt buộc",IF(OR(COUNTIF($A$5:$A$404,A367)&lt;2,COUNTIF($A$5:$A$404,A367)&gt;4),"Mỗi choice cần 2–4 option",IF(COUNTIFS('02_KICH_BAN_NODES'!$B$5:$B$204,A367,'02_KICH_BAN_NODES'!$E$5:$E$204,"Kiến thức")=1,IF(COUNTIFS($A$5:$A$404,A367,$D$5:$D$404,"Có")&lt;&gt;1,"Choice kiến thức cần đúng 1 đáp án đúng",""),IF(COUNTIFS('02_KICH_BAN_NODES'!$B$5:$B$204,A367,'02_KICH_BAN_NODES'!$E$5:$E$204,"Tương tác")=1,IF(COUNTIFS($A$5:$A$404,A367,$D$5:$D$404,"Có")&lt;&gt;0,"Choice tương tác không được đánh dấu đáp án đúng",""),"Choice chưa chọn loại")))))))</f>
        <v/>
      </c>
    </row>
    <row r="368" spans="1:11">
      <c r="A368" s="13"/>
      <c r="B368" s="13"/>
      <c r="C368" s="5"/>
      <c r="D368" s="13"/>
      <c r="E368" s="13"/>
      <c r="F368" s="13"/>
      <c r="G368" s="13"/>
      <c r="H368" s="5"/>
      <c r="I368" s="5"/>
      <c r="J368" s="6" t="str">
        <f t="shared" si="5"/>
        <v/>
      </c>
      <c r="K368" s="6" t="str">
        <f>IF(A368="","",IF(COUNTIFS('02_KICH_BAN_NODES'!$B$5:$B$204,A368,'02_KICH_BAN_NODES'!$D$5:$D$204,"choice")=0,"ChoiceNodeId không tồn tại hoặc không phải choice",IF(COUNTIFS($A$5:$A$404,A368,$B$5:$B$404,B368)&gt;1,"Trùng OptionOrder trong cùng choice",IF(OR(B368="",C368="",D368="",F368="",H368=""),"Thiếu trường bắt buộc",IF(OR(COUNTIF($A$5:$A$404,A368)&lt;2,COUNTIF($A$5:$A$404,A368)&gt;4),"Mỗi choice cần 2–4 option",IF(COUNTIFS('02_KICH_BAN_NODES'!$B$5:$B$204,A368,'02_KICH_BAN_NODES'!$E$5:$E$204,"Kiến thức")=1,IF(COUNTIFS($A$5:$A$404,A368,$D$5:$D$404,"Có")&lt;&gt;1,"Choice kiến thức cần đúng 1 đáp án đúng",""),IF(COUNTIFS('02_KICH_BAN_NODES'!$B$5:$B$204,A368,'02_KICH_BAN_NODES'!$E$5:$E$204,"Tương tác")=1,IF(COUNTIFS($A$5:$A$404,A368,$D$5:$D$404,"Có")&lt;&gt;0,"Choice tương tác không được đánh dấu đáp án đúng",""),"Choice chưa chọn loại")))))))</f>
        <v/>
      </c>
    </row>
    <row r="369" spans="1:11">
      <c r="A369" s="13"/>
      <c r="B369" s="13"/>
      <c r="C369" s="5"/>
      <c r="D369" s="13"/>
      <c r="E369" s="13"/>
      <c r="F369" s="13"/>
      <c r="G369" s="13"/>
      <c r="H369" s="5"/>
      <c r="I369" s="5"/>
      <c r="J369" s="6" t="str">
        <f t="shared" si="5"/>
        <v/>
      </c>
      <c r="K369" s="6" t="str">
        <f>IF(A369="","",IF(COUNTIFS('02_KICH_BAN_NODES'!$B$5:$B$204,A369,'02_KICH_BAN_NODES'!$D$5:$D$204,"choice")=0,"ChoiceNodeId không tồn tại hoặc không phải choice",IF(COUNTIFS($A$5:$A$404,A369,$B$5:$B$404,B369)&gt;1,"Trùng OptionOrder trong cùng choice",IF(OR(B369="",C369="",D369="",F369="",H369=""),"Thiếu trường bắt buộc",IF(OR(COUNTIF($A$5:$A$404,A369)&lt;2,COUNTIF($A$5:$A$404,A369)&gt;4),"Mỗi choice cần 2–4 option",IF(COUNTIFS('02_KICH_BAN_NODES'!$B$5:$B$204,A369,'02_KICH_BAN_NODES'!$E$5:$E$204,"Kiến thức")=1,IF(COUNTIFS($A$5:$A$404,A369,$D$5:$D$404,"Có")&lt;&gt;1,"Choice kiến thức cần đúng 1 đáp án đúng",""),IF(COUNTIFS('02_KICH_BAN_NODES'!$B$5:$B$204,A369,'02_KICH_BAN_NODES'!$E$5:$E$204,"Tương tác")=1,IF(COUNTIFS($A$5:$A$404,A369,$D$5:$D$404,"Có")&lt;&gt;0,"Choice tương tác không được đánh dấu đáp án đúng",""),"Choice chưa chọn loại")))))))</f>
        <v/>
      </c>
    </row>
    <row r="370" spans="1:11">
      <c r="A370" s="13"/>
      <c r="B370" s="13"/>
      <c r="C370" s="5"/>
      <c r="D370" s="13"/>
      <c r="E370" s="13"/>
      <c r="F370" s="13"/>
      <c r="G370" s="13"/>
      <c r="H370" s="5"/>
      <c r="I370" s="5"/>
      <c r="J370" s="6" t="str">
        <f t="shared" si="5"/>
        <v/>
      </c>
      <c r="K370" s="6" t="str">
        <f>IF(A370="","",IF(COUNTIFS('02_KICH_BAN_NODES'!$B$5:$B$204,A370,'02_KICH_BAN_NODES'!$D$5:$D$204,"choice")=0,"ChoiceNodeId không tồn tại hoặc không phải choice",IF(COUNTIFS($A$5:$A$404,A370,$B$5:$B$404,B370)&gt;1,"Trùng OptionOrder trong cùng choice",IF(OR(B370="",C370="",D370="",F370="",H370=""),"Thiếu trường bắt buộc",IF(OR(COUNTIF($A$5:$A$404,A370)&lt;2,COUNTIF($A$5:$A$404,A370)&gt;4),"Mỗi choice cần 2–4 option",IF(COUNTIFS('02_KICH_BAN_NODES'!$B$5:$B$204,A370,'02_KICH_BAN_NODES'!$E$5:$E$204,"Kiến thức")=1,IF(COUNTIFS($A$5:$A$404,A370,$D$5:$D$404,"Có")&lt;&gt;1,"Choice kiến thức cần đúng 1 đáp án đúng",""),IF(COUNTIFS('02_KICH_BAN_NODES'!$B$5:$B$204,A370,'02_KICH_BAN_NODES'!$E$5:$E$204,"Tương tác")=1,IF(COUNTIFS($A$5:$A$404,A370,$D$5:$D$404,"Có")&lt;&gt;0,"Choice tương tác không được đánh dấu đáp án đúng",""),"Choice chưa chọn loại")))))))</f>
        <v/>
      </c>
    </row>
    <row r="371" spans="1:11">
      <c r="A371" s="13"/>
      <c r="B371" s="13"/>
      <c r="C371" s="5"/>
      <c r="D371" s="13"/>
      <c r="E371" s="13"/>
      <c r="F371" s="13"/>
      <c r="G371" s="13"/>
      <c r="H371" s="5"/>
      <c r="I371" s="5"/>
      <c r="J371" s="6" t="str">
        <f t="shared" si="5"/>
        <v/>
      </c>
      <c r="K371" s="6" t="str">
        <f>IF(A371="","",IF(COUNTIFS('02_KICH_BAN_NODES'!$B$5:$B$204,A371,'02_KICH_BAN_NODES'!$D$5:$D$204,"choice")=0,"ChoiceNodeId không tồn tại hoặc không phải choice",IF(COUNTIFS($A$5:$A$404,A371,$B$5:$B$404,B371)&gt;1,"Trùng OptionOrder trong cùng choice",IF(OR(B371="",C371="",D371="",F371="",H371=""),"Thiếu trường bắt buộc",IF(OR(COUNTIF($A$5:$A$404,A371)&lt;2,COUNTIF($A$5:$A$404,A371)&gt;4),"Mỗi choice cần 2–4 option",IF(COUNTIFS('02_KICH_BAN_NODES'!$B$5:$B$204,A371,'02_KICH_BAN_NODES'!$E$5:$E$204,"Kiến thức")=1,IF(COUNTIFS($A$5:$A$404,A371,$D$5:$D$404,"Có")&lt;&gt;1,"Choice kiến thức cần đúng 1 đáp án đúng",""),IF(COUNTIFS('02_KICH_BAN_NODES'!$B$5:$B$204,A371,'02_KICH_BAN_NODES'!$E$5:$E$204,"Tương tác")=1,IF(COUNTIFS($A$5:$A$404,A371,$D$5:$D$404,"Có")&lt;&gt;0,"Choice tương tác không được đánh dấu đáp án đúng",""),"Choice chưa chọn loại")))))))</f>
        <v/>
      </c>
    </row>
    <row r="372" spans="1:11">
      <c r="A372" s="13"/>
      <c r="B372" s="13"/>
      <c r="C372" s="5"/>
      <c r="D372" s="13"/>
      <c r="E372" s="13"/>
      <c r="F372" s="13"/>
      <c r="G372" s="13"/>
      <c r="H372" s="5"/>
      <c r="I372" s="5"/>
      <c r="J372" s="6" t="str">
        <f t="shared" si="5"/>
        <v/>
      </c>
      <c r="K372" s="6" t="str">
        <f>IF(A372="","",IF(COUNTIFS('02_KICH_BAN_NODES'!$B$5:$B$204,A372,'02_KICH_BAN_NODES'!$D$5:$D$204,"choice")=0,"ChoiceNodeId không tồn tại hoặc không phải choice",IF(COUNTIFS($A$5:$A$404,A372,$B$5:$B$404,B372)&gt;1,"Trùng OptionOrder trong cùng choice",IF(OR(B372="",C372="",D372="",F372="",H372=""),"Thiếu trường bắt buộc",IF(OR(COUNTIF($A$5:$A$404,A372)&lt;2,COUNTIF($A$5:$A$404,A372)&gt;4),"Mỗi choice cần 2–4 option",IF(COUNTIFS('02_KICH_BAN_NODES'!$B$5:$B$204,A372,'02_KICH_BAN_NODES'!$E$5:$E$204,"Kiến thức")=1,IF(COUNTIFS($A$5:$A$404,A372,$D$5:$D$404,"Có")&lt;&gt;1,"Choice kiến thức cần đúng 1 đáp án đúng",""),IF(COUNTIFS('02_KICH_BAN_NODES'!$B$5:$B$204,A372,'02_KICH_BAN_NODES'!$E$5:$E$204,"Tương tác")=1,IF(COUNTIFS($A$5:$A$404,A372,$D$5:$D$404,"Có")&lt;&gt;0,"Choice tương tác không được đánh dấu đáp án đúng",""),"Choice chưa chọn loại")))))))</f>
        <v/>
      </c>
    </row>
    <row r="373" spans="1:11">
      <c r="A373" s="13"/>
      <c r="B373" s="13"/>
      <c r="C373" s="5"/>
      <c r="D373" s="13"/>
      <c r="E373" s="13"/>
      <c r="F373" s="13"/>
      <c r="G373" s="13"/>
      <c r="H373" s="5"/>
      <c r="I373" s="5"/>
      <c r="J373" s="6" t="str">
        <f t="shared" si="5"/>
        <v/>
      </c>
      <c r="K373" s="6" t="str">
        <f>IF(A373="","",IF(COUNTIFS('02_KICH_BAN_NODES'!$B$5:$B$204,A373,'02_KICH_BAN_NODES'!$D$5:$D$204,"choice")=0,"ChoiceNodeId không tồn tại hoặc không phải choice",IF(COUNTIFS($A$5:$A$404,A373,$B$5:$B$404,B373)&gt;1,"Trùng OptionOrder trong cùng choice",IF(OR(B373="",C373="",D373="",F373="",H373=""),"Thiếu trường bắt buộc",IF(OR(COUNTIF($A$5:$A$404,A373)&lt;2,COUNTIF($A$5:$A$404,A373)&gt;4),"Mỗi choice cần 2–4 option",IF(COUNTIFS('02_KICH_BAN_NODES'!$B$5:$B$204,A373,'02_KICH_BAN_NODES'!$E$5:$E$204,"Kiến thức")=1,IF(COUNTIFS($A$5:$A$404,A373,$D$5:$D$404,"Có")&lt;&gt;1,"Choice kiến thức cần đúng 1 đáp án đúng",""),IF(COUNTIFS('02_KICH_BAN_NODES'!$B$5:$B$204,A373,'02_KICH_BAN_NODES'!$E$5:$E$204,"Tương tác")=1,IF(COUNTIFS($A$5:$A$404,A373,$D$5:$D$404,"Có")&lt;&gt;0,"Choice tương tác không được đánh dấu đáp án đúng",""),"Choice chưa chọn loại")))))))</f>
        <v/>
      </c>
    </row>
    <row r="374" spans="1:11">
      <c r="A374" s="13"/>
      <c r="B374" s="13"/>
      <c r="C374" s="5"/>
      <c r="D374" s="13"/>
      <c r="E374" s="13"/>
      <c r="F374" s="13"/>
      <c r="G374" s="13"/>
      <c r="H374" s="5"/>
      <c r="I374" s="5"/>
      <c r="J374" s="6" t="str">
        <f t="shared" si="5"/>
        <v/>
      </c>
      <c r="K374" s="6" t="str">
        <f>IF(A374="","",IF(COUNTIFS('02_KICH_BAN_NODES'!$B$5:$B$204,A374,'02_KICH_BAN_NODES'!$D$5:$D$204,"choice")=0,"ChoiceNodeId không tồn tại hoặc không phải choice",IF(COUNTIFS($A$5:$A$404,A374,$B$5:$B$404,B374)&gt;1,"Trùng OptionOrder trong cùng choice",IF(OR(B374="",C374="",D374="",F374="",H374=""),"Thiếu trường bắt buộc",IF(OR(COUNTIF($A$5:$A$404,A374)&lt;2,COUNTIF($A$5:$A$404,A374)&gt;4),"Mỗi choice cần 2–4 option",IF(COUNTIFS('02_KICH_BAN_NODES'!$B$5:$B$204,A374,'02_KICH_BAN_NODES'!$E$5:$E$204,"Kiến thức")=1,IF(COUNTIFS($A$5:$A$404,A374,$D$5:$D$404,"Có")&lt;&gt;1,"Choice kiến thức cần đúng 1 đáp án đúng",""),IF(COUNTIFS('02_KICH_BAN_NODES'!$B$5:$B$204,A374,'02_KICH_BAN_NODES'!$E$5:$E$204,"Tương tác")=1,IF(COUNTIFS($A$5:$A$404,A374,$D$5:$D$404,"Có")&lt;&gt;0,"Choice tương tác không được đánh dấu đáp án đúng",""),"Choice chưa chọn loại")))))))</f>
        <v/>
      </c>
    </row>
    <row r="375" spans="1:11">
      <c r="A375" s="13"/>
      <c r="B375" s="13"/>
      <c r="C375" s="5"/>
      <c r="D375" s="13"/>
      <c r="E375" s="13"/>
      <c r="F375" s="13"/>
      <c r="G375" s="13"/>
      <c r="H375" s="5"/>
      <c r="I375" s="5"/>
      <c r="J375" s="6" t="str">
        <f t="shared" si="5"/>
        <v/>
      </c>
      <c r="K375" s="6" t="str">
        <f>IF(A375="","",IF(COUNTIFS('02_KICH_BAN_NODES'!$B$5:$B$204,A375,'02_KICH_BAN_NODES'!$D$5:$D$204,"choice")=0,"ChoiceNodeId không tồn tại hoặc không phải choice",IF(COUNTIFS($A$5:$A$404,A375,$B$5:$B$404,B375)&gt;1,"Trùng OptionOrder trong cùng choice",IF(OR(B375="",C375="",D375="",F375="",H375=""),"Thiếu trường bắt buộc",IF(OR(COUNTIF($A$5:$A$404,A375)&lt;2,COUNTIF($A$5:$A$404,A375)&gt;4),"Mỗi choice cần 2–4 option",IF(COUNTIFS('02_KICH_BAN_NODES'!$B$5:$B$204,A375,'02_KICH_BAN_NODES'!$E$5:$E$204,"Kiến thức")=1,IF(COUNTIFS($A$5:$A$404,A375,$D$5:$D$404,"Có")&lt;&gt;1,"Choice kiến thức cần đúng 1 đáp án đúng",""),IF(COUNTIFS('02_KICH_BAN_NODES'!$B$5:$B$204,A375,'02_KICH_BAN_NODES'!$E$5:$E$204,"Tương tác")=1,IF(COUNTIFS($A$5:$A$404,A375,$D$5:$D$404,"Có")&lt;&gt;0,"Choice tương tác không được đánh dấu đáp án đúng",""),"Choice chưa chọn loại")))))))</f>
        <v/>
      </c>
    </row>
    <row r="376" spans="1:11">
      <c r="A376" s="13"/>
      <c r="B376" s="13"/>
      <c r="C376" s="5"/>
      <c r="D376" s="13"/>
      <c r="E376" s="13"/>
      <c r="F376" s="13"/>
      <c r="G376" s="13"/>
      <c r="H376" s="5"/>
      <c r="I376" s="5"/>
      <c r="J376" s="6" t="str">
        <f t="shared" si="5"/>
        <v/>
      </c>
      <c r="K376" s="6" t="str">
        <f>IF(A376="","",IF(COUNTIFS('02_KICH_BAN_NODES'!$B$5:$B$204,A376,'02_KICH_BAN_NODES'!$D$5:$D$204,"choice")=0,"ChoiceNodeId không tồn tại hoặc không phải choice",IF(COUNTIFS($A$5:$A$404,A376,$B$5:$B$404,B376)&gt;1,"Trùng OptionOrder trong cùng choice",IF(OR(B376="",C376="",D376="",F376="",H376=""),"Thiếu trường bắt buộc",IF(OR(COUNTIF($A$5:$A$404,A376)&lt;2,COUNTIF($A$5:$A$404,A376)&gt;4),"Mỗi choice cần 2–4 option",IF(COUNTIFS('02_KICH_BAN_NODES'!$B$5:$B$204,A376,'02_KICH_BAN_NODES'!$E$5:$E$204,"Kiến thức")=1,IF(COUNTIFS($A$5:$A$404,A376,$D$5:$D$404,"Có")&lt;&gt;1,"Choice kiến thức cần đúng 1 đáp án đúng",""),IF(COUNTIFS('02_KICH_BAN_NODES'!$B$5:$B$204,A376,'02_KICH_BAN_NODES'!$E$5:$E$204,"Tương tác")=1,IF(COUNTIFS($A$5:$A$404,A376,$D$5:$D$404,"Có")&lt;&gt;0,"Choice tương tác không được đánh dấu đáp án đúng",""),"Choice chưa chọn loại")))))))</f>
        <v/>
      </c>
    </row>
    <row r="377" spans="1:11">
      <c r="A377" s="13"/>
      <c r="B377" s="13"/>
      <c r="C377" s="5"/>
      <c r="D377" s="13"/>
      <c r="E377" s="13"/>
      <c r="F377" s="13"/>
      <c r="G377" s="13"/>
      <c r="H377" s="5"/>
      <c r="I377" s="5"/>
      <c r="J377" s="6" t="str">
        <f t="shared" si="5"/>
        <v/>
      </c>
      <c r="K377" s="6" t="str">
        <f>IF(A377="","",IF(COUNTIFS('02_KICH_BAN_NODES'!$B$5:$B$204,A377,'02_KICH_BAN_NODES'!$D$5:$D$204,"choice")=0,"ChoiceNodeId không tồn tại hoặc không phải choice",IF(COUNTIFS($A$5:$A$404,A377,$B$5:$B$404,B377)&gt;1,"Trùng OptionOrder trong cùng choice",IF(OR(B377="",C377="",D377="",F377="",H377=""),"Thiếu trường bắt buộc",IF(OR(COUNTIF($A$5:$A$404,A377)&lt;2,COUNTIF($A$5:$A$404,A377)&gt;4),"Mỗi choice cần 2–4 option",IF(COUNTIFS('02_KICH_BAN_NODES'!$B$5:$B$204,A377,'02_KICH_BAN_NODES'!$E$5:$E$204,"Kiến thức")=1,IF(COUNTIFS($A$5:$A$404,A377,$D$5:$D$404,"Có")&lt;&gt;1,"Choice kiến thức cần đúng 1 đáp án đúng",""),IF(COUNTIFS('02_KICH_BAN_NODES'!$B$5:$B$204,A377,'02_KICH_BAN_NODES'!$E$5:$E$204,"Tương tác")=1,IF(COUNTIFS($A$5:$A$404,A377,$D$5:$D$404,"Có")&lt;&gt;0,"Choice tương tác không được đánh dấu đáp án đúng",""),"Choice chưa chọn loại")))))))</f>
        <v/>
      </c>
    </row>
    <row r="378" spans="1:11">
      <c r="A378" s="13"/>
      <c r="B378" s="13"/>
      <c r="C378" s="5"/>
      <c r="D378" s="13"/>
      <c r="E378" s="13"/>
      <c r="F378" s="13"/>
      <c r="G378" s="13"/>
      <c r="H378" s="5"/>
      <c r="I378" s="5"/>
      <c r="J378" s="6" t="str">
        <f t="shared" si="5"/>
        <v/>
      </c>
      <c r="K378" s="6" t="str">
        <f>IF(A378="","",IF(COUNTIFS('02_KICH_BAN_NODES'!$B$5:$B$204,A378,'02_KICH_BAN_NODES'!$D$5:$D$204,"choice")=0,"ChoiceNodeId không tồn tại hoặc không phải choice",IF(COUNTIFS($A$5:$A$404,A378,$B$5:$B$404,B378)&gt;1,"Trùng OptionOrder trong cùng choice",IF(OR(B378="",C378="",D378="",F378="",H378=""),"Thiếu trường bắt buộc",IF(OR(COUNTIF($A$5:$A$404,A378)&lt;2,COUNTIF($A$5:$A$404,A378)&gt;4),"Mỗi choice cần 2–4 option",IF(COUNTIFS('02_KICH_BAN_NODES'!$B$5:$B$204,A378,'02_KICH_BAN_NODES'!$E$5:$E$204,"Kiến thức")=1,IF(COUNTIFS($A$5:$A$404,A378,$D$5:$D$404,"Có")&lt;&gt;1,"Choice kiến thức cần đúng 1 đáp án đúng",""),IF(COUNTIFS('02_KICH_BAN_NODES'!$B$5:$B$204,A378,'02_KICH_BAN_NODES'!$E$5:$E$204,"Tương tác")=1,IF(COUNTIFS($A$5:$A$404,A378,$D$5:$D$404,"Có")&lt;&gt;0,"Choice tương tác không được đánh dấu đáp án đúng",""),"Choice chưa chọn loại")))))))</f>
        <v/>
      </c>
    </row>
    <row r="379" spans="1:11">
      <c r="A379" s="13"/>
      <c r="B379" s="13"/>
      <c r="C379" s="5"/>
      <c r="D379" s="13"/>
      <c r="E379" s="13"/>
      <c r="F379" s="13"/>
      <c r="G379" s="13"/>
      <c r="H379" s="5"/>
      <c r="I379" s="5"/>
      <c r="J379" s="6" t="str">
        <f t="shared" si="5"/>
        <v/>
      </c>
      <c r="K379" s="6" t="str">
        <f>IF(A379="","",IF(COUNTIFS('02_KICH_BAN_NODES'!$B$5:$B$204,A379,'02_KICH_BAN_NODES'!$D$5:$D$204,"choice")=0,"ChoiceNodeId không tồn tại hoặc không phải choice",IF(COUNTIFS($A$5:$A$404,A379,$B$5:$B$404,B379)&gt;1,"Trùng OptionOrder trong cùng choice",IF(OR(B379="",C379="",D379="",F379="",H379=""),"Thiếu trường bắt buộc",IF(OR(COUNTIF($A$5:$A$404,A379)&lt;2,COUNTIF($A$5:$A$404,A379)&gt;4),"Mỗi choice cần 2–4 option",IF(COUNTIFS('02_KICH_BAN_NODES'!$B$5:$B$204,A379,'02_KICH_BAN_NODES'!$E$5:$E$204,"Kiến thức")=1,IF(COUNTIFS($A$5:$A$404,A379,$D$5:$D$404,"Có")&lt;&gt;1,"Choice kiến thức cần đúng 1 đáp án đúng",""),IF(COUNTIFS('02_KICH_BAN_NODES'!$B$5:$B$204,A379,'02_KICH_BAN_NODES'!$E$5:$E$204,"Tương tác")=1,IF(COUNTIFS($A$5:$A$404,A379,$D$5:$D$404,"Có")&lt;&gt;0,"Choice tương tác không được đánh dấu đáp án đúng",""),"Choice chưa chọn loại")))))))</f>
        <v/>
      </c>
    </row>
    <row r="380" spans="1:11">
      <c r="A380" s="13"/>
      <c r="B380" s="13"/>
      <c r="C380" s="5"/>
      <c r="D380" s="13"/>
      <c r="E380" s="13"/>
      <c r="F380" s="13"/>
      <c r="G380" s="13"/>
      <c r="H380" s="5"/>
      <c r="I380" s="5"/>
      <c r="J380" s="6" t="str">
        <f t="shared" si="5"/>
        <v/>
      </c>
      <c r="K380" s="6" t="str">
        <f>IF(A380="","",IF(COUNTIFS('02_KICH_BAN_NODES'!$B$5:$B$204,A380,'02_KICH_BAN_NODES'!$D$5:$D$204,"choice")=0,"ChoiceNodeId không tồn tại hoặc không phải choice",IF(COUNTIFS($A$5:$A$404,A380,$B$5:$B$404,B380)&gt;1,"Trùng OptionOrder trong cùng choice",IF(OR(B380="",C380="",D380="",F380="",H380=""),"Thiếu trường bắt buộc",IF(OR(COUNTIF($A$5:$A$404,A380)&lt;2,COUNTIF($A$5:$A$404,A380)&gt;4),"Mỗi choice cần 2–4 option",IF(COUNTIFS('02_KICH_BAN_NODES'!$B$5:$B$204,A380,'02_KICH_BAN_NODES'!$E$5:$E$204,"Kiến thức")=1,IF(COUNTIFS($A$5:$A$404,A380,$D$5:$D$404,"Có")&lt;&gt;1,"Choice kiến thức cần đúng 1 đáp án đúng",""),IF(COUNTIFS('02_KICH_BAN_NODES'!$B$5:$B$204,A380,'02_KICH_BAN_NODES'!$E$5:$E$204,"Tương tác")=1,IF(COUNTIFS($A$5:$A$404,A380,$D$5:$D$404,"Có")&lt;&gt;0,"Choice tương tác không được đánh dấu đáp án đúng",""),"Choice chưa chọn loại")))))))</f>
        <v/>
      </c>
    </row>
    <row r="381" spans="1:11">
      <c r="A381" s="13"/>
      <c r="B381" s="13"/>
      <c r="C381" s="5"/>
      <c r="D381" s="13"/>
      <c r="E381" s="13"/>
      <c r="F381" s="13"/>
      <c r="G381" s="13"/>
      <c r="H381" s="5"/>
      <c r="I381" s="5"/>
      <c r="J381" s="6" t="str">
        <f t="shared" si="5"/>
        <v/>
      </c>
      <c r="K381" s="6" t="str">
        <f>IF(A381="","",IF(COUNTIFS('02_KICH_BAN_NODES'!$B$5:$B$204,A381,'02_KICH_BAN_NODES'!$D$5:$D$204,"choice")=0,"ChoiceNodeId không tồn tại hoặc không phải choice",IF(COUNTIFS($A$5:$A$404,A381,$B$5:$B$404,B381)&gt;1,"Trùng OptionOrder trong cùng choice",IF(OR(B381="",C381="",D381="",F381="",H381=""),"Thiếu trường bắt buộc",IF(OR(COUNTIF($A$5:$A$404,A381)&lt;2,COUNTIF($A$5:$A$404,A381)&gt;4),"Mỗi choice cần 2–4 option",IF(COUNTIFS('02_KICH_BAN_NODES'!$B$5:$B$204,A381,'02_KICH_BAN_NODES'!$E$5:$E$204,"Kiến thức")=1,IF(COUNTIFS($A$5:$A$404,A381,$D$5:$D$404,"Có")&lt;&gt;1,"Choice kiến thức cần đúng 1 đáp án đúng",""),IF(COUNTIFS('02_KICH_BAN_NODES'!$B$5:$B$204,A381,'02_KICH_BAN_NODES'!$E$5:$E$204,"Tương tác")=1,IF(COUNTIFS($A$5:$A$404,A381,$D$5:$D$404,"Có")&lt;&gt;0,"Choice tương tác không được đánh dấu đáp án đúng",""),"Choice chưa chọn loại")))))))</f>
        <v/>
      </c>
    </row>
    <row r="382" spans="1:11">
      <c r="A382" s="13"/>
      <c r="B382" s="13"/>
      <c r="C382" s="5"/>
      <c r="D382" s="13"/>
      <c r="E382" s="13"/>
      <c r="F382" s="13"/>
      <c r="G382" s="13"/>
      <c r="H382" s="5"/>
      <c r="I382" s="5"/>
      <c r="J382" s="6" t="str">
        <f t="shared" si="5"/>
        <v/>
      </c>
      <c r="K382" s="6" t="str">
        <f>IF(A382="","",IF(COUNTIFS('02_KICH_BAN_NODES'!$B$5:$B$204,A382,'02_KICH_BAN_NODES'!$D$5:$D$204,"choice")=0,"ChoiceNodeId không tồn tại hoặc không phải choice",IF(COUNTIFS($A$5:$A$404,A382,$B$5:$B$404,B382)&gt;1,"Trùng OptionOrder trong cùng choice",IF(OR(B382="",C382="",D382="",F382="",H382=""),"Thiếu trường bắt buộc",IF(OR(COUNTIF($A$5:$A$404,A382)&lt;2,COUNTIF($A$5:$A$404,A382)&gt;4),"Mỗi choice cần 2–4 option",IF(COUNTIFS('02_KICH_BAN_NODES'!$B$5:$B$204,A382,'02_KICH_BAN_NODES'!$E$5:$E$204,"Kiến thức")=1,IF(COUNTIFS($A$5:$A$404,A382,$D$5:$D$404,"Có")&lt;&gt;1,"Choice kiến thức cần đúng 1 đáp án đúng",""),IF(COUNTIFS('02_KICH_BAN_NODES'!$B$5:$B$204,A382,'02_KICH_BAN_NODES'!$E$5:$E$204,"Tương tác")=1,IF(COUNTIFS($A$5:$A$404,A382,$D$5:$D$404,"Có")&lt;&gt;0,"Choice tương tác không được đánh dấu đáp án đúng",""),"Choice chưa chọn loại")))))))</f>
        <v/>
      </c>
    </row>
    <row r="383" spans="1:11">
      <c r="A383" s="13"/>
      <c r="B383" s="13"/>
      <c r="C383" s="5"/>
      <c r="D383" s="13"/>
      <c r="E383" s="13"/>
      <c r="F383" s="13"/>
      <c r="G383" s="13"/>
      <c r="H383" s="5"/>
      <c r="I383" s="5"/>
      <c r="J383" s="6" t="str">
        <f t="shared" si="5"/>
        <v/>
      </c>
      <c r="K383" s="6" t="str">
        <f>IF(A383="","",IF(COUNTIFS('02_KICH_BAN_NODES'!$B$5:$B$204,A383,'02_KICH_BAN_NODES'!$D$5:$D$204,"choice")=0,"ChoiceNodeId không tồn tại hoặc không phải choice",IF(COUNTIFS($A$5:$A$404,A383,$B$5:$B$404,B383)&gt;1,"Trùng OptionOrder trong cùng choice",IF(OR(B383="",C383="",D383="",F383="",H383=""),"Thiếu trường bắt buộc",IF(OR(COUNTIF($A$5:$A$404,A383)&lt;2,COUNTIF($A$5:$A$404,A383)&gt;4),"Mỗi choice cần 2–4 option",IF(COUNTIFS('02_KICH_BAN_NODES'!$B$5:$B$204,A383,'02_KICH_BAN_NODES'!$E$5:$E$204,"Kiến thức")=1,IF(COUNTIFS($A$5:$A$404,A383,$D$5:$D$404,"Có")&lt;&gt;1,"Choice kiến thức cần đúng 1 đáp án đúng",""),IF(COUNTIFS('02_KICH_BAN_NODES'!$B$5:$B$204,A383,'02_KICH_BAN_NODES'!$E$5:$E$204,"Tương tác")=1,IF(COUNTIFS($A$5:$A$404,A383,$D$5:$D$404,"Có")&lt;&gt;0,"Choice tương tác không được đánh dấu đáp án đúng",""),"Choice chưa chọn loại")))))))</f>
        <v/>
      </c>
    </row>
    <row r="384" spans="1:11">
      <c r="A384" s="13"/>
      <c r="B384" s="13"/>
      <c r="C384" s="5"/>
      <c r="D384" s="13"/>
      <c r="E384" s="13"/>
      <c r="F384" s="13"/>
      <c r="G384" s="13"/>
      <c r="H384" s="5"/>
      <c r="I384" s="5"/>
      <c r="J384" s="6" t="str">
        <f t="shared" si="5"/>
        <v/>
      </c>
      <c r="K384" s="6" t="str">
        <f>IF(A384="","",IF(COUNTIFS('02_KICH_BAN_NODES'!$B$5:$B$204,A384,'02_KICH_BAN_NODES'!$D$5:$D$204,"choice")=0,"ChoiceNodeId không tồn tại hoặc không phải choice",IF(COUNTIFS($A$5:$A$404,A384,$B$5:$B$404,B384)&gt;1,"Trùng OptionOrder trong cùng choice",IF(OR(B384="",C384="",D384="",F384="",H384=""),"Thiếu trường bắt buộc",IF(OR(COUNTIF($A$5:$A$404,A384)&lt;2,COUNTIF($A$5:$A$404,A384)&gt;4),"Mỗi choice cần 2–4 option",IF(COUNTIFS('02_KICH_BAN_NODES'!$B$5:$B$204,A384,'02_KICH_BAN_NODES'!$E$5:$E$204,"Kiến thức")=1,IF(COUNTIFS($A$5:$A$404,A384,$D$5:$D$404,"Có")&lt;&gt;1,"Choice kiến thức cần đúng 1 đáp án đúng",""),IF(COUNTIFS('02_KICH_BAN_NODES'!$B$5:$B$204,A384,'02_KICH_BAN_NODES'!$E$5:$E$204,"Tương tác")=1,IF(COUNTIFS($A$5:$A$404,A384,$D$5:$D$404,"Có")&lt;&gt;0,"Choice tương tác không được đánh dấu đáp án đúng",""),"Choice chưa chọn loại")))))))</f>
        <v/>
      </c>
    </row>
    <row r="385" spans="1:11">
      <c r="A385" s="13"/>
      <c r="B385" s="13"/>
      <c r="C385" s="5"/>
      <c r="D385" s="13"/>
      <c r="E385" s="13"/>
      <c r="F385" s="13"/>
      <c r="G385" s="13"/>
      <c r="H385" s="5"/>
      <c r="I385" s="5"/>
      <c r="J385" s="6" t="str">
        <f t="shared" si="5"/>
        <v/>
      </c>
      <c r="K385" s="6" t="str">
        <f>IF(A385="","",IF(COUNTIFS('02_KICH_BAN_NODES'!$B$5:$B$204,A385,'02_KICH_BAN_NODES'!$D$5:$D$204,"choice")=0,"ChoiceNodeId không tồn tại hoặc không phải choice",IF(COUNTIFS($A$5:$A$404,A385,$B$5:$B$404,B385)&gt;1,"Trùng OptionOrder trong cùng choice",IF(OR(B385="",C385="",D385="",F385="",H385=""),"Thiếu trường bắt buộc",IF(OR(COUNTIF($A$5:$A$404,A385)&lt;2,COUNTIF($A$5:$A$404,A385)&gt;4),"Mỗi choice cần 2–4 option",IF(COUNTIFS('02_KICH_BAN_NODES'!$B$5:$B$204,A385,'02_KICH_BAN_NODES'!$E$5:$E$204,"Kiến thức")=1,IF(COUNTIFS($A$5:$A$404,A385,$D$5:$D$404,"Có")&lt;&gt;1,"Choice kiến thức cần đúng 1 đáp án đúng",""),IF(COUNTIFS('02_KICH_BAN_NODES'!$B$5:$B$204,A385,'02_KICH_BAN_NODES'!$E$5:$E$204,"Tương tác")=1,IF(COUNTIFS($A$5:$A$404,A385,$D$5:$D$404,"Có")&lt;&gt;0,"Choice tương tác không được đánh dấu đáp án đúng",""),"Choice chưa chọn loại")))))))</f>
        <v/>
      </c>
    </row>
    <row r="386" spans="1:11">
      <c r="A386" s="13"/>
      <c r="B386" s="13"/>
      <c r="C386" s="5"/>
      <c r="D386" s="13"/>
      <c r="E386" s="13"/>
      <c r="F386" s="13"/>
      <c r="G386" s="13"/>
      <c r="H386" s="5"/>
      <c r="I386" s="5"/>
      <c r="J386" s="6" t="str">
        <f t="shared" si="5"/>
        <v/>
      </c>
      <c r="K386" s="6" t="str">
        <f>IF(A386="","",IF(COUNTIFS('02_KICH_BAN_NODES'!$B$5:$B$204,A386,'02_KICH_BAN_NODES'!$D$5:$D$204,"choice")=0,"ChoiceNodeId không tồn tại hoặc không phải choice",IF(COUNTIFS($A$5:$A$404,A386,$B$5:$B$404,B386)&gt;1,"Trùng OptionOrder trong cùng choice",IF(OR(B386="",C386="",D386="",F386="",H386=""),"Thiếu trường bắt buộc",IF(OR(COUNTIF($A$5:$A$404,A386)&lt;2,COUNTIF($A$5:$A$404,A386)&gt;4),"Mỗi choice cần 2–4 option",IF(COUNTIFS('02_KICH_BAN_NODES'!$B$5:$B$204,A386,'02_KICH_BAN_NODES'!$E$5:$E$204,"Kiến thức")=1,IF(COUNTIFS($A$5:$A$404,A386,$D$5:$D$404,"Có")&lt;&gt;1,"Choice kiến thức cần đúng 1 đáp án đúng",""),IF(COUNTIFS('02_KICH_BAN_NODES'!$B$5:$B$204,A386,'02_KICH_BAN_NODES'!$E$5:$E$204,"Tương tác")=1,IF(COUNTIFS($A$5:$A$404,A386,$D$5:$D$404,"Có")&lt;&gt;0,"Choice tương tác không được đánh dấu đáp án đúng",""),"Choice chưa chọn loại")))))))</f>
        <v/>
      </c>
    </row>
    <row r="387" spans="1:11">
      <c r="A387" s="13"/>
      <c r="B387" s="13"/>
      <c r="C387" s="5"/>
      <c r="D387" s="13"/>
      <c r="E387" s="13"/>
      <c r="F387" s="13"/>
      <c r="G387" s="13"/>
      <c r="H387" s="5"/>
      <c r="I387" s="5"/>
      <c r="J387" s="6" t="str">
        <f t="shared" si="5"/>
        <v/>
      </c>
      <c r="K387" s="6" t="str">
        <f>IF(A387="","",IF(COUNTIFS('02_KICH_BAN_NODES'!$B$5:$B$204,A387,'02_KICH_BAN_NODES'!$D$5:$D$204,"choice")=0,"ChoiceNodeId không tồn tại hoặc không phải choice",IF(COUNTIFS($A$5:$A$404,A387,$B$5:$B$404,B387)&gt;1,"Trùng OptionOrder trong cùng choice",IF(OR(B387="",C387="",D387="",F387="",H387=""),"Thiếu trường bắt buộc",IF(OR(COUNTIF($A$5:$A$404,A387)&lt;2,COUNTIF($A$5:$A$404,A387)&gt;4),"Mỗi choice cần 2–4 option",IF(COUNTIFS('02_KICH_BAN_NODES'!$B$5:$B$204,A387,'02_KICH_BAN_NODES'!$E$5:$E$204,"Kiến thức")=1,IF(COUNTIFS($A$5:$A$404,A387,$D$5:$D$404,"Có")&lt;&gt;1,"Choice kiến thức cần đúng 1 đáp án đúng",""),IF(COUNTIFS('02_KICH_BAN_NODES'!$B$5:$B$204,A387,'02_KICH_BAN_NODES'!$E$5:$E$204,"Tương tác")=1,IF(COUNTIFS($A$5:$A$404,A387,$D$5:$D$404,"Có")&lt;&gt;0,"Choice tương tác không được đánh dấu đáp án đúng",""),"Choice chưa chọn loại")))))))</f>
        <v/>
      </c>
    </row>
    <row r="388" spans="1:11">
      <c r="A388" s="13"/>
      <c r="B388" s="13"/>
      <c r="C388" s="5"/>
      <c r="D388" s="13"/>
      <c r="E388" s="13"/>
      <c r="F388" s="13"/>
      <c r="G388" s="13"/>
      <c r="H388" s="5"/>
      <c r="I388" s="5"/>
      <c r="J388" s="6" t="str">
        <f t="shared" si="5"/>
        <v/>
      </c>
      <c r="K388" s="6" t="str">
        <f>IF(A388="","",IF(COUNTIFS('02_KICH_BAN_NODES'!$B$5:$B$204,A388,'02_KICH_BAN_NODES'!$D$5:$D$204,"choice")=0,"ChoiceNodeId không tồn tại hoặc không phải choice",IF(COUNTIFS($A$5:$A$404,A388,$B$5:$B$404,B388)&gt;1,"Trùng OptionOrder trong cùng choice",IF(OR(B388="",C388="",D388="",F388="",H388=""),"Thiếu trường bắt buộc",IF(OR(COUNTIF($A$5:$A$404,A388)&lt;2,COUNTIF($A$5:$A$404,A388)&gt;4),"Mỗi choice cần 2–4 option",IF(COUNTIFS('02_KICH_BAN_NODES'!$B$5:$B$204,A388,'02_KICH_BAN_NODES'!$E$5:$E$204,"Kiến thức")=1,IF(COUNTIFS($A$5:$A$404,A388,$D$5:$D$404,"Có")&lt;&gt;1,"Choice kiến thức cần đúng 1 đáp án đúng",""),IF(COUNTIFS('02_KICH_BAN_NODES'!$B$5:$B$204,A388,'02_KICH_BAN_NODES'!$E$5:$E$204,"Tương tác")=1,IF(COUNTIFS($A$5:$A$404,A388,$D$5:$D$404,"Có")&lt;&gt;0,"Choice tương tác không được đánh dấu đáp án đúng",""),"Choice chưa chọn loại")))))))</f>
        <v/>
      </c>
    </row>
    <row r="389" spans="1:11">
      <c r="A389" s="13"/>
      <c r="B389" s="13"/>
      <c r="C389" s="5"/>
      <c r="D389" s="13"/>
      <c r="E389" s="13"/>
      <c r="F389" s="13"/>
      <c r="G389" s="13"/>
      <c r="H389" s="5"/>
      <c r="I389" s="5"/>
      <c r="J389" s="6" t="str">
        <f t="shared" ref="J389:J452" si="6">IF(A389="","",IF(K389="","HỢP LỆ","CẦN SỬA"))</f>
        <v/>
      </c>
      <c r="K389" s="6" t="str">
        <f>IF(A389="","",IF(COUNTIFS('02_KICH_BAN_NODES'!$B$5:$B$204,A389,'02_KICH_BAN_NODES'!$D$5:$D$204,"choice")=0,"ChoiceNodeId không tồn tại hoặc không phải choice",IF(COUNTIFS($A$5:$A$404,A389,$B$5:$B$404,B389)&gt;1,"Trùng OptionOrder trong cùng choice",IF(OR(B389="",C389="",D389="",F389="",H389=""),"Thiếu trường bắt buộc",IF(OR(COUNTIF($A$5:$A$404,A389)&lt;2,COUNTIF($A$5:$A$404,A389)&gt;4),"Mỗi choice cần 2–4 option",IF(COUNTIFS('02_KICH_BAN_NODES'!$B$5:$B$204,A389,'02_KICH_BAN_NODES'!$E$5:$E$204,"Kiến thức")=1,IF(COUNTIFS($A$5:$A$404,A389,$D$5:$D$404,"Có")&lt;&gt;1,"Choice kiến thức cần đúng 1 đáp án đúng",""),IF(COUNTIFS('02_KICH_BAN_NODES'!$B$5:$B$204,A389,'02_KICH_BAN_NODES'!$E$5:$E$204,"Tương tác")=1,IF(COUNTIFS($A$5:$A$404,A389,$D$5:$D$404,"Có")&lt;&gt;0,"Choice tương tác không được đánh dấu đáp án đúng",""),"Choice chưa chọn loại")))))))</f>
        <v/>
      </c>
    </row>
    <row r="390" spans="1:11">
      <c r="A390" s="13"/>
      <c r="B390" s="13"/>
      <c r="C390" s="5"/>
      <c r="D390" s="13"/>
      <c r="E390" s="13"/>
      <c r="F390" s="13"/>
      <c r="G390" s="13"/>
      <c r="H390" s="5"/>
      <c r="I390" s="5"/>
      <c r="J390" s="6" t="str">
        <f t="shared" si="6"/>
        <v/>
      </c>
      <c r="K390" s="6" t="str">
        <f>IF(A390="","",IF(COUNTIFS('02_KICH_BAN_NODES'!$B$5:$B$204,A390,'02_KICH_BAN_NODES'!$D$5:$D$204,"choice")=0,"ChoiceNodeId không tồn tại hoặc không phải choice",IF(COUNTIFS($A$5:$A$404,A390,$B$5:$B$404,B390)&gt;1,"Trùng OptionOrder trong cùng choice",IF(OR(B390="",C390="",D390="",F390="",H390=""),"Thiếu trường bắt buộc",IF(OR(COUNTIF($A$5:$A$404,A390)&lt;2,COUNTIF($A$5:$A$404,A390)&gt;4),"Mỗi choice cần 2–4 option",IF(COUNTIFS('02_KICH_BAN_NODES'!$B$5:$B$204,A390,'02_KICH_BAN_NODES'!$E$5:$E$204,"Kiến thức")=1,IF(COUNTIFS($A$5:$A$404,A390,$D$5:$D$404,"Có")&lt;&gt;1,"Choice kiến thức cần đúng 1 đáp án đúng",""),IF(COUNTIFS('02_KICH_BAN_NODES'!$B$5:$B$204,A390,'02_KICH_BAN_NODES'!$E$5:$E$204,"Tương tác")=1,IF(COUNTIFS($A$5:$A$404,A390,$D$5:$D$404,"Có")&lt;&gt;0,"Choice tương tác không được đánh dấu đáp án đúng",""),"Choice chưa chọn loại")))))))</f>
        <v/>
      </c>
    </row>
    <row r="391" spans="1:11">
      <c r="A391" s="13"/>
      <c r="B391" s="13"/>
      <c r="C391" s="5"/>
      <c r="D391" s="13"/>
      <c r="E391" s="13"/>
      <c r="F391" s="13"/>
      <c r="G391" s="13"/>
      <c r="H391" s="5"/>
      <c r="I391" s="5"/>
      <c r="J391" s="6" t="str">
        <f t="shared" si="6"/>
        <v/>
      </c>
      <c r="K391" s="6" t="str">
        <f>IF(A391="","",IF(COUNTIFS('02_KICH_BAN_NODES'!$B$5:$B$204,A391,'02_KICH_BAN_NODES'!$D$5:$D$204,"choice")=0,"ChoiceNodeId không tồn tại hoặc không phải choice",IF(COUNTIFS($A$5:$A$404,A391,$B$5:$B$404,B391)&gt;1,"Trùng OptionOrder trong cùng choice",IF(OR(B391="",C391="",D391="",F391="",H391=""),"Thiếu trường bắt buộc",IF(OR(COUNTIF($A$5:$A$404,A391)&lt;2,COUNTIF($A$5:$A$404,A391)&gt;4),"Mỗi choice cần 2–4 option",IF(COUNTIFS('02_KICH_BAN_NODES'!$B$5:$B$204,A391,'02_KICH_BAN_NODES'!$E$5:$E$204,"Kiến thức")=1,IF(COUNTIFS($A$5:$A$404,A391,$D$5:$D$404,"Có")&lt;&gt;1,"Choice kiến thức cần đúng 1 đáp án đúng",""),IF(COUNTIFS('02_KICH_BAN_NODES'!$B$5:$B$204,A391,'02_KICH_BAN_NODES'!$E$5:$E$204,"Tương tác")=1,IF(COUNTIFS($A$5:$A$404,A391,$D$5:$D$404,"Có")&lt;&gt;0,"Choice tương tác không được đánh dấu đáp án đúng",""),"Choice chưa chọn loại")))))))</f>
        <v/>
      </c>
    </row>
    <row r="392" spans="1:11">
      <c r="A392" s="13"/>
      <c r="B392" s="13"/>
      <c r="C392" s="5"/>
      <c r="D392" s="13"/>
      <c r="E392" s="13"/>
      <c r="F392" s="13"/>
      <c r="G392" s="13"/>
      <c r="H392" s="5"/>
      <c r="I392" s="5"/>
      <c r="J392" s="6" t="str">
        <f t="shared" si="6"/>
        <v/>
      </c>
      <c r="K392" s="6" t="str">
        <f>IF(A392="","",IF(COUNTIFS('02_KICH_BAN_NODES'!$B$5:$B$204,A392,'02_KICH_BAN_NODES'!$D$5:$D$204,"choice")=0,"ChoiceNodeId không tồn tại hoặc không phải choice",IF(COUNTIFS($A$5:$A$404,A392,$B$5:$B$404,B392)&gt;1,"Trùng OptionOrder trong cùng choice",IF(OR(B392="",C392="",D392="",F392="",H392=""),"Thiếu trường bắt buộc",IF(OR(COUNTIF($A$5:$A$404,A392)&lt;2,COUNTIF($A$5:$A$404,A392)&gt;4),"Mỗi choice cần 2–4 option",IF(COUNTIFS('02_KICH_BAN_NODES'!$B$5:$B$204,A392,'02_KICH_BAN_NODES'!$E$5:$E$204,"Kiến thức")=1,IF(COUNTIFS($A$5:$A$404,A392,$D$5:$D$404,"Có")&lt;&gt;1,"Choice kiến thức cần đúng 1 đáp án đúng",""),IF(COUNTIFS('02_KICH_BAN_NODES'!$B$5:$B$204,A392,'02_KICH_BAN_NODES'!$E$5:$E$204,"Tương tác")=1,IF(COUNTIFS($A$5:$A$404,A392,$D$5:$D$404,"Có")&lt;&gt;0,"Choice tương tác không được đánh dấu đáp án đúng",""),"Choice chưa chọn loại")))))))</f>
        <v/>
      </c>
    </row>
    <row r="393" spans="1:11">
      <c r="A393" s="13"/>
      <c r="B393" s="13"/>
      <c r="C393" s="5"/>
      <c r="D393" s="13"/>
      <c r="E393" s="13"/>
      <c r="F393" s="13"/>
      <c r="G393" s="13"/>
      <c r="H393" s="5"/>
      <c r="I393" s="5"/>
      <c r="J393" s="6" t="str">
        <f t="shared" si="6"/>
        <v/>
      </c>
      <c r="K393" s="6" t="str">
        <f>IF(A393="","",IF(COUNTIFS('02_KICH_BAN_NODES'!$B$5:$B$204,A393,'02_KICH_BAN_NODES'!$D$5:$D$204,"choice")=0,"ChoiceNodeId không tồn tại hoặc không phải choice",IF(COUNTIFS($A$5:$A$404,A393,$B$5:$B$404,B393)&gt;1,"Trùng OptionOrder trong cùng choice",IF(OR(B393="",C393="",D393="",F393="",H393=""),"Thiếu trường bắt buộc",IF(OR(COUNTIF($A$5:$A$404,A393)&lt;2,COUNTIF($A$5:$A$404,A393)&gt;4),"Mỗi choice cần 2–4 option",IF(COUNTIFS('02_KICH_BAN_NODES'!$B$5:$B$204,A393,'02_KICH_BAN_NODES'!$E$5:$E$204,"Kiến thức")=1,IF(COUNTIFS($A$5:$A$404,A393,$D$5:$D$404,"Có")&lt;&gt;1,"Choice kiến thức cần đúng 1 đáp án đúng",""),IF(COUNTIFS('02_KICH_BAN_NODES'!$B$5:$B$204,A393,'02_KICH_BAN_NODES'!$E$5:$E$204,"Tương tác")=1,IF(COUNTIFS($A$5:$A$404,A393,$D$5:$D$404,"Có")&lt;&gt;0,"Choice tương tác không được đánh dấu đáp án đúng",""),"Choice chưa chọn loại")))))))</f>
        <v/>
      </c>
    </row>
    <row r="394" spans="1:11">
      <c r="A394" s="13"/>
      <c r="B394" s="13"/>
      <c r="C394" s="5"/>
      <c r="D394" s="13"/>
      <c r="E394" s="13"/>
      <c r="F394" s="13"/>
      <c r="G394" s="13"/>
      <c r="H394" s="5"/>
      <c r="I394" s="5"/>
      <c r="J394" s="6" t="str">
        <f t="shared" si="6"/>
        <v/>
      </c>
      <c r="K394" s="6" t="str">
        <f>IF(A394="","",IF(COUNTIFS('02_KICH_BAN_NODES'!$B$5:$B$204,A394,'02_KICH_BAN_NODES'!$D$5:$D$204,"choice")=0,"ChoiceNodeId không tồn tại hoặc không phải choice",IF(COUNTIFS($A$5:$A$404,A394,$B$5:$B$404,B394)&gt;1,"Trùng OptionOrder trong cùng choice",IF(OR(B394="",C394="",D394="",F394="",H394=""),"Thiếu trường bắt buộc",IF(OR(COUNTIF($A$5:$A$404,A394)&lt;2,COUNTIF($A$5:$A$404,A394)&gt;4),"Mỗi choice cần 2–4 option",IF(COUNTIFS('02_KICH_BAN_NODES'!$B$5:$B$204,A394,'02_KICH_BAN_NODES'!$E$5:$E$204,"Kiến thức")=1,IF(COUNTIFS($A$5:$A$404,A394,$D$5:$D$404,"Có")&lt;&gt;1,"Choice kiến thức cần đúng 1 đáp án đúng",""),IF(COUNTIFS('02_KICH_BAN_NODES'!$B$5:$B$204,A394,'02_KICH_BAN_NODES'!$E$5:$E$204,"Tương tác")=1,IF(COUNTIFS($A$5:$A$404,A394,$D$5:$D$404,"Có")&lt;&gt;0,"Choice tương tác không được đánh dấu đáp án đúng",""),"Choice chưa chọn loại")))))))</f>
        <v/>
      </c>
    </row>
    <row r="395" spans="1:11">
      <c r="A395" s="13"/>
      <c r="B395" s="13"/>
      <c r="C395" s="5"/>
      <c r="D395" s="13"/>
      <c r="E395" s="13"/>
      <c r="F395" s="13"/>
      <c r="G395" s="13"/>
      <c r="H395" s="5"/>
      <c r="I395" s="5"/>
      <c r="J395" s="6" t="str">
        <f t="shared" si="6"/>
        <v/>
      </c>
      <c r="K395" s="6" t="str">
        <f>IF(A395="","",IF(COUNTIFS('02_KICH_BAN_NODES'!$B$5:$B$204,A395,'02_KICH_BAN_NODES'!$D$5:$D$204,"choice")=0,"ChoiceNodeId không tồn tại hoặc không phải choice",IF(COUNTIFS($A$5:$A$404,A395,$B$5:$B$404,B395)&gt;1,"Trùng OptionOrder trong cùng choice",IF(OR(B395="",C395="",D395="",F395="",H395=""),"Thiếu trường bắt buộc",IF(OR(COUNTIF($A$5:$A$404,A395)&lt;2,COUNTIF($A$5:$A$404,A395)&gt;4),"Mỗi choice cần 2–4 option",IF(COUNTIFS('02_KICH_BAN_NODES'!$B$5:$B$204,A395,'02_KICH_BAN_NODES'!$E$5:$E$204,"Kiến thức")=1,IF(COUNTIFS($A$5:$A$404,A395,$D$5:$D$404,"Có")&lt;&gt;1,"Choice kiến thức cần đúng 1 đáp án đúng",""),IF(COUNTIFS('02_KICH_BAN_NODES'!$B$5:$B$204,A395,'02_KICH_BAN_NODES'!$E$5:$E$204,"Tương tác")=1,IF(COUNTIFS($A$5:$A$404,A395,$D$5:$D$404,"Có")&lt;&gt;0,"Choice tương tác không được đánh dấu đáp án đúng",""),"Choice chưa chọn loại")))))))</f>
        <v/>
      </c>
    </row>
    <row r="396" spans="1:11">
      <c r="A396" s="13"/>
      <c r="B396" s="13"/>
      <c r="C396" s="5"/>
      <c r="D396" s="13"/>
      <c r="E396" s="13"/>
      <c r="F396" s="13"/>
      <c r="G396" s="13"/>
      <c r="H396" s="5"/>
      <c r="I396" s="5"/>
      <c r="J396" s="6" t="str">
        <f t="shared" si="6"/>
        <v/>
      </c>
      <c r="K396" s="6" t="str">
        <f>IF(A396="","",IF(COUNTIFS('02_KICH_BAN_NODES'!$B$5:$B$204,A396,'02_KICH_BAN_NODES'!$D$5:$D$204,"choice")=0,"ChoiceNodeId không tồn tại hoặc không phải choice",IF(COUNTIFS($A$5:$A$404,A396,$B$5:$B$404,B396)&gt;1,"Trùng OptionOrder trong cùng choice",IF(OR(B396="",C396="",D396="",F396="",H396=""),"Thiếu trường bắt buộc",IF(OR(COUNTIF($A$5:$A$404,A396)&lt;2,COUNTIF($A$5:$A$404,A396)&gt;4),"Mỗi choice cần 2–4 option",IF(COUNTIFS('02_KICH_BAN_NODES'!$B$5:$B$204,A396,'02_KICH_BAN_NODES'!$E$5:$E$204,"Kiến thức")=1,IF(COUNTIFS($A$5:$A$404,A396,$D$5:$D$404,"Có")&lt;&gt;1,"Choice kiến thức cần đúng 1 đáp án đúng",""),IF(COUNTIFS('02_KICH_BAN_NODES'!$B$5:$B$204,A396,'02_KICH_BAN_NODES'!$E$5:$E$204,"Tương tác")=1,IF(COUNTIFS($A$5:$A$404,A396,$D$5:$D$404,"Có")&lt;&gt;0,"Choice tương tác không được đánh dấu đáp án đúng",""),"Choice chưa chọn loại")))))))</f>
        <v/>
      </c>
    </row>
    <row r="397" spans="1:11">
      <c r="A397" s="13"/>
      <c r="B397" s="13"/>
      <c r="C397" s="5"/>
      <c r="D397" s="13"/>
      <c r="E397" s="13"/>
      <c r="F397" s="13"/>
      <c r="G397" s="13"/>
      <c r="H397" s="5"/>
      <c r="I397" s="5"/>
      <c r="J397" s="6" t="str">
        <f t="shared" si="6"/>
        <v/>
      </c>
      <c r="K397" s="6" t="str">
        <f>IF(A397="","",IF(COUNTIFS('02_KICH_BAN_NODES'!$B$5:$B$204,A397,'02_KICH_BAN_NODES'!$D$5:$D$204,"choice")=0,"ChoiceNodeId không tồn tại hoặc không phải choice",IF(COUNTIFS($A$5:$A$404,A397,$B$5:$B$404,B397)&gt;1,"Trùng OptionOrder trong cùng choice",IF(OR(B397="",C397="",D397="",F397="",H397=""),"Thiếu trường bắt buộc",IF(OR(COUNTIF($A$5:$A$404,A397)&lt;2,COUNTIF($A$5:$A$404,A397)&gt;4),"Mỗi choice cần 2–4 option",IF(COUNTIFS('02_KICH_BAN_NODES'!$B$5:$B$204,A397,'02_KICH_BAN_NODES'!$E$5:$E$204,"Kiến thức")=1,IF(COUNTIFS($A$5:$A$404,A397,$D$5:$D$404,"Có")&lt;&gt;1,"Choice kiến thức cần đúng 1 đáp án đúng",""),IF(COUNTIFS('02_KICH_BAN_NODES'!$B$5:$B$204,A397,'02_KICH_BAN_NODES'!$E$5:$E$204,"Tương tác")=1,IF(COUNTIFS($A$5:$A$404,A397,$D$5:$D$404,"Có")&lt;&gt;0,"Choice tương tác không được đánh dấu đáp án đúng",""),"Choice chưa chọn loại")))))))</f>
        <v/>
      </c>
    </row>
    <row r="398" spans="1:11">
      <c r="A398" s="13"/>
      <c r="B398" s="13"/>
      <c r="C398" s="5"/>
      <c r="D398" s="13"/>
      <c r="E398" s="13"/>
      <c r="F398" s="13"/>
      <c r="G398" s="13"/>
      <c r="H398" s="5"/>
      <c r="I398" s="5"/>
      <c r="J398" s="6" t="str">
        <f t="shared" si="6"/>
        <v/>
      </c>
      <c r="K398" s="6" t="str">
        <f>IF(A398="","",IF(COUNTIFS('02_KICH_BAN_NODES'!$B$5:$B$204,A398,'02_KICH_BAN_NODES'!$D$5:$D$204,"choice")=0,"ChoiceNodeId không tồn tại hoặc không phải choice",IF(COUNTIFS($A$5:$A$404,A398,$B$5:$B$404,B398)&gt;1,"Trùng OptionOrder trong cùng choice",IF(OR(B398="",C398="",D398="",F398="",H398=""),"Thiếu trường bắt buộc",IF(OR(COUNTIF($A$5:$A$404,A398)&lt;2,COUNTIF($A$5:$A$404,A398)&gt;4),"Mỗi choice cần 2–4 option",IF(COUNTIFS('02_KICH_BAN_NODES'!$B$5:$B$204,A398,'02_KICH_BAN_NODES'!$E$5:$E$204,"Kiến thức")=1,IF(COUNTIFS($A$5:$A$404,A398,$D$5:$D$404,"Có")&lt;&gt;1,"Choice kiến thức cần đúng 1 đáp án đúng",""),IF(COUNTIFS('02_KICH_BAN_NODES'!$B$5:$B$204,A398,'02_KICH_BAN_NODES'!$E$5:$E$204,"Tương tác")=1,IF(COUNTIFS($A$5:$A$404,A398,$D$5:$D$404,"Có")&lt;&gt;0,"Choice tương tác không được đánh dấu đáp án đúng",""),"Choice chưa chọn loại")))))))</f>
        <v/>
      </c>
    </row>
    <row r="399" spans="1:11">
      <c r="A399" s="13"/>
      <c r="B399" s="13"/>
      <c r="C399" s="5"/>
      <c r="D399" s="13"/>
      <c r="E399" s="13"/>
      <c r="F399" s="13"/>
      <c r="G399" s="13"/>
      <c r="H399" s="5"/>
      <c r="I399" s="5"/>
      <c r="J399" s="6" t="str">
        <f t="shared" si="6"/>
        <v/>
      </c>
      <c r="K399" s="6" t="str">
        <f>IF(A399="","",IF(COUNTIFS('02_KICH_BAN_NODES'!$B$5:$B$204,A399,'02_KICH_BAN_NODES'!$D$5:$D$204,"choice")=0,"ChoiceNodeId không tồn tại hoặc không phải choice",IF(COUNTIFS($A$5:$A$404,A399,$B$5:$B$404,B399)&gt;1,"Trùng OptionOrder trong cùng choice",IF(OR(B399="",C399="",D399="",F399="",H399=""),"Thiếu trường bắt buộc",IF(OR(COUNTIF($A$5:$A$404,A399)&lt;2,COUNTIF($A$5:$A$404,A399)&gt;4),"Mỗi choice cần 2–4 option",IF(COUNTIFS('02_KICH_BAN_NODES'!$B$5:$B$204,A399,'02_KICH_BAN_NODES'!$E$5:$E$204,"Kiến thức")=1,IF(COUNTIFS($A$5:$A$404,A399,$D$5:$D$404,"Có")&lt;&gt;1,"Choice kiến thức cần đúng 1 đáp án đúng",""),IF(COUNTIFS('02_KICH_BAN_NODES'!$B$5:$B$204,A399,'02_KICH_BAN_NODES'!$E$5:$E$204,"Tương tác")=1,IF(COUNTIFS($A$5:$A$404,A399,$D$5:$D$404,"Có")&lt;&gt;0,"Choice tương tác không được đánh dấu đáp án đúng",""),"Choice chưa chọn loại")))))))</f>
        <v/>
      </c>
    </row>
    <row r="400" spans="1:11">
      <c r="A400" s="13"/>
      <c r="B400" s="13"/>
      <c r="C400" s="5"/>
      <c r="D400" s="13"/>
      <c r="E400" s="13"/>
      <c r="F400" s="13"/>
      <c r="G400" s="13"/>
      <c r="H400" s="5"/>
      <c r="I400" s="5"/>
      <c r="J400" s="6" t="str">
        <f t="shared" si="6"/>
        <v/>
      </c>
      <c r="K400" s="6" t="str">
        <f>IF(A400="","",IF(COUNTIFS('02_KICH_BAN_NODES'!$B$5:$B$204,A400,'02_KICH_BAN_NODES'!$D$5:$D$204,"choice")=0,"ChoiceNodeId không tồn tại hoặc không phải choice",IF(COUNTIFS($A$5:$A$404,A400,$B$5:$B$404,B400)&gt;1,"Trùng OptionOrder trong cùng choice",IF(OR(B400="",C400="",D400="",F400="",H400=""),"Thiếu trường bắt buộc",IF(OR(COUNTIF($A$5:$A$404,A400)&lt;2,COUNTIF($A$5:$A$404,A400)&gt;4),"Mỗi choice cần 2–4 option",IF(COUNTIFS('02_KICH_BAN_NODES'!$B$5:$B$204,A400,'02_KICH_BAN_NODES'!$E$5:$E$204,"Kiến thức")=1,IF(COUNTIFS($A$5:$A$404,A400,$D$5:$D$404,"Có")&lt;&gt;1,"Choice kiến thức cần đúng 1 đáp án đúng",""),IF(COUNTIFS('02_KICH_BAN_NODES'!$B$5:$B$204,A400,'02_KICH_BAN_NODES'!$E$5:$E$204,"Tương tác")=1,IF(COUNTIFS($A$5:$A$404,A400,$D$5:$D$404,"Có")&lt;&gt;0,"Choice tương tác không được đánh dấu đáp án đúng",""),"Choice chưa chọn loại")))))))</f>
        <v/>
      </c>
    </row>
    <row r="401" spans="1:11">
      <c r="A401" s="13"/>
      <c r="B401" s="13"/>
      <c r="C401" s="5"/>
      <c r="D401" s="13"/>
      <c r="E401" s="13"/>
      <c r="F401" s="13"/>
      <c r="G401" s="13"/>
      <c r="H401" s="5"/>
      <c r="I401" s="5"/>
      <c r="J401" s="6" t="str">
        <f t="shared" si="6"/>
        <v/>
      </c>
      <c r="K401" s="6" t="str">
        <f>IF(A401="","",IF(COUNTIFS('02_KICH_BAN_NODES'!$B$5:$B$204,A401,'02_KICH_BAN_NODES'!$D$5:$D$204,"choice")=0,"ChoiceNodeId không tồn tại hoặc không phải choice",IF(COUNTIFS($A$5:$A$404,A401,$B$5:$B$404,B401)&gt;1,"Trùng OptionOrder trong cùng choice",IF(OR(B401="",C401="",D401="",F401="",H401=""),"Thiếu trường bắt buộc",IF(OR(COUNTIF($A$5:$A$404,A401)&lt;2,COUNTIF($A$5:$A$404,A401)&gt;4),"Mỗi choice cần 2–4 option",IF(COUNTIFS('02_KICH_BAN_NODES'!$B$5:$B$204,A401,'02_KICH_BAN_NODES'!$E$5:$E$204,"Kiến thức")=1,IF(COUNTIFS($A$5:$A$404,A401,$D$5:$D$404,"Có")&lt;&gt;1,"Choice kiến thức cần đúng 1 đáp án đúng",""),IF(COUNTIFS('02_KICH_BAN_NODES'!$B$5:$B$204,A401,'02_KICH_BAN_NODES'!$E$5:$E$204,"Tương tác")=1,IF(COUNTIFS($A$5:$A$404,A401,$D$5:$D$404,"Có")&lt;&gt;0,"Choice tương tác không được đánh dấu đáp án đúng",""),"Choice chưa chọn loại")))))))</f>
        <v/>
      </c>
    </row>
    <row r="402" spans="1:11">
      <c r="A402" s="13"/>
      <c r="B402" s="13"/>
      <c r="C402" s="5"/>
      <c r="D402" s="13"/>
      <c r="E402" s="13"/>
      <c r="F402" s="13"/>
      <c r="G402" s="13"/>
      <c r="H402" s="5"/>
      <c r="I402" s="5"/>
      <c r="J402" s="6" t="str">
        <f t="shared" si="6"/>
        <v/>
      </c>
      <c r="K402" s="6" t="str">
        <f>IF(A402="","",IF(COUNTIFS('02_KICH_BAN_NODES'!$B$5:$B$204,A402,'02_KICH_BAN_NODES'!$D$5:$D$204,"choice")=0,"ChoiceNodeId không tồn tại hoặc không phải choice",IF(COUNTIFS($A$5:$A$404,A402,$B$5:$B$404,B402)&gt;1,"Trùng OptionOrder trong cùng choice",IF(OR(B402="",C402="",D402="",F402="",H402=""),"Thiếu trường bắt buộc",IF(OR(COUNTIF($A$5:$A$404,A402)&lt;2,COUNTIF($A$5:$A$404,A402)&gt;4),"Mỗi choice cần 2–4 option",IF(COUNTIFS('02_KICH_BAN_NODES'!$B$5:$B$204,A402,'02_KICH_BAN_NODES'!$E$5:$E$204,"Kiến thức")=1,IF(COUNTIFS($A$5:$A$404,A402,$D$5:$D$404,"Có")&lt;&gt;1,"Choice kiến thức cần đúng 1 đáp án đúng",""),IF(COUNTIFS('02_KICH_BAN_NODES'!$B$5:$B$204,A402,'02_KICH_BAN_NODES'!$E$5:$E$204,"Tương tác")=1,IF(COUNTIFS($A$5:$A$404,A402,$D$5:$D$404,"Có")&lt;&gt;0,"Choice tương tác không được đánh dấu đáp án đúng",""),"Choice chưa chọn loại")))))))</f>
        <v/>
      </c>
    </row>
    <row r="403" spans="1:11">
      <c r="A403" s="13"/>
      <c r="B403" s="13"/>
      <c r="C403" s="5"/>
      <c r="D403" s="13"/>
      <c r="E403" s="13"/>
      <c r="F403" s="13"/>
      <c r="G403" s="13"/>
      <c r="H403" s="5"/>
      <c r="I403" s="5"/>
      <c r="J403" s="6" t="str">
        <f t="shared" si="6"/>
        <v/>
      </c>
      <c r="K403" s="6" t="str">
        <f>IF(A403="","",IF(COUNTIFS('02_KICH_BAN_NODES'!$B$5:$B$204,A403,'02_KICH_BAN_NODES'!$D$5:$D$204,"choice")=0,"ChoiceNodeId không tồn tại hoặc không phải choice",IF(COUNTIFS($A$5:$A$404,A403,$B$5:$B$404,B403)&gt;1,"Trùng OptionOrder trong cùng choice",IF(OR(B403="",C403="",D403="",F403="",H403=""),"Thiếu trường bắt buộc",IF(OR(COUNTIF($A$5:$A$404,A403)&lt;2,COUNTIF($A$5:$A$404,A403)&gt;4),"Mỗi choice cần 2–4 option",IF(COUNTIFS('02_KICH_BAN_NODES'!$B$5:$B$204,A403,'02_KICH_BAN_NODES'!$E$5:$E$204,"Kiến thức")=1,IF(COUNTIFS($A$5:$A$404,A403,$D$5:$D$404,"Có")&lt;&gt;1,"Choice kiến thức cần đúng 1 đáp án đúng",""),IF(COUNTIFS('02_KICH_BAN_NODES'!$B$5:$B$204,A403,'02_KICH_BAN_NODES'!$E$5:$E$204,"Tương tác")=1,IF(COUNTIFS($A$5:$A$404,A403,$D$5:$D$404,"Có")&lt;&gt;0,"Choice tương tác không được đánh dấu đáp án đúng",""),"Choice chưa chọn loại")))))))</f>
        <v/>
      </c>
    </row>
    <row r="404" spans="1:11">
      <c r="A404" s="13"/>
      <c r="B404" s="13"/>
      <c r="C404" s="5"/>
      <c r="D404" s="13"/>
      <c r="E404" s="13"/>
      <c r="F404" s="13"/>
      <c r="G404" s="13"/>
      <c r="H404" s="5"/>
      <c r="I404" s="5"/>
      <c r="J404" s="6" t="str">
        <f t="shared" si="6"/>
        <v/>
      </c>
      <c r="K404" s="6" t="str">
        <f>IF(A404="","",IF(COUNTIFS('02_KICH_BAN_NODES'!$B$5:$B$204,A404,'02_KICH_BAN_NODES'!$D$5:$D$204,"choice")=0,"ChoiceNodeId không tồn tại hoặc không phải choice",IF(COUNTIFS($A$5:$A$404,A404,$B$5:$B$404,B404)&gt;1,"Trùng OptionOrder trong cùng choice",IF(OR(B404="",C404="",D404="",F404="",H404=""),"Thiếu trường bắt buộc",IF(OR(COUNTIF($A$5:$A$404,A404)&lt;2,COUNTIF($A$5:$A$404,A404)&gt;4),"Mỗi choice cần 2–4 option",IF(COUNTIFS('02_KICH_BAN_NODES'!$B$5:$B$204,A404,'02_KICH_BAN_NODES'!$E$5:$E$204,"Kiến thức")=1,IF(COUNTIFS($A$5:$A$404,A404,$D$5:$D$404,"Có")&lt;&gt;1,"Choice kiến thức cần đúng 1 đáp án đúng",""),IF(COUNTIFS('02_KICH_BAN_NODES'!$B$5:$B$204,A404,'02_KICH_BAN_NODES'!$E$5:$E$204,"Tương tác")=1,IF(COUNTIFS($A$5:$A$404,A404,$D$5:$D$404,"Có")&lt;&gt;0,"Choice tương tác không được đánh dấu đáp án đúng",""),"Choice chưa chọn loại")))))))</f>
        <v/>
      </c>
    </row>
  </sheetData>
  <mergeCells count="2">
    <mergeCell ref="A1:K1"/>
    <mergeCell ref="A2:K2"/>
  </mergeCells>
  <conditionalFormatting sqref="D5:D404">
    <cfRule type="expression" dxfId="12" priority="4">
      <formula>D5="Có"</formula>
    </cfRule>
    <cfRule type="expression" dxfId="11" priority="5">
      <formula>D5="Không"</formula>
    </cfRule>
  </conditionalFormatting>
  <conditionalFormatting sqref="J5:J404">
    <cfRule type="expression" dxfId="10" priority="1">
      <formula>J5="HỢP LỆ"</formula>
    </cfRule>
    <cfRule type="expression" dxfId="9" priority="2">
      <formula>J5="CẦN SỬA"</formula>
    </cfRule>
  </conditionalFormatting>
  <conditionalFormatting sqref="K5:K404">
    <cfRule type="expression" dxfId="8" priority="3">
      <formula>K5&lt;&gt;""</formula>
    </cfRule>
  </conditionalFormatting>
  <dataValidations count="1">
    <dataValidation type="list" sqref="D5:D404" xr:uid="{00000000-0002-0000-0300-000000000000}">
      <formula1>"Có,Không"</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0"/>
  <sheetViews>
    <sheetView workbookViewId="0"/>
  </sheetViews>
  <sheetFormatPr defaultRowHeight="14.25"/>
  <cols>
    <col min="1" max="1" width="16" customWidth="1"/>
    <col min="2" max="2" width="22" customWidth="1"/>
    <col min="3" max="3" width="28" customWidth="1"/>
    <col min="4" max="4" width="18" customWidth="1"/>
    <col min="5" max="5" width="40" customWidth="1"/>
    <col min="6" max="6" width="18" customWidth="1"/>
    <col min="7" max="7" width="14" customWidth="1"/>
    <col min="8" max="8" width="32" customWidth="1"/>
    <col min="9" max="9" width="3" customWidth="1"/>
    <col min="10" max="10" width="14" customWidth="1"/>
    <col min="11" max="11" width="38" customWidth="1"/>
    <col min="12" max="12" width="42" customWidth="1"/>
  </cols>
  <sheetData>
    <row r="1" spans="1:12" ht="30" customHeight="1">
      <c r="A1" s="19" t="s">
        <v>166</v>
      </c>
      <c r="B1" s="19"/>
      <c r="C1" s="19"/>
      <c r="D1" s="19"/>
      <c r="E1" s="19"/>
      <c r="F1" s="19"/>
      <c r="G1" s="19"/>
      <c r="H1" s="19"/>
      <c r="I1" s="19"/>
      <c r="J1" s="19"/>
      <c r="K1" s="19"/>
      <c r="L1" s="19"/>
    </row>
    <row r="2" spans="1:12" ht="36" customHeight="1">
      <c r="A2" s="20" t="s">
        <v>167</v>
      </c>
      <c r="B2" s="20"/>
      <c r="C2" s="20"/>
      <c r="D2" s="20"/>
      <c r="E2" s="20"/>
      <c r="F2" s="20"/>
      <c r="G2" s="20"/>
      <c r="H2" s="20"/>
      <c r="I2" s="20"/>
      <c r="J2" s="20"/>
      <c r="K2" s="20"/>
      <c r="L2" s="20"/>
    </row>
    <row r="4" spans="1:12" ht="24" customHeight="1">
      <c r="A4" s="18" t="s">
        <v>168</v>
      </c>
      <c r="B4" s="18"/>
      <c r="C4" s="18"/>
      <c r="D4" s="18" t="s">
        <v>169</v>
      </c>
      <c r="E4" s="18"/>
      <c r="F4" s="18"/>
      <c r="G4" s="18" t="s">
        <v>170</v>
      </c>
      <c r="H4" s="18"/>
      <c r="J4" s="18" t="s">
        <v>171</v>
      </c>
      <c r="K4" s="18"/>
      <c r="L4" s="18"/>
    </row>
    <row r="5" spans="1:12" ht="39.950000000000003" customHeight="1">
      <c r="A5" s="1" t="s">
        <v>150</v>
      </c>
      <c r="B5" s="1" t="s">
        <v>172</v>
      </c>
      <c r="C5" s="1" t="s">
        <v>173</v>
      </c>
      <c r="D5" s="1" t="s">
        <v>174</v>
      </c>
      <c r="E5" s="1" t="s">
        <v>175</v>
      </c>
      <c r="F5" s="1" t="s">
        <v>176</v>
      </c>
      <c r="G5" s="1" t="s">
        <v>177</v>
      </c>
      <c r="H5" s="1" t="s">
        <v>178</v>
      </c>
      <c r="J5" s="1" t="s">
        <v>179</v>
      </c>
      <c r="K5" s="1" t="s">
        <v>180</v>
      </c>
      <c r="L5" s="1" t="s">
        <v>181</v>
      </c>
    </row>
    <row r="6" spans="1:12">
      <c r="A6" s="2" t="s">
        <v>182</v>
      </c>
      <c r="B6" s="2"/>
      <c r="C6" s="2" t="s">
        <v>76</v>
      </c>
      <c r="D6" s="2" t="s">
        <v>183</v>
      </c>
      <c r="E6" s="2" t="s">
        <v>184</v>
      </c>
      <c r="F6" s="2" t="s">
        <v>185</v>
      </c>
      <c r="G6" s="2" t="s">
        <v>186</v>
      </c>
      <c r="H6" s="2" t="s">
        <v>187</v>
      </c>
      <c r="I6" s="2"/>
      <c r="J6" s="2" t="s">
        <v>188</v>
      </c>
      <c r="K6" s="2" t="s">
        <v>189</v>
      </c>
      <c r="L6" s="2" t="s">
        <v>190</v>
      </c>
    </row>
    <row r="7" spans="1:12">
      <c r="A7" s="2" t="s">
        <v>191</v>
      </c>
      <c r="B7" s="2" t="s">
        <v>192</v>
      </c>
      <c r="C7" s="2" t="s">
        <v>193</v>
      </c>
      <c r="D7" s="2" t="s">
        <v>194</v>
      </c>
      <c r="E7" s="2" t="s">
        <v>195</v>
      </c>
      <c r="F7" s="2" t="s">
        <v>185</v>
      </c>
      <c r="G7" s="2" t="s">
        <v>196</v>
      </c>
      <c r="H7" s="2" t="s">
        <v>197</v>
      </c>
      <c r="I7" s="2"/>
      <c r="J7" s="2" t="s">
        <v>198</v>
      </c>
      <c r="K7" s="2" t="s">
        <v>199</v>
      </c>
      <c r="L7" s="2" t="s">
        <v>200</v>
      </c>
    </row>
    <row r="8" spans="1:12" ht="28.5">
      <c r="A8" s="2" t="s">
        <v>201</v>
      </c>
      <c r="B8" s="2" t="s">
        <v>202</v>
      </c>
      <c r="C8" s="2" t="s">
        <v>203</v>
      </c>
      <c r="D8" s="2" t="s">
        <v>204</v>
      </c>
      <c r="E8" s="2" t="s">
        <v>205</v>
      </c>
      <c r="F8" s="2" t="s">
        <v>185</v>
      </c>
      <c r="G8" s="2" t="s">
        <v>206</v>
      </c>
      <c r="H8" s="2" t="s">
        <v>207</v>
      </c>
      <c r="I8" s="2"/>
      <c r="J8" s="2" t="s">
        <v>208</v>
      </c>
      <c r="K8" s="2" t="s">
        <v>209</v>
      </c>
      <c r="L8" s="2" t="s">
        <v>210</v>
      </c>
    </row>
    <row r="9" spans="1:12">
      <c r="A9" s="2" t="s">
        <v>211</v>
      </c>
      <c r="B9" s="2" t="s">
        <v>212</v>
      </c>
      <c r="C9" s="2" t="s">
        <v>213</v>
      </c>
      <c r="D9" s="5"/>
      <c r="E9" s="5"/>
      <c r="F9" s="5"/>
      <c r="G9" s="2" t="s">
        <v>214</v>
      </c>
      <c r="H9" s="2" t="s">
        <v>215</v>
      </c>
      <c r="I9" s="2"/>
      <c r="J9" s="2" t="s">
        <v>216</v>
      </c>
      <c r="K9" s="2" t="s">
        <v>153</v>
      </c>
      <c r="L9" s="2" t="s">
        <v>217</v>
      </c>
    </row>
    <row r="10" spans="1:12">
      <c r="A10" s="2" t="s">
        <v>218</v>
      </c>
      <c r="B10" s="2" t="s">
        <v>219</v>
      </c>
      <c r="C10" s="2" t="s">
        <v>220</v>
      </c>
      <c r="D10" s="5"/>
      <c r="E10" s="5"/>
      <c r="F10" s="5"/>
      <c r="G10" s="2"/>
      <c r="H10" s="2"/>
      <c r="I10" s="2"/>
      <c r="J10" s="2" t="s">
        <v>221</v>
      </c>
      <c r="K10" s="2" t="s">
        <v>222</v>
      </c>
      <c r="L10" s="2" t="s">
        <v>223</v>
      </c>
    </row>
    <row r="11" spans="1:12">
      <c r="A11" s="2" t="s">
        <v>224</v>
      </c>
      <c r="B11" s="2" t="s">
        <v>225</v>
      </c>
      <c r="C11" s="2" t="s">
        <v>226</v>
      </c>
      <c r="D11" s="5"/>
      <c r="E11" s="5"/>
      <c r="F11" s="5"/>
      <c r="G11" s="2"/>
      <c r="H11" s="2"/>
      <c r="I11" s="2"/>
      <c r="J11" s="2"/>
      <c r="K11" s="2"/>
      <c r="L11" s="2"/>
    </row>
    <row r="12" spans="1:12">
      <c r="A12" s="5"/>
      <c r="B12" s="5"/>
      <c r="C12" s="5"/>
      <c r="D12" s="5"/>
      <c r="E12" s="5"/>
      <c r="F12" s="5"/>
      <c r="G12" s="2"/>
      <c r="H12" s="2"/>
      <c r="I12" s="2"/>
      <c r="J12" s="2"/>
      <c r="K12" s="2"/>
      <c r="L12" s="2"/>
    </row>
    <row r="13" spans="1:12">
      <c r="A13" s="5"/>
      <c r="B13" s="5"/>
      <c r="C13" s="5"/>
      <c r="D13" s="5"/>
      <c r="E13" s="5"/>
      <c r="F13" s="5"/>
      <c r="G13" s="2"/>
      <c r="H13" s="2"/>
      <c r="I13" s="2"/>
      <c r="J13" s="2"/>
      <c r="K13" s="2"/>
      <c r="L13" s="2"/>
    </row>
    <row r="14" spans="1:12">
      <c r="A14" s="5"/>
      <c r="B14" s="5"/>
      <c r="C14" s="5"/>
      <c r="D14" s="5"/>
      <c r="E14" s="5"/>
      <c r="F14" s="5"/>
      <c r="G14" s="2"/>
      <c r="H14" s="2"/>
      <c r="I14" s="2"/>
      <c r="J14" s="2"/>
      <c r="K14" s="2"/>
      <c r="L14" s="2"/>
    </row>
    <row r="15" spans="1:12">
      <c r="A15" s="5"/>
      <c r="B15" s="5"/>
      <c r="C15" s="5"/>
      <c r="D15" s="5"/>
      <c r="E15" s="5"/>
      <c r="F15" s="5"/>
      <c r="G15" s="2"/>
      <c r="H15" s="2"/>
      <c r="I15" s="2"/>
      <c r="J15" s="2"/>
      <c r="K15" s="2"/>
      <c r="L15" s="2"/>
    </row>
    <row r="16" spans="1:12">
      <c r="A16" s="5"/>
      <c r="B16" s="5"/>
      <c r="C16" s="5"/>
      <c r="D16" s="5"/>
      <c r="E16" s="5"/>
      <c r="F16" s="5"/>
      <c r="G16" s="2"/>
      <c r="H16" s="2"/>
      <c r="I16" s="2"/>
      <c r="J16" s="2"/>
      <c r="K16" s="2"/>
      <c r="L16" s="2"/>
    </row>
    <row r="17" spans="1:12">
      <c r="A17" s="5"/>
      <c r="B17" s="5"/>
      <c r="C17" s="5"/>
      <c r="D17" s="5"/>
      <c r="E17" s="5"/>
      <c r="F17" s="5"/>
      <c r="G17" s="2"/>
      <c r="H17" s="2"/>
      <c r="I17" s="2"/>
      <c r="J17" s="2"/>
      <c r="K17" s="2"/>
      <c r="L17" s="2"/>
    </row>
    <row r="18" spans="1:12">
      <c r="A18" s="5"/>
      <c r="B18" s="5"/>
      <c r="C18" s="5"/>
      <c r="D18" s="5"/>
      <c r="E18" s="5"/>
      <c r="F18" s="5"/>
      <c r="G18" s="2"/>
      <c r="H18" s="2"/>
      <c r="I18" s="2"/>
      <c r="J18" s="2"/>
      <c r="K18" s="2"/>
      <c r="L18" s="2"/>
    </row>
    <row r="19" spans="1:12">
      <c r="A19" s="5"/>
      <c r="B19" s="5"/>
      <c r="C19" s="5"/>
      <c r="D19" s="5"/>
      <c r="E19" s="5"/>
      <c r="F19" s="5"/>
      <c r="G19" s="2"/>
      <c r="H19" s="2"/>
      <c r="I19" s="2"/>
      <c r="J19" s="2"/>
      <c r="K19" s="2"/>
      <c r="L19" s="2"/>
    </row>
    <row r="20" spans="1:12">
      <c r="A20" s="5"/>
      <c r="B20" s="5"/>
      <c r="C20" s="5"/>
      <c r="D20" s="5"/>
      <c r="E20" s="5"/>
      <c r="F20" s="5"/>
      <c r="G20" s="2"/>
      <c r="H20" s="2"/>
      <c r="I20" s="2"/>
      <c r="J20" s="2"/>
      <c r="K20" s="2"/>
      <c r="L20" s="2"/>
    </row>
  </sheetData>
  <mergeCells count="6">
    <mergeCell ref="A1:L1"/>
    <mergeCell ref="A2:L2"/>
    <mergeCell ref="A4:C4"/>
    <mergeCell ref="D4:F4"/>
    <mergeCell ref="G4:H4"/>
    <mergeCell ref="J4:L4"/>
  </mergeCells>
  <dataValidations count="1">
    <dataValidation type="list" sqref="F6:F20" xr:uid="{00000000-0002-0000-0400-000000000000}">
      <formula1>"Có sẵn,Cần dev bổ sung,Đang làm,Đã duyệt"</formula1>
    </dataValidation>
  </dataValidations>
  <pageMargins left="0.7" right="0.7" top="0.75" bottom="0.75" header="0.3" footer="0.3"/>
  <tableParts count="4">
    <tablePart r:id="rId1"/>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18"/>
  <sheetViews>
    <sheetView workbookViewId="0"/>
  </sheetViews>
  <sheetFormatPr defaultRowHeight="14.25"/>
  <cols>
    <col min="1" max="2" width="16" customWidth="1"/>
    <col min="3" max="3" width="14" customWidth="1"/>
    <col min="4" max="4" width="18" customWidth="1"/>
    <col min="5" max="5" width="16" customWidth="1"/>
    <col min="6" max="6" width="42" customWidth="1"/>
    <col min="7" max="7" width="4" customWidth="1"/>
    <col min="8" max="8" width="34" customWidth="1"/>
    <col min="9" max="9" width="20" customWidth="1"/>
  </cols>
  <sheetData>
    <row r="1" spans="1:9" ht="30" customHeight="1">
      <c r="A1" s="19" t="s">
        <v>227</v>
      </c>
      <c r="B1" s="19"/>
      <c r="C1" s="19"/>
      <c r="D1" s="19"/>
      <c r="E1" s="19"/>
      <c r="F1" s="19"/>
      <c r="G1" s="19"/>
      <c r="H1" s="19"/>
      <c r="I1" s="19"/>
    </row>
    <row r="2" spans="1:9" ht="36" customHeight="1">
      <c r="A2" s="20" t="s">
        <v>228</v>
      </c>
      <c r="B2" s="20"/>
      <c r="C2" s="20"/>
      <c r="D2" s="20"/>
      <c r="E2" s="20"/>
      <c r="F2" s="20"/>
      <c r="G2" s="20"/>
      <c r="H2" s="20"/>
      <c r="I2" s="20"/>
    </row>
    <row r="4" spans="1:9" ht="24" customHeight="1">
      <c r="A4" s="18" t="s">
        <v>229</v>
      </c>
      <c r="B4" s="18"/>
      <c r="C4" s="18"/>
      <c r="D4" s="18"/>
      <c r="E4" s="18"/>
      <c r="F4" s="18"/>
      <c r="G4" s="18"/>
      <c r="H4" s="18"/>
      <c r="I4" s="18"/>
    </row>
    <row r="5" spans="1:9" ht="39.950000000000003" customHeight="1">
      <c r="A5" s="1" t="s">
        <v>230</v>
      </c>
      <c r="B5" s="1" t="s">
        <v>231</v>
      </c>
      <c r="C5" s="1" t="s">
        <v>232</v>
      </c>
      <c r="D5" s="1" t="s">
        <v>233</v>
      </c>
      <c r="E5" s="1" t="s">
        <v>234</v>
      </c>
      <c r="F5" s="1" t="s">
        <v>235</v>
      </c>
      <c r="G5" s="1" t="s">
        <v>236</v>
      </c>
      <c r="H5" s="1" t="s">
        <v>237</v>
      </c>
    </row>
    <row r="6" spans="1:9" ht="27.95" customHeight="1">
      <c r="A6" s="14">
        <f>COUNT('02_KICH_BAN_NODES'!A5:A204)</f>
        <v>29</v>
      </c>
      <c r="B6" s="14">
        <f>COUNTIF('02_KICH_BAN_NODES'!D5:D204,"scene")</f>
        <v>3</v>
      </c>
      <c r="C6" s="14">
        <f>COUNTIF('02_KICH_BAN_NODES'!D5:D204,"say")</f>
        <v>7</v>
      </c>
      <c r="D6" s="14">
        <f>COUNTIF('02_KICH_BAN_NODES'!D5:D204,"choice")</f>
        <v>15</v>
      </c>
      <c r="E6" s="14">
        <f>COUNTIF('02_KICH_BAN_NODES'!D5:D204,"act")</f>
        <v>3</v>
      </c>
      <c r="F6" s="14">
        <f>COUNTIF('02_KICH_BAN_NODES'!D5:D204,"end")</f>
        <v>1</v>
      </c>
      <c r="G6" s="14">
        <f>COUNTIF('02_KICH_BAN_NODES'!M5:M204,"CẦN SỬA")</f>
        <v>0</v>
      </c>
      <c r="H6" s="14">
        <f>COUNTIF('03_LUA_CHON'!J5:J404,"CẦN SỬA")</f>
        <v>0</v>
      </c>
    </row>
    <row r="8" spans="1:9" ht="24" customHeight="1">
      <c r="A8" s="18" t="s">
        <v>238</v>
      </c>
      <c r="B8" s="18"/>
      <c r="C8" s="18"/>
      <c r="D8" s="18"/>
      <c r="E8" s="18"/>
      <c r="F8" s="18"/>
      <c r="G8" s="18"/>
      <c r="H8" s="18"/>
      <c r="I8" s="18"/>
    </row>
    <row r="9" spans="1:9" ht="39.950000000000003" customHeight="1">
      <c r="A9" s="1" t="s">
        <v>239</v>
      </c>
      <c r="B9" s="1" t="s">
        <v>85</v>
      </c>
      <c r="C9" s="1" t="s">
        <v>240</v>
      </c>
      <c r="D9" s="1" t="s">
        <v>75</v>
      </c>
    </row>
    <row r="10" spans="1:9" ht="29.25">
      <c r="A10" s="2" t="s">
        <v>241</v>
      </c>
      <c r="B10" s="6">
        <f>F6</f>
        <v>1</v>
      </c>
      <c r="C10" s="6" t="str">
        <f>IF(B10=1,"HỢP LỆ","CẦN SỬA")</f>
        <v>HỢP LỆ</v>
      </c>
      <c r="D10" s="2" t="s">
        <v>242</v>
      </c>
    </row>
    <row r="11" spans="1:9" ht="29.25">
      <c r="A11" s="2" t="s">
        <v>243</v>
      </c>
      <c r="B11" s="6">
        <f>G6</f>
        <v>0</v>
      </c>
      <c r="C11" s="6" t="str">
        <f>IF(B11=0,"HỢP LỆ","CẦN SỬA")</f>
        <v>HỢP LỆ</v>
      </c>
      <c r="D11" s="2" t="s">
        <v>244</v>
      </c>
    </row>
    <row r="12" spans="1:9" ht="29.25">
      <c r="A12" s="2" t="s">
        <v>245</v>
      </c>
      <c r="B12" s="6">
        <f>H6</f>
        <v>0</v>
      </c>
      <c r="C12" s="6" t="str">
        <f>IF(B12=0,"HỢP LỆ","CẦN SỬA")</f>
        <v>HỢP LỆ</v>
      </c>
      <c r="D12" s="2" t="s">
        <v>246</v>
      </c>
    </row>
    <row r="13" spans="1:9" ht="29.25">
      <c r="A13" s="2" t="s">
        <v>247</v>
      </c>
      <c r="B13" s="6">
        <f>B6</f>
        <v>3</v>
      </c>
      <c r="C13" s="6" t="str">
        <f>IF(AND(B13&gt;=2,B13&lt;=4),"HỢP LỆ","CẢNH BÁO")</f>
        <v>HỢP LỆ</v>
      </c>
      <c r="D13" s="2" t="s">
        <v>248</v>
      </c>
    </row>
    <row r="14" spans="1:9" ht="29.25">
      <c r="A14" s="2" t="s">
        <v>249</v>
      </c>
      <c r="B14" s="6" t="str">
        <f>'01_THONG_TIN_PHIM'!B22</f>
        <v>KHÔNG</v>
      </c>
      <c r="C14" s="6" t="str">
        <f>IF(B14="CÓ","HỢP LỆ","CẦN SỬA")</f>
        <v>CẦN SỬA</v>
      </c>
      <c r="D14" s="2" t="s">
        <v>250</v>
      </c>
    </row>
    <row r="15" spans="1:9" ht="30">
      <c r="A15" s="2" t="s">
        <v>251</v>
      </c>
      <c r="B15" s="6" t="str">
        <f>IF(AND(C10="HỢP LỆ",C11="HỢP LỆ",C12="HỢP LỆ",C14="HỢP LỆ"),"SẴN SÀNG","CHƯA SẴN SÀNG")</f>
        <v>CHƯA SẴN SÀNG</v>
      </c>
      <c r="C15" s="6" t="str">
        <f>B15</f>
        <v>CHƯA SẴN SÀNG</v>
      </c>
      <c r="D15" s="2" t="s">
        <v>252</v>
      </c>
    </row>
    <row r="17" spans="1:9" ht="24" customHeight="1">
      <c r="A17" s="18" t="s">
        <v>253</v>
      </c>
      <c r="B17" s="18"/>
      <c r="C17" s="18"/>
      <c r="D17" s="18"/>
      <c r="E17" s="18"/>
      <c r="F17" s="18"/>
      <c r="H17" s="18" t="s">
        <v>254</v>
      </c>
      <c r="I17" s="18"/>
    </row>
    <row r="18" spans="1:9" ht="39.950000000000003" customHeight="1">
      <c r="A18" s="1" t="s">
        <v>255</v>
      </c>
      <c r="B18" s="1" t="s">
        <v>147</v>
      </c>
      <c r="C18" s="1" t="s">
        <v>256</v>
      </c>
      <c r="D18" s="1" t="s">
        <v>257</v>
      </c>
      <c r="E18" s="1" t="s">
        <v>135</v>
      </c>
      <c r="F18" s="1" t="s">
        <v>258</v>
      </c>
      <c r="H18" s="1" t="s">
        <v>259</v>
      </c>
      <c r="I18" s="1" t="s">
        <v>260</v>
      </c>
    </row>
    <row r="19" spans="1:9">
      <c r="A19" s="2" t="str">
        <f>IF('02_KICH_BAN_NODES'!D5="choice",'02_KICH_BAN_NODES'!B5,"")</f>
        <v/>
      </c>
      <c r="B19" s="2" t="str">
        <f>IF(A19="","",'02_KICH_BAN_NODES'!E5)</f>
        <v/>
      </c>
      <c r="C19" s="2" t="str">
        <f>IF(A19="","",COUNTIF('03_LUA_CHON'!$A$5:$A$404,A19))</f>
        <v/>
      </c>
      <c r="D19" s="2" t="str">
        <f>IF(A19="","",COUNTIFS('03_LUA_CHON'!$A$5:$A$404,A19,'03_LUA_CHON'!$D$5:$D$404,"Có"))</f>
        <v/>
      </c>
      <c r="E19" s="2" t="str">
        <f t="shared" ref="E19:E50" si="0">IF(A19="","",IF(OR(C19&lt;2,C19&gt;4),"CẦN SỬA",IF(AND(B19="Kiến thức",D19=1),"HỢP LỆ",IF(AND(B19="Tương tác",D19=0),"HỢP LỆ","CẦN SỬA"))))</f>
        <v/>
      </c>
      <c r="F19" s="2" t="str">
        <f t="shared" ref="F19:F50" si="1">IF(A19="","",IF(OR(C19&lt;2,C19&gt;4),"Cần 2–4 option",IF(AND(B19="Kiến thức",D19&lt;&gt;1),"Câu kiến thức cần đúng 1 đáp án đúng",IF(AND(B19="Tương tác",D19&lt;&gt;0),"Câu tương tác không có đáp án đúng",IF(B19="","Thiếu ChoiceMode","")))))</f>
        <v/>
      </c>
      <c r="H19" s="2" t="s">
        <v>261</v>
      </c>
      <c r="I19" s="5" t="s">
        <v>262</v>
      </c>
    </row>
    <row r="20" spans="1:9">
      <c r="A20" s="2" t="str">
        <f>IF('02_KICH_BAN_NODES'!D6="choice",'02_KICH_BAN_NODES'!B6,"")</f>
        <v/>
      </c>
      <c r="B20" s="2" t="str">
        <f>IF(A20="","",'02_KICH_BAN_NODES'!E6)</f>
        <v/>
      </c>
      <c r="C20" s="2" t="str">
        <f>IF(A20="","",COUNTIF('03_LUA_CHON'!$A$5:$A$404,A20))</f>
        <v/>
      </c>
      <c r="D20" s="2" t="str">
        <f>IF(A20="","",COUNTIFS('03_LUA_CHON'!$A$5:$A$404,A20,'03_LUA_CHON'!$D$5:$D$404,"Có"))</f>
        <v/>
      </c>
      <c r="E20" s="2" t="str">
        <f t="shared" si="0"/>
        <v/>
      </c>
      <c r="F20" s="2" t="str">
        <f t="shared" si="1"/>
        <v/>
      </c>
      <c r="H20" s="2" t="s">
        <v>263</v>
      </c>
      <c r="I20" s="5" t="s">
        <v>262</v>
      </c>
    </row>
    <row r="21" spans="1:9">
      <c r="A21" s="2" t="str">
        <f>IF('02_KICH_BAN_NODES'!D7="choice",'02_KICH_BAN_NODES'!B7,"")</f>
        <v/>
      </c>
      <c r="B21" s="2" t="str">
        <f>IF(A21="","",'02_KICH_BAN_NODES'!E7)</f>
        <v/>
      </c>
      <c r="C21" s="2" t="str">
        <f>IF(A21="","",COUNTIF('03_LUA_CHON'!$A$5:$A$404,A21))</f>
        <v/>
      </c>
      <c r="D21" s="2" t="str">
        <f>IF(A21="","",COUNTIFS('03_LUA_CHON'!$A$5:$A$404,A21,'03_LUA_CHON'!$D$5:$D$404,"Có"))</f>
        <v/>
      </c>
      <c r="E21" s="2" t="str">
        <f t="shared" si="0"/>
        <v/>
      </c>
      <c r="F21" s="2" t="str">
        <f t="shared" si="1"/>
        <v/>
      </c>
      <c r="H21" s="2" t="s">
        <v>264</v>
      </c>
      <c r="I21" s="5" t="s">
        <v>262</v>
      </c>
    </row>
    <row r="22" spans="1:9" ht="15">
      <c r="A22" s="2" t="str">
        <f>IF('02_KICH_BAN_NODES'!D8="choice",'02_KICH_BAN_NODES'!B8,"")</f>
        <v>N004</v>
      </c>
      <c r="B22" s="2" t="str">
        <f>IF(A22="","",'02_KICH_BAN_NODES'!E8)</f>
        <v>Tương tác</v>
      </c>
      <c r="C22" s="2">
        <f>IF(A22="","",COUNTIF('03_LUA_CHON'!$A$5:$A$404,A22))</f>
        <v>2</v>
      </c>
      <c r="D22" s="2">
        <f>IF(A22="","",COUNTIFS('03_LUA_CHON'!$A$5:$A$404,A22,'03_LUA_CHON'!$D$5:$D$404,"Có"))</f>
        <v>0</v>
      </c>
      <c r="E22" s="2" t="str">
        <f t="shared" si="0"/>
        <v>HỢP LỆ</v>
      </c>
      <c r="F22" s="2" t="str">
        <f t="shared" si="1"/>
        <v/>
      </c>
      <c r="H22" s="2" t="s">
        <v>265</v>
      </c>
      <c r="I22" s="5" t="s">
        <v>262</v>
      </c>
    </row>
    <row r="23" spans="1:9" ht="15">
      <c r="A23" s="2" t="str">
        <f>IF('02_KICH_BAN_NODES'!D9="choice",'02_KICH_BAN_NODES'!B9,"")</f>
        <v>N005</v>
      </c>
      <c r="B23" s="2" t="str">
        <f>IF(A23="","",'02_KICH_BAN_NODES'!E9)</f>
        <v>Kiến thức</v>
      </c>
      <c r="C23" s="2">
        <f>IF(A23="","",COUNTIF('03_LUA_CHON'!$A$5:$A$404,A23))</f>
        <v>3</v>
      </c>
      <c r="D23" s="2">
        <f>IF(A23="","",COUNTIFS('03_LUA_CHON'!$A$5:$A$404,A23,'03_LUA_CHON'!$D$5:$D$404,"Có"))</f>
        <v>1</v>
      </c>
      <c r="E23" s="2" t="str">
        <f t="shared" si="0"/>
        <v>HỢP LỆ</v>
      </c>
      <c r="F23" s="2" t="str">
        <f t="shared" si="1"/>
        <v/>
      </c>
      <c r="H23" s="2" t="s">
        <v>266</v>
      </c>
      <c r="I23" s="5" t="s">
        <v>262</v>
      </c>
    </row>
    <row r="24" spans="1:9" ht="15">
      <c r="A24" s="2" t="str">
        <f>IF('02_KICH_BAN_NODES'!D10="choice",'02_KICH_BAN_NODES'!B10,"")</f>
        <v>N006</v>
      </c>
      <c r="B24" s="2" t="str">
        <f>IF(A24="","",'02_KICH_BAN_NODES'!E10)</f>
        <v>Kiến thức</v>
      </c>
      <c r="C24" s="2">
        <f>IF(A24="","",COUNTIF('03_LUA_CHON'!$A$5:$A$404,A24))</f>
        <v>3</v>
      </c>
      <c r="D24" s="2">
        <f>IF(A24="","",COUNTIFS('03_LUA_CHON'!$A$5:$A$404,A24,'03_LUA_CHON'!$D$5:$D$404,"Có"))</f>
        <v>1</v>
      </c>
      <c r="E24" s="2" t="str">
        <f t="shared" si="0"/>
        <v>HỢP LỆ</v>
      </c>
      <c r="F24" s="2" t="str">
        <f t="shared" si="1"/>
        <v/>
      </c>
      <c r="H24" s="2" t="s">
        <v>267</v>
      </c>
      <c r="I24" s="5" t="s">
        <v>262</v>
      </c>
    </row>
    <row r="25" spans="1:9" ht="15">
      <c r="A25" s="2" t="str">
        <f>IF('02_KICH_BAN_NODES'!D11="choice",'02_KICH_BAN_NODES'!B11,"")</f>
        <v>N007</v>
      </c>
      <c r="B25" s="2" t="str">
        <f>IF(A25="","",'02_KICH_BAN_NODES'!E11)</f>
        <v>Kiến thức</v>
      </c>
      <c r="C25" s="2">
        <f>IF(A25="","",COUNTIF('03_LUA_CHON'!$A$5:$A$404,A25))</f>
        <v>3</v>
      </c>
      <c r="D25" s="2">
        <f>IF(A25="","",COUNTIFS('03_LUA_CHON'!$A$5:$A$404,A25,'03_LUA_CHON'!$D$5:$D$404,"Có"))</f>
        <v>1</v>
      </c>
      <c r="E25" s="2" t="str">
        <f t="shared" si="0"/>
        <v>HỢP LỆ</v>
      </c>
      <c r="F25" s="2" t="str">
        <f t="shared" si="1"/>
        <v/>
      </c>
      <c r="H25" s="2" t="s">
        <v>268</v>
      </c>
      <c r="I25" s="5" t="s">
        <v>262</v>
      </c>
    </row>
    <row r="26" spans="1:9" ht="15">
      <c r="A26" s="2" t="str">
        <f>IF('02_KICH_BAN_NODES'!D12="choice",'02_KICH_BAN_NODES'!B12,"")</f>
        <v>N008</v>
      </c>
      <c r="B26" s="2" t="str">
        <f>IF(A26="","",'02_KICH_BAN_NODES'!E12)</f>
        <v>Kiến thức</v>
      </c>
      <c r="C26" s="2">
        <f>IF(A26="","",COUNTIF('03_LUA_CHON'!$A$5:$A$404,A26))</f>
        <v>3</v>
      </c>
      <c r="D26" s="2">
        <f>IF(A26="","",COUNTIFS('03_LUA_CHON'!$A$5:$A$404,A26,'03_LUA_CHON'!$D$5:$D$404,"Có"))</f>
        <v>1</v>
      </c>
      <c r="E26" s="2" t="str">
        <f t="shared" si="0"/>
        <v>HỢP LỆ</v>
      </c>
      <c r="F26" s="2" t="str">
        <f t="shared" si="1"/>
        <v/>
      </c>
    </row>
    <row r="27" spans="1:9">
      <c r="A27" s="2" t="str">
        <f>IF('02_KICH_BAN_NODES'!D13="choice",'02_KICH_BAN_NODES'!B13,"")</f>
        <v/>
      </c>
      <c r="B27" s="2" t="str">
        <f>IF(A27="","",'02_KICH_BAN_NODES'!E13)</f>
        <v/>
      </c>
      <c r="C27" s="2" t="str">
        <f>IF(A27="","",COUNTIF('03_LUA_CHON'!$A$5:$A$404,A27))</f>
        <v/>
      </c>
      <c r="D27" s="2" t="str">
        <f>IF(A27="","",COUNTIFS('03_LUA_CHON'!$A$5:$A$404,A27,'03_LUA_CHON'!$D$5:$D$404,"Có"))</f>
        <v/>
      </c>
      <c r="E27" s="2" t="str">
        <f t="shared" si="0"/>
        <v/>
      </c>
      <c r="F27" s="2" t="str">
        <f t="shared" si="1"/>
        <v/>
      </c>
    </row>
    <row r="28" spans="1:9">
      <c r="A28" s="2" t="str">
        <f>IF('02_KICH_BAN_NODES'!D14="choice",'02_KICH_BAN_NODES'!B14,"")</f>
        <v/>
      </c>
      <c r="B28" s="2" t="str">
        <f>IF(A28="","",'02_KICH_BAN_NODES'!E14)</f>
        <v/>
      </c>
      <c r="C28" s="2" t="str">
        <f>IF(A28="","",COUNTIF('03_LUA_CHON'!$A$5:$A$404,A28))</f>
        <v/>
      </c>
      <c r="D28" s="2" t="str">
        <f>IF(A28="","",COUNTIFS('03_LUA_CHON'!$A$5:$A$404,A28,'03_LUA_CHON'!$D$5:$D$404,"Có"))</f>
        <v/>
      </c>
      <c r="E28" s="2" t="str">
        <f t="shared" si="0"/>
        <v/>
      </c>
      <c r="F28" s="2" t="str">
        <f t="shared" si="1"/>
        <v/>
      </c>
    </row>
    <row r="29" spans="1:9">
      <c r="A29" s="2" t="str">
        <f>IF('02_KICH_BAN_NODES'!D15="choice",'02_KICH_BAN_NODES'!B15,"")</f>
        <v/>
      </c>
      <c r="B29" s="2" t="str">
        <f>IF(A29="","",'02_KICH_BAN_NODES'!E15)</f>
        <v/>
      </c>
      <c r="C29" s="2" t="str">
        <f>IF(A29="","",COUNTIF('03_LUA_CHON'!$A$5:$A$404,A29))</f>
        <v/>
      </c>
      <c r="D29" s="2" t="str">
        <f>IF(A29="","",COUNTIFS('03_LUA_CHON'!$A$5:$A$404,A29,'03_LUA_CHON'!$D$5:$D$404,"Có"))</f>
        <v/>
      </c>
      <c r="E29" s="2" t="str">
        <f t="shared" si="0"/>
        <v/>
      </c>
      <c r="F29" s="2" t="str">
        <f t="shared" si="1"/>
        <v/>
      </c>
    </row>
    <row r="30" spans="1:9">
      <c r="A30" s="2" t="str">
        <f>IF('02_KICH_BAN_NODES'!D16="choice",'02_KICH_BAN_NODES'!B16,"")</f>
        <v/>
      </c>
      <c r="B30" s="2" t="str">
        <f>IF(A30="","",'02_KICH_BAN_NODES'!E16)</f>
        <v/>
      </c>
      <c r="C30" s="2" t="str">
        <f>IF(A30="","",COUNTIF('03_LUA_CHON'!$A$5:$A$404,A30))</f>
        <v/>
      </c>
      <c r="D30" s="2" t="str">
        <f>IF(A30="","",COUNTIFS('03_LUA_CHON'!$A$5:$A$404,A30,'03_LUA_CHON'!$D$5:$D$404,"Có"))</f>
        <v/>
      </c>
      <c r="E30" s="2" t="str">
        <f t="shared" si="0"/>
        <v/>
      </c>
      <c r="F30" s="2" t="str">
        <f t="shared" si="1"/>
        <v/>
      </c>
    </row>
    <row r="31" spans="1:9" ht="15">
      <c r="A31" s="2" t="str">
        <f>IF('02_KICH_BAN_NODES'!D17="choice",'02_KICH_BAN_NODES'!B17,"")</f>
        <v>N013</v>
      </c>
      <c r="B31" s="2" t="str">
        <f>IF(A31="","",'02_KICH_BAN_NODES'!E17)</f>
        <v>Kiến thức</v>
      </c>
      <c r="C31" s="2">
        <f>IF(A31="","",COUNTIF('03_LUA_CHON'!$A$5:$A$404,A31))</f>
        <v>3</v>
      </c>
      <c r="D31" s="2">
        <f>IF(A31="","",COUNTIFS('03_LUA_CHON'!$A$5:$A$404,A31,'03_LUA_CHON'!$D$5:$D$404,"Có"))</f>
        <v>1</v>
      </c>
      <c r="E31" s="2" t="str">
        <f t="shared" si="0"/>
        <v>HỢP LỆ</v>
      </c>
      <c r="F31" s="2" t="str">
        <f t="shared" si="1"/>
        <v/>
      </c>
    </row>
    <row r="32" spans="1:9" ht="15">
      <c r="A32" s="2" t="str">
        <f>IF('02_KICH_BAN_NODES'!D18="choice",'02_KICH_BAN_NODES'!B18,"")</f>
        <v>N014</v>
      </c>
      <c r="B32" s="2" t="str">
        <f>IF(A32="","",'02_KICH_BAN_NODES'!E18)</f>
        <v>Kiến thức</v>
      </c>
      <c r="C32" s="2">
        <f>IF(A32="","",COUNTIF('03_LUA_CHON'!$A$5:$A$404,A32))</f>
        <v>3</v>
      </c>
      <c r="D32" s="2">
        <f>IF(A32="","",COUNTIFS('03_LUA_CHON'!$A$5:$A$404,A32,'03_LUA_CHON'!$D$5:$D$404,"Có"))</f>
        <v>1</v>
      </c>
      <c r="E32" s="2" t="str">
        <f t="shared" si="0"/>
        <v>HỢP LỆ</v>
      </c>
      <c r="F32" s="2" t="str">
        <f t="shared" si="1"/>
        <v/>
      </c>
    </row>
    <row r="33" spans="1:6" ht="15">
      <c r="A33" s="2" t="str">
        <f>IF('02_KICH_BAN_NODES'!D19="choice",'02_KICH_BAN_NODES'!B19,"")</f>
        <v>N015</v>
      </c>
      <c r="B33" s="2" t="str">
        <f>IF(A33="","",'02_KICH_BAN_NODES'!E19)</f>
        <v>Kiến thức</v>
      </c>
      <c r="C33" s="2">
        <f>IF(A33="","",COUNTIF('03_LUA_CHON'!$A$5:$A$404,A33))</f>
        <v>3</v>
      </c>
      <c r="D33" s="2">
        <f>IF(A33="","",COUNTIFS('03_LUA_CHON'!$A$5:$A$404,A33,'03_LUA_CHON'!$D$5:$D$404,"Có"))</f>
        <v>1</v>
      </c>
      <c r="E33" s="2" t="str">
        <f t="shared" si="0"/>
        <v>HỢP LỆ</v>
      </c>
      <c r="F33" s="2" t="str">
        <f t="shared" si="1"/>
        <v/>
      </c>
    </row>
    <row r="34" spans="1:6" ht="15">
      <c r="A34" s="2" t="str">
        <f>IF('02_KICH_BAN_NODES'!D20="choice",'02_KICH_BAN_NODES'!B20,"")</f>
        <v>N016</v>
      </c>
      <c r="B34" s="2" t="str">
        <f>IF(A34="","",'02_KICH_BAN_NODES'!E20)</f>
        <v>Kiến thức</v>
      </c>
      <c r="C34" s="2">
        <f>IF(A34="","",COUNTIF('03_LUA_CHON'!$A$5:$A$404,A34))</f>
        <v>3</v>
      </c>
      <c r="D34" s="2">
        <f>IF(A34="","",COUNTIFS('03_LUA_CHON'!$A$5:$A$404,A34,'03_LUA_CHON'!$D$5:$D$404,"Có"))</f>
        <v>1</v>
      </c>
      <c r="E34" s="2" t="str">
        <f t="shared" si="0"/>
        <v>HỢP LỆ</v>
      </c>
      <c r="F34" s="2" t="str">
        <f t="shared" si="1"/>
        <v/>
      </c>
    </row>
    <row r="35" spans="1:6" ht="15">
      <c r="A35" s="2" t="str">
        <f>IF('02_KICH_BAN_NODES'!D21="choice",'02_KICH_BAN_NODES'!B21,"")</f>
        <v>N017</v>
      </c>
      <c r="B35" s="2" t="str">
        <f>IF(A35="","",'02_KICH_BAN_NODES'!E21)</f>
        <v>Kiến thức</v>
      </c>
      <c r="C35" s="2">
        <f>IF(A35="","",COUNTIF('03_LUA_CHON'!$A$5:$A$404,A35))</f>
        <v>3</v>
      </c>
      <c r="D35" s="2">
        <f>IF(A35="","",COUNTIFS('03_LUA_CHON'!$A$5:$A$404,A35,'03_LUA_CHON'!$D$5:$D$404,"Có"))</f>
        <v>1</v>
      </c>
      <c r="E35" s="2" t="str">
        <f t="shared" si="0"/>
        <v>HỢP LỆ</v>
      </c>
      <c r="F35" s="2" t="str">
        <f t="shared" si="1"/>
        <v/>
      </c>
    </row>
    <row r="36" spans="1:6" ht="15">
      <c r="A36" s="2" t="str">
        <f>IF('02_KICH_BAN_NODES'!D22="choice",'02_KICH_BAN_NODES'!B22,"")</f>
        <v>N018</v>
      </c>
      <c r="B36" s="2" t="str">
        <f>IF(A36="","",'02_KICH_BAN_NODES'!E22)</f>
        <v>Kiến thức</v>
      </c>
      <c r="C36" s="2">
        <f>IF(A36="","",COUNTIF('03_LUA_CHON'!$A$5:$A$404,A36))</f>
        <v>3</v>
      </c>
      <c r="D36" s="2">
        <f>IF(A36="","",COUNTIFS('03_LUA_CHON'!$A$5:$A$404,A36,'03_LUA_CHON'!$D$5:$D$404,"Có"))</f>
        <v>1</v>
      </c>
      <c r="E36" s="2" t="str">
        <f t="shared" si="0"/>
        <v>HỢP LỆ</v>
      </c>
      <c r="F36" s="2" t="str">
        <f t="shared" si="1"/>
        <v/>
      </c>
    </row>
    <row r="37" spans="1:6">
      <c r="A37" s="2" t="str">
        <f>IF('02_KICH_BAN_NODES'!D23="choice",'02_KICH_BAN_NODES'!B23,"")</f>
        <v/>
      </c>
      <c r="B37" s="2" t="str">
        <f>IF(A37="","",'02_KICH_BAN_NODES'!E23)</f>
        <v/>
      </c>
      <c r="C37" s="2" t="str">
        <f>IF(A37="","",COUNTIF('03_LUA_CHON'!$A$5:$A$404,A37))</f>
        <v/>
      </c>
      <c r="D37" s="2" t="str">
        <f>IF(A37="","",COUNTIFS('03_LUA_CHON'!$A$5:$A$404,A37,'03_LUA_CHON'!$D$5:$D$404,"Có"))</f>
        <v/>
      </c>
      <c r="E37" s="2" t="str">
        <f t="shared" si="0"/>
        <v/>
      </c>
      <c r="F37" s="2" t="str">
        <f t="shared" si="1"/>
        <v/>
      </c>
    </row>
    <row r="38" spans="1:6">
      <c r="A38" s="2" t="str">
        <f>IF('02_KICH_BAN_NODES'!D24="choice",'02_KICH_BAN_NODES'!B24,"")</f>
        <v/>
      </c>
      <c r="B38" s="2" t="str">
        <f>IF(A38="","",'02_KICH_BAN_NODES'!E24)</f>
        <v/>
      </c>
      <c r="C38" s="2" t="str">
        <f>IF(A38="","",COUNTIF('03_LUA_CHON'!$A$5:$A$404,A38))</f>
        <v/>
      </c>
      <c r="D38" s="2" t="str">
        <f>IF(A38="","",COUNTIFS('03_LUA_CHON'!$A$5:$A$404,A38,'03_LUA_CHON'!$D$5:$D$404,"Có"))</f>
        <v/>
      </c>
      <c r="E38" s="2" t="str">
        <f t="shared" si="0"/>
        <v/>
      </c>
      <c r="F38" s="2" t="str">
        <f t="shared" si="1"/>
        <v/>
      </c>
    </row>
    <row r="39" spans="1:6">
      <c r="A39" s="2" t="str">
        <f>IF('02_KICH_BAN_NODES'!D25="choice",'02_KICH_BAN_NODES'!B25,"")</f>
        <v/>
      </c>
      <c r="B39" s="2" t="str">
        <f>IF(A39="","",'02_KICH_BAN_NODES'!E25)</f>
        <v/>
      </c>
      <c r="C39" s="2" t="str">
        <f>IF(A39="","",COUNTIF('03_LUA_CHON'!$A$5:$A$404,A39))</f>
        <v/>
      </c>
      <c r="D39" s="2" t="str">
        <f>IF(A39="","",COUNTIFS('03_LUA_CHON'!$A$5:$A$404,A39,'03_LUA_CHON'!$D$5:$D$404,"Có"))</f>
        <v/>
      </c>
      <c r="E39" s="2" t="str">
        <f t="shared" si="0"/>
        <v/>
      </c>
      <c r="F39" s="2" t="str">
        <f t="shared" si="1"/>
        <v/>
      </c>
    </row>
    <row r="40" spans="1:6">
      <c r="A40" s="2" t="str">
        <f>IF('02_KICH_BAN_NODES'!D26="choice",'02_KICH_BAN_NODES'!B26,"")</f>
        <v/>
      </c>
      <c r="B40" s="2" t="str">
        <f>IF(A40="","",'02_KICH_BAN_NODES'!E26)</f>
        <v/>
      </c>
      <c r="C40" s="2" t="str">
        <f>IF(A40="","",COUNTIF('03_LUA_CHON'!$A$5:$A$404,A40))</f>
        <v/>
      </c>
      <c r="D40" s="2" t="str">
        <f>IF(A40="","",COUNTIFS('03_LUA_CHON'!$A$5:$A$404,A40,'03_LUA_CHON'!$D$5:$D$404,"Có"))</f>
        <v/>
      </c>
      <c r="E40" s="2" t="str">
        <f t="shared" si="0"/>
        <v/>
      </c>
      <c r="F40" s="2" t="str">
        <f t="shared" si="1"/>
        <v/>
      </c>
    </row>
    <row r="41" spans="1:6" ht="15">
      <c r="A41" s="2" t="str">
        <f>IF('02_KICH_BAN_NODES'!D27="choice",'02_KICH_BAN_NODES'!B27,"")</f>
        <v>N023</v>
      </c>
      <c r="B41" s="2" t="str">
        <f>IF(A41="","",'02_KICH_BAN_NODES'!E27)</f>
        <v>Kiến thức</v>
      </c>
      <c r="C41" s="2">
        <f>IF(A41="","",COUNTIF('03_LUA_CHON'!$A$5:$A$404,A41))</f>
        <v>3</v>
      </c>
      <c r="D41" s="2">
        <f>IF(A41="","",COUNTIFS('03_LUA_CHON'!$A$5:$A$404,A41,'03_LUA_CHON'!$D$5:$D$404,"Có"))</f>
        <v>1</v>
      </c>
      <c r="E41" s="2" t="str">
        <f t="shared" si="0"/>
        <v>HỢP LỆ</v>
      </c>
      <c r="F41" s="2" t="str">
        <f t="shared" si="1"/>
        <v/>
      </c>
    </row>
    <row r="42" spans="1:6" ht="15">
      <c r="A42" s="2" t="str">
        <f>IF('02_KICH_BAN_NODES'!D28="choice",'02_KICH_BAN_NODES'!B28,"")</f>
        <v>N024</v>
      </c>
      <c r="B42" s="2" t="str">
        <f>IF(A42="","",'02_KICH_BAN_NODES'!E28)</f>
        <v>Kiến thức</v>
      </c>
      <c r="C42" s="2">
        <f>IF(A42="","",COUNTIF('03_LUA_CHON'!$A$5:$A$404,A42))</f>
        <v>3</v>
      </c>
      <c r="D42" s="2">
        <f>IF(A42="","",COUNTIFS('03_LUA_CHON'!$A$5:$A$404,A42,'03_LUA_CHON'!$D$5:$D$404,"Có"))</f>
        <v>1</v>
      </c>
      <c r="E42" s="2" t="str">
        <f t="shared" si="0"/>
        <v>HỢP LỆ</v>
      </c>
      <c r="F42" s="2" t="str">
        <f t="shared" si="1"/>
        <v/>
      </c>
    </row>
    <row r="43" spans="1:6" ht="15">
      <c r="A43" s="2" t="str">
        <f>IF('02_KICH_BAN_NODES'!D29="choice",'02_KICH_BAN_NODES'!B29,"")</f>
        <v>N025</v>
      </c>
      <c r="B43" s="2" t="str">
        <f>IF(A43="","",'02_KICH_BAN_NODES'!E29)</f>
        <v>Kiến thức</v>
      </c>
      <c r="C43" s="2">
        <f>IF(A43="","",COUNTIF('03_LUA_CHON'!$A$5:$A$404,A43))</f>
        <v>3</v>
      </c>
      <c r="D43" s="2">
        <f>IF(A43="","",COUNTIFS('03_LUA_CHON'!$A$5:$A$404,A43,'03_LUA_CHON'!$D$5:$D$404,"Có"))</f>
        <v>1</v>
      </c>
      <c r="E43" s="2" t="str">
        <f t="shared" si="0"/>
        <v>HỢP LỆ</v>
      </c>
      <c r="F43" s="2" t="str">
        <f t="shared" si="1"/>
        <v/>
      </c>
    </row>
    <row r="44" spans="1:6" ht="15">
      <c r="A44" s="2" t="str">
        <f>IF('02_KICH_BAN_NODES'!D30="choice",'02_KICH_BAN_NODES'!B30,"")</f>
        <v>N026</v>
      </c>
      <c r="B44" s="2" t="str">
        <f>IF(A44="","",'02_KICH_BAN_NODES'!E30)</f>
        <v>Kiến thức</v>
      </c>
      <c r="C44" s="2">
        <f>IF(A44="","",COUNTIF('03_LUA_CHON'!$A$5:$A$404,A44))</f>
        <v>3</v>
      </c>
      <c r="D44" s="2">
        <f>IF(A44="","",COUNTIFS('03_LUA_CHON'!$A$5:$A$404,A44,'03_LUA_CHON'!$D$5:$D$404,"Có"))</f>
        <v>1</v>
      </c>
      <c r="E44" s="2" t="str">
        <f t="shared" si="0"/>
        <v>HỢP LỆ</v>
      </c>
      <c r="F44" s="2" t="str">
        <f t="shared" si="1"/>
        <v/>
      </c>
    </row>
    <row r="45" spans="1:6">
      <c r="A45" s="2" t="str">
        <f>IF('02_KICH_BAN_NODES'!D31="choice",'02_KICH_BAN_NODES'!B31,"")</f>
        <v/>
      </c>
      <c r="B45" s="2" t="str">
        <f>IF(A45="","",'02_KICH_BAN_NODES'!E31)</f>
        <v/>
      </c>
      <c r="C45" s="2" t="str">
        <f>IF(A45="","",COUNTIF('03_LUA_CHON'!$A$5:$A$404,A45))</f>
        <v/>
      </c>
      <c r="D45" s="2" t="str">
        <f>IF(A45="","",COUNTIFS('03_LUA_CHON'!$A$5:$A$404,A45,'03_LUA_CHON'!$D$5:$D$404,"Có"))</f>
        <v/>
      </c>
      <c r="E45" s="2" t="str">
        <f t="shared" si="0"/>
        <v/>
      </c>
      <c r="F45" s="2" t="str">
        <f t="shared" si="1"/>
        <v/>
      </c>
    </row>
    <row r="46" spans="1:6">
      <c r="A46" s="2" t="str">
        <f>IF('02_KICH_BAN_NODES'!D32="choice",'02_KICH_BAN_NODES'!B32,"")</f>
        <v/>
      </c>
      <c r="B46" s="2" t="str">
        <f>IF(A46="","",'02_KICH_BAN_NODES'!E32)</f>
        <v/>
      </c>
      <c r="C46" s="2" t="str">
        <f>IF(A46="","",COUNTIF('03_LUA_CHON'!$A$5:$A$404,A46))</f>
        <v/>
      </c>
      <c r="D46" s="2" t="str">
        <f>IF(A46="","",COUNTIFS('03_LUA_CHON'!$A$5:$A$404,A46,'03_LUA_CHON'!$D$5:$D$404,"Có"))</f>
        <v/>
      </c>
      <c r="E46" s="2" t="str">
        <f t="shared" si="0"/>
        <v/>
      </c>
      <c r="F46" s="2" t="str">
        <f t="shared" si="1"/>
        <v/>
      </c>
    </row>
    <row r="47" spans="1:6">
      <c r="A47" s="2" t="str">
        <f>IF('02_KICH_BAN_NODES'!D33="choice",'02_KICH_BAN_NODES'!B33,"")</f>
        <v/>
      </c>
      <c r="B47" s="2" t="str">
        <f>IF(A47="","",'02_KICH_BAN_NODES'!E33)</f>
        <v/>
      </c>
      <c r="C47" s="2" t="str">
        <f>IF(A47="","",COUNTIF('03_LUA_CHON'!$A$5:$A$404,A47))</f>
        <v/>
      </c>
      <c r="D47" s="2" t="str">
        <f>IF(A47="","",COUNTIFS('03_LUA_CHON'!$A$5:$A$404,A47,'03_LUA_CHON'!$D$5:$D$404,"Có"))</f>
        <v/>
      </c>
      <c r="E47" s="2" t="str">
        <f t="shared" si="0"/>
        <v/>
      </c>
      <c r="F47" s="2" t="str">
        <f t="shared" si="1"/>
        <v/>
      </c>
    </row>
    <row r="48" spans="1:6">
      <c r="A48" s="2" t="str">
        <f>IF('02_KICH_BAN_NODES'!D34="choice",'02_KICH_BAN_NODES'!B34,"")</f>
        <v/>
      </c>
      <c r="B48" s="2" t="str">
        <f>IF(A48="","",'02_KICH_BAN_NODES'!E34)</f>
        <v/>
      </c>
      <c r="C48" s="2" t="str">
        <f>IF(A48="","",COUNTIF('03_LUA_CHON'!$A$5:$A$404,A48))</f>
        <v/>
      </c>
      <c r="D48" s="2" t="str">
        <f>IF(A48="","",COUNTIFS('03_LUA_CHON'!$A$5:$A$404,A48,'03_LUA_CHON'!$D$5:$D$404,"Có"))</f>
        <v/>
      </c>
      <c r="E48" s="2" t="str">
        <f t="shared" si="0"/>
        <v/>
      </c>
      <c r="F48" s="2" t="str">
        <f t="shared" si="1"/>
        <v/>
      </c>
    </row>
    <row r="49" spans="1:6">
      <c r="A49" s="2" t="str">
        <f>IF('02_KICH_BAN_NODES'!D35="choice",'02_KICH_BAN_NODES'!B35,"")</f>
        <v/>
      </c>
      <c r="B49" s="2" t="str">
        <f>IF(A49="","",'02_KICH_BAN_NODES'!E35)</f>
        <v/>
      </c>
      <c r="C49" s="2" t="str">
        <f>IF(A49="","",COUNTIF('03_LUA_CHON'!$A$5:$A$404,A49))</f>
        <v/>
      </c>
      <c r="D49" s="2" t="str">
        <f>IF(A49="","",COUNTIFS('03_LUA_CHON'!$A$5:$A$404,A49,'03_LUA_CHON'!$D$5:$D$404,"Có"))</f>
        <v/>
      </c>
      <c r="E49" s="2" t="str">
        <f t="shared" si="0"/>
        <v/>
      </c>
      <c r="F49" s="2" t="str">
        <f t="shared" si="1"/>
        <v/>
      </c>
    </row>
    <row r="50" spans="1:6">
      <c r="A50" s="2" t="str">
        <f>IF('02_KICH_BAN_NODES'!D36="choice",'02_KICH_BAN_NODES'!B36,"")</f>
        <v/>
      </c>
      <c r="B50" s="2" t="str">
        <f>IF(A50="","",'02_KICH_BAN_NODES'!E36)</f>
        <v/>
      </c>
      <c r="C50" s="2" t="str">
        <f>IF(A50="","",COUNTIF('03_LUA_CHON'!$A$5:$A$404,A50))</f>
        <v/>
      </c>
      <c r="D50" s="2" t="str">
        <f>IF(A50="","",COUNTIFS('03_LUA_CHON'!$A$5:$A$404,A50,'03_LUA_CHON'!$D$5:$D$404,"Có"))</f>
        <v/>
      </c>
      <c r="E50" s="2" t="str">
        <f t="shared" si="0"/>
        <v/>
      </c>
      <c r="F50" s="2" t="str">
        <f t="shared" si="1"/>
        <v/>
      </c>
    </row>
    <row r="51" spans="1:6">
      <c r="A51" s="2" t="str">
        <f>IF('02_KICH_BAN_NODES'!D37="choice",'02_KICH_BAN_NODES'!B37,"")</f>
        <v/>
      </c>
      <c r="B51" s="2" t="str">
        <f>IF(A51="","",'02_KICH_BAN_NODES'!E37)</f>
        <v/>
      </c>
      <c r="C51" s="2" t="str">
        <f>IF(A51="","",COUNTIF('03_LUA_CHON'!$A$5:$A$404,A51))</f>
        <v/>
      </c>
      <c r="D51" s="2" t="str">
        <f>IF(A51="","",COUNTIFS('03_LUA_CHON'!$A$5:$A$404,A51,'03_LUA_CHON'!$D$5:$D$404,"Có"))</f>
        <v/>
      </c>
      <c r="E51" s="2" t="str">
        <f t="shared" ref="E51:E82" si="2">IF(A51="","",IF(OR(C51&lt;2,C51&gt;4),"CẦN SỬA",IF(AND(B51="Kiến thức",D51=1),"HỢP LỆ",IF(AND(B51="Tương tác",D51=0),"HỢP LỆ","CẦN SỬA"))))</f>
        <v/>
      </c>
      <c r="F51" s="2" t="str">
        <f t="shared" ref="F51:F82" si="3">IF(A51="","",IF(OR(C51&lt;2,C51&gt;4),"Cần 2–4 option",IF(AND(B51="Kiến thức",D51&lt;&gt;1),"Câu kiến thức cần đúng 1 đáp án đúng",IF(AND(B51="Tương tác",D51&lt;&gt;0),"Câu tương tác không có đáp án đúng",IF(B51="","Thiếu ChoiceMode","")))))</f>
        <v/>
      </c>
    </row>
    <row r="52" spans="1:6">
      <c r="A52" s="2" t="str">
        <f>IF('02_KICH_BAN_NODES'!D38="choice",'02_KICH_BAN_NODES'!B38,"")</f>
        <v/>
      </c>
      <c r="B52" s="2" t="str">
        <f>IF(A52="","",'02_KICH_BAN_NODES'!E38)</f>
        <v/>
      </c>
      <c r="C52" s="2" t="str">
        <f>IF(A52="","",COUNTIF('03_LUA_CHON'!$A$5:$A$404,A52))</f>
        <v/>
      </c>
      <c r="D52" s="2" t="str">
        <f>IF(A52="","",COUNTIFS('03_LUA_CHON'!$A$5:$A$404,A52,'03_LUA_CHON'!$D$5:$D$404,"Có"))</f>
        <v/>
      </c>
      <c r="E52" s="2" t="str">
        <f t="shared" si="2"/>
        <v/>
      </c>
      <c r="F52" s="2" t="str">
        <f t="shared" si="3"/>
        <v/>
      </c>
    </row>
    <row r="53" spans="1:6">
      <c r="A53" s="2" t="str">
        <f>IF('02_KICH_BAN_NODES'!D39="choice",'02_KICH_BAN_NODES'!B39,"")</f>
        <v/>
      </c>
      <c r="B53" s="2" t="str">
        <f>IF(A53="","",'02_KICH_BAN_NODES'!E39)</f>
        <v/>
      </c>
      <c r="C53" s="2" t="str">
        <f>IF(A53="","",COUNTIF('03_LUA_CHON'!$A$5:$A$404,A53))</f>
        <v/>
      </c>
      <c r="D53" s="2" t="str">
        <f>IF(A53="","",COUNTIFS('03_LUA_CHON'!$A$5:$A$404,A53,'03_LUA_CHON'!$D$5:$D$404,"Có"))</f>
        <v/>
      </c>
      <c r="E53" s="2" t="str">
        <f t="shared" si="2"/>
        <v/>
      </c>
      <c r="F53" s="2" t="str">
        <f t="shared" si="3"/>
        <v/>
      </c>
    </row>
    <row r="54" spans="1:6">
      <c r="A54" s="2" t="str">
        <f>IF('02_KICH_BAN_NODES'!D40="choice",'02_KICH_BAN_NODES'!B40,"")</f>
        <v/>
      </c>
      <c r="B54" s="2" t="str">
        <f>IF(A54="","",'02_KICH_BAN_NODES'!E40)</f>
        <v/>
      </c>
      <c r="C54" s="2" t="str">
        <f>IF(A54="","",COUNTIF('03_LUA_CHON'!$A$5:$A$404,A54))</f>
        <v/>
      </c>
      <c r="D54" s="2" t="str">
        <f>IF(A54="","",COUNTIFS('03_LUA_CHON'!$A$5:$A$404,A54,'03_LUA_CHON'!$D$5:$D$404,"Có"))</f>
        <v/>
      </c>
      <c r="E54" s="2" t="str">
        <f t="shared" si="2"/>
        <v/>
      </c>
      <c r="F54" s="2" t="str">
        <f t="shared" si="3"/>
        <v/>
      </c>
    </row>
    <row r="55" spans="1:6">
      <c r="A55" s="2" t="str">
        <f>IF('02_KICH_BAN_NODES'!D41="choice",'02_KICH_BAN_NODES'!B41,"")</f>
        <v/>
      </c>
      <c r="B55" s="2" t="str">
        <f>IF(A55="","",'02_KICH_BAN_NODES'!E41)</f>
        <v/>
      </c>
      <c r="C55" s="2" t="str">
        <f>IF(A55="","",COUNTIF('03_LUA_CHON'!$A$5:$A$404,A55))</f>
        <v/>
      </c>
      <c r="D55" s="2" t="str">
        <f>IF(A55="","",COUNTIFS('03_LUA_CHON'!$A$5:$A$404,A55,'03_LUA_CHON'!$D$5:$D$404,"Có"))</f>
        <v/>
      </c>
      <c r="E55" s="2" t="str">
        <f t="shared" si="2"/>
        <v/>
      </c>
      <c r="F55" s="2" t="str">
        <f t="shared" si="3"/>
        <v/>
      </c>
    </row>
    <row r="56" spans="1:6">
      <c r="A56" s="2" t="str">
        <f>IF('02_KICH_BAN_NODES'!D42="choice",'02_KICH_BAN_NODES'!B42,"")</f>
        <v/>
      </c>
      <c r="B56" s="2" t="str">
        <f>IF(A56="","",'02_KICH_BAN_NODES'!E42)</f>
        <v/>
      </c>
      <c r="C56" s="2" t="str">
        <f>IF(A56="","",COUNTIF('03_LUA_CHON'!$A$5:$A$404,A56))</f>
        <v/>
      </c>
      <c r="D56" s="2" t="str">
        <f>IF(A56="","",COUNTIFS('03_LUA_CHON'!$A$5:$A$404,A56,'03_LUA_CHON'!$D$5:$D$404,"Có"))</f>
        <v/>
      </c>
      <c r="E56" s="2" t="str">
        <f t="shared" si="2"/>
        <v/>
      </c>
      <c r="F56" s="2" t="str">
        <f t="shared" si="3"/>
        <v/>
      </c>
    </row>
    <row r="57" spans="1:6">
      <c r="A57" s="2" t="str">
        <f>IF('02_KICH_BAN_NODES'!D43="choice",'02_KICH_BAN_NODES'!B43,"")</f>
        <v/>
      </c>
      <c r="B57" s="2" t="str">
        <f>IF(A57="","",'02_KICH_BAN_NODES'!E43)</f>
        <v/>
      </c>
      <c r="C57" s="2" t="str">
        <f>IF(A57="","",COUNTIF('03_LUA_CHON'!$A$5:$A$404,A57))</f>
        <v/>
      </c>
      <c r="D57" s="2" t="str">
        <f>IF(A57="","",COUNTIFS('03_LUA_CHON'!$A$5:$A$404,A57,'03_LUA_CHON'!$D$5:$D$404,"Có"))</f>
        <v/>
      </c>
      <c r="E57" s="2" t="str">
        <f t="shared" si="2"/>
        <v/>
      </c>
      <c r="F57" s="2" t="str">
        <f t="shared" si="3"/>
        <v/>
      </c>
    </row>
    <row r="58" spans="1:6">
      <c r="A58" s="2" t="str">
        <f>IF('02_KICH_BAN_NODES'!D44="choice",'02_KICH_BAN_NODES'!B44,"")</f>
        <v/>
      </c>
      <c r="B58" s="2" t="str">
        <f>IF(A58="","",'02_KICH_BAN_NODES'!E44)</f>
        <v/>
      </c>
      <c r="C58" s="2" t="str">
        <f>IF(A58="","",COUNTIF('03_LUA_CHON'!$A$5:$A$404,A58))</f>
        <v/>
      </c>
      <c r="D58" s="2" t="str">
        <f>IF(A58="","",COUNTIFS('03_LUA_CHON'!$A$5:$A$404,A58,'03_LUA_CHON'!$D$5:$D$404,"Có"))</f>
        <v/>
      </c>
      <c r="E58" s="2" t="str">
        <f t="shared" si="2"/>
        <v/>
      </c>
      <c r="F58" s="2" t="str">
        <f t="shared" si="3"/>
        <v/>
      </c>
    </row>
    <row r="59" spans="1:6">
      <c r="A59" s="2" t="str">
        <f>IF('02_KICH_BAN_NODES'!D45="choice",'02_KICH_BAN_NODES'!B45,"")</f>
        <v/>
      </c>
      <c r="B59" s="2" t="str">
        <f>IF(A59="","",'02_KICH_BAN_NODES'!E45)</f>
        <v/>
      </c>
      <c r="C59" s="2" t="str">
        <f>IF(A59="","",COUNTIF('03_LUA_CHON'!$A$5:$A$404,A59))</f>
        <v/>
      </c>
      <c r="D59" s="2" t="str">
        <f>IF(A59="","",COUNTIFS('03_LUA_CHON'!$A$5:$A$404,A59,'03_LUA_CHON'!$D$5:$D$404,"Có"))</f>
        <v/>
      </c>
      <c r="E59" s="2" t="str">
        <f t="shared" si="2"/>
        <v/>
      </c>
      <c r="F59" s="2" t="str">
        <f t="shared" si="3"/>
        <v/>
      </c>
    </row>
    <row r="60" spans="1:6">
      <c r="A60" s="2" t="str">
        <f>IF('02_KICH_BAN_NODES'!D46="choice",'02_KICH_BAN_NODES'!B46,"")</f>
        <v/>
      </c>
      <c r="B60" s="2" t="str">
        <f>IF(A60="","",'02_KICH_BAN_NODES'!E46)</f>
        <v/>
      </c>
      <c r="C60" s="2" t="str">
        <f>IF(A60="","",COUNTIF('03_LUA_CHON'!$A$5:$A$404,A60))</f>
        <v/>
      </c>
      <c r="D60" s="2" t="str">
        <f>IF(A60="","",COUNTIFS('03_LUA_CHON'!$A$5:$A$404,A60,'03_LUA_CHON'!$D$5:$D$404,"Có"))</f>
        <v/>
      </c>
      <c r="E60" s="2" t="str">
        <f t="shared" si="2"/>
        <v/>
      </c>
      <c r="F60" s="2" t="str">
        <f t="shared" si="3"/>
        <v/>
      </c>
    </row>
    <row r="61" spans="1:6">
      <c r="A61" s="2" t="str">
        <f>IF('02_KICH_BAN_NODES'!D47="choice",'02_KICH_BAN_NODES'!B47,"")</f>
        <v/>
      </c>
      <c r="B61" s="2" t="str">
        <f>IF(A61="","",'02_KICH_BAN_NODES'!E47)</f>
        <v/>
      </c>
      <c r="C61" s="2" t="str">
        <f>IF(A61="","",COUNTIF('03_LUA_CHON'!$A$5:$A$404,A61))</f>
        <v/>
      </c>
      <c r="D61" s="2" t="str">
        <f>IF(A61="","",COUNTIFS('03_LUA_CHON'!$A$5:$A$404,A61,'03_LUA_CHON'!$D$5:$D$404,"Có"))</f>
        <v/>
      </c>
      <c r="E61" s="2" t="str">
        <f t="shared" si="2"/>
        <v/>
      </c>
      <c r="F61" s="2" t="str">
        <f t="shared" si="3"/>
        <v/>
      </c>
    </row>
    <row r="62" spans="1:6">
      <c r="A62" s="2" t="str">
        <f>IF('02_KICH_BAN_NODES'!D48="choice",'02_KICH_BAN_NODES'!B48,"")</f>
        <v/>
      </c>
      <c r="B62" s="2" t="str">
        <f>IF(A62="","",'02_KICH_BAN_NODES'!E48)</f>
        <v/>
      </c>
      <c r="C62" s="2" t="str">
        <f>IF(A62="","",COUNTIF('03_LUA_CHON'!$A$5:$A$404,A62))</f>
        <v/>
      </c>
      <c r="D62" s="2" t="str">
        <f>IF(A62="","",COUNTIFS('03_LUA_CHON'!$A$5:$A$404,A62,'03_LUA_CHON'!$D$5:$D$404,"Có"))</f>
        <v/>
      </c>
      <c r="E62" s="2" t="str">
        <f t="shared" si="2"/>
        <v/>
      </c>
      <c r="F62" s="2" t="str">
        <f t="shared" si="3"/>
        <v/>
      </c>
    </row>
    <row r="63" spans="1:6">
      <c r="A63" s="2" t="str">
        <f>IF('02_KICH_BAN_NODES'!D49="choice",'02_KICH_BAN_NODES'!B49,"")</f>
        <v/>
      </c>
      <c r="B63" s="2" t="str">
        <f>IF(A63="","",'02_KICH_BAN_NODES'!E49)</f>
        <v/>
      </c>
      <c r="C63" s="2" t="str">
        <f>IF(A63="","",COUNTIF('03_LUA_CHON'!$A$5:$A$404,A63))</f>
        <v/>
      </c>
      <c r="D63" s="2" t="str">
        <f>IF(A63="","",COUNTIFS('03_LUA_CHON'!$A$5:$A$404,A63,'03_LUA_CHON'!$D$5:$D$404,"Có"))</f>
        <v/>
      </c>
      <c r="E63" s="2" t="str">
        <f t="shared" si="2"/>
        <v/>
      </c>
      <c r="F63" s="2" t="str">
        <f t="shared" si="3"/>
        <v/>
      </c>
    </row>
    <row r="64" spans="1:6">
      <c r="A64" s="2" t="str">
        <f>IF('02_KICH_BAN_NODES'!D50="choice",'02_KICH_BAN_NODES'!B50,"")</f>
        <v/>
      </c>
      <c r="B64" s="2" t="str">
        <f>IF(A64="","",'02_KICH_BAN_NODES'!E50)</f>
        <v/>
      </c>
      <c r="C64" s="2" t="str">
        <f>IF(A64="","",COUNTIF('03_LUA_CHON'!$A$5:$A$404,A64))</f>
        <v/>
      </c>
      <c r="D64" s="2" t="str">
        <f>IF(A64="","",COUNTIFS('03_LUA_CHON'!$A$5:$A$404,A64,'03_LUA_CHON'!$D$5:$D$404,"Có"))</f>
        <v/>
      </c>
      <c r="E64" s="2" t="str">
        <f t="shared" si="2"/>
        <v/>
      </c>
      <c r="F64" s="2" t="str">
        <f t="shared" si="3"/>
        <v/>
      </c>
    </row>
    <row r="65" spans="1:6">
      <c r="A65" s="2" t="str">
        <f>IF('02_KICH_BAN_NODES'!D51="choice",'02_KICH_BAN_NODES'!B51,"")</f>
        <v/>
      </c>
      <c r="B65" s="2" t="str">
        <f>IF(A65="","",'02_KICH_BAN_NODES'!E51)</f>
        <v/>
      </c>
      <c r="C65" s="2" t="str">
        <f>IF(A65="","",COUNTIF('03_LUA_CHON'!$A$5:$A$404,A65))</f>
        <v/>
      </c>
      <c r="D65" s="2" t="str">
        <f>IF(A65="","",COUNTIFS('03_LUA_CHON'!$A$5:$A$404,A65,'03_LUA_CHON'!$D$5:$D$404,"Có"))</f>
        <v/>
      </c>
      <c r="E65" s="2" t="str">
        <f t="shared" si="2"/>
        <v/>
      </c>
      <c r="F65" s="2" t="str">
        <f t="shared" si="3"/>
        <v/>
      </c>
    </row>
    <row r="66" spans="1:6">
      <c r="A66" s="2" t="str">
        <f>IF('02_KICH_BAN_NODES'!D52="choice",'02_KICH_BAN_NODES'!B52,"")</f>
        <v/>
      </c>
      <c r="B66" s="2" t="str">
        <f>IF(A66="","",'02_KICH_BAN_NODES'!E52)</f>
        <v/>
      </c>
      <c r="C66" s="2" t="str">
        <f>IF(A66="","",COUNTIF('03_LUA_CHON'!$A$5:$A$404,A66))</f>
        <v/>
      </c>
      <c r="D66" s="2" t="str">
        <f>IF(A66="","",COUNTIFS('03_LUA_CHON'!$A$5:$A$404,A66,'03_LUA_CHON'!$D$5:$D$404,"Có"))</f>
        <v/>
      </c>
      <c r="E66" s="2" t="str">
        <f t="shared" si="2"/>
        <v/>
      </c>
      <c r="F66" s="2" t="str">
        <f t="shared" si="3"/>
        <v/>
      </c>
    </row>
    <row r="67" spans="1:6">
      <c r="A67" s="2" t="str">
        <f>IF('02_KICH_BAN_NODES'!D53="choice",'02_KICH_BAN_NODES'!B53,"")</f>
        <v/>
      </c>
      <c r="B67" s="2" t="str">
        <f>IF(A67="","",'02_KICH_BAN_NODES'!E53)</f>
        <v/>
      </c>
      <c r="C67" s="2" t="str">
        <f>IF(A67="","",COUNTIF('03_LUA_CHON'!$A$5:$A$404,A67))</f>
        <v/>
      </c>
      <c r="D67" s="2" t="str">
        <f>IF(A67="","",COUNTIFS('03_LUA_CHON'!$A$5:$A$404,A67,'03_LUA_CHON'!$D$5:$D$404,"Có"))</f>
        <v/>
      </c>
      <c r="E67" s="2" t="str">
        <f t="shared" si="2"/>
        <v/>
      </c>
      <c r="F67" s="2" t="str">
        <f t="shared" si="3"/>
        <v/>
      </c>
    </row>
    <row r="68" spans="1:6">
      <c r="A68" s="2" t="str">
        <f>IF('02_KICH_BAN_NODES'!D54="choice",'02_KICH_BAN_NODES'!B54,"")</f>
        <v/>
      </c>
      <c r="B68" s="2" t="str">
        <f>IF(A68="","",'02_KICH_BAN_NODES'!E54)</f>
        <v/>
      </c>
      <c r="C68" s="2" t="str">
        <f>IF(A68="","",COUNTIF('03_LUA_CHON'!$A$5:$A$404,A68))</f>
        <v/>
      </c>
      <c r="D68" s="2" t="str">
        <f>IF(A68="","",COUNTIFS('03_LUA_CHON'!$A$5:$A$404,A68,'03_LUA_CHON'!$D$5:$D$404,"Có"))</f>
        <v/>
      </c>
      <c r="E68" s="2" t="str">
        <f t="shared" si="2"/>
        <v/>
      </c>
      <c r="F68" s="2" t="str">
        <f t="shared" si="3"/>
        <v/>
      </c>
    </row>
    <row r="69" spans="1:6">
      <c r="A69" s="2" t="str">
        <f>IF('02_KICH_BAN_NODES'!D55="choice",'02_KICH_BAN_NODES'!B55,"")</f>
        <v/>
      </c>
      <c r="B69" s="2" t="str">
        <f>IF(A69="","",'02_KICH_BAN_NODES'!E55)</f>
        <v/>
      </c>
      <c r="C69" s="2" t="str">
        <f>IF(A69="","",COUNTIF('03_LUA_CHON'!$A$5:$A$404,A69))</f>
        <v/>
      </c>
      <c r="D69" s="2" t="str">
        <f>IF(A69="","",COUNTIFS('03_LUA_CHON'!$A$5:$A$404,A69,'03_LUA_CHON'!$D$5:$D$404,"Có"))</f>
        <v/>
      </c>
      <c r="E69" s="2" t="str">
        <f t="shared" si="2"/>
        <v/>
      </c>
      <c r="F69" s="2" t="str">
        <f t="shared" si="3"/>
        <v/>
      </c>
    </row>
    <row r="70" spans="1:6">
      <c r="A70" s="2" t="str">
        <f>IF('02_KICH_BAN_NODES'!D56="choice",'02_KICH_BAN_NODES'!B56,"")</f>
        <v/>
      </c>
      <c r="B70" s="2" t="str">
        <f>IF(A70="","",'02_KICH_BAN_NODES'!E56)</f>
        <v/>
      </c>
      <c r="C70" s="2" t="str">
        <f>IF(A70="","",COUNTIF('03_LUA_CHON'!$A$5:$A$404,A70))</f>
        <v/>
      </c>
      <c r="D70" s="2" t="str">
        <f>IF(A70="","",COUNTIFS('03_LUA_CHON'!$A$5:$A$404,A70,'03_LUA_CHON'!$D$5:$D$404,"Có"))</f>
        <v/>
      </c>
      <c r="E70" s="2" t="str">
        <f t="shared" si="2"/>
        <v/>
      </c>
      <c r="F70" s="2" t="str">
        <f t="shared" si="3"/>
        <v/>
      </c>
    </row>
    <row r="71" spans="1:6">
      <c r="A71" s="2" t="str">
        <f>IF('02_KICH_BAN_NODES'!D57="choice",'02_KICH_BAN_NODES'!B57,"")</f>
        <v/>
      </c>
      <c r="B71" s="2" t="str">
        <f>IF(A71="","",'02_KICH_BAN_NODES'!E57)</f>
        <v/>
      </c>
      <c r="C71" s="2" t="str">
        <f>IF(A71="","",COUNTIF('03_LUA_CHON'!$A$5:$A$404,A71))</f>
        <v/>
      </c>
      <c r="D71" s="2" t="str">
        <f>IF(A71="","",COUNTIFS('03_LUA_CHON'!$A$5:$A$404,A71,'03_LUA_CHON'!$D$5:$D$404,"Có"))</f>
        <v/>
      </c>
      <c r="E71" s="2" t="str">
        <f t="shared" si="2"/>
        <v/>
      </c>
      <c r="F71" s="2" t="str">
        <f t="shared" si="3"/>
        <v/>
      </c>
    </row>
    <row r="72" spans="1:6">
      <c r="A72" s="2" t="str">
        <f>IF('02_KICH_BAN_NODES'!D58="choice",'02_KICH_BAN_NODES'!B58,"")</f>
        <v/>
      </c>
      <c r="B72" s="2" t="str">
        <f>IF(A72="","",'02_KICH_BAN_NODES'!E58)</f>
        <v/>
      </c>
      <c r="C72" s="2" t="str">
        <f>IF(A72="","",COUNTIF('03_LUA_CHON'!$A$5:$A$404,A72))</f>
        <v/>
      </c>
      <c r="D72" s="2" t="str">
        <f>IF(A72="","",COUNTIFS('03_LUA_CHON'!$A$5:$A$404,A72,'03_LUA_CHON'!$D$5:$D$404,"Có"))</f>
        <v/>
      </c>
      <c r="E72" s="2" t="str">
        <f t="shared" si="2"/>
        <v/>
      </c>
      <c r="F72" s="2" t="str">
        <f t="shared" si="3"/>
        <v/>
      </c>
    </row>
    <row r="73" spans="1:6">
      <c r="A73" s="2" t="str">
        <f>IF('02_KICH_BAN_NODES'!D59="choice",'02_KICH_BAN_NODES'!B59,"")</f>
        <v/>
      </c>
      <c r="B73" s="2" t="str">
        <f>IF(A73="","",'02_KICH_BAN_NODES'!E59)</f>
        <v/>
      </c>
      <c r="C73" s="2" t="str">
        <f>IF(A73="","",COUNTIF('03_LUA_CHON'!$A$5:$A$404,A73))</f>
        <v/>
      </c>
      <c r="D73" s="2" t="str">
        <f>IF(A73="","",COUNTIFS('03_LUA_CHON'!$A$5:$A$404,A73,'03_LUA_CHON'!$D$5:$D$404,"Có"))</f>
        <v/>
      </c>
      <c r="E73" s="2" t="str">
        <f t="shared" si="2"/>
        <v/>
      </c>
      <c r="F73" s="2" t="str">
        <f t="shared" si="3"/>
        <v/>
      </c>
    </row>
    <row r="74" spans="1:6">
      <c r="A74" s="2" t="str">
        <f>IF('02_KICH_BAN_NODES'!D60="choice",'02_KICH_BAN_NODES'!B60,"")</f>
        <v/>
      </c>
      <c r="B74" s="2" t="str">
        <f>IF(A74="","",'02_KICH_BAN_NODES'!E60)</f>
        <v/>
      </c>
      <c r="C74" s="2" t="str">
        <f>IF(A74="","",COUNTIF('03_LUA_CHON'!$A$5:$A$404,A74))</f>
        <v/>
      </c>
      <c r="D74" s="2" t="str">
        <f>IF(A74="","",COUNTIFS('03_LUA_CHON'!$A$5:$A$404,A74,'03_LUA_CHON'!$D$5:$D$404,"Có"))</f>
        <v/>
      </c>
      <c r="E74" s="2" t="str">
        <f t="shared" si="2"/>
        <v/>
      </c>
      <c r="F74" s="2" t="str">
        <f t="shared" si="3"/>
        <v/>
      </c>
    </row>
    <row r="75" spans="1:6">
      <c r="A75" s="2" t="str">
        <f>IF('02_KICH_BAN_NODES'!D61="choice",'02_KICH_BAN_NODES'!B61,"")</f>
        <v/>
      </c>
      <c r="B75" s="2" t="str">
        <f>IF(A75="","",'02_KICH_BAN_NODES'!E61)</f>
        <v/>
      </c>
      <c r="C75" s="2" t="str">
        <f>IF(A75="","",COUNTIF('03_LUA_CHON'!$A$5:$A$404,A75))</f>
        <v/>
      </c>
      <c r="D75" s="2" t="str">
        <f>IF(A75="","",COUNTIFS('03_LUA_CHON'!$A$5:$A$404,A75,'03_LUA_CHON'!$D$5:$D$404,"Có"))</f>
        <v/>
      </c>
      <c r="E75" s="2" t="str">
        <f t="shared" si="2"/>
        <v/>
      </c>
      <c r="F75" s="2" t="str">
        <f t="shared" si="3"/>
        <v/>
      </c>
    </row>
    <row r="76" spans="1:6">
      <c r="A76" s="2" t="str">
        <f>IF('02_KICH_BAN_NODES'!D62="choice",'02_KICH_BAN_NODES'!B62,"")</f>
        <v/>
      </c>
      <c r="B76" s="2" t="str">
        <f>IF(A76="","",'02_KICH_BAN_NODES'!E62)</f>
        <v/>
      </c>
      <c r="C76" s="2" t="str">
        <f>IF(A76="","",COUNTIF('03_LUA_CHON'!$A$5:$A$404,A76))</f>
        <v/>
      </c>
      <c r="D76" s="2" t="str">
        <f>IF(A76="","",COUNTIFS('03_LUA_CHON'!$A$5:$A$404,A76,'03_LUA_CHON'!$D$5:$D$404,"Có"))</f>
        <v/>
      </c>
      <c r="E76" s="2" t="str">
        <f t="shared" si="2"/>
        <v/>
      </c>
      <c r="F76" s="2" t="str">
        <f t="shared" si="3"/>
        <v/>
      </c>
    </row>
    <row r="77" spans="1:6">
      <c r="A77" s="2" t="str">
        <f>IF('02_KICH_BAN_NODES'!D63="choice",'02_KICH_BAN_NODES'!B63,"")</f>
        <v/>
      </c>
      <c r="B77" s="2" t="str">
        <f>IF(A77="","",'02_KICH_BAN_NODES'!E63)</f>
        <v/>
      </c>
      <c r="C77" s="2" t="str">
        <f>IF(A77="","",COUNTIF('03_LUA_CHON'!$A$5:$A$404,A77))</f>
        <v/>
      </c>
      <c r="D77" s="2" t="str">
        <f>IF(A77="","",COUNTIFS('03_LUA_CHON'!$A$5:$A$404,A77,'03_LUA_CHON'!$D$5:$D$404,"Có"))</f>
        <v/>
      </c>
      <c r="E77" s="2" t="str">
        <f t="shared" si="2"/>
        <v/>
      </c>
      <c r="F77" s="2" t="str">
        <f t="shared" si="3"/>
        <v/>
      </c>
    </row>
    <row r="78" spans="1:6">
      <c r="A78" s="2" t="str">
        <f>IF('02_KICH_BAN_NODES'!D64="choice",'02_KICH_BAN_NODES'!B64,"")</f>
        <v/>
      </c>
      <c r="B78" s="2" t="str">
        <f>IF(A78="","",'02_KICH_BAN_NODES'!E64)</f>
        <v/>
      </c>
      <c r="C78" s="2" t="str">
        <f>IF(A78="","",COUNTIF('03_LUA_CHON'!$A$5:$A$404,A78))</f>
        <v/>
      </c>
      <c r="D78" s="2" t="str">
        <f>IF(A78="","",COUNTIFS('03_LUA_CHON'!$A$5:$A$404,A78,'03_LUA_CHON'!$D$5:$D$404,"Có"))</f>
        <v/>
      </c>
      <c r="E78" s="2" t="str">
        <f t="shared" si="2"/>
        <v/>
      </c>
      <c r="F78" s="2" t="str">
        <f t="shared" si="3"/>
        <v/>
      </c>
    </row>
    <row r="79" spans="1:6">
      <c r="A79" s="2" t="str">
        <f>IF('02_KICH_BAN_NODES'!D65="choice",'02_KICH_BAN_NODES'!B65,"")</f>
        <v/>
      </c>
      <c r="B79" s="2" t="str">
        <f>IF(A79="","",'02_KICH_BAN_NODES'!E65)</f>
        <v/>
      </c>
      <c r="C79" s="2" t="str">
        <f>IF(A79="","",COUNTIF('03_LUA_CHON'!$A$5:$A$404,A79))</f>
        <v/>
      </c>
      <c r="D79" s="2" t="str">
        <f>IF(A79="","",COUNTIFS('03_LUA_CHON'!$A$5:$A$404,A79,'03_LUA_CHON'!$D$5:$D$404,"Có"))</f>
        <v/>
      </c>
      <c r="E79" s="2" t="str">
        <f t="shared" si="2"/>
        <v/>
      </c>
      <c r="F79" s="2" t="str">
        <f t="shared" si="3"/>
        <v/>
      </c>
    </row>
    <row r="80" spans="1:6">
      <c r="A80" s="2" t="str">
        <f>IF('02_KICH_BAN_NODES'!D66="choice",'02_KICH_BAN_NODES'!B66,"")</f>
        <v/>
      </c>
      <c r="B80" s="2" t="str">
        <f>IF(A80="","",'02_KICH_BAN_NODES'!E66)</f>
        <v/>
      </c>
      <c r="C80" s="2" t="str">
        <f>IF(A80="","",COUNTIF('03_LUA_CHON'!$A$5:$A$404,A80))</f>
        <v/>
      </c>
      <c r="D80" s="2" t="str">
        <f>IF(A80="","",COUNTIFS('03_LUA_CHON'!$A$5:$A$404,A80,'03_LUA_CHON'!$D$5:$D$404,"Có"))</f>
        <v/>
      </c>
      <c r="E80" s="2" t="str">
        <f t="shared" si="2"/>
        <v/>
      </c>
      <c r="F80" s="2" t="str">
        <f t="shared" si="3"/>
        <v/>
      </c>
    </row>
    <row r="81" spans="1:6">
      <c r="A81" s="2" t="str">
        <f>IF('02_KICH_BAN_NODES'!D67="choice",'02_KICH_BAN_NODES'!B67,"")</f>
        <v/>
      </c>
      <c r="B81" s="2" t="str">
        <f>IF(A81="","",'02_KICH_BAN_NODES'!E67)</f>
        <v/>
      </c>
      <c r="C81" s="2" t="str">
        <f>IF(A81="","",COUNTIF('03_LUA_CHON'!$A$5:$A$404,A81))</f>
        <v/>
      </c>
      <c r="D81" s="2" t="str">
        <f>IF(A81="","",COUNTIFS('03_LUA_CHON'!$A$5:$A$404,A81,'03_LUA_CHON'!$D$5:$D$404,"Có"))</f>
        <v/>
      </c>
      <c r="E81" s="2" t="str">
        <f t="shared" si="2"/>
        <v/>
      </c>
      <c r="F81" s="2" t="str">
        <f t="shared" si="3"/>
        <v/>
      </c>
    </row>
    <row r="82" spans="1:6">
      <c r="A82" s="2" t="str">
        <f>IF('02_KICH_BAN_NODES'!D68="choice",'02_KICH_BAN_NODES'!B68,"")</f>
        <v/>
      </c>
      <c r="B82" s="2" t="str">
        <f>IF(A82="","",'02_KICH_BAN_NODES'!E68)</f>
        <v/>
      </c>
      <c r="C82" s="2" t="str">
        <f>IF(A82="","",COUNTIF('03_LUA_CHON'!$A$5:$A$404,A82))</f>
        <v/>
      </c>
      <c r="D82" s="2" t="str">
        <f>IF(A82="","",COUNTIFS('03_LUA_CHON'!$A$5:$A$404,A82,'03_LUA_CHON'!$D$5:$D$404,"Có"))</f>
        <v/>
      </c>
      <c r="E82" s="2" t="str">
        <f t="shared" si="2"/>
        <v/>
      </c>
      <c r="F82" s="2" t="str">
        <f t="shared" si="3"/>
        <v/>
      </c>
    </row>
    <row r="83" spans="1:6">
      <c r="A83" s="2" t="str">
        <f>IF('02_KICH_BAN_NODES'!D69="choice",'02_KICH_BAN_NODES'!B69,"")</f>
        <v/>
      </c>
      <c r="B83" s="2" t="str">
        <f>IF(A83="","",'02_KICH_BAN_NODES'!E69)</f>
        <v/>
      </c>
      <c r="C83" s="2" t="str">
        <f>IF(A83="","",COUNTIF('03_LUA_CHON'!$A$5:$A$404,A83))</f>
        <v/>
      </c>
      <c r="D83" s="2" t="str">
        <f>IF(A83="","",COUNTIFS('03_LUA_CHON'!$A$5:$A$404,A83,'03_LUA_CHON'!$D$5:$D$404,"Có"))</f>
        <v/>
      </c>
      <c r="E83" s="2" t="str">
        <f t="shared" ref="E83:E114" si="4">IF(A83="","",IF(OR(C83&lt;2,C83&gt;4),"CẦN SỬA",IF(AND(B83="Kiến thức",D83=1),"HỢP LỆ",IF(AND(B83="Tương tác",D83=0),"HỢP LỆ","CẦN SỬA"))))</f>
        <v/>
      </c>
      <c r="F83" s="2" t="str">
        <f t="shared" ref="F83:F114" si="5">IF(A83="","",IF(OR(C83&lt;2,C83&gt;4),"Cần 2–4 option",IF(AND(B83="Kiến thức",D83&lt;&gt;1),"Câu kiến thức cần đúng 1 đáp án đúng",IF(AND(B83="Tương tác",D83&lt;&gt;0),"Câu tương tác không có đáp án đúng",IF(B83="","Thiếu ChoiceMode","")))))</f>
        <v/>
      </c>
    </row>
    <row r="84" spans="1:6">
      <c r="A84" s="2" t="str">
        <f>IF('02_KICH_BAN_NODES'!D70="choice",'02_KICH_BAN_NODES'!B70,"")</f>
        <v/>
      </c>
      <c r="B84" s="2" t="str">
        <f>IF(A84="","",'02_KICH_BAN_NODES'!E70)</f>
        <v/>
      </c>
      <c r="C84" s="2" t="str">
        <f>IF(A84="","",COUNTIF('03_LUA_CHON'!$A$5:$A$404,A84))</f>
        <v/>
      </c>
      <c r="D84" s="2" t="str">
        <f>IF(A84="","",COUNTIFS('03_LUA_CHON'!$A$5:$A$404,A84,'03_LUA_CHON'!$D$5:$D$404,"Có"))</f>
        <v/>
      </c>
      <c r="E84" s="2" t="str">
        <f t="shared" si="4"/>
        <v/>
      </c>
      <c r="F84" s="2" t="str">
        <f t="shared" si="5"/>
        <v/>
      </c>
    </row>
    <row r="85" spans="1:6">
      <c r="A85" s="2" t="str">
        <f>IF('02_KICH_BAN_NODES'!D71="choice",'02_KICH_BAN_NODES'!B71,"")</f>
        <v/>
      </c>
      <c r="B85" s="2" t="str">
        <f>IF(A85="","",'02_KICH_BAN_NODES'!E71)</f>
        <v/>
      </c>
      <c r="C85" s="2" t="str">
        <f>IF(A85="","",COUNTIF('03_LUA_CHON'!$A$5:$A$404,A85))</f>
        <v/>
      </c>
      <c r="D85" s="2" t="str">
        <f>IF(A85="","",COUNTIFS('03_LUA_CHON'!$A$5:$A$404,A85,'03_LUA_CHON'!$D$5:$D$404,"Có"))</f>
        <v/>
      </c>
      <c r="E85" s="2" t="str">
        <f t="shared" si="4"/>
        <v/>
      </c>
      <c r="F85" s="2" t="str">
        <f t="shared" si="5"/>
        <v/>
      </c>
    </row>
    <row r="86" spans="1:6">
      <c r="A86" s="2" t="str">
        <f>IF('02_KICH_BAN_NODES'!D72="choice",'02_KICH_BAN_NODES'!B72,"")</f>
        <v/>
      </c>
      <c r="B86" s="2" t="str">
        <f>IF(A86="","",'02_KICH_BAN_NODES'!E72)</f>
        <v/>
      </c>
      <c r="C86" s="2" t="str">
        <f>IF(A86="","",COUNTIF('03_LUA_CHON'!$A$5:$A$404,A86))</f>
        <v/>
      </c>
      <c r="D86" s="2" t="str">
        <f>IF(A86="","",COUNTIFS('03_LUA_CHON'!$A$5:$A$404,A86,'03_LUA_CHON'!$D$5:$D$404,"Có"))</f>
        <v/>
      </c>
      <c r="E86" s="2" t="str">
        <f t="shared" si="4"/>
        <v/>
      </c>
      <c r="F86" s="2" t="str">
        <f t="shared" si="5"/>
        <v/>
      </c>
    </row>
    <row r="87" spans="1:6">
      <c r="A87" s="2" t="str">
        <f>IF('02_KICH_BAN_NODES'!D73="choice",'02_KICH_BAN_NODES'!B73,"")</f>
        <v/>
      </c>
      <c r="B87" s="2" t="str">
        <f>IF(A87="","",'02_KICH_BAN_NODES'!E73)</f>
        <v/>
      </c>
      <c r="C87" s="2" t="str">
        <f>IF(A87="","",COUNTIF('03_LUA_CHON'!$A$5:$A$404,A87))</f>
        <v/>
      </c>
      <c r="D87" s="2" t="str">
        <f>IF(A87="","",COUNTIFS('03_LUA_CHON'!$A$5:$A$404,A87,'03_LUA_CHON'!$D$5:$D$404,"Có"))</f>
        <v/>
      </c>
      <c r="E87" s="2" t="str">
        <f t="shared" si="4"/>
        <v/>
      </c>
      <c r="F87" s="2" t="str">
        <f t="shared" si="5"/>
        <v/>
      </c>
    </row>
    <row r="88" spans="1:6">
      <c r="A88" s="2" t="str">
        <f>IF('02_KICH_BAN_NODES'!D74="choice",'02_KICH_BAN_NODES'!B74,"")</f>
        <v/>
      </c>
      <c r="B88" s="2" t="str">
        <f>IF(A88="","",'02_KICH_BAN_NODES'!E74)</f>
        <v/>
      </c>
      <c r="C88" s="2" t="str">
        <f>IF(A88="","",COUNTIF('03_LUA_CHON'!$A$5:$A$404,A88))</f>
        <v/>
      </c>
      <c r="D88" s="2" t="str">
        <f>IF(A88="","",COUNTIFS('03_LUA_CHON'!$A$5:$A$404,A88,'03_LUA_CHON'!$D$5:$D$404,"Có"))</f>
        <v/>
      </c>
      <c r="E88" s="2" t="str">
        <f t="shared" si="4"/>
        <v/>
      </c>
      <c r="F88" s="2" t="str">
        <f t="shared" si="5"/>
        <v/>
      </c>
    </row>
    <row r="89" spans="1:6">
      <c r="A89" s="2" t="str">
        <f>IF('02_KICH_BAN_NODES'!D75="choice",'02_KICH_BAN_NODES'!B75,"")</f>
        <v/>
      </c>
      <c r="B89" s="2" t="str">
        <f>IF(A89="","",'02_KICH_BAN_NODES'!E75)</f>
        <v/>
      </c>
      <c r="C89" s="2" t="str">
        <f>IF(A89="","",COUNTIF('03_LUA_CHON'!$A$5:$A$404,A89))</f>
        <v/>
      </c>
      <c r="D89" s="2" t="str">
        <f>IF(A89="","",COUNTIFS('03_LUA_CHON'!$A$5:$A$404,A89,'03_LUA_CHON'!$D$5:$D$404,"Có"))</f>
        <v/>
      </c>
      <c r="E89" s="2" t="str">
        <f t="shared" si="4"/>
        <v/>
      </c>
      <c r="F89" s="2" t="str">
        <f t="shared" si="5"/>
        <v/>
      </c>
    </row>
    <row r="90" spans="1:6">
      <c r="A90" s="2" t="str">
        <f>IF('02_KICH_BAN_NODES'!D76="choice",'02_KICH_BAN_NODES'!B76,"")</f>
        <v/>
      </c>
      <c r="B90" s="2" t="str">
        <f>IF(A90="","",'02_KICH_BAN_NODES'!E76)</f>
        <v/>
      </c>
      <c r="C90" s="2" t="str">
        <f>IF(A90="","",COUNTIF('03_LUA_CHON'!$A$5:$A$404,A90))</f>
        <v/>
      </c>
      <c r="D90" s="2" t="str">
        <f>IF(A90="","",COUNTIFS('03_LUA_CHON'!$A$5:$A$404,A90,'03_LUA_CHON'!$D$5:$D$404,"Có"))</f>
        <v/>
      </c>
      <c r="E90" s="2" t="str">
        <f t="shared" si="4"/>
        <v/>
      </c>
      <c r="F90" s="2" t="str">
        <f t="shared" si="5"/>
        <v/>
      </c>
    </row>
    <row r="91" spans="1:6">
      <c r="A91" s="2" t="str">
        <f>IF('02_KICH_BAN_NODES'!D77="choice",'02_KICH_BAN_NODES'!B77,"")</f>
        <v/>
      </c>
      <c r="B91" s="2" t="str">
        <f>IF(A91="","",'02_KICH_BAN_NODES'!E77)</f>
        <v/>
      </c>
      <c r="C91" s="2" t="str">
        <f>IF(A91="","",COUNTIF('03_LUA_CHON'!$A$5:$A$404,A91))</f>
        <v/>
      </c>
      <c r="D91" s="2" t="str">
        <f>IF(A91="","",COUNTIFS('03_LUA_CHON'!$A$5:$A$404,A91,'03_LUA_CHON'!$D$5:$D$404,"Có"))</f>
        <v/>
      </c>
      <c r="E91" s="2" t="str">
        <f t="shared" si="4"/>
        <v/>
      </c>
      <c r="F91" s="2" t="str">
        <f t="shared" si="5"/>
        <v/>
      </c>
    </row>
    <row r="92" spans="1:6">
      <c r="A92" s="2" t="str">
        <f>IF('02_KICH_BAN_NODES'!D78="choice",'02_KICH_BAN_NODES'!B78,"")</f>
        <v/>
      </c>
      <c r="B92" s="2" t="str">
        <f>IF(A92="","",'02_KICH_BAN_NODES'!E78)</f>
        <v/>
      </c>
      <c r="C92" s="2" t="str">
        <f>IF(A92="","",COUNTIF('03_LUA_CHON'!$A$5:$A$404,A92))</f>
        <v/>
      </c>
      <c r="D92" s="2" t="str">
        <f>IF(A92="","",COUNTIFS('03_LUA_CHON'!$A$5:$A$404,A92,'03_LUA_CHON'!$D$5:$D$404,"Có"))</f>
        <v/>
      </c>
      <c r="E92" s="2" t="str">
        <f t="shared" si="4"/>
        <v/>
      </c>
      <c r="F92" s="2" t="str">
        <f t="shared" si="5"/>
        <v/>
      </c>
    </row>
    <row r="93" spans="1:6">
      <c r="A93" s="2" t="str">
        <f>IF('02_KICH_BAN_NODES'!D79="choice",'02_KICH_BAN_NODES'!B79,"")</f>
        <v/>
      </c>
      <c r="B93" s="2" t="str">
        <f>IF(A93="","",'02_KICH_BAN_NODES'!E79)</f>
        <v/>
      </c>
      <c r="C93" s="2" t="str">
        <f>IF(A93="","",COUNTIF('03_LUA_CHON'!$A$5:$A$404,A93))</f>
        <v/>
      </c>
      <c r="D93" s="2" t="str">
        <f>IF(A93="","",COUNTIFS('03_LUA_CHON'!$A$5:$A$404,A93,'03_LUA_CHON'!$D$5:$D$404,"Có"))</f>
        <v/>
      </c>
      <c r="E93" s="2" t="str">
        <f t="shared" si="4"/>
        <v/>
      </c>
      <c r="F93" s="2" t="str">
        <f t="shared" si="5"/>
        <v/>
      </c>
    </row>
    <row r="94" spans="1:6">
      <c r="A94" s="2" t="str">
        <f>IF('02_KICH_BAN_NODES'!D80="choice",'02_KICH_BAN_NODES'!B80,"")</f>
        <v/>
      </c>
      <c r="B94" s="2" t="str">
        <f>IF(A94="","",'02_KICH_BAN_NODES'!E80)</f>
        <v/>
      </c>
      <c r="C94" s="2" t="str">
        <f>IF(A94="","",COUNTIF('03_LUA_CHON'!$A$5:$A$404,A94))</f>
        <v/>
      </c>
      <c r="D94" s="2" t="str">
        <f>IF(A94="","",COUNTIFS('03_LUA_CHON'!$A$5:$A$404,A94,'03_LUA_CHON'!$D$5:$D$404,"Có"))</f>
        <v/>
      </c>
      <c r="E94" s="2" t="str">
        <f t="shared" si="4"/>
        <v/>
      </c>
      <c r="F94" s="2" t="str">
        <f t="shared" si="5"/>
        <v/>
      </c>
    </row>
    <row r="95" spans="1:6">
      <c r="A95" s="2" t="str">
        <f>IF('02_KICH_BAN_NODES'!D81="choice",'02_KICH_BAN_NODES'!B81,"")</f>
        <v/>
      </c>
      <c r="B95" s="2" t="str">
        <f>IF(A95="","",'02_KICH_BAN_NODES'!E81)</f>
        <v/>
      </c>
      <c r="C95" s="2" t="str">
        <f>IF(A95="","",COUNTIF('03_LUA_CHON'!$A$5:$A$404,A95))</f>
        <v/>
      </c>
      <c r="D95" s="2" t="str">
        <f>IF(A95="","",COUNTIFS('03_LUA_CHON'!$A$5:$A$404,A95,'03_LUA_CHON'!$D$5:$D$404,"Có"))</f>
        <v/>
      </c>
      <c r="E95" s="2" t="str">
        <f t="shared" si="4"/>
        <v/>
      </c>
      <c r="F95" s="2" t="str">
        <f t="shared" si="5"/>
        <v/>
      </c>
    </row>
    <row r="96" spans="1:6">
      <c r="A96" s="2" t="str">
        <f>IF('02_KICH_BAN_NODES'!D82="choice",'02_KICH_BAN_NODES'!B82,"")</f>
        <v/>
      </c>
      <c r="B96" s="2" t="str">
        <f>IF(A96="","",'02_KICH_BAN_NODES'!E82)</f>
        <v/>
      </c>
      <c r="C96" s="2" t="str">
        <f>IF(A96="","",COUNTIF('03_LUA_CHON'!$A$5:$A$404,A96))</f>
        <v/>
      </c>
      <c r="D96" s="2" t="str">
        <f>IF(A96="","",COUNTIFS('03_LUA_CHON'!$A$5:$A$404,A96,'03_LUA_CHON'!$D$5:$D$404,"Có"))</f>
        <v/>
      </c>
      <c r="E96" s="2" t="str">
        <f t="shared" si="4"/>
        <v/>
      </c>
      <c r="F96" s="2" t="str">
        <f t="shared" si="5"/>
        <v/>
      </c>
    </row>
    <row r="97" spans="1:6">
      <c r="A97" s="2" t="str">
        <f>IF('02_KICH_BAN_NODES'!D83="choice",'02_KICH_BAN_NODES'!B83,"")</f>
        <v/>
      </c>
      <c r="B97" s="2" t="str">
        <f>IF(A97="","",'02_KICH_BAN_NODES'!E83)</f>
        <v/>
      </c>
      <c r="C97" s="2" t="str">
        <f>IF(A97="","",COUNTIF('03_LUA_CHON'!$A$5:$A$404,A97))</f>
        <v/>
      </c>
      <c r="D97" s="2" t="str">
        <f>IF(A97="","",COUNTIFS('03_LUA_CHON'!$A$5:$A$404,A97,'03_LUA_CHON'!$D$5:$D$404,"Có"))</f>
        <v/>
      </c>
      <c r="E97" s="2" t="str">
        <f t="shared" si="4"/>
        <v/>
      </c>
      <c r="F97" s="2" t="str">
        <f t="shared" si="5"/>
        <v/>
      </c>
    </row>
    <row r="98" spans="1:6">
      <c r="A98" s="2" t="str">
        <f>IF('02_KICH_BAN_NODES'!D84="choice",'02_KICH_BAN_NODES'!B84,"")</f>
        <v/>
      </c>
      <c r="B98" s="2" t="str">
        <f>IF(A98="","",'02_KICH_BAN_NODES'!E84)</f>
        <v/>
      </c>
      <c r="C98" s="2" t="str">
        <f>IF(A98="","",COUNTIF('03_LUA_CHON'!$A$5:$A$404,A98))</f>
        <v/>
      </c>
      <c r="D98" s="2" t="str">
        <f>IF(A98="","",COUNTIFS('03_LUA_CHON'!$A$5:$A$404,A98,'03_LUA_CHON'!$D$5:$D$404,"Có"))</f>
        <v/>
      </c>
      <c r="E98" s="2" t="str">
        <f t="shared" si="4"/>
        <v/>
      </c>
      <c r="F98" s="2" t="str">
        <f t="shared" si="5"/>
        <v/>
      </c>
    </row>
    <row r="99" spans="1:6">
      <c r="A99" s="2" t="str">
        <f>IF('02_KICH_BAN_NODES'!D85="choice",'02_KICH_BAN_NODES'!B85,"")</f>
        <v/>
      </c>
      <c r="B99" s="2" t="str">
        <f>IF(A99="","",'02_KICH_BAN_NODES'!E85)</f>
        <v/>
      </c>
      <c r="C99" s="2" t="str">
        <f>IF(A99="","",COUNTIF('03_LUA_CHON'!$A$5:$A$404,A99))</f>
        <v/>
      </c>
      <c r="D99" s="2" t="str">
        <f>IF(A99="","",COUNTIFS('03_LUA_CHON'!$A$5:$A$404,A99,'03_LUA_CHON'!$D$5:$D$404,"Có"))</f>
        <v/>
      </c>
      <c r="E99" s="2" t="str">
        <f t="shared" si="4"/>
        <v/>
      </c>
      <c r="F99" s="2" t="str">
        <f t="shared" si="5"/>
        <v/>
      </c>
    </row>
    <row r="100" spans="1:6">
      <c r="A100" s="2" t="str">
        <f>IF('02_KICH_BAN_NODES'!D86="choice",'02_KICH_BAN_NODES'!B86,"")</f>
        <v/>
      </c>
      <c r="B100" s="2" t="str">
        <f>IF(A100="","",'02_KICH_BAN_NODES'!E86)</f>
        <v/>
      </c>
      <c r="C100" s="2" t="str">
        <f>IF(A100="","",COUNTIF('03_LUA_CHON'!$A$5:$A$404,A100))</f>
        <v/>
      </c>
      <c r="D100" s="2" t="str">
        <f>IF(A100="","",COUNTIFS('03_LUA_CHON'!$A$5:$A$404,A100,'03_LUA_CHON'!$D$5:$D$404,"Có"))</f>
        <v/>
      </c>
      <c r="E100" s="2" t="str">
        <f t="shared" si="4"/>
        <v/>
      </c>
      <c r="F100" s="2" t="str">
        <f t="shared" si="5"/>
        <v/>
      </c>
    </row>
    <row r="101" spans="1:6">
      <c r="A101" s="2" t="str">
        <f>IF('02_KICH_BAN_NODES'!D87="choice",'02_KICH_BAN_NODES'!B87,"")</f>
        <v/>
      </c>
      <c r="B101" s="2" t="str">
        <f>IF(A101="","",'02_KICH_BAN_NODES'!E87)</f>
        <v/>
      </c>
      <c r="C101" s="2" t="str">
        <f>IF(A101="","",COUNTIF('03_LUA_CHON'!$A$5:$A$404,A101))</f>
        <v/>
      </c>
      <c r="D101" s="2" t="str">
        <f>IF(A101="","",COUNTIFS('03_LUA_CHON'!$A$5:$A$404,A101,'03_LUA_CHON'!$D$5:$D$404,"Có"))</f>
        <v/>
      </c>
      <c r="E101" s="2" t="str">
        <f t="shared" si="4"/>
        <v/>
      </c>
      <c r="F101" s="2" t="str">
        <f t="shared" si="5"/>
        <v/>
      </c>
    </row>
    <row r="102" spans="1:6">
      <c r="A102" s="2" t="str">
        <f>IF('02_KICH_BAN_NODES'!D88="choice",'02_KICH_BAN_NODES'!B88,"")</f>
        <v/>
      </c>
      <c r="B102" s="2" t="str">
        <f>IF(A102="","",'02_KICH_BAN_NODES'!E88)</f>
        <v/>
      </c>
      <c r="C102" s="2" t="str">
        <f>IF(A102="","",COUNTIF('03_LUA_CHON'!$A$5:$A$404,A102))</f>
        <v/>
      </c>
      <c r="D102" s="2" t="str">
        <f>IF(A102="","",COUNTIFS('03_LUA_CHON'!$A$5:$A$404,A102,'03_LUA_CHON'!$D$5:$D$404,"Có"))</f>
        <v/>
      </c>
      <c r="E102" s="2" t="str">
        <f t="shared" si="4"/>
        <v/>
      </c>
      <c r="F102" s="2" t="str">
        <f t="shared" si="5"/>
        <v/>
      </c>
    </row>
    <row r="103" spans="1:6">
      <c r="A103" s="2" t="str">
        <f>IF('02_KICH_BAN_NODES'!D89="choice",'02_KICH_BAN_NODES'!B89,"")</f>
        <v/>
      </c>
      <c r="B103" s="2" t="str">
        <f>IF(A103="","",'02_KICH_BAN_NODES'!E89)</f>
        <v/>
      </c>
      <c r="C103" s="2" t="str">
        <f>IF(A103="","",COUNTIF('03_LUA_CHON'!$A$5:$A$404,A103))</f>
        <v/>
      </c>
      <c r="D103" s="2" t="str">
        <f>IF(A103="","",COUNTIFS('03_LUA_CHON'!$A$5:$A$404,A103,'03_LUA_CHON'!$D$5:$D$404,"Có"))</f>
        <v/>
      </c>
      <c r="E103" s="2" t="str">
        <f t="shared" si="4"/>
        <v/>
      </c>
      <c r="F103" s="2" t="str">
        <f t="shared" si="5"/>
        <v/>
      </c>
    </row>
    <row r="104" spans="1:6">
      <c r="A104" s="2" t="str">
        <f>IF('02_KICH_BAN_NODES'!D90="choice",'02_KICH_BAN_NODES'!B90,"")</f>
        <v/>
      </c>
      <c r="B104" s="2" t="str">
        <f>IF(A104="","",'02_KICH_BAN_NODES'!E90)</f>
        <v/>
      </c>
      <c r="C104" s="2" t="str">
        <f>IF(A104="","",COUNTIF('03_LUA_CHON'!$A$5:$A$404,A104))</f>
        <v/>
      </c>
      <c r="D104" s="2" t="str">
        <f>IF(A104="","",COUNTIFS('03_LUA_CHON'!$A$5:$A$404,A104,'03_LUA_CHON'!$D$5:$D$404,"Có"))</f>
        <v/>
      </c>
      <c r="E104" s="2" t="str">
        <f t="shared" si="4"/>
        <v/>
      </c>
      <c r="F104" s="2" t="str">
        <f t="shared" si="5"/>
        <v/>
      </c>
    </row>
    <row r="105" spans="1:6">
      <c r="A105" s="2" t="str">
        <f>IF('02_KICH_BAN_NODES'!D91="choice",'02_KICH_BAN_NODES'!B91,"")</f>
        <v/>
      </c>
      <c r="B105" s="2" t="str">
        <f>IF(A105="","",'02_KICH_BAN_NODES'!E91)</f>
        <v/>
      </c>
      <c r="C105" s="2" t="str">
        <f>IF(A105="","",COUNTIF('03_LUA_CHON'!$A$5:$A$404,A105))</f>
        <v/>
      </c>
      <c r="D105" s="2" t="str">
        <f>IF(A105="","",COUNTIFS('03_LUA_CHON'!$A$5:$A$404,A105,'03_LUA_CHON'!$D$5:$D$404,"Có"))</f>
        <v/>
      </c>
      <c r="E105" s="2" t="str">
        <f t="shared" si="4"/>
        <v/>
      </c>
      <c r="F105" s="2" t="str">
        <f t="shared" si="5"/>
        <v/>
      </c>
    </row>
    <row r="106" spans="1:6">
      <c r="A106" s="2" t="str">
        <f>IF('02_KICH_BAN_NODES'!D92="choice",'02_KICH_BAN_NODES'!B92,"")</f>
        <v/>
      </c>
      <c r="B106" s="2" t="str">
        <f>IF(A106="","",'02_KICH_BAN_NODES'!E92)</f>
        <v/>
      </c>
      <c r="C106" s="2" t="str">
        <f>IF(A106="","",COUNTIF('03_LUA_CHON'!$A$5:$A$404,A106))</f>
        <v/>
      </c>
      <c r="D106" s="2" t="str">
        <f>IF(A106="","",COUNTIFS('03_LUA_CHON'!$A$5:$A$404,A106,'03_LUA_CHON'!$D$5:$D$404,"Có"))</f>
        <v/>
      </c>
      <c r="E106" s="2" t="str">
        <f t="shared" si="4"/>
        <v/>
      </c>
      <c r="F106" s="2" t="str">
        <f t="shared" si="5"/>
        <v/>
      </c>
    </row>
    <row r="107" spans="1:6">
      <c r="A107" s="2" t="str">
        <f>IF('02_KICH_BAN_NODES'!D93="choice",'02_KICH_BAN_NODES'!B93,"")</f>
        <v/>
      </c>
      <c r="B107" s="2" t="str">
        <f>IF(A107="","",'02_KICH_BAN_NODES'!E93)</f>
        <v/>
      </c>
      <c r="C107" s="2" t="str">
        <f>IF(A107="","",COUNTIF('03_LUA_CHON'!$A$5:$A$404,A107))</f>
        <v/>
      </c>
      <c r="D107" s="2" t="str">
        <f>IF(A107="","",COUNTIFS('03_LUA_CHON'!$A$5:$A$404,A107,'03_LUA_CHON'!$D$5:$D$404,"Có"))</f>
        <v/>
      </c>
      <c r="E107" s="2" t="str">
        <f t="shared" si="4"/>
        <v/>
      </c>
      <c r="F107" s="2" t="str">
        <f t="shared" si="5"/>
        <v/>
      </c>
    </row>
    <row r="108" spans="1:6">
      <c r="A108" s="2" t="str">
        <f>IF('02_KICH_BAN_NODES'!D94="choice",'02_KICH_BAN_NODES'!B94,"")</f>
        <v/>
      </c>
      <c r="B108" s="2" t="str">
        <f>IF(A108="","",'02_KICH_BAN_NODES'!E94)</f>
        <v/>
      </c>
      <c r="C108" s="2" t="str">
        <f>IF(A108="","",COUNTIF('03_LUA_CHON'!$A$5:$A$404,A108))</f>
        <v/>
      </c>
      <c r="D108" s="2" t="str">
        <f>IF(A108="","",COUNTIFS('03_LUA_CHON'!$A$5:$A$404,A108,'03_LUA_CHON'!$D$5:$D$404,"Có"))</f>
        <v/>
      </c>
      <c r="E108" s="2" t="str">
        <f t="shared" si="4"/>
        <v/>
      </c>
      <c r="F108" s="2" t="str">
        <f t="shared" si="5"/>
        <v/>
      </c>
    </row>
    <row r="109" spans="1:6">
      <c r="A109" s="2" t="str">
        <f>IF('02_KICH_BAN_NODES'!D95="choice",'02_KICH_BAN_NODES'!B95,"")</f>
        <v/>
      </c>
      <c r="B109" s="2" t="str">
        <f>IF(A109="","",'02_KICH_BAN_NODES'!E95)</f>
        <v/>
      </c>
      <c r="C109" s="2" t="str">
        <f>IF(A109="","",COUNTIF('03_LUA_CHON'!$A$5:$A$404,A109))</f>
        <v/>
      </c>
      <c r="D109" s="2" t="str">
        <f>IF(A109="","",COUNTIFS('03_LUA_CHON'!$A$5:$A$404,A109,'03_LUA_CHON'!$D$5:$D$404,"Có"))</f>
        <v/>
      </c>
      <c r="E109" s="2" t="str">
        <f t="shared" si="4"/>
        <v/>
      </c>
      <c r="F109" s="2" t="str">
        <f t="shared" si="5"/>
        <v/>
      </c>
    </row>
    <row r="110" spans="1:6">
      <c r="A110" s="2" t="str">
        <f>IF('02_KICH_BAN_NODES'!D96="choice",'02_KICH_BAN_NODES'!B96,"")</f>
        <v/>
      </c>
      <c r="B110" s="2" t="str">
        <f>IF(A110="","",'02_KICH_BAN_NODES'!E96)</f>
        <v/>
      </c>
      <c r="C110" s="2" t="str">
        <f>IF(A110="","",COUNTIF('03_LUA_CHON'!$A$5:$A$404,A110))</f>
        <v/>
      </c>
      <c r="D110" s="2" t="str">
        <f>IF(A110="","",COUNTIFS('03_LUA_CHON'!$A$5:$A$404,A110,'03_LUA_CHON'!$D$5:$D$404,"Có"))</f>
        <v/>
      </c>
      <c r="E110" s="2" t="str">
        <f t="shared" si="4"/>
        <v/>
      </c>
      <c r="F110" s="2" t="str">
        <f t="shared" si="5"/>
        <v/>
      </c>
    </row>
    <row r="111" spans="1:6">
      <c r="A111" s="2" t="str">
        <f>IF('02_KICH_BAN_NODES'!D97="choice",'02_KICH_BAN_NODES'!B97,"")</f>
        <v/>
      </c>
      <c r="B111" s="2" t="str">
        <f>IF(A111="","",'02_KICH_BAN_NODES'!E97)</f>
        <v/>
      </c>
      <c r="C111" s="2" t="str">
        <f>IF(A111="","",COUNTIF('03_LUA_CHON'!$A$5:$A$404,A111))</f>
        <v/>
      </c>
      <c r="D111" s="2" t="str">
        <f>IF(A111="","",COUNTIFS('03_LUA_CHON'!$A$5:$A$404,A111,'03_LUA_CHON'!$D$5:$D$404,"Có"))</f>
        <v/>
      </c>
      <c r="E111" s="2" t="str">
        <f t="shared" si="4"/>
        <v/>
      </c>
      <c r="F111" s="2" t="str">
        <f t="shared" si="5"/>
        <v/>
      </c>
    </row>
    <row r="112" spans="1:6">
      <c r="A112" s="2" t="str">
        <f>IF('02_KICH_BAN_NODES'!D98="choice",'02_KICH_BAN_NODES'!B98,"")</f>
        <v/>
      </c>
      <c r="B112" s="2" t="str">
        <f>IF(A112="","",'02_KICH_BAN_NODES'!E98)</f>
        <v/>
      </c>
      <c r="C112" s="2" t="str">
        <f>IF(A112="","",COUNTIF('03_LUA_CHON'!$A$5:$A$404,A112))</f>
        <v/>
      </c>
      <c r="D112" s="2" t="str">
        <f>IF(A112="","",COUNTIFS('03_LUA_CHON'!$A$5:$A$404,A112,'03_LUA_CHON'!$D$5:$D$404,"Có"))</f>
        <v/>
      </c>
      <c r="E112" s="2" t="str">
        <f t="shared" si="4"/>
        <v/>
      </c>
      <c r="F112" s="2" t="str">
        <f t="shared" si="5"/>
        <v/>
      </c>
    </row>
    <row r="113" spans="1:6">
      <c r="A113" s="2" t="str">
        <f>IF('02_KICH_BAN_NODES'!D99="choice",'02_KICH_BAN_NODES'!B99,"")</f>
        <v/>
      </c>
      <c r="B113" s="2" t="str">
        <f>IF(A113="","",'02_KICH_BAN_NODES'!E99)</f>
        <v/>
      </c>
      <c r="C113" s="2" t="str">
        <f>IF(A113="","",COUNTIF('03_LUA_CHON'!$A$5:$A$404,A113))</f>
        <v/>
      </c>
      <c r="D113" s="2" t="str">
        <f>IF(A113="","",COUNTIFS('03_LUA_CHON'!$A$5:$A$404,A113,'03_LUA_CHON'!$D$5:$D$404,"Có"))</f>
        <v/>
      </c>
      <c r="E113" s="2" t="str">
        <f t="shared" si="4"/>
        <v/>
      </c>
      <c r="F113" s="2" t="str">
        <f t="shared" si="5"/>
        <v/>
      </c>
    </row>
    <row r="114" spans="1:6">
      <c r="A114" s="2" t="str">
        <f>IF('02_KICH_BAN_NODES'!D100="choice",'02_KICH_BAN_NODES'!B100,"")</f>
        <v/>
      </c>
      <c r="B114" s="2" t="str">
        <f>IF(A114="","",'02_KICH_BAN_NODES'!E100)</f>
        <v/>
      </c>
      <c r="C114" s="2" t="str">
        <f>IF(A114="","",COUNTIF('03_LUA_CHON'!$A$5:$A$404,A114))</f>
        <v/>
      </c>
      <c r="D114" s="2" t="str">
        <f>IF(A114="","",COUNTIFS('03_LUA_CHON'!$A$5:$A$404,A114,'03_LUA_CHON'!$D$5:$D$404,"Có"))</f>
        <v/>
      </c>
      <c r="E114" s="2" t="str">
        <f t="shared" si="4"/>
        <v/>
      </c>
      <c r="F114" s="2" t="str">
        <f t="shared" si="5"/>
        <v/>
      </c>
    </row>
    <row r="115" spans="1:6">
      <c r="A115" s="2" t="str">
        <f>IF('02_KICH_BAN_NODES'!D101="choice",'02_KICH_BAN_NODES'!B101,"")</f>
        <v/>
      </c>
      <c r="B115" s="2" t="str">
        <f>IF(A115="","",'02_KICH_BAN_NODES'!E101)</f>
        <v/>
      </c>
      <c r="C115" s="2" t="str">
        <f>IF(A115="","",COUNTIF('03_LUA_CHON'!$A$5:$A$404,A115))</f>
        <v/>
      </c>
      <c r="D115" s="2" t="str">
        <f>IF(A115="","",COUNTIFS('03_LUA_CHON'!$A$5:$A$404,A115,'03_LUA_CHON'!$D$5:$D$404,"Có"))</f>
        <v/>
      </c>
      <c r="E115" s="2" t="str">
        <f t="shared" ref="E115:E146" si="6">IF(A115="","",IF(OR(C115&lt;2,C115&gt;4),"CẦN SỬA",IF(AND(B115="Kiến thức",D115=1),"HỢP LỆ",IF(AND(B115="Tương tác",D115=0),"HỢP LỆ","CẦN SỬA"))))</f>
        <v/>
      </c>
      <c r="F115" s="2" t="str">
        <f t="shared" ref="F115:F146" si="7">IF(A115="","",IF(OR(C115&lt;2,C115&gt;4),"Cần 2–4 option",IF(AND(B115="Kiến thức",D115&lt;&gt;1),"Câu kiến thức cần đúng 1 đáp án đúng",IF(AND(B115="Tương tác",D115&lt;&gt;0),"Câu tương tác không có đáp án đúng",IF(B115="","Thiếu ChoiceMode","")))))</f>
        <v/>
      </c>
    </row>
    <row r="116" spans="1:6">
      <c r="A116" s="2" t="str">
        <f>IF('02_KICH_BAN_NODES'!D102="choice",'02_KICH_BAN_NODES'!B102,"")</f>
        <v/>
      </c>
      <c r="B116" s="2" t="str">
        <f>IF(A116="","",'02_KICH_BAN_NODES'!E102)</f>
        <v/>
      </c>
      <c r="C116" s="2" t="str">
        <f>IF(A116="","",COUNTIF('03_LUA_CHON'!$A$5:$A$404,A116))</f>
        <v/>
      </c>
      <c r="D116" s="2" t="str">
        <f>IF(A116="","",COUNTIFS('03_LUA_CHON'!$A$5:$A$404,A116,'03_LUA_CHON'!$D$5:$D$404,"Có"))</f>
        <v/>
      </c>
      <c r="E116" s="2" t="str">
        <f t="shared" si="6"/>
        <v/>
      </c>
      <c r="F116" s="2" t="str">
        <f t="shared" si="7"/>
        <v/>
      </c>
    </row>
    <row r="117" spans="1:6">
      <c r="A117" s="2" t="str">
        <f>IF('02_KICH_BAN_NODES'!D103="choice",'02_KICH_BAN_NODES'!B103,"")</f>
        <v/>
      </c>
      <c r="B117" s="2" t="str">
        <f>IF(A117="","",'02_KICH_BAN_NODES'!E103)</f>
        <v/>
      </c>
      <c r="C117" s="2" t="str">
        <f>IF(A117="","",COUNTIF('03_LUA_CHON'!$A$5:$A$404,A117))</f>
        <v/>
      </c>
      <c r="D117" s="2" t="str">
        <f>IF(A117="","",COUNTIFS('03_LUA_CHON'!$A$5:$A$404,A117,'03_LUA_CHON'!$D$5:$D$404,"Có"))</f>
        <v/>
      </c>
      <c r="E117" s="2" t="str">
        <f t="shared" si="6"/>
        <v/>
      </c>
      <c r="F117" s="2" t="str">
        <f t="shared" si="7"/>
        <v/>
      </c>
    </row>
    <row r="118" spans="1:6">
      <c r="A118" s="2" t="str">
        <f>IF('02_KICH_BAN_NODES'!D104="choice",'02_KICH_BAN_NODES'!B104,"")</f>
        <v/>
      </c>
      <c r="B118" s="2" t="str">
        <f>IF(A118="","",'02_KICH_BAN_NODES'!E104)</f>
        <v/>
      </c>
      <c r="C118" s="2" t="str">
        <f>IF(A118="","",COUNTIF('03_LUA_CHON'!$A$5:$A$404,A118))</f>
        <v/>
      </c>
      <c r="D118" s="2" t="str">
        <f>IF(A118="","",COUNTIFS('03_LUA_CHON'!$A$5:$A$404,A118,'03_LUA_CHON'!$D$5:$D$404,"Có"))</f>
        <v/>
      </c>
      <c r="E118" s="2" t="str">
        <f t="shared" si="6"/>
        <v/>
      </c>
      <c r="F118" s="2" t="str">
        <f t="shared" si="7"/>
        <v/>
      </c>
    </row>
    <row r="119" spans="1:6">
      <c r="A119" s="2" t="str">
        <f>IF('02_KICH_BAN_NODES'!D105="choice",'02_KICH_BAN_NODES'!B105,"")</f>
        <v/>
      </c>
      <c r="B119" s="2" t="str">
        <f>IF(A119="","",'02_KICH_BAN_NODES'!E105)</f>
        <v/>
      </c>
      <c r="C119" s="2" t="str">
        <f>IF(A119="","",COUNTIF('03_LUA_CHON'!$A$5:$A$404,A119))</f>
        <v/>
      </c>
      <c r="D119" s="2" t="str">
        <f>IF(A119="","",COUNTIFS('03_LUA_CHON'!$A$5:$A$404,A119,'03_LUA_CHON'!$D$5:$D$404,"Có"))</f>
        <v/>
      </c>
      <c r="E119" s="2" t="str">
        <f t="shared" si="6"/>
        <v/>
      </c>
      <c r="F119" s="2" t="str">
        <f t="shared" si="7"/>
        <v/>
      </c>
    </row>
    <row r="120" spans="1:6">
      <c r="A120" s="2" t="str">
        <f>IF('02_KICH_BAN_NODES'!D106="choice",'02_KICH_BAN_NODES'!B106,"")</f>
        <v/>
      </c>
      <c r="B120" s="2" t="str">
        <f>IF(A120="","",'02_KICH_BAN_NODES'!E106)</f>
        <v/>
      </c>
      <c r="C120" s="2" t="str">
        <f>IF(A120="","",COUNTIF('03_LUA_CHON'!$A$5:$A$404,A120))</f>
        <v/>
      </c>
      <c r="D120" s="2" t="str">
        <f>IF(A120="","",COUNTIFS('03_LUA_CHON'!$A$5:$A$404,A120,'03_LUA_CHON'!$D$5:$D$404,"Có"))</f>
        <v/>
      </c>
      <c r="E120" s="2" t="str">
        <f t="shared" si="6"/>
        <v/>
      </c>
      <c r="F120" s="2" t="str">
        <f t="shared" si="7"/>
        <v/>
      </c>
    </row>
    <row r="121" spans="1:6">
      <c r="A121" s="2" t="str">
        <f>IF('02_KICH_BAN_NODES'!D107="choice",'02_KICH_BAN_NODES'!B107,"")</f>
        <v/>
      </c>
      <c r="B121" s="2" t="str">
        <f>IF(A121="","",'02_KICH_BAN_NODES'!E107)</f>
        <v/>
      </c>
      <c r="C121" s="2" t="str">
        <f>IF(A121="","",COUNTIF('03_LUA_CHON'!$A$5:$A$404,A121))</f>
        <v/>
      </c>
      <c r="D121" s="2" t="str">
        <f>IF(A121="","",COUNTIFS('03_LUA_CHON'!$A$5:$A$404,A121,'03_LUA_CHON'!$D$5:$D$404,"Có"))</f>
        <v/>
      </c>
      <c r="E121" s="2" t="str">
        <f t="shared" si="6"/>
        <v/>
      </c>
      <c r="F121" s="2" t="str">
        <f t="shared" si="7"/>
        <v/>
      </c>
    </row>
    <row r="122" spans="1:6">
      <c r="A122" s="2" t="str">
        <f>IF('02_KICH_BAN_NODES'!D108="choice",'02_KICH_BAN_NODES'!B108,"")</f>
        <v/>
      </c>
      <c r="B122" s="2" t="str">
        <f>IF(A122="","",'02_KICH_BAN_NODES'!E108)</f>
        <v/>
      </c>
      <c r="C122" s="2" t="str">
        <f>IF(A122="","",COUNTIF('03_LUA_CHON'!$A$5:$A$404,A122))</f>
        <v/>
      </c>
      <c r="D122" s="2" t="str">
        <f>IF(A122="","",COUNTIFS('03_LUA_CHON'!$A$5:$A$404,A122,'03_LUA_CHON'!$D$5:$D$404,"Có"))</f>
        <v/>
      </c>
      <c r="E122" s="2" t="str">
        <f t="shared" si="6"/>
        <v/>
      </c>
      <c r="F122" s="2" t="str">
        <f t="shared" si="7"/>
        <v/>
      </c>
    </row>
    <row r="123" spans="1:6">
      <c r="A123" s="2" t="str">
        <f>IF('02_KICH_BAN_NODES'!D109="choice",'02_KICH_BAN_NODES'!B109,"")</f>
        <v/>
      </c>
      <c r="B123" s="2" t="str">
        <f>IF(A123="","",'02_KICH_BAN_NODES'!E109)</f>
        <v/>
      </c>
      <c r="C123" s="2" t="str">
        <f>IF(A123="","",COUNTIF('03_LUA_CHON'!$A$5:$A$404,A123))</f>
        <v/>
      </c>
      <c r="D123" s="2" t="str">
        <f>IF(A123="","",COUNTIFS('03_LUA_CHON'!$A$5:$A$404,A123,'03_LUA_CHON'!$D$5:$D$404,"Có"))</f>
        <v/>
      </c>
      <c r="E123" s="2" t="str">
        <f t="shared" si="6"/>
        <v/>
      </c>
      <c r="F123" s="2" t="str">
        <f t="shared" si="7"/>
        <v/>
      </c>
    </row>
    <row r="124" spans="1:6">
      <c r="A124" s="2" t="str">
        <f>IF('02_KICH_BAN_NODES'!D110="choice",'02_KICH_BAN_NODES'!B110,"")</f>
        <v/>
      </c>
      <c r="B124" s="2" t="str">
        <f>IF(A124="","",'02_KICH_BAN_NODES'!E110)</f>
        <v/>
      </c>
      <c r="C124" s="2" t="str">
        <f>IF(A124="","",COUNTIF('03_LUA_CHON'!$A$5:$A$404,A124))</f>
        <v/>
      </c>
      <c r="D124" s="2" t="str">
        <f>IF(A124="","",COUNTIFS('03_LUA_CHON'!$A$5:$A$404,A124,'03_LUA_CHON'!$D$5:$D$404,"Có"))</f>
        <v/>
      </c>
      <c r="E124" s="2" t="str">
        <f t="shared" si="6"/>
        <v/>
      </c>
      <c r="F124" s="2" t="str">
        <f t="shared" si="7"/>
        <v/>
      </c>
    </row>
    <row r="125" spans="1:6">
      <c r="A125" s="2" t="str">
        <f>IF('02_KICH_BAN_NODES'!D111="choice",'02_KICH_BAN_NODES'!B111,"")</f>
        <v/>
      </c>
      <c r="B125" s="2" t="str">
        <f>IF(A125="","",'02_KICH_BAN_NODES'!E111)</f>
        <v/>
      </c>
      <c r="C125" s="2" t="str">
        <f>IF(A125="","",COUNTIF('03_LUA_CHON'!$A$5:$A$404,A125))</f>
        <v/>
      </c>
      <c r="D125" s="2" t="str">
        <f>IF(A125="","",COUNTIFS('03_LUA_CHON'!$A$5:$A$404,A125,'03_LUA_CHON'!$D$5:$D$404,"Có"))</f>
        <v/>
      </c>
      <c r="E125" s="2" t="str">
        <f t="shared" si="6"/>
        <v/>
      </c>
      <c r="F125" s="2" t="str">
        <f t="shared" si="7"/>
        <v/>
      </c>
    </row>
    <row r="126" spans="1:6">
      <c r="A126" s="2" t="str">
        <f>IF('02_KICH_BAN_NODES'!D112="choice",'02_KICH_BAN_NODES'!B112,"")</f>
        <v/>
      </c>
      <c r="B126" s="2" t="str">
        <f>IF(A126="","",'02_KICH_BAN_NODES'!E112)</f>
        <v/>
      </c>
      <c r="C126" s="2" t="str">
        <f>IF(A126="","",COUNTIF('03_LUA_CHON'!$A$5:$A$404,A126))</f>
        <v/>
      </c>
      <c r="D126" s="2" t="str">
        <f>IF(A126="","",COUNTIFS('03_LUA_CHON'!$A$5:$A$404,A126,'03_LUA_CHON'!$D$5:$D$404,"Có"))</f>
        <v/>
      </c>
      <c r="E126" s="2" t="str">
        <f t="shared" si="6"/>
        <v/>
      </c>
      <c r="F126" s="2" t="str">
        <f t="shared" si="7"/>
        <v/>
      </c>
    </row>
    <row r="127" spans="1:6">
      <c r="A127" s="2" t="str">
        <f>IF('02_KICH_BAN_NODES'!D113="choice",'02_KICH_BAN_NODES'!B113,"")</f>
        <v/>
      </c>
      <c r="B127" s="2" t="str">
        <f>IF(A127="","",'02_KICH_BAN_NODES'!E113)</f>
        <v/>
      </c>
      <c r="C127" s="2" t="str">
        <f>IF(A127="","",COUNTIF('03_LUA_CHON'!$A$5:$A$404,A127))</f>
        <v/>
      </c>
      <c r="D127" s="2" t="str">
        <f>IF(A127="","",COUNTIFS('03_LUA_CHON'!$A$5:$A$404,A127,'03_LUA_CHON'!$D$5:$D$404,"Có"))</f>
        <v/>
      </c>
      <c r="E127" s="2" t="str">
        <f t="shared" si="6"/>
        <v/>
      </c>
      <c r="F127" s="2" t="str">
        <f t="shared" si="7"/>
        <v/>
      </c>
    </row>
    <row r="128" spans="1:6">
      <c r="A128" s="2" t="str">
        <f>IF('02_KICH_BAN_NODES'!D114="choice",'02_KICH_BAN_NODES'!B114,"")</f>
        <v/>
      </c>
      <c r="B128" s="2" t="str">
        <f>IF(A128="","",'02_KICH_BAN_NODES'!E114)</f>
        <v/>
      </c>
      <c r="C128" s="2" t="str">
        <f>IF(A128="","",COUNTIF('03_LUA_CHON'!$A$5:$A$404,A128))</f>
        <v/>
      </c>
      <c r="D128" s="2" t="str">
        <f>IF(A128="","",COUNTIFS('03_LUA_CHON'!$A$5:$A$404,A128,'03_LUA_CHON'!$D$5:$D$404,"Có"))</f>
        <v/>
      </c>
      <c r="E128" s="2" t="str">
        <f t="shared" si="6"/>
        <v/>
      </c>
      <c r="F128" s="2" t="str">
        <f t="shared" si="7"/>
        <v/>
      </c>
    </row>
    <row r="129" spans="1:6">
      <c r="A129" s="2" t="str">
        <f>IF('02_KICH_BAN_NODES'!D115="choice",'02_KICH_BAN_NODES'!B115,"")</f>
        <v/>
      </c>
      <c r="B129" s="2" t="str">
        <f>IF(A129="","",'02_KICH_BAN_NODES'!E115)</f>
        <v/>
      </c>
      <c r="C129" s="2" t="str">
        <f>IF(A129="","",COUNTIF('03_LUA_CHON'!$A$5:$A$404,A129))</f>
        <v/>
      </c>
      <c r="D129" s="2" t="str">
        <f>IF(A129="","",COUNTIFS('03_LUA_CHON'!$A$5:$A$404,A129,'03_LUA_CHON'!$D$5:$D$404,"Có"))</f>
        <v/>
      </c>
      <c r="E129" s="2" t="str">
        <f t="shared" si="6"/>
        <v/>
      </c>
      <c r="F129" s="2" t="str">
        <f t="shared" si="7"/>
        <v/>
      </c>
    </row>
    <row r="130" spans="1:6">
      <c r="A130" s="2" t="str">
        <f>IF('02_KICH_BAN_NODES'!D116="choice",'02_KICH_BAN_NODES'!B116,"")</f>
        <v/>
      </c>
      <c r="B130" s="2" t="str">
        <f>IF(A130="","",'02_KICH_BAN_NODES'!E116)</f>
        <v/>
      </c>
      <c r="C130" s="2" t="str">
        <f>IF(A130="","",COUNTIF('03_LUA_CHON'!$A$5:$A$404,A130))</f>
        <v/>
      </c>
      <c r="D130" s="2" t="str">
        <f>IF(A130="","",COUNTIFS('03_LUA_CHON'!$A$5:$A$404,A130,'03_LUA_CHON'!$D$5:$D$404,"Có"))</f>
        <v/>
      </c>
      <c r="E130" s="2" t="str">
        <f t="shared" si="6"/>
        <v/>
      </c>
      <c r="F130" s="2" t="str">
        <f t="shared" si="7"/>
        <v/>
      </c>
    </row>
    <row r="131" spans="1:6">
      <c r="A131" s="2" t="str">
        <f>IF('02_KICH_BAN_NODES'!D117="choice",'02_KICH_BAN_NODES'!B117,"")</f>
        <v/>
      </c>
      <c r="B131" s="2" t="str">
        <f>IF(A131="","",'02_KICH_BAN_NODES'!E117)</f>
        <v/>
      </c>
      <c r="C131" s="2" t="str">
        <f>IF(A131="","",COUNTIF('03_LUA_CHON'!$A$5:$A$404,A131))</f>
        <v/>
      </c>
      <c r="D131" s="2" t="str">
        <f>IF(A131="","",COUNTIFS('03_LUA_CHON'!$A$5:$A$404,A131,'03_LUA_CHON'!$D$5:$D$404,"Có"))</f>
        <v/>
      </c>
      <c r="E131" s="2" t="str">
        <f t="shared" si="6"/>
        <v/>
      </c>
      <c r="F131" s="2" t="str">
        <f t="shared" si="7"/>
        <v/>
      </c>
    </row>
    <row r="132" spans="1:6">
      <c r="A132" s="2" t="str">
        <f>IF('02_KICH_BAN_NODES'!D118="choice",'02_KICH_BAN_NODES'!B118,"")</f>
        <v/>
      </c>
      <c r="B132" s="2" t="str">
        <f>IF(A132="","",'02_KICH_BAN_NODES'!E118)</f>
        <v/>
      </c>
      <c r="C132" s="2" t="str">
        <f>IF(A132="","",COUNTIF('03_LUA_CHON'!$A$5:$A$404,A132))</f>
        <v/>
      </c>
      <c r="D132" s="2" t="str">
        <f>IF(A132="","",COUNTIFS('03_LUA_CHON'!$A$5:$A$404,A132,'03_LUA_CHON'!$D$5:$D$404,"Có"))</f>
        <v/>
      </c>
      <c r="E132" s="2" t="str">
        <f t="shared" si="6"/>
        <v/>
      </c>
      <c r="F132" s="2" t="str">
        <f t="shared" si="7"/>
        <v/>
      </c>
    </row>
    <row r="133" spans="1:6">
      <c r="A133" s="2" t="str">
        <f>IF('02_KICH_BAN_NODES'!D119="choice",'02_KICH_BAN_NODES'!B119,"")</f>
        <v/>
      </c>
      <c r="B133" s="2" t="str">
        <f>IF(A133="","",'02_KICH_BAN_NODES'!E119)</f>
        <v/>
      </c>
      <c r="C133" s="2" t="str">
        <f>IF(A133="","",COUNTIF('03_LUA_CHON'!$A$5:$A$404,A133))</f>
        <v/>
      </c>
      <c r="D133" s="2" t="str">
        <f>IF(A133="","",COUNTIFS('03_LUA_CHON'!$A$5:$A$404,A133,'03_LUA_CHON'!$D$5:$D$404,"Có"))</f>
        <v/>
      </c>
      <c r="E133" s="2" t="str">
        <f t="shared" si="6"/>
        <v/>
      </c>
      <c r="F133" s="2" t="str">
        <f t="shared" si="7"/>
        <v/>
      </c>
    </row>
    <row r="134" spans="1:6">
      <c r="A134" s="2" t="str">
        <f>IF('02_KICH_BAN_NODES'!D120="choice",'02_KICH_BAN_NODES'!B120,"")</f>
        <v/>
      </c>
      <c r="B134" s="2" t="str">
        <f>IF(A134="","",'02_KICH_BAN_NODES'!E120)</f>
        <v/>
      </c>
      <c r="C134" s="2" t="str">
        <f>IF(A134="","",COUNTIF('03_LUA_CHON'!$A$5:$A$404,A134))</f>
        <v/>
      </c>
      <c r="D134" s="2" t="str">
        <f>IF(A134="","",COUNTIFS('03_LUA_CHON'!$A$5:$A$404,A134,'03_LUA_CHON'!$D$5:$D$404,"Có"))</f>
        <v/>
      </c>
      <c r="E134" s="2" t="str">
        <f t="shared" si="6"/>
        <v/>
      </c>
      <c r="F134" s="2" t="str">
        <f t="shared" si="7"/>
        <v/>
      </c>
    </row>
    <row r="135" spans="1:6">
      <c r="A135" s="2" t="str">
        <f>IF('02_KICH_BAN_NODES'!D121="choice",'02_KICH_BAN_NODES'!B121,"")</f>
        <v/>
      </c>
      <c r="B135" s="2" t="str">
        <f>IF(A135="","",'02_KICH_BAN_NODES'!E121)</f>
        <v/>
      </c>
      <c r="C135" s="2" t="str">
        <f>IF(A135="","",COUNTIF('03_LUA_CHON'!$A$5:$A$404,A135))</f>
        <v/>
      </c>
      <c r="D135" s="2" t="str">
        <f>IF(A135="","",COUNTIFS('03_LUA_CHON'!$A$5:$A$404,A135,'03_LUA_CHON'!$D$5:$D$404,"Có"))</f>
        <v/>
      </c>
      <c r="E135" s="2" t="str">
        <f t="shared" si="6"/>
        <v/>
      </c>
      <c r="F135" s="2" t="str">
        <f t="shared" si="7"/>
        <v/>
      </c>
    </row>
    <row r="136" spans="1:6">
      <c r="A136" s="2" t="str">
        <f>IF('02_KICH_BAN_NODES'!D122="choice",'02_KICH_BAN_NODES'!B122,"")</f>
        <v/>
      </c>
      <c r="B136" s="2" t="str">
        <f>IF(A136="","",'02_KICH_BAN_NODES'!E122)</f>
        <v/>
      </c>
      <c r="C136" s="2" t="str">
        <f>IF(A136="","",COUNTIF('03_LUA_CHON'!$A$5:$A$404,A136))</f>
        <v/>
      </c>
      <c r="D136" s="2" t="str">
        <f>IF(A136="","",COUNTIFS('03_LUA_CHON'!$A$5:$A$404,A136,'03_LUA_CHON'!$D$5:$D$404,"Có"))</f>
        <v/>
      </c>
      <c r="E136" s="2" t="str">
        <f t="shared" si="6"/>
        <v/>
      </c>
      <c r="F136" s="2" t="str">
        <f t="shared" si="7"/>
        <v/>
      </c>
    </row>
    <row r="137" spans="1:6">
      <c r="A137" s="2" t="str">
        <f>IF('02_KICH_BAN_NODES'!D123="choice",'02_KICH_BAN_NODES'!B123,"")</f>
        <v/>
      </c>
      <c r="B137" s="2" t="str">
        <f>IF(A137="","",'02_KICH_BAN_NODES'!E123)</f>
        <v/>
      </c>
      <c r="C137" s="2" t="str">
        <f>IF(A137="","",COUNTIF('03_LUA_CHON'!$A$5:$A$404,A137))</f>
        <v/>
      </c>
      <c r="D137" s="2" t="str">
        <f>IF(A137="","",COUNTIFS('03_LUA_CHON'!$A$5:$A$404,A137,'03_LUA_CHON'!$D$5:$D$404,"Có"))</f>
        <v/>
      </c>
      <c r="E137" s="2" t="str">
        <f t="shared" si="6"/>
        <v/>
      </c>
      <c r="F137" s="2" t="str">
        <f t="shared" si="7"/>
        <v/>
      </c>
    </row>
    <row r="138" spans="1:6">
      <c r="A138" s="2" t="str">
        <f>IF('02_KICH_BAN_NODES'!D124="choice",'02_KICH_BAN_NODES'!B124,"")</f>
        <v/>
      </c>
      <c r="B138" s="2" t="str">
        <f>IF(A138="","",'02_KICH_BAN_NODES'!E124)</f>
        <v/>
      </c>
      <c r="C138" s="2" t="str">
        <f>IF(A138="","",COUNTIF('03_LUA_CHON'!$A$5:$A$404,A138))</f>
        <v/>
      </c>
      <c r="D138" s="2" t="str">
        <f>IF(A138="","",COUNTIFS('03_LUA_CHON'!$A$5:$A$404,A138,'03_LUA_CHON'!$D$5:$D$404,"Có"))</f>
        <v/>
      </c>
      <c r="E138" s="2" t="str">
        <f t="shared" si="6"/>
        <v/>
      </c>
      <c r="F138" s="2" t="str">
        <f t="shared" si="7"/>
        <v/>
      </c>
    </row>
    <row r="139" spans="1:6">
      <c r="A139" s="2" t="str">
        <f>IF('02_KICH_BAN_NODES'!D125="choice",'02_KICH_BAN_NODES'!B125,"")</f>
        <v/>
      </c>
      <c r="B139" s="2" t="str">
        <f>IF(A139="","",'02_KICH_BAN_NODES'!E125)</f>
        <v/>
      </c>
      <c r="C139" s="2" t="str">
        <f>IF(A139="","",COUNTIF('03_LUA_CHON'!$A$5:$A$404,A139))</f>
        <v/>
      </c>
      <c r="D139" s="2" t="str">
        <f>IF(A139="","",COUNTIFS('03_LUA_CHON'!$A$5:$A$404,A139,'03_LUA_CHON'!$D$5:$D$404,"Có"))</f>
        <v/>
      </c>
      <c r="E139" s="2" t="str">
        <f t="shared" si="6"/>
        <v/>
      </c>
      <c r="F139" s="2" t="str">
        <f t="shared" si="7"/>
        <v/>
      </c>
    </row>
    <row r="140" spans="1:6">
      <c r="A140" s="2" t="str">
        <f>IF('02_KICH_BAN_NODES'!D126="choice",'02_KICH_BAN_NODES'!B126,"")</f>
        <v/>
      </c>
      <c r="B140" s="2" t="str">
        <f>IF(A140="","",'02_KICH_BAN_NODES'!E126)</f>
        <v/>
      </c>
      <c r="C140" s="2" t="str">
        <f>IF(A140="","",COUNTIF('03_LUA_CHON'!$A$5:$A$404,A140))</f>
        <v/>
      </c>
      <c r="D140" s="2" t="str">
        <f>IF(A140="","",COUNTIFS('03_LUA_CHON'!$A$5:$A$404,A140,'03_LUA_CHON'!$D$5:$D$404,"Có"))</f>
        <v/>
      </c>
      <c r="E140" s="2" t="str">
        <f t="shared" si="6"/>
        <v/>
      </c>
      <c r="F140" s="2" t="str">
        <f t="shared" si="7"/>
        <v/>
      </c>
    </row>
    <row r="141" spans="1:6">
      <c r="A141" s="2" t="str">
        <f>IF('02_KICH_BAN_NODES'!D127="choice",'02_KICH_BAN_NODES'!B127,"")</f>
        <v/>
      </c>
      <c r="B141" s="2" t="str">
        <f>IF(A141="","",'02_KICH_BAN_NODES'!E127)</f>
        <v/>
      </c>
      <c r="C141" s="2" t="str">
        <f>IF(A141="","",COUNTIF('03_LUA_CHON'!$A$5:$A$404,A141))</f>
        <v/>
      </c>
      <c r="D141" s="2" t="str">
        <f>IF(A141="","",COUNTIFS('03_LUA_CHON'!$A$5:$A$404,A141,'03_LUA_CHON'!$D$5:$D$404,"Có"))</f>
        <v/>
      </c>
      <c r="E141" s="2" t="str">
        <f t="shared" si="6"/>
        <v/>
      </c>
      <c r="F141" s="2" t="str">
        <f t="shared" si="7"/>
        <v/>
      </c>
    </row>
    <row r="142" spans="1:6">
      <c r="A142" s="2" t="str">
        <f>IF('02_KICH_BAN_NODES'!D128="choice",'02_KICH_BAN_NODES'!B128,"")</f>
        <v/>
      </c>
      <c r="B142" s="2" t="str">
        <f>IF(A142="","",'02_KICH_BAN_NODES'!E128)</f>
        <v/>
      </c>
      <c r="C142" s="2" t="str">
        <f>IF(A142="","",COUNTIF('03_LUA_CHON'!$A$5:$A$404,A142))</f>
        <v/>
      </c>
      <c r="D142" s="2" t="str">
        <f>IF(A142="","",COUNTIFS('03_LUA_CHON'!$A$5:$A$404,A142,'03_LUA_CHON'!$D$5:$D$404,"Có"))</f>
        <v/>
      </c>
      <c r="E142" s="2" t="str">
        <f t="shared" si="6"/>
        <v/>
      </c>
      <c r="F142" s="2" t="str">
        <f t="shared" si="7"/>
        <v/>
      </c>
    </row>
    <row r="143" spans="1:6">
      <c r="A143" s="2" t="str">
        <f>IF('02_KICH_BAN_NODES'!D129="choice",'02_KICH_BAN_NODES'!B129,"")</f>
        <v/>
      </c>
      <c r="B143" s="2" t="str">
        <f>IF(A143="","",'02_KICH_BAN_NODES'!E129)</f>
        <v/>
      </c>
      <c r="C143" s="2" t="str">
        <f>IF(A143="","",COUNTIF('03_LUA_CHON'!$A$5:$A$404,A143))</f>
        <v/>
      </c>
      <c r="D143" s="2" t="str">
        <f>IF(A143="","",COUNTIFS('03_LUA_CHON'!$A$5:$A$404,A143,'03_LUA_CHON'!$D$5:$D$404,"Có"))</f>
        <v/>
      </c>
      <c r="E143" s="2" t="str">
        <f t="shared" si="6"/>
        <v/>
      </c>
      <c r="F143" s="2" t="str">
        <f t="shared" si="7"/>
        <v/>
      </c>
    </row>
    <row r="144" spans="1:6">
      <c r="A144" s="2" t="str">
        <f>IF('02_KICH_BAN_NODES'!D130="choice",'02_KICH_BAN_NODES'!B130,"")</f>
        <v/>
      </c>
      <c r="B144" s="2" t="str">
        <f>IF(A144="","",'02_KICH_BAN_NODES'!E130)</f>
        <v/>
      </c>
      <c r="C144" s="2" t="str">
        <f>IF(A144="","",COUNTIF('03_LUA_CHON'!$A$5:$A$404,A144))</f>
        <v/>
      </c>
      <c r="D144" s="2" t="str">
        <f>IF(A144="","",COUNTIFS('03_LUA_CHON'!$A$5:$A$404,A144,'03_LUA_CHON'!$D$5:$D$404,"Có"))</f>
        <v/>
      </c>
      <c r="E144" s="2" t="str">
        <f t="shared" si="6"/>
        <v/>
      </c>
      <c r="F144" s="2" t="str">
        <f t="shared" si="7"/>
        <v/>
      </c>
    </row>
    <row r="145" spans="1:6">
      <c r="A145" s="2" t="str">
        <f>IF('02_KICH_BAN_NODES'!D131="choice",'02_KICH_BAN_NODES'!B131,"")</f>
        <v/>
      </c>
      <c r="B145" s="2" t="str">
        <f>IF(A145="","",'02_KICH_BAN_NODES'!E131)</f>
        <v/>
      </c>
      <c r="C145" s="2" t="str">
        <f>IF(A145="","",COUNTIF('03_LUA_CHON'!$A$5:$A$404,A145))</f>
        <v/>
      </c>
      <c r="D145" s="2" t="str">
        <f>IF(A145="","",COUNTIFS('03_LUA_CHON'!$A$5:$A$404,A145,'03_LUA_CHON'!$D$5:$D$404,"Có"))</f>
        <v/>
      </c>
      <c r="E145" s="2" t="str">
        <f t="shared" si="6"/>
        <v/>
      </c>
      <c r="F145" s="2" t="str">
        <f t="shared" si="7"/>
        <v/>
      </c>
    </row>
    <row r="146" spans="1:6">
      <c r="A146" s="2" t="str">
        <f>IF('02_KICH_BAN_NODES'!D132="choice",'02_KICH_BAN_NODES'!B132,"")</f>
        <v/>
      </c>
      <c r="B146" s="2" t="str">
        <f>IF(A146="","",'02_KICH_BAN_NODES'!E132)</f>
        <v/>
      </c>
      <c r="C146" s="2" t="str">
        <f>IF(A146="","",COUNTIF('03_LUA_CHON'!$A$5:$A$404,A146))</f>
        <v/>
      </c>
      <c r="D146" s="2" t="str">
        <f>IF(A146="","",COUNTIFS('03_LUA_CHON'!$A$5:$A$404,A146,'03_LUA_CHON'!$D$5:$D$404,"Có"))</f>
        <v/>
      </c>
      <c r="E146" s="2" t="str">
        <f t="shared" si="6"/>
        <v/>
      </c>
      <c r="F146" s="2" t="str">
        <f t="shared" si="7"/>
        <v/>
      </c>
    </row>
    <row r="147" spans="1:6">
      <c r="A147" s="2" t="str">
        <f>IF('02_KICH_BAN_NODES'!D133="choice",'02_KICH_BAN_NODES'!B133,"")</f>
        <v/>
      </c>
      <c r="B147" s="2" t="str">
        <f>IF(A147="","",'02_KICH_BAN_NODES'!E133)</f>
        <v/>
      </c>
      <c r="C147" s="2" t="str">
        <f>IF(A147="","",COUNTIF('03_LUA_CHON'!$A$5:$A$404,A147))</f>
        <v/>
      </c>
      <c r="D147" s="2" t="str">
        <f>IF(A147="","",COUNTIFS('03_LUA_CHON'!$A$5:$A$404,A147,'03_LUA_CHON'!$D$5:$D$404,"Có"))</f>
        <v/>
      </c>
      <c r="E147" s="2" t="str">
        <f t="shared" ref="E147:E178" si="8">IF(A147="","",IF(OR(C147&lt;2,C147&gt;4),"CẦN SỬA",IF(AND(B147="Kiến thức",D147=1),"HỢP LỆ",IF(AND(B147="Tương tác",D147=0),"HỢP LỆ","CẦN SỬA"))))</f>
        <v/>
      </c>
      <c r="F147" s="2" t="str">
        <f t="shared" ref="F147:F178" si="9">IF(A147="","",IF(OR(C147&lt;2,C147&gt;4),"Cần 2–4 option",IF(AND(B147="Kiến thức",D147&lt;&gt;1),"Câu kiến thức cần đúng 1 đáp án đúng",IF(AND(B147="Tương tác",D147&lt;&gt;0),"Câu tương tác không có đáp án đúng",IF(B147="","Thiếu ChoiceMode","")))))</f>
        <v/>
      </c>
    </row>
    <row r="148" spans="1:6">
      <c r="A148" s="2" t="str">
        <f>IF('02_KICH_BAN_NODES'!D134="choice",'02_KICH_BAN_NODES'!B134,"")</f>
        <v/>
      </c>
      <c r="B148" s="2" t="str">
        <f>IF(A148="","",'02_KICH_BAN_NODES'!E134)</f>
        <v/>
      </c>
      <c r="C148" s="2" t="str">
        <f>IF(A148="","",COUNTIF('03_LUA_CHON'!$A$5:$A$404,A148))</f>
        <v/>
      </c>
      <c r="D148" s="2" t="str">
        <f>IF(A148="","",COUNTIFS('03_LUA_CHON'!$A$5:$A$404,A148,'03_LUA_CHON'!$D$5:$D$404,"Có"))</f>
        <v/>
      </c>
      <c r="E148" s="2" t="str">
        <f t="shared" si="8"/>
        <v/>
      </c>
      <c r="F148" s="2" t="str">
        <f t="shared" si="9"/>
        <v/>
      </c>
    </row>
    <row r="149" spans="1:6">
      <c r="A149" s="2" t="str">
        <f>IF('02_KICH_BAN_NODES'!D135="choice",'02_KICH_BAN_NODES'!B135,"")</f>
        <v/>
      </c>
      <c r="B149" s="2" t="str">
        <f>IF(A149="","",'02_KICH_BAN_NODES'!E135)</f>
        <v/>
      </c>
      <c r="C149" s="2" t="str">
        <f>IF(A149="","",COUNTIF('03_LUA_CHON'!$A$5:$A$404,A149))</f>
        <v/>
      </c>
      <c r="D149" s="2" t="str">
        <f>IF(A149="","",COUNTIFS('03_LUA_CHON'!$A$5:$A$404,A149,'03_LUA_CHON'!$D$5:$D$404,"Có"))</f>
        <v/>
      </c>
      <c r="E149" s="2" t="str">
        <f t="shared" si="8"/>
        <v/>
      </c>
      <c r="F149" s="2" t="str">
        <f t="shared" si="9"/>
        <v/>
      </c>
    </row>
    <row r="150" spans="1:6">
      <c r="A150" s="2" t="str">
        <f>IF('02_KICH_BAN_NODES'!D136="choice",'02_KICH_BAN_NODES'!B136,"")</f>
        <v/>
      </c>
      <c r="B150" s="2" t="str">
        <f>IF(A150="","",'02_KICH_BAN_NODES'!E136)</f>
        <v/>
      </c>
      <c r="C150" s="2" t="str">
        <f>IF(A150="","",COUNTIF('03_LUA_CHON'!$A$5:$A$404,A150))</f>
        <v/>
      </c>
      <c r="D150" s="2" t="str">
        <f>IF(A150="","",COUNTIFS('03_LUA_CHON'!$A$5:$A$404,A150,'03_LUA_CHON'!$D$5:$D$404,"Có"))</f>
        <v/>
      </c>
      <c r="E150" s="2" t="str">
        <f t="shared" si="8"/>
        <v/>
      </c>
      <c r="F150" s="2" t="str">
        <f t="shared" si="9"/>
        <v/>
      </c>
    </row>
    <row r="151" spans="1:6">
      <c r="A151" s="2" t="str">
        <f>IF('02_KICH_BAN_NODES'!D137="choice",'02_KICH_BAN_NODES'!B137,"")</f>
        <v/>
      </c>
      <c r="B151" s="2" t="str">
        <f>IF(A151="","",'02_KICH_BAN_NODES'!E137)</f>
        <v/>
      </c>
      <c r="C151" s="2" t="str">
        <f>IF(A151="","",COUNTIF('03_LUA_CHON'!$A$5:$A$404,A151))</f>
        <v/>
      </c>
      <c r="D151" s="2" t="str">
        <f>IF(A151="","",COUNTIFS('03_LUA_CHON'!$A$5:$A$404,A151,'03_LUA_CHON'!$D$5:$D$404,"Có"))</f>
        <v/>
      </c>
      <c r="E151" s="2" t="str">
        <f t="shared" si="8"/>
        <v/>
      </c>
      <c r="F151" s="2" t="str">
        <f t="shared" si="9"/>
        <v/>
      </c>
    </row>
    <row r="152" spans="1:6">
      <c r="A152" s="2" t="str">
        <f>IF('02_KICH_BAN_NODES'!D138="choice",'02_KICH_BAN_NODES'!B138,"")</f>
        <v/>
      </c>
      <c r="B152" s="2" t="str">
        <f>IF(A152="","",'02_KICH_BAN_NODES'!E138)</f>
        <v/>
      </c>
      <c r="C152" s="2" t="str">
        <f>IF(A152="","",COUNTIF('03_LUA_CHON'!$A$5:$A$404,A152))</f>
        <v/>
      </c>
      <c r="D152" s="2" t="str">
        <f>IF(A152="","",COUNTIFS('03_LUA_CHON'!$A$5:$A$404,A152,'03_LUA_CHON'!$D$5:$D$404,"Có"))</f>
        <v/>
      </c>
      <c r="E152" s="2" t="str">
        <f t="shared" si="8"/>
        <v/>
      </c>
      <c r="F152" s="2" t="str">
        <f t="shared" si="9"/>
        <v/>
      </c>
    </row>
    <row r="153" spans="1:6">
      <c r="A153" s="2" t="str">
        <f>IF('02_KICH_BAN_NODES'!D139="choice",'02_KICH_BAN_NODES'!B139,"")</f>
        <v/>
      </c>
      <c r="B153" s="2" t="str">
        <f>IF(A153="","",'02_KICH_BAN_NODES'!E139)</f>
        <v/>
      </c>
      <c r="C153" s="2" t="str">
        <f>IF(A153="","",COUNTIF('03_LUA_CHON'!$A$5:$A$404,A153))</f>
        <v/>
      </c>
      <c r="D153" s="2" t="str">
        <f>IF(A153="","",COUNTIFS('03_LUA_CHON'!$A$5:$A$404,A153,'03_LUA_CHON'!$D$5:$D$404,"Có"))</f>
        <v/>
      </c>
      <c r="E153" s="2" t="str">
        <f t="shared" si="8"/>
        <v/>
      </c>
      <c r="F153" s="2" t="str">
        <f t="shared" si="9"/>
        <v/>
      </c>
    </row>
    <row r="154" spans="1:6">
      <c r="A154" s="2" t="str">
        <f>IF('02_KICH_BAN_NODES'!D140="choice",'02_KICH_BAN_NODES'!B140,"")</f>
        <v/>
      </c>
      <c r="B154" s="2" t="str">
        <f>IF(A154="","",'02_KICH_BAN_NODES'!E140)</f>
        <v/>
      </c>
      <c r="C154" s="2" t="str">
        <f>IF(A154="","",COUNTIF('03_LUA_CHON'!$A$5:$A$404,A154))</f>
        <v/>
      </c>
      <c r="D154" s="2" t="str">
        <f>IF(A154="","",COUNTIFS('03_LUA_CHON'!$A$5:$A$404,A154,'03_LUA_CHON'!$D$5:$D$404,"Có"))</f>
        <v/>
      </c>
      <c r="E154" s="2" t="str">
        <f t="shared" si="8"/>
        <v/>
      </c>
      <c r="F154" s="2" t="str">
        <f t="shared" si="9"/>
        <v/>
      </c>
    </row>
    <row r="155" spans="1:6">
      <c r="A155" s="2" t="str">
        <f>IF('02_KICH_BAN_NODES'!D141="choice",'02_KICH_BAN_NODES'!B141,"")</f>
        <v/>
      </c>
      <c r="B155" s="2" t="str">
        <f>IF(A155="","",'02_KICH_BAN_NODES'!E141)</f>
        <v/>
      </c>
      <c r="C155" s="2" t="str">
        <f>IF(A155="","",COUNTIF('03_LUA_CHON'!$A$5:$A$404,A155))</f>
        <v/>
      </c>
      <c r="D155" s="2" t="str">
        <f>IF(A155="","",COUNTIFS('03_LUA_CHON'!$A$5:$A$404,A155,'03_LUA_CHON'!$D$5:$D$404,"Có"))</f>
        <v/>
      </c>
      <c r="E155" s="2" t="str">
        <f t="shared" si="8"/>
        <v/>
      </c>
      <c r="F155" s="2" t="str">
        <f t="shared" si="9"/>
        <v/>
      </c>
    </row>
    <row r="156" spans="1:6">
      <c r="A156" s="2" t="str">
        <f>IF('02_KICH_BAN_NODES'!D142="choice",'02_KICH_BAN_NODES'!B142,"")</f>
        <v/>
      </c>
      <c r="B156" s="2" t="str">
        <f>IF(A156="","",'02_KICH_BAN_NODES'!E142)</f>
        <v/>
      </c>
      <c r="C156" s="2" t="str">
        <f>IF(A156="","",COUNTIF('03_LUA_CHON'!$A$5:$A$404,A156))</f>
        <v/>
      </c>
      <c r="D156" s="2" t="str">
        <f>IF(A156="","",COUNTIFS('03_LUA_CHON'!$A$5:$A$404,A156,'03_LUA_CHON'!$D$5:$D$404,"Có"))</f>
        <v/>
      </c>
      <c r="E156" s="2" t="str">
        <f t="shared" si="8"/>
        <v/>
      </c>
      <c r="F156" s="2" t="str">
        <f t="shared" si="9"/>
        <v/>
      </c>
    </row>
    <row r="157" spans="1:6">
      <c r="A157" s="2" t="str">
        <f>IF('02_KICH_BAN_NODES'!D143="choice",'02_KICH_BAN_NODES'!B143,"")</f>
        <v/>
      </c>
      <c r="B157" s="2" t="str">
        <f>IF(A157="","",'02_KICH_BAN_NODES'!E143)</f>
        <v/>
      </c>
      <c r="C157" s="2" t="str">
        <f>IF(A157="","",COUNTIF('03_LUA_CHON'!$A$5:$A$404,A157))</f>
        <v/>
      </c>
      <c r="D157" s="2" t="str">
        <f>IF(A157="","",COUNTIFS('03_LUA_CHON'!$A$5:$A$404,A157,'03_LUA_CHON'!$D$5:$D$404,"Có"))</f>
        <v/>
      </c>
      <c r="E157" s="2" t="str">
        <f t="shared" si="8"/>
        <v/>
      </c>
      <c r="F157" s="2" t="str">
        <f t="shared" si="9"/>
        <v/>
      </c>
    </row>
    <row r="158" spans="1:6">
      <c r="A158" s="2" t="str">
        <f>IF('02_KICH_BAN_NODES'!D144="choice",'02_KICH_BAN_NODES'!B144,"")</f>
        <v/>
      </c>
      <c r="B158" s="2" t="str">
        <f>IF(A158="","",'02_KICH_BAN_NODES'!E144)</f>
        <v/>
      </c>
      <c r="C158" s="2" t="str">
        <f>IF(A158="","",COUNTIF('03_LUA_CHON'!$A$5:$A$404,A158))</f>
        <v/>
      </c>
      <c r="D158" s="2" t="str">
        <f>IF(A158="","",COUNTIFS('03_LUA_CHON'!$A$5:$A$404,A158,'03_LUA_CHON'!$D$5:$D$404,"Có"))</f>
        <v/>
      </c>
      <c r="E158" s="2" t="str">
        <f t="shared" si="8"/>
        <v/>
      </c>
      <c r="F158" s="2" t="str">
        <f t="shared" si="9"/>
        <v/>
      </c>
    </row>
    <row r="159" spans="1:6">
      <c r="A159" s="2" t="str">
        <f>IF('02_KICH_BAN_NODES'!D145="choice",'02_KICH_BAN_NODES'!B145,"")</f>
        <v/>
      </c>
      <c r="B159" s="2" t="str">
        <f>IF(A159="","",'02_KICH_BAN_NODES'!E145)</f>
        <v/>
      </c>
      <c r="C159" s="2" t="str">
        <f>IF(A159="","",COUNTIF('03_LUA_CHON'!$A$5:$A$404,A159))</f>
        <v/>
      </c>
      <c r="D159" s="2" t="str">
        <f>IF(A159="","",COUNTIFS('03_LUA_CHON'!$A$5:$A$404,A159,'03_LUA_CHON'!$D$5:$D$404,"Có"))</f>
        <v/>
      </c>
      <c r="E159" s="2" t="str">
        <f t="shared" si="8"/>
        <v/>
      </c>
      <c r="F159" s="2" t="str">
        <f t="shared" si="9"/>
        <v/>
      </c>
    </row>
    <row r="160" spans="1:6">
      <c r="A160" s="2" t="str">
        <f>IF('02_KICH_BAN_NODES'!D146="choice",'02_KICH_BAN_NODES'!B146,"")</f>
        <v/>
      </c>
      <c r="B160" s="2" t="str">
        <f>IF(A160="","",'02_KICH_BAN_NODES'!E146)</f>
        <v/>
      </c>
      <c r="C160" s="2" t="str">
        <f>IF(A160="","",COUNTIF('03_LUA_CHON'!$A$5:$A$404,A160))</f>
        <v/>
      </c>
      <c r="D160" s="2" t="str">
        <f>IF(A160="","",COUNTIFS('03_LUA_CHON'!$A$5:$A$404,A160,'03_LUA_CHON'!$D$5:$D$404,"Có"))</f>
        <v/>
      </c>
      <c r="E160" s="2" t="str">
        <f t="shared" si="8"/>
        <v/>
      </c>
      <c r="F160" s="2" t="str">
        <f t="shared" si="9"/>
        <v/>
      </c>
    </row>
    <row r="161" spans="1:6">
      <c r="A161" s="2" t="str">
        <f>IF('02_KICH_BAN_NODES'!D147="choice",'02_KICH_BAN_NODES'!B147,"")</f>
        <v/>
      </c>
      <c r="B161" s="2" t="str">
        <f>IF(A161="","",'02_KICH_BAN_NODES'!E147)</f>
        <v/>
      </c>
      <c r="C161" s="2" t="str">
        <f>IF(A161="","",COUNTIF('03_LUA_CHON'!$A$5:$A$404,A161))</f>
        <v/>
      </c>
      <c r="D161" s="2" t="str">
        <f>IF(A161="","",COUNTIFS('03_LUA_CHON'!$A$5:$A$404,A161,'03_LUA_CHON'!$D$5:$D$404,"Có"))</f>
        <v/>
      </c>
      <c r="E161" s="2" t="str">
        <f t="shared" si="8"/>
        <v/>
      </c>
      <c r="F161" s="2" t="str">
        <f t="shared" si="9"/>
        <v/>
      </c>
    </row>
    <row r="162" spans="1:6">
      <c r="A162" s="2" t="str">
        <f>IF('02_KICH_BAN_NODES'!D148="choice",'02_KICH_BAN_NODES'!B148,"")</f>
        <v/>
      </c>
      <c r="B162" s="2" t="str">
        <f>IF(A162="","",'02_KICH_BAN_NODES'!E148)</f>
        <v/>
      </c>
      <c r="C162" s="2" t="str">
        <f>IF(A162="","",COUNTIF('03_LUA_CHON'!$A$5:$A$404,A162))</f>
        <v/>
      </c>
      <c r="D162" s="2" t="str">
        <f>IF(A162="","",COUNTIFS('03_LUA_CHON'!$A$5:$A$404,A162,'03_LUA_CHON'!$D$5:$D$404,"Có"))</f>
        <v/>
      </c>
      <c r="E162" s="2" t="str">
        <f t="shared" si="8"/>
        <v/>
      </c>
      <c r="F162" s="2" t="str">
        <f t="shared" si="9"/>
        <v/>
      </c>
    </row>
    <row r="163" spans="1:6">
      <c r="A163" s="2" t="str">
        <f>IF('02_KICH_BAN_NODES'!D149="choice",'02_KICH_BAN_NODES'!B149,"")</f>
        <v/>
      </c>
      <c r="B163" s="2" t="str">
        <f>IF(A163="","",'02_KICH_BAN_NODES'!E149)</f>
        <v/>
      </c>
      <c r="C163" s="2" t="str">
        <f>IF(A163="","",COUNTIF('03_LUA_CHON'!$A$5:$A$404,A163))</f>
        <v/>
      </c>
      <c r="D163" s="2" t="str">
        <f>IF(A163="","",COUNTIFS('03_LUA_CHON'!$A$5:$A$404,A163,'03_LUA_CHON'!$D$5:$D$404,"Có"))</f>
        <v/>
      </c>
      <c r="E163" s="2" t="str">
        <f t="shared" si="8"/>
        <v/>
      </c>
      <c r="F163" s="2" t="str">
        <f t="shared" si="9"/>
        <v/>
      </c>
    </row>
    <row r="164" spans="1:6">
      <c r="A164" s="2" t="str">
        <f>IF('02_KICH_BAN_NODES'!D150="choice",'02_KICH_BAN_NODES'!B150,"")</f>
        <v/>
      </c>
      <c r="B164" s="2" t="str">
        <f>IF(A164="","",'02_KICH_BAN_NODES'!E150)</f>
        <v/>
      </c>
      <c r="C164" s="2" t="str">
        <f>IF(A164="","",COUNTIF('03_LUA_CHON'!$A$5:$A$404,A164))</f>
        <v/>
      </c>
      <c r="D164" s="2" t="str">
        <f>IF(A164="","",COUNTIFS('03_LUA_CHON'!$A$5:$A$404,A164,'03_LUA_CHON'!$D$5:$D$404,"Có"))</f>
        <v/>
      </c>
      <c r="E164" s="2" t="str">
        <f t="shared" si="8"/>
        <v/>
      </c>
      <c r="F164" s="2" t="str">
        <f t="shared" si="9"/>
        <v/>
      </c>
    </row>
    <row r="165" spans="1:6">
      <c r="A165" s="2" t="str">
        <f>IF('02_KICH_BAN_NODES'!D151="choice",'02_KICH_BAN_NODES'!B151,"")</f>
        <v/>
      </c>
      <c r="B165" s="2" t="str">
        <f>IF(A165="","",'02_KICH_BAN_NODES'!E151)</f>
        <v/>
      </c>
      <c r="C165" s="2" t="str">
        <f>IF(A165="","",COUNTIF('03_LUA_CHON'!$A$5:$A$404,A165))</f>
        <v/>
      </c>
      <c r="D165" s="2" t="str">
        <f>IF(A165="","",COUNTIFS('03_LUA_CHON'!$A$5:$A$404,A165,'03_LUA_CHON'!$D$5:$D$404,"Có"))</f>
        <v/>
      </c>
      <c r="E165" s="2" t="str">
        <f t="shared" si="8"/>
        <v/>
      </c>
      <c r="F165" s="2" t="str">
        <f t="shared" si="9"/>
        <v/>
      </c>
    </row>
    <row r="166" spans="1:6">
      <c r="A166" s="2" t="str">
        <f>IF('02_KICH_BAN_NODES'!D152="choice",'02_KICH_BAN_NODES'!B152,"")</f>
        <v/>
      </c>
      <c r="B166" s="2" t="str">
        <f>IF(A166="","",'02_KICH_BAN_NODES'!E152)</f>
        <v/>
      </c>
      <c r="C166" s="2" t="str">
        <f>IF(A166="","",COUNTIF('03_LUA_CHON'!$A$5:$A$404,A166))</f>
        <v/>
      </c>
      <c r="D166" s="2" t="str">
        <f>IF(A166="","",COUNTIFS('03_LUA_CHON'!$A$5:$A$404,A166,'03_LUA_CHON'!$D$5:$D$404,"Có"))</f>
        <v/>
      </c>
      <c r="E166" s="2" t="str">
        <f t="shared" si="8"/>
        <v/>
      </c>
      <c r="F166" s="2" t="str">
        <f t="shared" si="9"/>
        <v/>
      </c>
    </row>
    <row r="167" spans="1:6">
      <c r="A167" s="2" t="str">
        <f>IF('02_KICH_BAN_NODES'!D153="choice",'02_KICH_BAN_NODES'!B153,"")</f>
        <v/>
      </c>
      <c r="B167" s="2" t="str">
        <f>IF(A167="","",'02_KICH_BAN_NODES'!E153)</f>
        <v/>
      </c>
      <c r="C167" s="2" t="str">
        <f>IF(A167="","",COUNTIF('03_LUA_CHON'!$A$5:$A$404,A167))</f>
        <v/>
      </c>
      <c r="D167" s="2" t="str">
        <f>IF(A167="","",COUNTIFS('03_LUA_CHON'!$A$5:$A$404,A167,'03_LUA_CHON'!$D$5:$D$404,"Có"))</f>
        <v/>
      </c>
      <c r="E167" s="2" t="str">
        <f t="shared" si="8"/>
        <v/>
      </c>
      <c r="F167" s="2" t="str">
        <f t="shared" si="9"/>
        <v/>
      </c>
    </row>
    <row r="168" spans="1:6">
      <c r="A168" s="2" t="str">
        <f>IF('02_KICH_BAN_NODES'!D154="choice",'02_KICH_BAN_NODES'!B154,"")</f>
        <v/>
      </c>
      <c r="B168" s="2" t="str">
        <f>IF(A168="","",'02_KICH_BAN_NODES'!E154)</f>
        <v/>
      </c>
      <c r="C168" s="2" t="str">
        <f>IF(A168="","",COUNTIF('03_LUA_CHON'!$A$5:$A$404,A168))</f>
        <v/>
      </c>
      <c r="D168" s="2" t="str">
        <f>IF(A168="","",COUNTIFS('03_LUA_CHON'!$A$5:$A$404,A168,'03_LUA_CHON'!$D$5:$D$404,"Có"))</f>
        <v/>
      </c>
      <c r="E168" s="2" t="str">
        <f t="shared" si="8"/>
        <v/>
      </c>
      <c r="F168" s="2" t="str">
        <f t="shared" si="9"/>
        <v/>
      </c>
    </row>
    <row r="169" spans="1:6">
      <c r="A169" s="2" t="str">
        <f>IF('02_KICH_BAN_NODES'!D155="choice",'02_KICH_BAN_NODES'!B155,"")</f>
        <v/>
      </c>
      <c r="B169" s="2" t="str">
        <f>IF(A169="","",'02_KICH_BAN_NODES'!E155)</f>
        <v/>
      </c>
      <c r="C169" s="2" t="str">
        <f>IF(A169="","",COUNTIF('03_LUA_CHON'!$A$5:$A$404,A169))</f>
        <v/>
      </c>
      <c r="D169" s="2" t="str">
        <f>IF(A169="","",COUNTIFS('03_LUA_CHON'!$A$5:$A$404,A169,'03_LUA_CHON'!$D$5:$D$404,"Có"))</f>
        <v/>
      </c>
      <c r="E169" s="2" t="str">
        <f t="shared" si="8"/>
        <v/>
      </c>
      <c r="F169" s="2" t="str">
        <f t="shared" si="9"/>
        <v/>
      </c>
    </row>
    <row r="170" spans="1:6">
      <c r="A170" s="2" t="str">
        <f>IF('02_KICH_BAN_NODES'!D156="choice",'02_KICH_BAN_NODES'!B156,"")</f>
        <v/>
      </c>
      <c r="B170" s="2" t="str">
        <f>IF(A170="","",'02_KICH_BAN_NODES'!E156)</f>
        <v/>
      </c>
      <c r="C170" s="2" t="str">
        <f>IF(A170="","",COUNTIF('03_LUA_CHON'!$A$5:$A$404,A170))</f>
        <v/>
      </c>
      <c r="D170" s="2" t="str">
        <f>IF(A170="","",COUNTIFS('03_LUA_CHON'!$A$5:$A$404,A170,'03_LUA_CHON'!$D$5:$D$404,"Có"))</f>
        <v/>
      </c>
      <c r="E170" s="2" t="str">
        <f t="shared" si="8"/>
        <v/>
      </c>
      <c r="F170" s="2" t="str">
        <f t="shared" si="9"/>
        <v/>
      </c>
    </row>
    <row r="171" spans="1:6">
      <c r="A171" s="2" t="str">
        <f>IF('02_KICH_BAN_NODES'!D157="choice",'02_KICH_BAN_NODES'!B157,"")</f>
        <v/>
      </c>
      <c r="B171" s="2" t="str">
        <f>IF(A171="","",'02_KICH_BAN_NODES'!E157)</f>
        <v/>
      </c>
      <c r="C171" s="2" t="str">
        <f>IF(A171="","",COUNTIF('03_LUA_CHON'!$A$5:$A$404,A171))</f>
        <v/>
      </c>
      <c r="D171" s="2" t="str">
        <f>IF(A171="","",COUNTIFS('03_LUA_CHON'!$A$5:$A$404,A171,'03_LUA_CHON'!$D$5:$D$404,"Có"))</f>
        <v/>
      </c>
      <c r="E171" s="2" t="str">
        <f t="shared" si="8"/>
        <v/>
      </c>
      <c r="F171" s="2" t="str">
        <f t="shared" si="9"/>
        <v/>
      </c>
    </row>
    <row r="172" spans="1:6">
      <c r="A172" s="2" t="str">
        <f>IF('02_KICH_BAN_NODES'!D158="choice",'02_KICH_BAN_NODES'!B158,"")</f>
        <v/>
      </c>
      <c r="B172" s="2" t="str">
        <f>IF(A172="","",'02_KICH_BAN_NODES'!E158)</f>
        <v/>
      </c>
      <c r="C172" s="2" t="str">
        <f>IF(A172="","",COUNTIF('03_LUA_CHON'!$A$5:$A$404,A172))</f>
        <v/>
      </c>
      <c r="D172" s="2" t="str">
        <f>IF(A172="","",COUNTIFS('03_LUA_CHON'!$A$5:$A$404,A172,'03_LUA_CHON'!$D$5:$D$404,"Có"))</f>
        <v/>
      </c>
      <c r="E172" s="2" t="str">
        <f t="shared" si="8"/>
        <v/>
      </c>
      <c r="F172" s="2" t="str">
        <f t="shared" si="9"/>
        <v/>
      </c>
    </row>
    <row r="173" spans="1:6">
      <c r="A173" s="2" t="str">
        <f>IF('02_KICH_BAN_NODES'!D159="choice",'02_KICH_BAN_NODES'!B159,"")</f>
        <v/>
      </c>
      <c r="B173" s="2" t="str">
        <f>IF(A173="","",'02_KICH_BAN_NODES'!E159)</f>
        <v/>
      </c>
      <c r="C173" s="2" t="str">
        <f>IF(A173="","",COUNTIF('03_LUA_CHON'!$A$5:$A$404,A173))</f>
        <v/>
      </c>
      <c r="D173" s="2" t="str">
        <f>IF(A173="","",COUNTIFS('03_LUA_CHON'!$A$5:$A$404,A173,'03_LUA_CHON'!$D$5:$D$404,"Có"))</f>
        <v/>
      </c>
      <c r="E173" s="2" t="str">
        <f t="shared" si="8"/>
        <v/>
      </c>
      <c r="F173" s="2" t="str">
        <f t="shared" si="9"/>
        <v/>
      </c>
    </row>
    <row r="174" spans="1:6">
      <c r="A174" s="2" t="str">
        <f>IF('02_KICH_BAN_NODES'!D160="choice",'02_KICH_BAN_NODES'!B160,"")</f>
        <v/>
      </c>
      <c r="B174" s="2" t="str">
        <f>IF(A174="","",'02_KICH_BAN_NODES'!E160)</f>
        <v/>
      </c>
      <c r="C174" s="2" t="str">
        <f>IF(A174="","",COUNTIF('03_LUA_CHON'!$A$5:$A$404,A174))</f>
        <v/>
      </c>
      <c r="D174" s="2" t="str">
        <f>IF(A174="","",COUNTIFS('03_LUA_CHON'!$A$5:$A$404,A174,'03_LUA_CHON'!$D$5:$D$404,"Có"))</f>
        <v/>
      </c>
      <c r="E174" s="2" t="str">
        <f t="shared" si="8"/>
        <v/>
      </c>
      <c r="F174" s="2" t="str">
        <f t="shared" si="9"/>
        <v/>
      </c>
    </row>
    <row r="175" spans="1:6">
      <c r="A175" s="2" t="str">
        <f>IF('02_KICH_BAN_NODES'!D161="choice",'02_KICH_BAN_NODES'!B161,"")</f>
        <v/>
      </c>
      <c r="B175" s="2" t="str">
        <f>IF(A175="","",'02_KICH_BAN_NODES'!E161)</f>
        <v/>
      </c>
      <c r="C175" s="2" t="str">
        <f>IF(A175="","",COUNTIF('03_LUA_CHON'!$A$5:$A$404,A175))</f>
        <v/>
      </c>
      <c r="D175" s="2" t="str">
        <f>IF(A175="","",COUNTIFS('03_LUA_CHON'!$A$5:$A$404,A175,'03_LUA_CHON'!$D$5:$D$404,"Có"))</f>
        <v/>
      </c>
      <c r="E175" s="2" t="str">
        <f t="shared" si="8"/>
        <v/>
      </c>
      <c r="F175" s="2" t="str">
        <f t="shared" si="9"/>
        <v/>
      </c>
    </row>
    <row r="176" spans="1:6">
      <c r="A176" s="2" t="str">
        <f>IF('02_KICH_BAN_NODES'!D162="choice",'02_KICH_BAN_NODES'!B162,"")</f>
        <v/>
      </c>
      <c r="B176" s="2" t="str">
        <f>IF(A176="","",'02_KICH_BAN_NODES'!E162)</f>
        <v/>
      </c>
      <c r="C176" s="2" t="str">
        <f>IF(A176="","",COUNTIF('03_LUA_CHON'!$A$5:$A$404,A176))</f>
        <v/>
      </c>
      <c r="D176" s="2" t="str">
        <f>IF(A176="","",COUNTIFS('03_LUA_CHON'!$A$5:$A$404,A176,'03_LUA_CHON'!$D$5:$D$404,"Có"))</f>
        <v/>
      </c>
      <c r="E176" s="2" t="str">
        <f t="shared" si="8"/>
        <v/>
      </c>
      <c r="F176" s="2" t="str">
        <f t="shared" si="9"/>
        <v/>
      </c>
    </row>
    <row r="177" spans="1:6">
      <c r="A177" s="2" t="str">
        <f>IF('02_KICH_BAN_NODES'!D163="choice",'02_KICH_BAN_NODES'!B163,"")</f>
        <v/>
      </c>
      <c r="B177" s="2" t="str">
        <f>IF(A177="","",'02_KICH_BAN_NODES'!E163)</f>
        <v/>
      </c>
      <c r="C177" s="2" t="str">
        <f>IF(A177="","",COUNTIF('03_LUA_CHON'!$A$5:$A$404,A177))</f>
        <v/>
      </c>
      <c r="D177" s="2" t="str">
        <f>IF(A177="","",COUNTIFS('03_LUA_CHON'!$A$5:$A$404,A177,'03_LUA_CHON'!$D$5:$D$404,"Có"))</f>
        <v/>
      </c>
      <c r="E177" s="2" t="str">
        <f t="shared" si="8"/>
        <v/>
      </c>
      <c r="F177" s="2" t="str">
        <f t="shared" si="9"/>
        <v/>
      </c>
    </row>
    <row r="178" spans="1:6">
      <c r="A178" s="2" t="str">
        <f>IF('02_KICH_BAN_NODES'!D164="choice",'02_KICH_BAN_NODES'!B164,"")</f>
        <v/>
      </c>
      <c r="B178" s="2" t="str">
        <f>IF(A178="","",'02_KICH_BAN_NODES'!E164)</f>
        <v/>
      </c>
      <c r="C178" s="2" t="str">
        <f>IF(A178="","",COUNTIF('03_LUA_CHON'!$A$5:$A$404,A178))</f>
        <v/>
      </c>
      <c r="D178" s="2" t="str">
        <f>IF(A178="","",COUNTIFS('03_LUA_CHON'!$A$5:$A$404,A178,'03_LUA_CHON'!$D$5:$D$404,"Có"))</f>
        <v/>
      </c>
      <c r="E178" s="2" t="str">
        <f t="shared" si="8"/>
        <v/>
      </c>
      <c r="F178" s="2" t="str">
        <f t="shared" si="9"/>
        <v/>
      </c>
    </row>
    <row r="179" spans="1:6">
      <c r="A179" s="2" t="str">
        <f>IF('02_KICH_BAN_NODES'!D165="choice",'02_KICH_BAN_NODES'!B165,"")</f>
        <v/>
      </c>
      <c r="B179" s="2" t="str">
        <f>IF(A179="","",'02_KICH_BAN_NODES'!E165)</f>
        <v/>
      </c>
      <c r="C179" s="2" t="str">
        <f>IF(A179="","",COUNTIF('03_LUA_CHON'!$A$5:$A$404,A179))</f>
        <v/>
      </c>
      <c r="D179" s="2" t="str">
        <f>IF(A179="","",COUNTIFS('03_LUA_CHON'!$A$5:$A$404,A179,'03_LUA_CHON'!$D$5:$D$404,"Có"))</f>
        <v/>
      </c>
      <c r="E179" s="2" t="str">
        <f t="shared" ref="E179:E210" si="10">IF(A179="","",IF(OR(C179&lt;2,C179&gt;4),"CẦN SỬA",IF(AND(B179="Kiến thức",D179=1),"HỢP LỆ",IF(AND(B179="Tương tác",D179=0),"HỢP LỆ","CẦN SỬA"))))</f>
        <v/>
      </c>
      <c r="F179" s="2" t="str">
        <f t="shared" ref="F179:F210" si="11">IF(A179="","",IF(OR(C179&lt;2,C179&gt;4),"Cần 2–4 option",IF(AND(B179="Kiến thức",D179&lt;&gt;1),"Câu kiến thức cần đúng 1 đáp án đúng",IF(AND(B179="Tương tác",D179&lt;&gt;0),"Câu tương tác không có đáp án đúng",IF(B179="","Thiếu ChoiceMode","")))))</f>
        <v/>
      </c>
    </row>
    <row r="180" spans="1:6">
      <c r="A180" s="2" t="str">
        <f>IF('02_KICH_BAN_NODES'!D166="choice",'02_KICH_BAN_NODES'!B166,"")</f>
        <v/>
      </c>
      <c r="B180" s="2" t="str">
        <f>IF(A180="","",'02_KICH_BAN_NODES'!E166)</f>
        <v/>
      </c>
      <c r="C180" s="2" t="str">
        <f>IF(A180="","",COUNTIF('03_LUA_CHON'!$A$5:$A$404,A180))</f>
        <v/>
      </c>
      <c r="D180" s="2" t="str">
        <f>IF(A180="","",COUNTIFS('03_LUA_CHON'!$A$5:$A$404,A180,'03_LUA_CHON'!$D$5:$D$404,"Có"))</f>
        <v/>
      </c>
      <c r="E180" s="2" t="str">
        <f t="shared" si="10"/>
        <v/>
      </c>
      <c r="F180" s="2" t="str">
        <f t="shared" si="11"/>
        <v/>
      </c>
    </row>
    <row r="181" spans="1:6">
      <c r="A181" s="2" t="str">
        <f>IF('02_KICH_BAN_NODES'!D167="choice",'02_KICH_BAN_NODES'!B167,"")</f>
        <v/>
      </c>
      <c r="B181" s="2" t="str">
        <f>IF(A181="","",'02_KICH_BAN_NODES'!E167)</f>
        <v/>
      </c>
      <c r="C181" s="2" t="str">
        <f>IF(A181="","",COUNTIF('03_LUA_CHON'!$A$5:$A$404,A181))</f>
        <v/>
      </c>
      <c r="D181" s="2" t="str">
        <f>IF(A181="","",COUNTIFS('03_LUA_CHON'!$A$5:$A$404,A181,'03_LUA_CHON'!$D$5:$D$404,"Có"))</f>
        <v/>
      </c>
      <c r="E181" s="2" t="str">
        <f t="shared" si="10"/>
        <v/>
      </c>
      <c r="F181" s="2" t="str">
        <f t="shared" si="11"/>
        <v/>
      </c>
    </row>
    <row r="182" spans="1:6">
      <c r="A182" s="2" t="str">
        <f>IF('02_KICH_BAN_NODES'!D168="choice",'02_KICH_BAN_NODES'!B168,"")</f>
        <v/>
      </c>
      <c r="B182" s="2" t="str">
        <f>IF(A182="","",'02_KICH_BAN_NODES'!E168)</f>
        <v/>
      </c>
      <c r="C182" s="2" t="str">
        <f>IF(A182="","",COUNTIF('03_LUA_CHON'!$A$5:$A$404,A182))</f>
        <v/>
      </c>
      <c r="D182" s="2" t="str">
        <f>IF(A182="","",COUNTIFS('03_LUA_CHON'!$A$5:$A$404,A182,'03_LUA_CHON'!$D$5:$D$404,"Có"))</f>
        <v/>
      </c>
      <c r="E182" s="2" t="str">
        <f t="shared" si="10"/>
        <v/>
      </c>
      <c r="F182" s="2" t="str">
        <f t="shared" si="11"/>
        <v/>
      </c>
    </row>
    <row r="183" spans="1:6">
      <c r="A183" s="2" t="str">
        <f>IF('02_KICH_BAN_NODES'!D169="choice",'02_KICH_BAN_NODES'!B169,"")</f>
        <v/>
      </c>
      <c r="B183" s="2" t="str">
        <f>IF(A183="","",'02_KICH_BAN_NODES'!E169)</f>
        <v/>
      </c>
      <c r="C183" s="2" t="str">
        <f>IF(A183="","",COUNTIF('03_LUA_CHON'!$A$5:$A$404,A183))</f>
        <v/>
      </c>
      <c r="D183" s="2" t="str">
        <f>IF(A183="","",COUNTIFS('03_LUA_CHON'!$A$5:$A$404,A183,'03_LUA_CHON'!$D$5:$D$404,"Có"))</f>
        <v/>
      </c>
      <c r="E183" s="2" t="str">
        <f t="shared" si="10"/>
        <v/>
      </c>
      <c r="F183" s="2" t="str">
        <f t="shared" si="11"/>
        <v/>
      </c>
    </row>
    <row r="184" spans="1:6">
      <c r="A184" s="2" t="str">
        <f>IF('02_KICH_BAN_NODES'!D170="choice",'02_KICH_BAN_NODES'!B170,"")</f>
        <v/>
      </c>
      <c r="B184" s="2" t="str">
        <f>IF(A184="","",'02_KICH_BAN_NODES'!E170)</f>
        <v/>
      </c>
      <c r="C184" s="2" t="str">
        <f>IF(A184="","",COUNTIF('03_LUA_CHON'!$A$5:$A$404,A184))</f>
        <v/>
      </c>
      <c r="D184" s="2" t="str">
        <f>IF(A184="","",COUNTIFS('03_LUA_CHON'!$A$5:$A$404,A184,'03_LUA_CHON'!$D$5:$D$404,"Có"))</f>
        <v/>
      </c>
      <c r="E184" s="2" t="str">
        <f t="shared" si="10"/>
        <v/>
      </c>
      <c r="F184" s="2" t="str">
        <f t="shared" si="11"/>
        <v/>
      </c>
    </row>
    <row r="185" spans="1:6">
      <c r="A185" s="2" t="str">
        <f>IF('02_KICH_BAN_NODES'!D171="choice",'02_KICH_BAN_NODES'!B171,"")</f>
        <v/>
      </c>
      <c r="B185" s="2" t="str">
        <f>IF(A185="","",'02_KICH_BAN_NODES'!E171)</f>
        <v/>
      </c>
      <c r="C185" s="2" t="str">
        <f>IF(A185="","",COUNTIF('03_LUA_CHON'!$A$5:$A$404,A185))</f>
        <v/>
      </c>
      <c r="D185" s="2" t="str">
        <f>IF(A185="","",COUNTIFS('03_LUA_CHON'!$A$5:$A$404,A185,'03_LUA_CHON'!$D$5:$D$404,"Có"))</f>
        <v/>
      </c>
      <c r="E185" s="2" t="str">
        <f t="shared" si="10"/>
        <v/>
      </c>
      <c r="F185" s="2" t="str">
        <f t="shared" si="11"/>
        <v/>
      </c>
    </row>
    <row r="186" spans="1:6">
      <c r="A186" s="2" t="str">
        <f>IF('02_KICH_BAN_NODES'!D172="choice",'02_KICH_BAN_NODES'!B172,"")</f>
        <v/>
      </c>
      <c r="B186" s="2" t="str">
        <f>IF(A186="","",'02_KICH_BAN_NODES'!E172)</f>
        <v/>
      </c>
      <c r="C186" s="2" t="str">
        <f>IF(A186="","",COUNTIF('03_LUA_CHON'!$A$5:$A$404,A186))</f>
        <v/>
      </c>
      <c r="D186" s="2" t="str">
        <f>IF(A186="","",COUNTIFS('03_LUA_CHON'!$A$5:$A$404,A186,'03_LUA_CHON'!$D$5:$D$404,"Có"))</f>
        <v/>
      </c>
      <c r="E186" s="2" t="str">
        <f t="shared" si="10"/>
        <v/>
      </c>
      <c r="F186" s="2" t="str">
        <f t="shared" si="11"/>
        <v/>
      </c>
    </row>
    <row r="187" spans="1:6">
      <c r="A187" s="2" t="str">
        <f>IF('02_KICH_BAN_NODES'!D173="choice",'02_KICH_BAN_NODES'!B173,"")</f>
        <v/>
      </c>
      <c r="B187" s="2" t="str">
        <f>IF(A187="","",'02_KICH_BAN_NODES'!E173)</f>
        <v/>
      </c>
      <c r="C187" s="2" t="str">
        <f>IF(A187="","",COUNTIF('03_LUA_CHON'!$A$5:$A$404,A187))</f>
        <v/>
      </c>
      <c r="D187" s="2" t="str">
        <f>IF(A187="","",COUNTIFS('03_LUA_CHON'!$A$5:$A$404,A187,'03_LUA_CHON'!$D$5:$D$404,"Có"))</f>
        <v/>
      </c>
      <c r="E187" s="2" t="str">
        <f t="shared" si="10"/>
        <v/>
      </c>
      <c r="F187" s="2" t="str">
        <f t="shared" si="11"/>
        <v/>
      </c>
    </row>
    <row r="188" spans="1:6">
      <c r="A188" s="2" t="str">
        <f>IF('02_KICH_BAN_NODES'!D174="choice",'02_KICH_BAN_NODES'!B174,"")</f>
        <v/>
      </c>
      <c r="B188" s="2" t="str">
        <f>IF(A188="","",'02_KICH_BAN_NODES'!E174)</f>
        <v/>
      </c>
      <c r="C188" s="2" t="str">
        <f>IF(A188="","",COUNTIF('03_LUA_CHON'!$A$5:$A$404,A188))</f>
        <v/>
      </c>
      <c r="D188" s="2" t="str">
        <f>IF(A188="","",COUNTIFS('03_LUA_CHON'!$A$5:$A$404,A188,'03_LUA_CHON'!$D$5:$D$404,"Có"))</f>
        <v/>
      </c>
      <c r="E188" s="2" t="str">
        <f t="shared" si="10"/>
        <v/>
      </c>
      <c r="F188" s="2" t="str">
        <f t="shared" si="11"/>
        <v/>
      </c>
    </row>
    <row r="189" spans="1:6">
      <c r="A189" s="2" t="str">
        <f>IF('02_KICH_BAN_NODES'!D175="choice",'02_KICH_BAN_NODES'!B175,"")</f>
        <v/>
      </c>
      <c r="B189" s="2" t="str">
        <f>IF(A189="","",'02_KICH_BAN_NODES'!E175)</f>
        <v/>
      </c>
      <c r="C189" s="2" t="str">
        <f>IF(A189="","",COUNTIF('03_LUA_CHON'!$A$5:$A$404,A189))</f>
        <v/>
      </c>
      <c r="D189" s="2" t="str">
        <f>IF(A189="","",COUNTIFS('03_LUA_CHON'!$A$5:$A$404,A189,'03_LUA_CHON'!$D$5:$D$404,"Có"))</f>
        <v/>
      </c>
      <c r="E189" s="2" t="str">
        <f t="shared" si="10"/>
        <v/>
      </c>
      <c r="F189" s="2" t="str">
        <f t="shared" si="11"/>
        <v/>
      </c>
    </row>
    <row r="190" spans="1:6">
      <c r="A190" s="2" t="str">
        <f>IF('02_KICH_BAN_NODES'!D176="choice",'02_KICH_BAN_NODES'!B176,"")</f>
        <v/>
      </c>
      <c r="B190" s="2" t="str">
        <f>IF(A190="","",'02_KICH_BAN_NODES'!E176)</f>
        <v/>
      </c>
      <c r="C190" s="2" t="str">
        <f>IF(A190="","",COUNTIF('03_LUA_CHON'!$A$5:$A$404,A190))</f>
        <v/>
      </c>
      <c r="D190" s="2" t="str">
        <f>IF(A190="","",COUNTIFS('03_LUA_CHON'!$A$5:$A$404,A190,'03_LUA_CHON'!$D$5:$D$404,"Có"))</f>
        <v/>
      </c>
      <c r="E190" s="2" t="str">
        <f t="shared" si="10"/>
        <v/>
      </c>
      <c r="F190" s="2" t="str">
        <f t="shared" si="11"/>
        <v/>
      </c>
    </row>
    <row r="191" spans="1:6">
      <c r="A191" s="2" t="str">
        <f>IF('02_KICH_BAN_NODES'!D177="choice",'02_KICH_BAN_NODES'!B177,"")</f>
        <v/>
      </c>
      <c r="B191" s="2" t="str">
        <f>IF(A191="","",'02_KICH_BAN_NODES'!E177)</f>
        <v/>
      </c>
      <c r="C191" s="2" t="str">
        <f>IF(A191="","",COUNTIF('03_LUA_CHON'!$A$5:$A$404,A191))</f>
        <v/>
      </c>
      <c r="D191" s="2" t="str">
        <f>IF(A191="","",COUNTIFS('03_LUA_CHON'!$A$5:$A$404,A191,'03_LUA_CHON'!$D$5:$D$404,"Có"))</f>
        <v/>
      </c>
      <c r="E191" s="2" t="str">
        <f t="shared" si="10"/>
        <v/>
      </c>
      <c r="F191" s="2" t="str">
        <f t="shared" si="11"/>
        <v/>
      </c>
    </row>
    <row r="192" spans="1:6">
      <c r="A192" s="2" t="str">
        <f>IF('02_KICH_BAN_NODES'!D178="choice",'02_KICH_BAN_NODES'!B178,"")</f>
        <v/>
      </c>
      <c r="B192" s="2" t="str">
        <f>IF(A192="","",'02_KICH_BAN_NODES'!E178)</f>
        <v/>
      </c>
      <c r="C192" s="2" t="str">
        <f>IF(A192="","",COUNTIF('03_LUA_CHON'!$A$5:$A$404,A192))</f>
        <v/>
      </c>
      <c r="D192" s="2" t="str">
        <f>IF(A192="","",COUNTIFS('03_LUA_CHON'!$A$5:$A$404,A192,'03_LUA_CHON'!$D$5:$D$404,"Có"))</f>
        <v/>
      </c>
      <c r="E192" s="2" t="str">
        <f t="shared" si="10"/>
        <v/>
      </c>
      <c r="F192" s="2" t="str">
        <f t="shared" si="11"/>
        <v/>
      </c>
    </row>
    <row r="193" spans="1:6">
      <c r="A193" s="2" t="str">
        <f>IF('02_KICH_BAN_NODES'!D179="choice",'02_KICH_BAN_NODES'!B179,"")</f>
        <v/>
      </c>
      <c r="B193" s="2" t="str">
        <f>IF(A193="","",'02_KICH_BAN_NODES'!E179)</f>
        <v/>
      </c>
      <c r="C193" s="2" t="str">
        <f>IF(A193="","",COUNTIF('03_LUA_CHON'!$A$5:$A$404,A193))</f>
        <v/>
      </c>
      <c r="D193" s="2" t="str">
        <f>IF(A193="","",COUNTIFS('03_LUA_CHON'!$A$5:$A$404,A193,'03_LUA_CHON'!$D$5:$D$404,"Có"))</f>
        <v/>
      </c>
      <c r="E193" s="2" t="str">
        <f t="shared" si="10"/>
        <v/>
      </c>
      <c r="F193" s="2" t="str">
        <f t="shared" si="11"/>
        <v/>
      </c>
    </row>
    <row r="194" spans="1:6">
      <c r="A194" s="2" t="str">
        <f>IF('02_KICH_BAN_NODES'!D180="choice",'02_KICH_BAN_NODES'!B180,"")</f>
        <v/>
      </c>
      <c r="B194" s="2" t="str">
        <f>IF(A194="","",'02_KICH_BAN_NODES'!E180)</f>
        <v/>
      </c>
      <c r="C194" s="2" t="str">
        <f>IF(A194="","",COUNTIF('03_LUA_CHON'!$A$5:$A$404,A194))</f>
        <v/>
      </c>
      <c r="D194" s="2" t="str">
        <f>IF(A194="","",COUNTIFS('03_LUA_CHON'!$A$5:$A$404,A194,'03_LUA_CHON'!$D$5:$D$404,"Có"))</f>
        <v/>
      </c>
      <c r="E194" s="2" t="str">
        <f t="shared" si="10"/>
        <v/>
      </c>
      <c r="F194" s="2" t="str">
        <f t="shared" si="11"/>
        <v/>
      </c>
    </row>
    <row r="195" spans="1:6">
      <c r="A195" s="2" t="str">
        <f>IF('02_KICH_BAN_NODES'!D181="choice",'02_KICH_BAN_NODES'!B181,"")</f>
        <v/>
      </c>
      <c r="B195" s="2" t="str">
        <f>IF(A195="","",'02_KICH_BAN_NODES'!E181)</f>
        <v/>
      </c>
      <c r="C195" s="2" t="str">
        <f>IF(A195="","",COUNTIF('03_LUA_CHON'!$A$5:$A$404,A195))</f>
        <v/>
      </c>
      <c r="D195" s="2" t="str">
        <f>IF(A195="","",COUNTIFS('03_LUA_CHON'!$A$5:$A$404,A195,'03_LUA_CHON'!$D$5:$D$404,"Có"))</f>
        <v/>
      </c>
      <c r="E195" s="2" t="str">
        <f t="shared" si="10"/>
        <v/>
      </c>
      <c r="F195" s="2" t="str">
        <f t="shared" si="11"/>
        <v/>
      </c>
    </row>
    <row r="196" spans="1:6">
      <c r="A196" s="2" t="str">
        <f>IF('02_KICH_BAN_NODES'!D182="choice",'02_KICH_BAN_NODES'!B182,"")</f>
        <v/>
      </c>
      <c r="B196" s="2" t="str">
        <f>IF(A196="","",'02_KICH_BAN_NODES'!E182)</f>
        <v/>
      </c>
      <c r="C196" s="2" t="str">
        <f>IF(A196="","",COUNTIF('03_LUA_CHON'!$A$5:$A$404,A196))</f>
        <v/>
      </c>
      <c r="D196" s="2" t="str">
        <f>IF(A196="","",COUNTIFS('03_LUA_CHON'!$A$5:$A$404,A196,'03_LUA_CHON'!$D$5:$D$404,"Có"))</f>
        <v/>
      </c>
      <c r="E196" s="2" t="str">
        <f t="shared" si="10"/>
        <v/>
      </c>
      <c r="F196" s="2" t="str">
        <f t="shared" si="11"/>
        <v/>
      </c>
    </row>
    <row r="197" spans="1:6">
      <c r="A197" s="2" t="str">
        <f>IF('02_KICH_BAN_NODES'!D183="choice",'02_KICH_BAN_NODES'!B183,"")</f>
        <v/>
      </c>
      <c r="B197" s="2" t="str">
        <f>IF(A197="","",'02_KICH_BAN_NODES'!E183)</f>
        <v/>
      </c>
      <c r="C197" s="2" t="str">
        <f>IF(A197="","",COUNTIF('03_LUA_CHON'!$A$5:$A$404,A197))</f>
        <v/>
      </c>
      <c r="D197" s="2" t="str">
        <f>IF(A197="","",COUNTIFS('03_LUA_CHON'!$A$5:$A$404,A197,'03_LUA_CHON'!$D$5:$D$404,"Có"))</f>
        <v/>
      </c>
      <c r="E197" s="2" t="str">
        <f t="shared" si="10"/>
        <v/>
      </c>
      <c r="F197" s="2" t="str">
        <f t="shared" si="11"/>
        <v/>
      </c>
    </row>
    <row r="198" spans="1:6">
      <c r="A198" s="2" t="str">
        <f>IF('02_KICH_BAN_NODES'!D184="choice",'02_KICH_BAN_NODES'!B184,"")</f>
        <v/>
      </c>
      <c r="B198" s="2" t="str">
        <f>IF(A198="","",'02_KICH_BAN_NODES'!E184)</f>
        <v/>
      </c>
      <c r="C198" s="2" t="str">
        <f>IF(A198="","",COUNTIF('03_LUA_CHON'!$A$5:$A$404,A198))</f>
        <v/>
      </c>
      <c r="D198" s="2" t="str">
        <f>IF(A198="","",COUNTIFS('03_LUA_CHON'!$A$5:$A$404,A198,'03_LUA_CHON'!$D$5:$D$404,"Có"))</f>
        <v/>
      </c>
      <c r="E198" s="2" t="str">
        <f t="shared" si="10"/>
        <v/>
      </c>
      <c r="F198" s="2" t="str">
        <f t="shared" si="11"/>
        <v/>
      </c>
    </row>
    <row r="199" spans="1:6">
      <c r="A199" s="2" t="str">
        <f>IF('02_KICH_BAN_NODES'!D185="choice",'02_KICH_BAN_NODES'!B185,"")</f>
        <v/>
      </c>
      <c r="B199" s="2" t="str">
        <f>IF(A199="","",'02_KICH_BAN_NODES'!E185)</f>
        <v/>
      </c>
      <c r="C199" s="2" t="str">
        <f>IF(A199="","",COUNTIF('03_LUA_CHON'!$A$5:$A$404,A199))</f>
        <v/>
      </c>
      <c r="D199" s="2" t="str">
        <f>IF(A199="","",COUNTIFS('03_LUA_CHON'!$A$5:$A$404,A199,'03_LUA_CHON'!$D$5:$D$404,"Có"))</f>
        <v/>
      </c>
      <c r="E199" s="2" t="str">
        <f t="shared" si="10"/>
        <v/>
      </c>
      <c r="F199" s="2" t="str">
        <f t="shared" si="11"/>
        <v/>
      </c>
    </row>
    <row r="200" spans="1:6">
      <c r="A200" s="2" t="str">
        <f>IF('02_KICH_BAN_NODES'!D186="choice",'02_KICH_BAN_NODES'!B186,"")</f>
        <v/>
      </c>
      <c r="B200" s="2" t="str">
        <f>IF(A200="","",'02_KICH_BAN_NODES'!E186)</f>
        <v/>
      </c>
      <c r="C200" s="2" t="str">
        <f>IF(A200="","",COUNTIF('03_LUA_CHON'!$A$5:$A$404,A200))</f>
        <v/>
      </c>
      <c r="D200" s="2" t="str">
        <f>IF(A200="","",COUNTIFS('03_LUA_CHON'!$A$5:$A$404,A200,'03_LUA_CHON'!$D$5:$D$404,"Có"))</f>
        <v/>
      </c>
      <c r="E200" s="2" t="str">
        <f t="shared" si="10"/>
        <v/>
      </c>
      <c r="F200" s="2" t="str">
        <f t="shared" si="11"/>
        <v/>
      </c>
    </row>
    <row r="201" spans="1:6">
      <c r="A201" s="2" t="str">
        <f>IF('02_KICH_BAN_NODES'!D187="choice",'02_KICH_BAN_NODES'!B187,"")</f>
        <v/>
      </c>
      <c r="B201" s="2" t="str">
        <f>IF(A201="","",'02_KICH_BAN_NODES'!E187)</f>
        <v/>
      </c>
      <c r="C201" s="2" t="str">
        <f>IF(A201="","",COUNTIF('03_LUA_CHON'!$A$5:$A$404,A201))</f>
        <v/>
      </c>
      <c r="D201" s="2" t="str">
        <f>IF(A201="","",COUNTIFS('03_LUA_CHON'!$A$5:$A$404,A201,'03_LUA_CHON'!$D$5:$D$404,"Có"))</f>
        <v/>
      </c>
      <c r="E201" s="2" t="str">
        <f t="shared" si="10"/>
        <v/>
      </c>
      <c r="F201" s="2" t="str">
        <f t="shared" si="11"/>
        <v/>
      </c>
    </row>
    <row r="202" spans="1:6">
      <c r="A202" s="2" t="str">
        <f>IF('02_KICH_BAN_NODES'!D188="choice",'02_KICH_BAN_NODES'!B188,"")</f>
        <v/>
      </c>
      <c r="B202" s="2" t="str">
        <f>IF(A202="","",'02_KICH_BAN_NODES'!E188)</f>
        <v/>
      </c>
      <c r="C202" s="2" t="str">
        <f>IF(A202="","",COUNTIF('03_LUA_CHON'!$A$5:$A$404,A202))</f>
        <v/>
      </c>
      <c r="D202" s="2" t="str">
        <f>IF(A202="","",COUNTIFS('03_LUA_CHON'!$A$5:$A$404,A202,'03_LUA_CHON'!$D$5:$D$404,"Có"))</f>
        <v/>
      </c>
      <c r="E202" s="2" t="str">
        <f t="shared" si="10"/>
        <v/>
      </c>
      <c r="F202" s="2" t="str">
        <f t="shared" si="11"/>
        <v/>
      </c>
    </row>
    <row r="203" spans="1:6">
      <c r="A203" s="2" t="str">
        <f>IF('02_KICH_BAN_NODES'!D189="choice",'02_KICH_BAN_NODES'!B189,"")</f>
        <v/>
      </c>
      <c r="B203" s="2" t="str">
        <f>IF(A203="","",'02_KICH_BAN_NODES'!E189)</f>
        <v/>
      </c>
      <c r="C203" s="2" t="str">
        <f>IF(A203="","",COUNTIF('03_LUA_CHON'!$A$5:$A$404,A203))</f>
        <v/>
      </c>
      <c r="D203" s="2" t="str">
        <f>IF(A203="","",COUNTIFS('03_LUA_CHON'!$A$5:$A$404,A203,'03_LUA_CHON'!$D$5:$D$404,"Có"))</f>
        <v/>
      </c>
      <c r="E203" s="2" t="str">
        <f t="shared" si="10"/>
        <v/>
      </c>
      <c r="F203" s="2" t="str">
        <f t="shared" si="11"/>
        <v/>
      </c>
    </row>
    <row r="204" spans="1:6">
      <c r="A204" s="2" t="str">
        <f>IF('02_KICH_BAN_NODES'!D190="choice",'02_KICH_BAN_NODES'!B190,"")</f>
        <v/>
      </c>
      <c r="B204" s="2" t="str">
        <f>IF(A204="","",'02_KICH_BAN_NODES'!E190)</f>
        <v/>
      </c>
      <c r="C204" s="2" t="str">
        <f>IF(A204="","",COUNTIF('03_LUA_CHON'!$A$5:$A$404,A204))</f>
        <v/>
      </c>
      <c r="D204" s="2" t="str">
        <f>IF(A204="","",COUNTIFS('03_LUA_CHON'!$A$5:$A$404,A204,'03_LUA_CHON'!$D$5:$D$404,"Có"))</f>
        <v/>
      </c>
      <c r="E204" s="2" t="str">
        <f t="shared" si="10"/>
        <v/>
      </c>
      <c r="F204" s="2" t="str">
        <f t="shared" si="11"/>
        <v/>
      </c>
    </row>
    <row r="205" spans="1:6">
      <c r="A205" s="2" t="str">
        <f>IF('02_KICH_BAN_NODES'!D191="choice",'02_KICH_BAN_NODES'!B191,"")</f>
        <v/>
      </c>
      <c r="B205" s="2" t="str">
        <f>IF(A205="","",'02_KICH_BAN_NODES'!E191)</f>
        <v/>
      </c>
      <c r="C205" s="2" t="str">
        <f>IF(A205="","",COUNTIF('03_LUA_CHON'!$A$5:$A$404,A205))</f>
        <v/>
      </c>
      <c r="D205" s="2" t="str">
        <f>IF(A205="","",COUNTIFS('03_LUA_CHON'!$A$5:$A$404,A205,'03_LUA_CHON'!$D$5:$D$404,"Có"))</f>
        <v/>
      </c>
      <c r="E205" s="2" t="str">
        <f t="shared" si="10"/>
        <v/>
      </c>
      <c r="F205" s="2" t="str">
        <f t="shared" si="11"/>
        <v/>
      </c>
    </row>
    <row r="206" spans="1:6">
      <c r="A206" s="2" t="str">
        <f>IF('02_KICH_BAN_NODES'!D192="choice",'02_KICH_BAN_NODES'!B192,"")</f>
        <v/>
      </c>
      <c r="B206" s="2" t="str">
        <f>IF(A206="","",'02_KICH_BAN_NODES'!E192)</f>
        <v/>
      </c>
      <c r="C206" s="2" t="str">
        <f>IF(A206="","",COUNTIF('03_LUA_CHON'!$A$5:$A$404,A206))</f>
        <v/>
      </c>
      <c r="D206" s="2" t="str">
        <f>IF(A206="","",COUNTIFS('03_LUA_CHON'!$A$5:$A$404,A206,'03_LUA_CHON'!$D$5:$D$404,"Có"))</f>
        <v/>
      </c>
      <c r="E206" s="2" t="str">
        <f t="shared" si="10"/>
        <v/>
      </c>
      <c r="F206" s="2" t="str">
        <f t="shared" si="11"/>
        <v/>
      </c>
    </row>
    <row r="207" spans="1:6">
      <c r="A207" s="2" t="str">
        <f>IF('02_KICH_BAN_NODES'!D193="choice",'02_KICH_BAN_NODES'!B193,"")</f>
        <v/>
      </c>
      <c r="B207" s="2" t="str">
        <f>IF(A207="","",'02_KICH_BAN_NODES'!E193)</f>
        <v/>
      </c>
      <c r="C207" s="2" t="str">
        <f>IF(A207="","",COUNTIF('03_LUA_CHON'!$A$5:$A$404,A207))</f>
        <v/>
      </c>
      <c r="D207" s="2" t="str">
        <f>IF(A207="","",COUNTIFS('03_LUA_CHON'!$A$5:$A$404,A207,'03_LUA_CHON'!$D$5:$D$404,"Có"))</f>
        <v/>
      </c>
      <c r="E207" s="2" t="str">
        <f t="shared" si="10"/>
        <v/>
      </c>
      <c r="F207" s="2" t="str">
        <f t="shared" si="11"/>
        <v/>
      </c>
    </row>
    <row r="208" spans="1:6">
      <c r="A208" s="2" t="str">
        <f>IF('02_KICH_BAN_NODES'!D194="choice",'02_KICH_BAN_NODES'!B194,"")</f>
        <v/>
      </c>
      <c r="B208" s="2" t="str">
        <f>IF(A208="","",'02_KICH_BAN_NODES'!E194)</f>
        <v/>
      </c>
      <c r="C208" s="2" t="str">
        <f>IF(A208="","",COUNTIF('03_LUA_CHON'!$A$5:$A$404,A208))</f>
        <v/>
      </c>
      <c r="D208" s="2" t="str">
        <f>IF(A208="","",COUNTIFS('03_LUA_CHON'!$A$5:$A$404,A208,'03_LUA_CHON'!$D$5:$D$404,"Có"))</f>
        <v/>
      </c>
      <c r="E208" s="2" t="str">
        <f t="shared" si="10"/>
        <v/>
      </c>
      <c r="F208" s="2" t="str">
        <f t="shared" si="11"/>
        <v/>
      </c>
    </row>
    <row r="209" spans="1:6">
      <c r="A209" s="2" t="str">
        <f>IF('02_KICH_BAN_NODES'!D195="choice",'02_KICH_BAN_NODES'!B195,"")</f>
        <v/>
      </c>
      <c r="B209" s="2" t="str">
        <f>IF(A209="","",'02_KICH_BAN_NODES'!E195)</f>
        <v/>
      </c>
      <c r="C209" s="2" t="str">
        <f>IF(A209="","",COUNTIF('03_LUA_CHON'!$A$5:$A$404,A209))</f>
        <v/>
      </c>
      <c r="D209" s="2" t="str">
        <f>IF(A209="","",COUNTIFS('03_LUA_CHON'!$A$5:$A$404,A209,'03_LUA_CHON'!$D$5:$D$404,"Có"))</f>
        <v/>
      </c>
      <c r="E209" s="2" t="str">
        <f t="shared" si="10"/>
        <v/>
      </c>
      <c r="F209" s="2" t="str">
        <f t="shared" si="11"/>
        <v/>
      </c>
    </row>
    <row r="210" spans="1:6">
      <c r="A210" s="2" t="str">
        <f>IF('02_KICH_BAN_NODES'!D196="choice",'02_KICH_BAN_NODES'!B196,"")</f>
        <v/>
      </c>
      <c r="B210" s="2" t="str">
        <f>IF(A210="","",'02_KICH_BAN_NODES'!E196)</f>
        <v/>
      </c>
      <c r="C210" s="2" t="str">
        <f>IF(A210="","",COUNTIF('03_LUA_CHON'!$A$5:$A$404,A210))</f>
        <v/>
      </c>
      <c r="D210" s="2" t="str">
        <f>IF(A210="","",COUNTIFS('03_LUA_CHON'!$A$5:$A$404,A210,'03_LUA_CHON'!$D$5:$D$404,"Có"))</f>
        <v/>
      </c>
      <c r="E210" s="2" t="str">
        <f t="shared" si="10"/>
        <v/>
      </c>
      <c r="F210" s="2" t="str">
        <f t="shared" si="11"/>
        <v/>
      </c>
    </row>
    <row r="211" spans="1:6">
      <c r="A211" s="2" t="str">
        <f>IF('02_KICH_BAN_NODES'!D197="choice",'02_KICH_BAN_NODES'!B197,"")</f>
        <v/>
      </c>
      <c r="B211" s="2" t="str">
        <f>IF(A211="","",'02_KICH_BAN_NODES'!E197)</f>
        <v/>
      </c>
      <c r="C211" s="2" t="str">
        <f>IF(A211="","",COUNTIF('03_LUA_CHON'!$A$5:$A$404,A211))</f>
        <v/>
      </c>
      <c r="D211" s="2" t="str">
        <f>IF(A211="","",COUNTIFS('03_LUA_CHON'!$A$5:$A$404,A211,'03_LUA_CHON'!$D$5:$D$404,"Có"))</f>
        <v/>
      </c>
      <c r="E211" s="2" t="str">
        <f t="shared" ref="E211:E242" si="12">IF(A211="","",IF(OR(C211&lt;2,C211&gt;4),"CẦN SỬA",IF(AND(B211="Kiến thức",D211=1),"HỢP LỆ",IF(AND(B211="Tương tác",D211=0),"HỢP LỆ","CẦN SỬA"))))</f>
        <v/>
      </c>
      <c r="F211" s="2" t="str">
        <f t="shared" ref="F211:F218" si="13">IF(A211="","",IF(OR(C211&lt;2,C211&gt;4),"Cần 2–4 option",IF(AND(B211="Kiến thức",D211&lt;&gt;1),"Câu kiến thức cần đúng 1 đáp án đúng",IF(AND(B211="Tương tác",D211&lt;&gt;0),"Câu tương tác không có đáp án đúng",IF(B211="","Thiếu ChoiceMode","")))))</f>
        <v/>
      </c>
    </row>
    <row r="212" spans="1:6">
      <c r="A212" s="2" t="str">
        <f>IF('02_KICH_BAN_NODES'!D198="choice",'02_KICH_BAN_NODES'!B198,"")</f>
        <v/>
      </c>
      <c r="B212" s="2" t="str">
        <f>IF(A212="","",'02_KICH_BAN_NODES'!E198)</f>
        <v/>
      </c>
      <c r="C212" s="2" t="str">
        <f>IF(A212="","",COUNTIF('03_LUA_CHON'!$A$5:$A$404,A212))</f>
        <v/>
      </c>
      <c r="D212" s="2" t="str">
        <f>IF(A212="","",COUNTIFS('03_LUA_CHON'!$A$5:$A$404,A212,'03_LUA_CHON'!$D$5:$D$404,"Có"))</f>
        <v/>
      </c>
      <c r="E212" s="2" t="str">
        <f t="shared" si="12"/>
        <v/>
      </c>
      <c r="F212" s="2" t="str">
        <f t="shared" si="13"/>
        <v/>
      </c>
    </row>
    <row r="213" spans="1:6">
      <c r="A213" s="2" t="str">
        <f>IF('02_KICH_BAN_NODES'!D199="choice",'02_KICH_BAN_NODES'!B199,"")</f>
        <v/>
      </c>
      <c r="B213" s="2" t="str">
        <f>IF(A213="","",'02_KICH_BAN_NODES'!E199)</f>
        <v/>
      </c>
      <c r="C213" s="2" t="str">
        <f>IF(A213="","",COUNTIF('03_LUA_CHON'!$A$5:$A$404,A213))</f>
        <v/>
      </c>
      <c r="D213" s="2" t="str">
        <f>IF(A213="","",COUNTIFS('03_LUA_CHON'!$A$5:$A$404,A213,'03_LUA_CHON'!$D$5:$D$404,"Có"))</f>
        <v/>
      </c>
      <c r="E213" s="2" t="str">
        <f t="shared" si="12"/>
        <v/>
      </c>
      <c r="F213" s="2" t="str">
        <f t="shared" si="13"/>
        <v/>
      </c>
    </row>
    <row r="214" spans="1:6">
      <c r="A214" s="2" t="str">
        <f>IF('02_KICH_BAN_NODES'!D200="choice",'02_KICH_BAN_NODES'!B200,"")</f>
        <v/>
      </c>
      <c r="B214" s="2" t="str">
        <f>IF(A214="","",'02_KICH_BAN_NODES'!E200)</f>
        <v/>
      </c>
      <c r="C214" s="2" t="str">
        <f>IF(A214="","",COUNTIF('03_LUA_CHON'!$A$5:$A$404,A214))</f>
        <v/>
      </c>
      <c r="D214" s="2" t="str">
        <f>IF(A214="","",COUNTIFS('03_LUA_CHON'!$A$5:$A$404,A214,'03_LUA_CHON'!$D$5:$D$404,"Có"))</f>
        <v/>
      </c>
      <c r="E214" s="2" t="str">
        <f t="shared" si="12"/>
        <v/>
      </c>
      <c r="F214" s="2" t="str">
        <f t="shared" si="13"/>
        <v/>
      </c>
    </row>
    <row r="215" spans="1:6">
      <c r="A215" s="2" t="str">
        <f>IF('02_KICH_BAN_NODES'!D201="choice",'02_KICH_BAN_NODES'!B201,"")</f>
        <v/>
      </c>
      <c r="B215" s="2" t="str">
        <f>IF(A215="","",'02_KICH_BAN_NODES'!E201)</f>
        <v/>
      </c>
      <c r="C215" s="2" t="str">
        <f>IF(A215="","",COUNTIF('03_LUA_CHON'!$A$5:$A$404,A215))</f>
        <v/>
      </c>
      <c r="D215" s="2" t="str">
        <f>IF(A215="","",COUNTIFS('03_LUA_CHON'!$A$5:$A$404,A215,'03_LUA_CHON'!$D$5:$D$404,"Có"))</f>
        <v/>
      </c>
      <c r="E215" s="2" t="str">
        <f t="shared" si="12"/>
        <v/>
      </c>
      <c r="F215" s="2" t="str">
        <f t="shared" si="13"/>
        <v/>
      </c>
    </row>
    <row r="216" spans="1:6">
      <c r="A216" s="2" t="str">
        <f>IF('02_KICH_BAN_NODES'!D202="choice",'02_KICH_BAN_NODES'!B202,"")</f>
        <v/>
      </c>
      <c r="B216" s="2" t="str">
        <f>IF(A216="","",'02_KICH_BAN_NODES'!E202)</f>
        <v/>
      </c>
      <c r="C216" s="2" t="str">
        <f>IF(A216="","",COUNTIF('03_LUA_CHON'!$A$5:$A$404,A216))</f>
        <v/>
      </c>
      <c r="D216" s="2" t="str">
        <f>IF(A216="","",COUNTIFS('03_LUA_CHON'!$A$5:$A$404,A216,'03_LUA_CHON'!$D$5:$D$404,"Có"))</f>
        <v/>
      </c>
      <c r="E216" s="2" t="str">
        <f t="shared" si="12"/>
        <v/>
      </c>
      <c r="F216" s="2" t="str">
        <f t="shared" si="13"/>
        <v/>
      </c>
    </row>
    <row r="217" spans="1:6">
      <c r="A217" s="2" t="str">
        <f>IF('02_KICH_BAN_NODES'!D203="choice",'02_KICH_BAN_NODES'!B203,"")</f>
        <v/>
      </c>
      <c r="B217" s="2" t="str">
        <f>IF(A217="","",'02_KICH_BAN_NODES'!E203)</f>
        <v/>
      </c>
      <c r="C217" s="2" t="str">
        <f>IF(A217="","",COUNTIF('03_LUA_CHON'!$A$5:$A$404,A217))</f>
        <v/>
      </c>
      <c r="D217" s="2" t="str">
        <f>IF(A217="","",COUNTIFS('03_LUA_CHON'!$A$5:$A$404,A217,'03_LUA_CHON'!$D$5:$D$404,"Có"))</f>
        <v/>
      </c>
      <c r="E217" s="2" t="str">
        <f t="shared" si="12"/>
        <v/>
      </c>
      <c r="F217" s="2" t="str">
        <f t="shared" si="13"/>
        <v/>
      </c>
    </row>
    <row r="218" spans="1:6">
      <c r="A218" s="2" t="str">
        <f>IF('02_KICH_BAN_NODES'!D204="choice",'02_KICH_BAN_NODES'!B204,"")</f>
        <v/>
      </c>
      <c r="B218" s="2" t="str">
        <f>IF(A218="","",'02_KICH_BAN_NODES'!E204)</f>
        <v/>
      </c>
      <c r="C218" s="2" t="str">
        <f>IF(A218="","",COUNTIF('03_LUA_CHON'!$A$5:$A$404,A218))</f>
        <v/>
      </c>
      <c r="D218" s="2" t="str">
        <f>IF(A218="","",COUNTIFS('03_LUA_CHON'!$A$5:$A$404,A218,'03_LUA_CHON'!$D$5:$D$404,"Có"))</f>
        <v/>
      </c>
      <c r="E218" s="2" t="str">
        <f t="shared" si="12"/>
        <v/>
      </c>
      <c r="F218" s="2" t="str">
        <f t="shared" si="13"/>
        <v/>
      </c>
    </row>
  </sheetData>
  <mergeCells count="6">
    <mergeCell ref="A1:I1"/>
    <mergeCell ref="A2:I2"/>
    <mergeCell ref="A4:I4"/>
    <mergeCell ref="A8:I8"/>
    <mergeCell ref="A17:F17"/>
    <mergeCell ref="H17:I17"/>
  </mergeCells>
  <conditionalFormatting sqref="B15:C15">
    <cfRule type="expression" dxfId="7" priority="4">
      <formula>B15="SẴN SÀNG"</formula>
    </cfRule>
  </conditionalFormatting>
  <conditionalFormatting sqref="C10:C15">
    <cfRule type="expression" dxfId="6" priority="1">
      <formula>C10="HỢP LỆ"</formula>
    </cfRule>
    <cfRule type="expression" dxfId="5" priority="2">
      <formula>OR(C10="CẦN SỬA",C10="CHƯA SẴN SÀNG")</formula>
    </cfRule>
    <cfRule type="expression" dxfId="4" priority="3">
      <formula>C10="CẢNH BÁO"</formula>
    </cfRule>
  </conditionalFormatting>
  <conditionalFormatting sqref="E19:E218">
    <cfRule type="expression" dxfId="3" priority="5">
      <formula>E19="HỢP LỆ"</formula>
    </cfRule>
    <cfRule type="expression" dxfId="2" priority="6">
      <formula>E19="CẦN SỬA"</formula>
    </cfRule>
  </conditionalFormatting>
  <conditionalFormatting sqref="I19:I25">
    <cfRule type="expression" dxfId="1" priority="7">
      <formula>I19="Đạt"</formula>
    </cfRule>
    <cfRule type="expression" dxfId="0" priority="8">
      <formula>I19="Cần sửa"</formula>
    </cfRule>
  </conditionalFormatting>
  <dataValidations count="1">
    <dataValidation type="list" sqref="I19:I25" xr:uid="{00000000-0002-0000-0500-000000000000}">
      <formula1>"Chưa kiểm tra,Đạt,Cần sửa,Không áp dụng"</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45"/>
  <sheetViews>
    <sheetView workbookViewId="0"/>
  </sheetViews>
  <sheetFormatPr defaultRowHeight="14.25"/>
  <cols>
    <col min="1" max="1" width="18" customWidth="1"/>
    <col min="2" max="2" width="48" customWidth="1"/>
    <col min="3" max="3" width="46" customWidth="1"/>
    <col min="4" max="4" width="24" customWidth="1"/>
    <col min="5" max="5" width="28" customWidth="1"/>
    <col min="6" max="6" width="18" customWidth="1"/>
    <col min="7" max="8" width="30" customWidth="1"/>
  </cols>
  <sheetData>
    <row r="1" spans="1:8" ht="30" customHeight="1">
      <c r="A1" s="19" t="s">
        <v>269</v>
      </c>
      <c r="B1" s="19"/>
      <c r="C1" s="19"/>
      <c r="D1" s="19"/>
      <c r="E1" s="19"/>
      <c r="F1" s="19"/>
      <c r="G1" s="19"/>
      <c r="H1" s="19"/>
    </row>
    <row r="2" spans="1:8" ht="36" customHeight="1">
      <c r="A2" s="20" t="s">
        <v>270</v>
      </c>
      <c r="B2" s="20"/>
      <c r="C2" s="20"/>
      <c r="D2" s="20"/>
      <c r="E2" s="20"/>
      <c r="F2" s="20"/>
      <c r="G2" s="20"/>
      <c r="H2" s="20"/>
    </row>
    <row r="4" spans="1:8" ht="24" customHeight="1">
      <c r="A4" s="18" t="s">
        <v>271</v>
      </c>
      <c r="B4" s="18"/>
      <c r="C4" s="18"/>
      <c r="D4" s="18"/>
      <c r="E4" s="18"/>
      <c r="F4" s="18"/>
      <c r="G4" s="18"/>
      <c r="H4" s="18"/>
    </row>
    <row r="5" spans="1:8" ht="39.950000000000003" customHeight="1">
      <c r="A5" s="1" t="s">
        <v>272</v>
      </c>
      <c r="B5" s="1" t="s">
        <v>273</v>
      </c>
      <c r="C5" s="1" t="s">
        <v>274</v>
      </c>
      <c r="D5" s="1" t="s">
        <v>49</v>
      </c>
      <c r="E5" s="1" t="s">
        <v>139</v>
      </c>
    </row>
    <row r="6" spans="1:8" ht="28.5">
      <c r="A6" s="2" t="s">
        <v>275</v>
      </c>
      <c r="B6" s="2" t="s">
        <v>95</v>
      </c>
      <c r="C6" s="2" t="s">
        <v>276</v>
      </c>
      <c r="D6" s="2" t="s">
        <v>96</v>
      </c>
      <c r="E6" s="2" t="s">
        <v>277</v>
      </c>
    </row>
    <row r="7" spans="1:8">
      <c r="A7" s="2" t="s">
        <v>278</v>
      </c>
      <c r="B7" s="2" t="s">
        <v>99</v>
      </c>
      <c r="C7" s="2" t="s">
        <v>279</v>
      </c>
      <c r="D7" s="2" t="s">
        <v>96</v>
      </c>
      <c r="E7" s="2" t="s">
        <v>280</v>
      </c>
    </row>
    <row r="8" spans="1:8">
      <c r="A8" s="2" t="s">
        <v>281</v>
      </c>
      <c r="B8" s="2" t="s">
        <v>102</v>
      </c>
      <c r="C8" s="2" t="s">
        <v>282</v>
      </c>
      <c r="D8" s="2" t="s">
        <v>96</v>
      </c>
      <c r="E8" s="2" t="s">
        <v>283</v>
      </c>
    </row>
    <row r="9" spans="1:8" ht="28.5">
      <c r="A9" s="2" t="s">
        <v>284</v>
      </c>
      <c r="B9" s="2" t="s">
        <v>285</v>
      </c>
      <c r="C9" s="2" t="s">
        <v>286</v>
      </c>
      <c r="D9" s="2" t="s">
        <v>96</v>
      </c>
      <c r="E9" s="2" t="s">
        <v>287</v>
      </c>
    </row>
    <row r="10" spans="1:8">
      <c r="A10" s="2" t="s">
        <v>288</v>
      </c>
      <c r="B10" s="2" t="s">
        <v>289</v>
      </c>
      <c r="C10" s="2" t="s">
        <v>290</v>
      </c>
      <c r="D10" s="2" t="s">
        <v>96</v>
      </c>
      <c r="E10" s="2" t="s">
        <v>291</v>
      </c>
    </row>
    <row r="12" spans="1:8" ht="24" customHeight="1">
      <c r="A12" s="18" t="s">
        <v>292</v>
      </c>
      <c r="B12" s="18"/>
      <c r="C12" s="18"/>
      <c r="D12" s="18"/>
      <c r="E12" s="18"/>
      <c r="F12" s="18"/>
      <c r="G12" s="18"/>
      <c r="H12" s="18"/>
    </row>
    <row r="13" spans="1:8" ht="39.950000000000003" customHeight="1">
      <c r="A13" s="1" t="s">
        <v>179</v>
      </c>
      <c r="B13" s="1" t="s">
        <v>293</v>
      </c>
      <c r="C13" s="1" t="s">
        <v>181</v>
      </c>
      <c r="D13" s="1" t="s">
        <v>294</v>
      </c>
      <c r="E13" s="1" t="s">
        <v>295</v>
      </c>
      <c r="F13" s="1" t="s">
        <v>70</v>
      </c>
      <c r="G13" s="1" t="s">
        <v>239</v>
      </c>
      <c r="H13" s="1" t="s">
        <v>139</v>
      </c>
    </row>
    <row r="14" spans="1:8">
      <c r="A14" s="2" t="s">
        <v>188</v>
      </c>
      <c r="B14" s="2" t="s">
        <v>296</v>
      </c>
      <c r="C14" s="2" t="s">
        <v>297</v>
      </c>
      <c r="D14" s="2" t="s">
        <v>127</v>
      </c>
      <c r="E14" s="2" t="s">
        <v>127</v>
      </c>
      <c r="F14" s="2" t="s">
        <v>298</v>
      </c>
      <c r="G14" s="2" t="s">
        <v>299</v>
      </c>
      <c r="H14" s="2" t="s">
        <v>300</v>
      </c>
    </row>
    <row r="15" spans="1:8">
      <c r="A15" s="2" t="s">
        <v>198</v>
      </c>
      <c r="B15" s="2" t="s">
        <v>301</v>
      </c>
      <c r="C15" s="2" t="s">
        <v>302</v>
      </c>
      <c r="D15" s="2" t="s">
        <v>303</v>
      </c>
      <c r="E15" s="2" t="s">
        <v>127</v>
      </c>
      <c r="F15" s="2" t="s">
        <v>298</v>
      </c>
      <c r="G15" s="2" t="s">
        <v>304</v>
      </c>
      <c r="H15" s="2" t="s">
        <v>305</v>
      </c>
    </row>
    <row r="16" spans="1:8" ht="28.5">
      <c r="A16" s="2" t="s">
        <v>208</v>
      </c>
      <c r="B16" s="2" t="s">
        <v>306</v>
      </c>
      <c r="C16" s="2" t="s">
        <v>307</v>
      </c>
      <c r="D16" s="2" t="s">
        <v>127</v>
      </c>
      <c r="E16" s="2" t="s">
        <v>308</v>
      </c>
      <c r="F16" s="2" t="s">
        <v>309</v>
      </c>
      <c r="G16" s="2" t="s">
        <v>310</v>
      </c>
      <c r="H16" s="2" t="s">
        <v>311</v>
      </c>
    </row>
    <row r="17" spans="1:8">
      <c r="A17" s="2" t="s">
        <v>216</v>
      </c>
      <c r="B17" s="2" t="s">
        <v>153</v>
      </c>
      <c r="C17" s="2" t="s">
        <v>312</v>
      </c>
      <c r="D17" s="2" t="s">
        <v>127</v>
      </c>
      <c r="E17" s="2" t="s">
        <v>127</v>
      </c>
      <c r="F17" s="2" t="s">
        <v>298</v>
      </c>
      <c r="G17" s="2" t="s">
        <v>313</v>
      </c>
      <c r="H17" s="2" t="s">
        <v>314</v>
      </c>
    </row>
    <row r="18" spans="1:8">
      <c r="A18" s="2" t="s">
        <v>221</v>
      </c>
      <c r="B18" s="2" t="s">
        <v>127</v>
      </c>
      <c r="C18" s="2" t="s">
        <v>315</v>
      </c>
      <c r="D18" s="2" t="s">
        <v>316</v>
      </c>
      <c r="E18" s="2" t="s">
        <v>127</v>
      </c>
      <c r="F18" s="2" t="s">
        <v>298</v>
      </c>
      <c r="G18" s="2" t="s">
        <v>317</v>
      </c>
      <c r="H18" s="2" t="s">
        <v>318</v>
      </c>
    </row>
    <row r="20" spans="1:8" ht="24" customHeight="1">
      <c r="A20" s="18" t="s">
        <v>319</v>
      </c>
      <c r="B20" s="18"/>
      <c r="C20" s="18"/>
      <c r="D20" s="18"/>
      <c r="E20" s="18"/>
      <c r="F20" s="18"/>
      <c r="G20" s="18"/>
      <c r="H20" s="18"/>
    </row>
    <row r="21" spans="1:8" ht="39.950000000000003" customHeight="1">
      <c r="A21" s="1" t="s">
        <v>320</v>
      </c>
      <c r="B21" s="1" t="s">
        <v>321</v>
      </c>
      <c r="C21" s="1" t="s">
        <v>44</v>
      </c>
      <c r="D21" s="1" t="s">
        <v>93</v>
      </c>
      <c r="E21" s="1" t="s">
        <v>49</v>
      </c>
      <c r="F21" s="1" t="s">
        <v>322</v>
      </c>
    </row>
    <row r="22" spans="1:8" ht="42.75">
      <c r="A22" s="2" t="s">
        <v>323</v>
      </c>
      <c r="B22" s="2" t="s">
        <v>324</v>
      </c>
      <c r="C22" s="2" t="s">
        <v>325</v>
      </c>
      <c r="D22" s="2" t="s">
        <v>326</v>
      </c>
      <c r="E22" s="2" t="s">
        <v>96</v>
      </c>
      <c r="F22" s="2" t="s">
        <v>327</v>
      </c>
    </row>
    <row r="23" spans="1:8" ht="42.75">
      <c r="A23" s="2" t="s">
        <v>328</v>
      </c>
      <c r="B23" s="2" t="s">
        <v>329</v>
      </c>
      <c r="C23" s="2" t="s">
        <v>330</v>
      </c>
      <c r="D23" s="2" t="s">
        <v>331</v>
      </c>
      <c r="E23" s="2" t="s">
        <v>96</v>
      </c>
      <c r="F23" s="2" t="s">
        <v>332</v>
      </c>
    </row>
    <row r="24" spans="1:8">
      <c r="A24" s="2" t="s">
        <v>162</v>
      </c>
      <c r="B24" s="2" t="s">
        <v>162</v>
      </c>
      <c r="C24" s="2" t="s">
        <v>333</v>
      </c>
      <c r="D24" s="2" t="s">
        <v>334</v>
      </c>
      <c r="E24" s="2" t="s">
        <v>127</v>
      </c>
      <c r="F24" s="2" t="s">
        <v>335</v>
      </c>
    </row>
    <row r="25" spans="1:8">
      <c r="A25" s="2" t="s">
        <v>336</v>
      </c>
      <c r="B25" s="2" t="s">
        <v>337</v>
      </c>
      <c r="C25" s="2" t="s">
        <v>338</v>
      </c>
      <c r="D25" s="2" t="s">
        <v>201</v>
      </c>
      <c r="E25" s="2" t="s">
        <v>96</v>
      </c>
      <c r="F25" s="2" t="s">
        <v>339</v>
      </c>
    </row>
    <row r="26" spans="1:8">
      <c r="A26" s="2" t="s">
        <v>164</v>
      </c>
      <c r="B26" s="2" t="s">
        <v>340</v>
      </c>
      <c r="C26" s="2" t="s">
        <v>341</v>
      </c>
      <c r="D26" s="2" t="s">
        <v>196</v>
      </c>
      <c r="E26" s="2" t="s">
        <v>127</v>
      </c>
      <c r="F26" s="2" t="s">
        <v>342</v>
      </c>
    </row>
    <row r="27" spans="1:8" ht="28.5">
      <c r="A27" s="2" t="s">
        <v>343</v>
      </c>
      <c r="B27" s="2" t="s">
        <v>344</v>
      </c>
      <c r="C27" s="2" t="s">
        <v>345</v>
      </c>
      <c r="D27" s="2" t="s">
        <v>346</v>
      </c>
      <c r="E27" s="2" t="s">
        <v>96</v>
      </c>
      <c r="F27" s="2" t="s">
        <v>347</v>
      </c>
    </row>
    <row r="29" spans="1:8" ht="24" customHeight="1">
      <c r="A29" s="18" t="s">
        <v>348</v>
      </c>
      <c r="B29" s="18"/>
      <c r="C29" s="18"/>
      <c r="D29" s="18"/>
      <c r="E29" s="18"/>
      <c r="F29" s="18"/>
      <c r="G29" s="18"/>
      <c r="H29" s="18"/>
    </row>
    <row r="30" spans="1:8" ht="39.950000000000003" customHeight="1">
      <c r="A30" s="1" t="s">
        <v>3</v>
      </c>
      <c r="B30" s="1" t="s">
        <v>349</v>
      </c>
      <c r="C30" s="1" t="s">
        <v>350</v>
      </c>
      <c r="D30" s="1"/>
      <c r="E30" s="1"/>
      <c r="F30" s="1"/>
      <c r="G30" s="1"/>
      <c r="H30" s="1"/>
    </row>
    <row r="31" spans="1:8">
      <c r="A31" s="9">
        <v>1</v>
      </c>
      <c r="B31" s="2" t="s">
        <v>351</v>
      </c>
      <c r="C31" s="2" t="s">
        <v>352</v>
      </c>
      <c r="D31" s="2"/>
      <c r="E31" s="2"/>
      <c r="F31" s="2"/>
      <c r="G31" s="2"/>
      <c r="H31" s="2"/>
    </row>
    <row r="32" spans="1:8" ht="28.5">
      <c r="A32" s="9">
        <v>2</v>
      </c>
      <c r="B32" s="2" t="s">
        <v>353</v>
      </c>
      <c r="C32" s="2" t="s">
        <v>354</v>
      </c>
      <c r="D32" s="2"/>
      <c r="E32" s="2"/>
      <c r="F32" s="2"/>
      <c r="G32" s="2"/>
      <c r="H32" s="2"/>
    </row>
    <row r="33" spans="1:8" ht="28.5">
      <c r="A33" s="9">
        <v>3</v>
      </c>
      <c r="B33" s="2" t="s">
        <v>355</v>
      </c>
      <c r="C33" s="2" t="s">
        <v>356</v>
      </c>
      <c r="D33" s="2"/>
      <c r="E33" s="2"/>
      <c r="F33" s="2"/>
      <c r="G33" s="2"/>
      <c r="H33" s="2"/>
    </row>
    <row r="34" spans="1:8" ht="28.5">
      <c r="A34" s="9">
        <v>4</v>
      </c>
      <c r="B34" s="2" t="s">
        <v>357</v>
      </c>
      <c r="C34" s="2" t="s">
        <v>358</v>
      </c>
      <c r="D34" s="2"/>
      <c r="E34" s="2"/>
      <c r="F34" s="2"/>
      <c r="G34" s="2"/>
      <c r="H34" s="2"/>
    </row>
    <row r="35" spans="1:8" ht="28.5">
      <c r="A35" s="9">
        <v>5</v>
      </c>
      <c r="B35" s="2" t="s">
        <v>359</v>
      </c>
      <c r="C35" s="2" t="s">
        <v>360</v>
      </c>
      <c r="D35" s="2"/>
      <c r="E35" s="2"/>
      <c r="F35" s="2"/>
      <c r="G35" s="2"/>
      <c r="H35" s="2"/>
    </row>
    <row r="36" spans="1:8">
      <c r="A36" s="9">
        <v>6</v>
      </c>
      <c r="B36" s="2" t="s">
        <v>361</v>
      </c>
      <c r="C36" s="2" t="s">
        <v>362</v>
      </c>
      <c r="D36" s="2"/>
      <c r="E36" s="2"/>
      <c r="F36" s="2"/>
      <c r="G36" s="2"/>
      <c r="H36" s="2"/>
    </row>
    <row r="37" spans="1:8">
      <c r="A37" s="9">
        <v>7</v>
      </c>
      <c r="B37" s="2" t="s">
        <v>363</v>
      </c>
      <c r="C37" s="2" t="s">
        <v>364</v>
      </c>
      <c r="D37" s="2"/>
      <c r="E37" s="2"/>
      <c r="F37" s="2"/>
      <c r="G37" s="2"/>
      <c r="H37" s="2"/>
    </row>
    <row r="39" spans="1:8" ht="24" customHeight="1">
      <c r="A39" s="18" t="s">
        <v>365</v>
      </c>
      <c r="B39" s="18"/>
      <c r="C39" s="18"/>
      <c r="D39" s="18"/>
      <c r="E39" s="18"/>
      <c r="F39" s="18"/>
      <c r="G39" s="18"/>
      <c r="H39" s="18"/>
    </row>
    <row r="40" spans="1:8" ht="39.950000000000003" customHeight="1">
      <c r="A40" s="1" t="s">
        <v>366</v>
      </c>
      <c r="B40" s="1" t="s">
        <v>367</v>
      </c>
      <c r="C40" s="1"/>
      <c r="D40" s="1"/>
      <c r="E40" s="1"/>
      <c r="F40" s="1"/>
      <c r="G40" s="1"/>
      <c r="H40" s="1"/>
    </row>
    <row r="41" spans="1:8" ht="28.5">
      <c r="A41" s="2" t="s">
        <v>188</v>
      </c>
      <c r="B41" s="6" t="s">
        <v>368</v>
      </c>
      <c r="C41" s="2"/>
      <c r="D41" s="2"/>
      <c r="E41" s="2"/>
      <c r="F41" s="2"/>
      <c r="G41" s="2"/>
      <c r="H41" s="2"/>
    </row>
    <row r="42" spans="1:8" ht="28.5">
      <c r="A42" s="2" t="s">
        <v>198</v>
      </c>
      <c r="B42" s="6" t="s">
        <v>369</v>
      </c>
      <c r="C42" s="2"/>
      <c r="D42" s="2"/>
      <c r="E42" s="2"/>
      <c r="F42" s="2"/>
      <c r="G42" s="2"/>
      <c r="H42" s="2"/>
    </row>
    <row r="43" spans="1:8" ht="28.5">
      <c r="A43" s="2" t="s">
        <v>208</v>
      </c>
      <c r="B43" s="6" t="s">
        <v>370</v>
      </c>
      <c r="C43" s="2"/>
      <c r="D43" s="2"/>
      <c r="E43" s="2"/>
      <c r="F43" s="2"/>
      <c r="G43" s="2"/>
      <c r="H43" s="2"/>
    </row>
    <row r="44" spans="1:8">
      <c r="A44" s="2" t="s">
        <v>216</v>
      </c>
      <c r="B44" s="6" t="s">
        <v>371</v>
      </c>
      <c r="C44" s="2"/>
      <c r="D44" s="2"/>
      <c r="E44" s="2"/>
      <c r="F44" s="2"/>
      <c r="G44" s="2"/>
      <c r="H44" s="2"/>
    </row>
    <row r="45" spans="1:8">
      <c r="A45" s="2" t="s">
        <v>221</v>
      </c>
      <c r="B45" s="6" t="s">
        <v>223</v>
      </c>
      <c r="C45" s="2"/>
      <c r="D45" s="2"/>
      <c r="E45" s="2"/>
      <c r="F45" s="2"/>
      <c r="G45" s="2"/>
      <c r="H45" s="2"/>
    </row>
  </sheetData>
  <mergeCells count="7">
    <mergeCell ref="A29:H29"/>
    <mergeCell ref="A39:H39"/>
    <mergeCell ref="A1:H1"/>
    <mergeCell ref="A2:H2"/>
    <mergeCell ref="A4:H4"/>
    <mergeCell ref="A12:H12"/>
    <mergeCell ref="A20:H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00_HUONG_DAN</vt:lpstr>
      <vt:lpstr>01_THONG_TIN_PHIM</vt:lpstr>
      <vt:lpstr>02_KICH_BAN_NODES</vt:lpstr>
      <vt:lpstr>03_LUA_CHON</vt:lpstr>
      <vt:lpstr>04_DANH_MUC</vt:lpstr>
      <vt:lpstr>05_KIEM_TRA_QA</vt:lpstr>
      <vt:lpstr>06_DEV_MAPPING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Minh Hoàng Lê Vũ</cp:lastModifiedBy>
  <dcterms:modified xsi:type="dcterms:W3CDTF">2026-07-14T14:48:41Z</dcterms:modified>
</cp:coreProperties>
</file>