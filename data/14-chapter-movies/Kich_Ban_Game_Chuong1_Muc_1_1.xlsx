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HUONG_DAN" sheetId="1" state="visible" r:id="rId3"/>
    <sheet name="01_THONG_TIN_Game" sheetId="2" state="visible" r:id="rId4"/>
    <sheet name="02_KICH_BAN_NODES" sheetId="3" state="visible" r:id="rId5"/>
    <sheet name="03_LUA_CHON" sheetId="4" state="visible" r:id="rId6"/>
    <sheet name="04_DANH_MUC" sheetId="5" state="visible" r:id="rId7"/>
    <sheet name="05_KIEM_TRA_QA" sheetId="6" state="visible" r:id="rId8"/>
    <sheet name="06_DEV_MAPP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<sst xmlns="http://schemas.openxmlformats.org/spreadsheetml/2006/main" count="643" uniqueCount="450">
  <si>
    <t xml:space="preserve">MẪU NHẬP KỊCH BẢN GAME TƯƠNG TÁC</t>
  </si>
  <si>
    <t xml:space="preserve">Workbook chuẩn hóa cấu trúc từ 15-movie-template.ts. Team tài liệu nhập ô màu vàng; team dev dùng các bảng dữ liệu đã chuẩn hóa để dựng mảng script JSON/TypeScript và upsert movie.</t>
  </si>
  <si>
    <t xml:space="preserve">1. QUY TRÌNH SỬ DỤNG</t>
  </si>
  <si>
    <t xml:space="preserve">Bước</t>
  </si>
  <si>
    <t xml:space="preserve">Người thực hiện</t>
  </si>
  <si>
    <t xml:space="preserve">Thao tác</t>
  </si>
  <si>
    <t xml:space="preserve">Kết quả cần đạt</t>
  </si>
  <si>
    <t xml:space="preserve">Không được làm</t>
  </si>
  <si>
    <t xml:space="preserve">Team tài liệu</t>
  </si>
  <si>
    <t xml:space="preserve">Điền 01_THONG_TIN_Game</t>
  </si>
  <si>
    <t xml:space="preserve">Đủ mã chương, mục, tiêu đề và thông tin seed</t>
  </si>
  <si>
    <t xml:space="preserve">Không đổi tên trường kỹ thuật</t>
  </si>
  <si>
    <t xml:space="preserve">Điền 02_KICH_BAN_NODES theo NodeOrder</t>
  </si>
  <si>
    <t xml:space="preserve">Mỗi dòng là 1 scene/say/choice/act/end</t>
  </si>
  <si>
    <t xml:space="preserve">Không gộp nhiều node trong một dòng</t>
  </si>
  <si>
    <t xml:space="preserve">Điền 03_LUA_CHON theo ChoiceNodeId</t>
  </si>
  <si>
    <t xml:space="preserve">Mỗi choice có 2-4 phương án và đúng quy tắc ChoiceMode</t>
  </si>
  <si>
    <t xml:space="preserve">Không bỏ phản hồi phương án</t>
  </si>
  <si>
    <t xml:space="preserve">Reviewer</t>
  </si>
  <si>
    <t xml:space="preserve">Kiểm tra 05_KIEM_TRA_QA</t>
  </si>
  <si>
    <t xml:space="preserve">Không còn lỗi cấu trúc; checklist chuyên môn đạt</t>
  </si>
  <si>
    <t xml:space="preserve">Không bàn giao khi còn CẦN SỬA</t>
  </si>
  <si>
    <t xml:space="preserve">Team dev</t>
  </si>
  <si>
    <t xml:space="preserve">Chuyển đổi theo 06_DEV_MAPPING</t>
  </si>
  <si>
    <t xml:space="preserve">Seed chạy được và upsert theo muc</t>
  </si>
  <si>
    <t xml:space="preserve">Không tự thay đổi nội dung chuyên môn</t>
  </si>
  <si>
    <t xml:space="preserve">2. QUY ƯỚC MÀU VÀ TRẠNG THÁI</t>
  </si>
  <si>
    <t xml:space="preserve">Màu/Trạng thái</t>
  </si>
  <si>
    <t xml:space="preserve">Ý nghĩa</t>
  </si>
  <si>
    <t xml:space="preserve">Hành động</t>
  </si>
  <si>
    <t xml:space="preserve">Ô màu vàng</t>
  </si>
  <si>
    <t xml:space="preserve">Dữ liệu team tài liệu được phép nhập/sửa</t>
  </si>
  <si>
    <t xml:space="preserve">Điền nội dung, không xóa tiêu đề cột</t>
  </si>
  <si>
    <t xml:space="preserve">Ô màu xám</t>
  </si>
  <si>
    <t xml:space="preserve">Công thức hoặc thông tin kỹ thuật</t>
  </si>
  <si>
    <t xml:space="preserve">Không sửa</t>
  </si>
  <si>
    <t xml:space="preserve">HỢP LỆ</t>
  </si>
  <si>
    <t xml:space="preserve">Dòng đạt kiểm tra cấu trúc cơ bản</t>
  </si>
  <si>
    <t xml:space="preserve">Chuyển sang review chuyên môn</t>
  </si>
  <si>
    <t xml:space="preserve">CẦN SỬA</t>
  </si>
  <si>
    <t xml:space="preserve">Thiếu dữ liệu, sai liên kết hoặc sai quy tắc</t>
  </si>
  <si>
    <t xml:space="preserve">Đọc cột Lỗi cấu trúc và chỉnh lại</t>
  </si>
  <si>
    <t xml:space="preserve">3. QUY TẮC NỘI DUNG BẮT BUỘC</t>
  </si>
  <si>
    <t xml:space="preserve">Nhóm</t>
  </si>
  <si>
    <t xml:space="preserve">Quy tắc</t>
  </si>
  <si>
    <t xml:space="preserve">Mức độ</t>
  </si>
  <si>
    <t xml:space="preserve">Lý do</t>
  </si>
  <si>
    <t xml:space="preserve">Cấu trúc game</t>
  </si>
  <si>
    <t xml:space="preserve">Thông thường 2-4 màn; mỗi màn bắt đầu bằng scene, kết thúc bằng act; toàn game có đúng 1 end.</t>
  </si>
  <si>
    <t xml:space="preserve">Bắt buộc</t>
  </si>
  <si>
    <t xml:space="preserve">Khớp ScriptNode trong template.</t>
  </si>
  <si>
    <t xml:space="preserve">Choice kiến thức</t>
  </si>
  <si>
    <t xml:space="preserve">ChoiceMode = Kiến thức: 2-4 phương án và đúng 1 IsCorrect = Có.</t>
  </si>
  <si>
    <t xml:space="preserve">Dùng để kiểm tra và chấm đúng/sai.</t>
  </si>
  <si>
    <t xml:space="preserve">Choice tương tác</t>
  </si>
  <si>
    <t xml:space="preserve">ChoiceMode = Tương tác: 2-4 phương án và không đánh dấu đáp án đúng; có thể dùng dc.</t>
  </si>
  <si>
    <t xml:space="preserve">Khớp các lựa chọn thái độ/thiện cảm trong kịch bản mẫu.</t>
  </si>
  <si>
    <t xml:space="preserve">Phản hồi</t>
  </si>
  <si>
    <t xml:space="preserve">Mọi phương án phải có ReplyText; phương án sai của câu kiến thức phải giải thích vì sao sai.</t>
  </si>
  <si>
    <t xml:space="preserve">Bảo đảm giá trị học tập.</t>
  </si>
  <si>
    <t xml:space="preserve">Nhân vật</t>
  </si>
  <si>
    <t xml:space="preserve">Chỉ dùng SpeakerKey trong danh mục; nhân vật mới phải được dev bổ sung vào CHARACTERS.</t>
  </si>
  <si>
    <t xml:space="preserve">Tránh key không tồn tại.</t>
  </si>
  <si>
    <t xml:space="preserve">Cảnh nền</t>
  </si>
  <si>
    <t xml:space="preserve">Chỉ dùng Background trong danh mục; cảnh mới cần asset/SVG được dev xác nhận.</t>
  </si>
  <si>
    <t xml:space="preserve">Tránh thiếu tài nguyên giao diện.</t>
  </si>
  <si>
    <t xml:space="preserve">Văn bản</t>
  </si>
  <si>
    <t xml:space="preserve">Không dùng HTML; câu hỏi không đánh đố; lời thoại tự nhiên, phù hợp vai trò.</t>
  </si>
  <si>
    <t xml:space="preserve">Khuyến nghị cao</t>
  </si>
  <si>
    <t xml:space="preserve">Theo nguyên tắc biên soạn của template.</t>
  </si>
  <si>
    <t xml:space="preserve">Thứ tự</t>
  </si>
  <si>
    <t xml:space="preserve">NodeOrder và NodeId phải duy nhất; option sắp xếp bằng OptionOrder.</t>
  </si>
  <si>
    <t xml:space="preserve">Bảo toàn thứ tự mảng script/opts.</t>
  </si>
  <si>
    <t xml:space="preserve">4. TRƯỜNG HỢP ĐẶC BIỆT</t>
  </si>
  <si>
    <t xml:space="preserve">Tình huống</t>
  </si>
  <si>
    <t xml:space="preserve">Cách xử lý</t>
  </si>
  <si>
    <t xml:space="preserve">Lời dẫn chuyện</t>
  </si>
  <si>
    <t xml:space="preserve">NodeType = say, SpeakerKey = narr, Mood để trống.</t>
  </si>
  <si>
    <t xml:space="preserve">Choice mở đầu kiểu “Bạn sẵn sàng chứ?”</t>
  </si>
  <si>
    <t xml:space="preserve">Chọn ChoiceMode = Tương tác; IsCorrect của mọi option = Không; dùng dc nếu cần.</t>
  </si>
  <si>
    <t xml:space="preserve">Thêm nhân vật/cảnh nền</t>
  </si>
  <si>
    <t xml:space="preserve">Bổ sung tại 04_DANH_MUC, ghi rõ cần dev bổ sung và chỉ dùng sau khi được duyệt.</t>
  </si>
  <si>
    <t xml:space="preserve">Điểm thiện cảm dc</t>
  </si>
  <si>
    <t xml:space="preserve">Nhập số nguyên dương/âm khi cần; để trống để dùng cơ chế mặc định.</t>
  </si>
  <si>
    <t xml:space="preserve">Thông tin mẫu</t>
  </si>
  <si>
    <t xml:space="preserve">Giá trị</t>
  </si>
  <si>
    <t xml:space="preserve">Nguồn cấu trúc</t>
  </si>
  <si>
    <t xml:space="preserve">15-movie-template.ts</t>
  </si>
  <si>
    <t xml:space="preserve">Phiên bản workbook</t>
  </si>
  <si>
    <t xml:space="preserve">1.1.0 -- 2026-07-12</t>
  </si>
  <si>
    <t xml:space="preserve">01 -- THÔNG TIN game / THÔNG SỐ SEED</t>
  </si>
  <si>
    <t xml:space="preserve">Điền cột Giá trị. Trường có Bắt buộc = Có phải hoàn thành trước khi bàn giao.</t>
  </si>
  <si>
    <t xml:space="preserve">Trường kỹ thuật</t>
  </si>
  <si>
    <t xml:space="preserve">Ví dụ</t>
  </si>
  <si>
    <t xml:space="preserve">Quy tắc / Ghi chú</t>
  </si>
  <si>
    <t xml:space="preserve">chapterCode</t>
  </si>
  <si>
    <t xml:space="preserve">Có</t>
  </si>
  <si>
    <t xml:space="preserve">1</t>
  </si>
  <si>
    <t xml:space="preserve">1  /  2</t>
  </si>
  <si>
    <t xml:space="preserve">Phải tồn tại trong bảng chapter trước khi seed.</t>
  </si>
  <si>
    <t xml:space="preserve">muc</t>
  </si>
  <si>
    <t xml:space="preserve">1.1</t>
  </si>
  <si>
    <t xml:space="preserve">1.1  /  2.1</t>
  </si>
  <si>
    <t xml:space="preserve">Khóa nghiệp vụ dùng tìm movie hiện có để update/create.</t>
  </si>
  <si>
    <t xml:space="preserve">movieTitle</t>
  </si>
  <si>
    <t xml:space="preserve">game tương tác: Khái quát sự hình thành và phát triển của kinh tế chính trị Mác - Lênin</t>
  </si>
  <si>
    <t xml:space="preserve">game tương tác: Hàng hóa và tiền tệ</t>
  </si>
  <si>
    <t xml:space="preserve">Tên hiển thị của game.</t>
  </si>
  <si>
    <t xml:space="preserve">seedFunctionName</t>
  </si>
  <si>
    <t xml:space="preserve">seedMovieChuong1Muc11</t>
  </si>
  <si>
    <t xml:space="preserve">seedMovieChuong2</t>
  </si>
  <si>
    <t xml:space="preserve">camelCase, không dấu, duy nhất.</t>
  </si>
  <si>
    <t xml:space="preserve">outputFileName</t>
  </si>
  <si>
    <t xml:space="preserve">movie-chuong1-muc1-1.ts</t>
  </si>
  <si>
    <t xml:space="preserve">16-movie-chuong-2.ts</t>
  </si>
  <si>
    <t xml:space="preserve">Tên file TypeScript sau chuyển đổi.</t>
  </si>
  <si>
    <t xml:space="preserve">seedLogLabel</t>
  </si>
  <si>
    <t xml:space="preserve">Interactive Movies (Chương 1 - Mục 1.1)</t>
  </si>
  <si>
    <t xml:space="preserve">Interactive Movies (Chương 2)</t>
  </si>
  <si>
    <t xml:space="preserve">Nhãn dùng trong seedLog().</t>
  </si>
  <si>
    <t xml:space="preserve">author</t>
  </si>
  <si>
    <t xml:space="preserve">Nguyễn Quyền Linh</t>
  </si>
  <si>
    <t xml:space="preserve">Nguyễn Văn A</t>
  </si>
  <si>
    <t xml:space="preserve">Người biên soạn.</t>
  </si>
  <si>
    <t xml:space="preserve">reviewer</t>
  </si>
  <si>
    <t xml:space="preserve">[Điền tên reviewer]</t>
  </si>
  <si>
    <t xml:space="preserve">Trần Thị B</t>
  </si>
  <si>
    <t xml:space="preserve">Người duyệt nội dung.</t>
  </si>
  <si>
    <t xml:space="preserve">version</t>
  </si>
  <si>
    <t xml:space="preserve">1.0</t>
  </si>
  <si>
    <t xml:space="preserve">Tăng version khi chỉnh sau bàn giao.</t>
  </si>
  <si>
    <t xml:space="preserve">documentStatus</t>
  </si>
  <si>
    <t xml:space="preserve">Đang soạn</t>
  </si>
  <si>
    <t xml:space="preserve">Đã duyệt</t>
  </si>
  <si>
    <t xml:space="preserve">Chỉ bàn giao khi Đã duyệt.</t>
  </si>
  <si>
    <t xml:space="preserve">sourceReference</t>
  </si>
  <si>
    <t xml:space="preserve">Không</t>
  </si>
  <si>
    <t xml:space="preserve">Giáo trình KTCT Mác - Lênin, NXB CTQG Sự thật 2021, Chương 1 mục 1.1, tr.7-11</t>
  </si>
  <si>
    <t xml:space="preserve">Giáo trình Chương 2, trang 30-45</t>
  </si>
  <si>
    <t xml:space="preserve">Nguồn chuyên môn.</t>
  </si>
  <si>
    <t xml:space="preserve">changeSummary</t>
  </si>
  <si>
    <t xml:space="preserve">Tạo mới kịch bản mục 1.1 - Khái quát sự hình thành và phát triển KTCT Mác - Lênin</t>
  </si>
  <si>
    <t xml:space="preserve">Tạo mới kịch bản Chương 2</t>
  </si>
  <si>
    <t xml:space="preserve">Tóm tắt thay đổi.</t>
  </si>
  <si>
    <t xml:space="preserve">KIỂM TRA NHANH</t>
  </si>
  <si>
    <t xml:space="preserve">Chỉ số</t>
  </si>
  <si>
    <t xml:space="preserve">Trạng thái</t>
  </si>
  <si>
    <t xml:space="preserve">Ghi chú</t>
  </si>
  <si>
    <t xml:space="preserve">Trường bắt buộc còn trống</t>
  </si>
  <si>
    <t xml:space="preserve">Trạng thái tài liệu</t>
  </si>
  <si>
    <t xml:space="preserve">Sẵn sàng bàn giao dev</t>
  </si>
  <si>
    <t xml:space="preserve">Công thức chỉ kiểm tra cấu trúc; reviewer vẫn phải kiểm tra kiến thức.</t>
  </si>
  <si>
    <t xml:space="preserve">02 -- KỊCH BẢN: DANH SÁCH SCRIPT NODE</t>
  </si>
  <si>
    <t xml:space="preserve">Mỗi dòng là một ScriptNode. ChoiceMode chỉ dùng để QA/biên soạn và không cần ghi vào object TypeScript.</t>
  </si>
  <si>
    <t xml:space="preserve">NodeOrder*</t>
  </si>
  <si>
    <t xml:space="preserve">NodeId*</t>
  </si>
  <si>
    <t xml:space="preserve">ActNo</t>
  </si>
  <si>
    <t xml:space="preserve">NodeType*</t>
  </si>
  <si>
    <t xml:space="preserve">ChoiceMode</t>
  </si>
  <si>
    <t xml:space="preserve">Background</t>
  </si>
  <si>
    <t xml:space="preserve">SceneName</t>
  </si>
  <si>
    <t xml:space="preserve">SpeakerKey</t>
  </si>
  <si>
    <t xml:space="preserve">Mood</t>
  </si>
  <si>
    <t xml:space="preserve">Text / Question</t>
  </si>
  <si>
    <t xml:space="preserve">ActRoman</t>
  </si>
  <si>
    <t xml:space="preserve">Ghi chú biên soạn</t>
  </si>
  <si>
    <t xml:space="preserve">Trạng thái Lỗi cấu trúc</t>
  </si>
  <si>
    <t xml:space="preserve">N001</t>
  </si>
  <si>
    <t xml:space="preserve">scene</t>
  </si>
  <si>
    <t xml:space="preserve">thukho</t>
  </si>
  <si>
    <t xml:space="preserve">Màn I · Từ trọng thương đến trọng nông</t>
  </si>
  <si>
    <t xml:space="preserve">Đầu màn</t>
  </si>
  <si>
    <t xml:space="preserve">N002</t>
  </si>
  <si>
    <t xml:space="preserve">say</t>
  </si>
  <si>
    <t xml:space="preserve">narr</t>
  </si>
  <si>
    <t xml:space="preserve">Trong lòng thư khố cũ kỹ của khoa Kinh tế, những giá kệ phủ bụi thời gian cất giữ hàng thế kỷ tư tưởng kinh tế của nhân loại. Bạn theo GS. Lâm bước vào, bắt đầu hành trình lần tìm cội nguồn của kinh tế chính trị Mác - Lênin.</t>
  </si>
  <si>
    <t xml:space="preserve">N003</t>
  </si>
  <si>
    <t xml:space="preserve">lam</t>
  </si>
  <si>
    <t xml:space="preserve">neutral</t>
  </si>
  <si>
    <t xml:space="preserve">Trước khi có kinh tế chính trị Mác - Lênin, tư tưởng kinh tế đã trải qua một chặng đường dài. Thuật ngữ 'kinh tế chính trị' xuất hiện từ năm 1615, nhưng phải đến thế kỷ XV, khi phương thức sản xuất tư bản chủ nghĩa hình thành ở châu Âu, hệ thống lý luận kinh tế thực thụ đầu tiên mới ra đời: chủ nghĩa trọng thương.</t>
  </si>
  <si>
    <t xml:space="preserve">N004</t>
  </si>
  <si>
    <t xml:space="preserve">choice</t>
  </si>
  <si>
    <t xml:space="preserve">Kiến thức</t>
  </si>
  <si>
    <t xml:space="preserve">Chủ nghĩa trọng thương dành trọng tâm nghiên cứu vào lĩnh vực nào, và cho rằng lợi nhuận có nguồn gốc từ đâu?</t>
  </si>
  <si>
    <t xml:space="preserve">Nhập option ở sheet 03</t>
  </si>
  <si>
    <t xml:space="preserve">N005</t>
  </si>
  <si>
    <t xml:space="preserve">Sau chủ nghĩa trọng thương, chủ nghĩa trọng nông ở Pháp (Boisguillebert, Quesney, Turgot) tiến bộ hơn ở điểm nào, nhưng vẫn còn hạn chế gì?</t>
  </si>
  <si>
    <t xml:space="preserve">N006</t>
  </si>
  <si>
    <t xml:space="preserve">act</t>
  </si>
  <si>
    <t xml:space="preserve">I</t>
  </si>
  <si>
    <t xml:space="preserve">Kết thúc màn I</t>
  </si>
  <si>
    <t xml:space="preserve">N007</t>
  </si>
  <si>
    <t xml:space="preserve">hoithao</t>
  </si>
  <si>
    <t xml:space="preserve">Màn II · Kinh tế chính trị cổ điển Anh</t>
  </si>
  <si>
    <t xml:space="preserve">Bắt đầu màn II</t>
  </si>
  <si>
    <t xml:space="preserve">N008</t>
  </si>
  <si>
    <t xml:space="preserve">Bạn và GS. Lâm bước sang gian hội thảo, nơi trưng bày chân dung ba nhà kinh tế học người Anh: W.Petty, A.Smith và D.Ricardo — những người đã đưa kinh tế chính trị trở thành một môn khoa học thực thụ.</t>
  </si>
  <si>
    <t xml:space="preserve">N009</t>
  </si>
  <si>
    <t xml:space="preserve">khoa</t>
  </si>
  <si>
    <t xml:space="preserve">stern</t>
  </si>
  <si>
    <t xml:space="preserve">Trong ba đại biểu của kinh tế chính trị cổ điển Anh, ai là người có hệ thống lý luận khoa học nhất, được C.Mác kế thừa trực tiếp?</t>
  </si>
  <si>
    <t xml:space="preserve">N010</t>
  </si>
  <si>
    <t xml:space="preserve">II</t>
  </si>
  <si>
    <t xml:space="preserve">Kết thúc màn II</t>
  </si>
  <si>
    <t xml:space="preserve">N011</t>
  </si>
  <si>
    <t xml:space="preserve">buctham</t>
  </si>
  <si>
    <t xml:space="preserve">Màn III · C.Mác, Ph.Ăngghen và V.I.Lênin</t>
  </si>
  <si>
    <t xml:space="preserve">Bắt đầu màn III</t>
  </si>
  <si>
    <t xml:space="preserve">N012</t>
  </si>
  <si>
    <t xml:space="preserve">Cuối cùng, hai người dừng chân tại bục thẩm — nơi từng vang lên những luận điểm làm thay đổi lịch sử tư tưởng kinh tế: nơi C.Mác, Ph.Ăngghen và sau đó là V.I.Lênin đặt nền móng cho kinh tế chính trị Mác - Lênin.</t>
  </si>
  <si>
    <t xml:space="preserve">N013</t>
  </si>
  <si>
    <t xml:space="preserve">concern</t>
  </si>
  <si>
    <t xml:space="preserve">Kế thừa có phê phán D.Ricardo, C.Mác đã xây dựng một hệ thống lý luận mang tính cách mạng và khoa học, đặc biệt là học thuyết giá trị thặng dư. Sau khi C.Mác và Ph.Ăngghen qua đời, chính V.I.Lênin là người tiếp tục bổ sung, phát triển dòng lý luận này.</t>
  </si>
  <si>
    <t xml:space="preserve">N014</t>
  </si>
  <si>
    <t xml:space="preserve">Vì sao dòng lý thuyết kinh tế chính trị này được định danh là 'kinh tế chính trị Mác - Lênin'?</t>
  </si>
  <si>
    <t xml:space="preserve">N015</t>
  </si>
  <si>
    <t xml:space="preserve">III</t>
  </si>
  <si>
    <t xml:space="preserve">Kết thúc màn III</t>
  </si>
  <si>
    <t xml:space="preserve">N016</t>
  </si>
  <si>
    <t xml:space="preserve">end</t>
  </si>
  <si>
    <t xml:space="preserve">Kết thúc toàn bộ game</t>
  </si>
  <si>
    <t xml:space="preserve">03 -- PHƯƠNG ÁN CHO CÁC NODE CHOICE</t>
  </si>
  <si>
    <t xml:space="preserve">Choice kiến thức: đúng 1 đáp án. Choice tương tác: không có đáp án đúng, có thể nhập dc để thay đổi thiện cảm.</t>
  </si>
  <si>
    <t xml:space="preserve">ChoiceNodeId*</t>
  </si>
  <si>
    <t xml:space="preserve">OptionOrder*</t>
  </si>
  <si>
    <t xml:space="preserve">OptionText*</t>
  </si>
  <si>
    <t xml:space="preserve">IsCorrect*</t>
  </si>
  <si>
    <t xml:space="preserve">dc</t>
  </si>
  <si>
    <t xml:space="preserve">ReplySpeaker*</t>
  </si>
  <si>
    <t xml:space="preserve">ReplyMood</t>
  </si>
  <si>
    <t xml:space="preserve">ReplyText*</t>
  </si>
  <si>
    <t xml:space="preserve">Lĩnh vực lưu thông; lợi nhuận sinh ra từ thương nghiệp, qua việc mua rẻ bán đắt.</t>
  </si>
  <si>
    <t xml:space="preserve">happy</t>
  </si>
  <si>
    <t xml:space="preserve">Chính xác! Đây là đóng góp nhưng cũng là hạn chế của chủ nghĩa trọng thương: nhìn đúng mục đích tìm lợi nhuận của nhà tư bản, nhưng lý giải nguồn gốc lợi nhuận thiếu tính khoa học.</t>
  </si>
  <si>
    <t xml:space="preserve">Đáp án đúng</t>
  </si>
  <si>
    <t xml:space="preserve">Lĩnh vực sản xuất nông nghiệp; lợi nhuận sinh ra từ đất đai.</t>
  </si>
  <si>
    <t xml:space="preserve">Chưa đúng — đó là quan điểm của chủ nghĩa trọng nông, ra đời sau và hướng nghiên cứu vào sản xuất chứ không phải lưu thông.</t>
  </si>
  <si>
    <t xml:space="preserve">Đáp án nhiễu hợp lý</t>
  </si>
  <si>
    <t xml:space="preserve">Lĩnh vực sản xuất công nghiệp; lợi nhuận sinh ra từ hao phí lao động.</t>
  </si>
  <si>
    <t xml:space="preserve">Chưa đúng — quan điểm giá trị do lao động tạo ra là đóng góp của kinh tế chính trị cổ điển Anh, xuất hiện muộn hơn nhiều so với chủ nghĩa trọng thương.</t>
  </si>
  <si>
    <t xml:space="preserve">Tiến bộ vì hướng nghiên cứu vào lĩnh vực sản xuất, luận giải được nhiều phạm trù như giá trị, tư bản, tiền lương; nhưng hạn chế vì chỉ coi nông nghiệp mới là sản xuất.</t>
  </si>
  <si>
    <t xml:space="preserve">Đúng vậy! Chủ nghĩa trọng nông đã tiến một bước dài so với trọng thương, nhưng vẫn bó hẹp tầm nhìn trong nông nghiệp.</t>
  </si>
  <si>
    <t xml:space="preserve">Tiến bộ vì phát hiện ra giá trị thặng dư; hạn chế vì chưa nghiên cứu về tư bản.</t>
  </si>
  <si>
    <t xml:space="preserve">Chưa đúng — học thuyết giá trị thặng dư là đóng góp của C.Mác, xuất hiện sau chủ nghĩa trọng nông rất lâu.</t>
  </si>
  <si>
    <t xml:space="preserve">Tiến bộ vì mở rộng sang lĩnh vực lưu thông; hạn chế vì bỏ qua sản xuất.</t>
  </si>
  <si>
    <t xml:space="preserve">Chưa đúng — chủ nghĩa trọng nông làm ngược lại: chuyển trọng tâm từ lưu thông (của trọng thương) sang sản xuất.</t>
  </si>
  <si>
    <t xml:space="preserve">D.Ricardo — người khép lại và nâng tầm khoa học cho kinh tế chính trị cổ điển Anh.</t>
  </si>
  <si>
    <t xml:space="preserve">Đúng. D.Ricardo kế thừa A.Smith, hệ thống hóa các phạm trù kinh tế và để lại nền tảng lý luận mà C.Mác kế thừa có phê phán.</t>
  </si>
  <si>
    <t xml:space="preserve">W.Petty — người đặt nền móng đầu tiên.</t>
  </si>
  <si>
    <t xml:space="preserve">Chưa đủ. W.Petty chỉ mới mở đầu dòng lý luận này, chưa đạt độ hệ thống như D.Ricardo.</t>
  </si>
  <si>
    <t xml:space="preserve">A.Smith — người sáng lập môn kinh tế chính trị.</t>
  </si>
  <si>
    <t xml:space="preserve">Gần đúng nhưng chưa chính xác. A.Smith có công lớn, nhưng chính D.Ricardo mới là người kế thừa và phát triển hệ thống lý luận có giá trị khoa học cao nhất mà C.Mác kế thừa trực tiếp.</t>
  </si>
  <si>
    <t xml:space="preserve">Vì được C.Mác và Ph.Ăngghen sáng lập, sau đó được V.I.Lênin kế thừa, bổ sung và phát triển thêm, đặc biệt về độc quyền và thời kỳ quá độ lên chủ nghĩa xã hội.</t>
  </si>
  <si>
    <t xml:space="preserve">Chính xác! Đó là lý do tên gọi gắn liền cả hai thế hệ nhà tư tưởng.</t>
  </si>
  <si>
    <t xml:space="preserve">Vì C.Mác và V.I.Lênin là hai người cùng thời, cùng viết chung bộ Tư bản.</t>
  </si>
  <si>
    <t xml:space="preserve">Không đúng — C.Mác và V.I.Lênin không cùng thời; Lênin kế thừa và phát triển lý luận sau khi C.Mác và Ph.Ăngghen đã qua đời.</t>
  </si>
  <si>
    <t xml:space="preserve">Vì đây là tên một trường phái kinh tế học hiện đại ở phương Tây.</t>
  </si>
  <si>
    <t xml:space="preserve">Không đúng — kinh tế chính trị Mác - Lênin là dòng lý luận riêng, kế thừa trực tiếp từ kinh tế chính trị cổ điển Anh qua C.Mác, không thuộc kinh tế học phương Tây hiện đại.</t>
  </si>
  <si>
    <t xml:space="preserve">04 -- DANH MỤC KỸ THUẬT DÙNG CHUNG</t>
  </si>
  <si>
    <t xml:space="preserve">Các vùng danh mục là nguồn dropdown. Dòng trống phía dưới dành cho tài nguyên mới đã được dev xác nhận.</t>
  </si>
  <si>
    <t xml:space="preserve">NHÂN VẬT</t>
  </si>
  <si>
    <t xml:space="preserve">Tên hiển thị</t>
  </si>
  <si>
    <t xml:space="preserve">Vai trò</t>
  </si>
  <si>
    <t xml:space="preserve">you</t>
  </si>
  <si>
    <t xml:space="preserve">Bạn</t>
  </si>
  <si>
    <t xml:space="preserve">Trợ lý nghiên cứu</t>
  </si>
  <si>
    <t xml:space="preserve">GS. Lâm</t>
  </si>
  <si>
    <t xml:space="preserve">Người hướng dẫn</t>
  </si>
  <si>
    <t xml:space="preserve">an</t>
  </si>
  <si>
    <t xml:space="preserve">Thủ thư An</t>
  </si>
  <si>
    <t xml:space="preserve">Thủ thư lưu trữ</t>
  </si>
  <si>
    <t xml:space="preserve">TS. Khoa</t>
  </si>
  <si>
    <t xml:space="preserve">Phản biện viên</t>
  </si>
  <si>
    <t xml:space="preserve">minh</t>
  </si>
  <si>
    <t xml:space="preserve">SV. Minh</t>
  </si>
  <si>
    <t xml:space="preserve">Sinh viên</t>
  </si>
  <si>
    <t xml:space="preserve">CẢNH NỀN</t>
  </si>
  <si>
    <t xml:space="preserve">BackgroundKey</t>
  </si>
  <si>
    <t xml:space="preserve">Mô tả</t>
  </si>
  <si>
    <t xml:space="preserve">Tình trạng asset</t>
  </si>
  <si>
    <t xml:space="preserve">Thư khố / tầng hầm lưu trữ, tông nâu ấm</t>
  </si>
  <si>
    <t xml:space="preserve">Có sẵn</t>
  </si>
  <si>
    <t xml:space="preserve">Hội trường / hội thảo, tông tím xanh</t>
  </si>
  <si>
    <t xml:space="preserve">Bục thẩm / khán phòng, tông đỏ trầm</t>
  </si>
  <si>
    <t xml:space="preserve">MOOD</t>
  </si>
  <si>
    <t xml:space="preserve">MoodKey</t>
  </si>
  <si>
    <t xml:space="preserve">Ý nghĩa gợi ý</t>
  </si>
  <si>
    <t xml:space="preserve">Bình thường / trung lập</t>
  </si>
  <si>
    <t xml:space="preserve">Vui / khích lệ</t>
  </si>
  <si>
    <t xml:space="preserve">Quan ngại / sửa sai nhẹ nhàng</t>
  </si>
  <si>
    <t xml:space="preserve">Nghiêm khắc / phản biện</t>
  </si>
  <si>
    <t xml:space="preserve">NODE TYPE</t>
  </si>
  <si>
    <t xml:space="preserve">NodeType</t>
  </si>
  <si>
    <t xml:space="preserve">Trường bắt buộc</t>
  </si>
  <si>
    <t xml:space="preserve">Object đầu ra</t>
  </si>
  <si>
    <t xml:space="preserve">ActNo, Background, SceneName</t>
  </si>
  <si>
    <t xml:space="preserve">{ t: "scene", bg, act, name }</t>
  </si>
  <si>
    <t xml:space="preserve">SpeakerKey, Text; Mood trừ narr</t>
  </si>
  <si>
    <t xml:space="preserve">{ t: "say", who, mood?, text }</t>
  </si>
  <si>
    <t xml:space="preserve">ChoiceMode, SpeakerKey, Mood, Question + options</t>
  </si>
  <si>
    <t xml:space="preserve">{ t: "choice", who, mood, q, opts }</t>
  </si>
  <si>
    <t xml:space="preserve">{ t: "act", n }</t>
  </si>
  <si>
    <t xml:space="preserve">Không có trường phụ</t>
  </si>
  <si>
    <t xml:space="preserve">{ t: "end" }</t>
  </si>
  <si>
    <t xml:space="preserve">05 -- KIỂM TRA CHẤT LƯỢNG TRƯỚC KHI BÀN GIAO</t>
  </si>
  <si>
    <t xml:space="preserve">QA tự động kiểm tra cấu trúc; reviewer vẫn cần duyệt kiến thức, chính tả và tính tự nhiên.</t>
  </si>
  <si>
    <t xml:space="preserve">TỔNG QUAN</t>
  </si>
  <si>
    <t xml:space="preserve">Tổng node</t>
  </si>
  <si>
    <t xml:space="preserve">Scene</t>
  </si>
  <si>
    <t xml:space="preserve">Say</t>
  </si>
  <si>
    <t xml:space="preserve">Choice</t>
  </si>
  <si>
    <t xml:space="preserve">Act</t>
  </si>
  <si>
    <t xml:space="preserve">End</t>
  </si>
  <si>
    <t xml:space="preserve">Lỗi node</t>
  </si>
  <si>
    <t xml:space="preserve">Lỗi option</t>
  </si>
  <si>
    <t xml:space="preserve">CÁC ĐIỀU KIỆN BẮT BUỘC</t>
  </si>
  <si>
    <t xml:space="preserve">Kiểm tra</t>
  </si>
  <si>
    <t xml:space="preserve">Kết quả</t>
  </si>
  <si>
    <t xml:space="preserve">Có đúng 1 node end</t>
  </si>
  <si>
    <t xml:space="preserve">Giữ đúng một end ở cuối phim.</t>
  </si>
  <si>
    <t xml:space="preserve">Không có lỗi node</t>
  </si>
  <si>
    <t xml:space="preserve">Xem cột Lỗi cấu trúc sheet 02.</t>
  </si>
  <si>
    <t xml:space="preserve">Không có lỗi option</t>
  </si>
  <si>
    <t xml:space="preserve">Xem cột Lỗi cấu trúc sheet 03.</t>
  </si>
  <si>
    <t xml:space="preserve">Số scene thông thường 2-4</t>
  </si>
  <si>
    <t xml:space="preserve">Ngoài khoảng cần reviewer xác nhận.</t>
  </si>
  <si>
    <t xml:space="preserve">Metadata sẵn sàng</t>
  </si>
  <si>
    <t xml:space="preserve">Hoàn tất sheet 01 và Đã duyệt.</t>
  </si>
  <si>
    <t xml:space="preserve">KẾT LUẬN BÀN GIAO</t>
  </si>
  <si>
    <t xml:space="preserve">Chỉ bàn giao khi SẴN SÀNG.</t>
  </si>
  <si>
    <t xml:space="preserve">KIỂM TRA TỪNG CHOICE NODE</t>
  </si>
  <si>
    <t xml:space="preserve">ChoiceNodeId</t>
  </si>
  <si>
    <t xml:space="preserve">Số option</t>
  </si>
  <si>
    <t xml:space="preserve">Số đáp án đúng</t>
  </si>
  <si>
    <t xml:space="preserve">Lỗi</t>
  </si>
  <si>
    <t xml:space="preserve">CHECKLIST REVIEWER</t>
  </si>
  <si>
    <t xml:space="preserve">Mục review</t>
  </si>
  <si>
    <t xml:space="preserve">Xác nhận</t>
  </si>
  <si>
    <t xml:space="preserve">Kiến thức đúng nguồn</t>
  </si>
  <si>
    <t xml:space="preserve">Chưa kiểm tra</t>
  </si>
  <si>
    <t xml:space="preserve">Câu hỏi không đánh đố</t>
  </si>
  <si>
    <t xml:space="preserve">Phản hồi sai có giải thích</t>
  </si>
  <si>
    <t xml:space="preserve">Tên màn và chuyển cảnh hợp lý</t>
  </si>
  <si>
    <t xml:space="preserve">Lời thoại tự nhiên, đúng vai</t>
  </si>
  <si>
    <t xml:space="preserve">Không có HTML / lỗi chính tả</t>
  </si>
  <si>
    <t xml:space="preserve">Đã chạy thử seed ở môi trường dev</t>
  </si>
  <si>
    <t xml:space="preserve">06 -- MAPPING EXCEL -&gt; TYPESCRIPT / PRISMA SEED</t>
  </si>
  <si>
    <t xml:space="preserve">Dành cho dev. ChoiceMode là metadata biên soạn, chỉ dùng để validate và không xuất vào ScriptNode.</t>
  </si>
  <si>
    <t xml:space="preserve">1. MAPPING THÔNG TIN MOVIE</t>
  </si>
  <si>
    <t xml:space="preserve">Excel</t>
  </si>
  <si>
    <t xml:space="preserve">Biến seed / Prisma</t>
  </si>
  <si>
    <t xml:space="preserve">Mục đích</t>
  </si>
  <si>
    <t xml:space="preserve">01!chapterCode</t>
  </si>
  <si>
    <t xml:space="preserve">chapter.findUnique({ where: { code } })</t>
  </si>
  <si>
    <t xml:space="preserve">Không tìm thấy chapter thì cảnh báo và return.</t>
  </si>
  <si>
    <t xml:space="preserve">01!muc</t>
  </si>
  <si>
    <t xml:space="preserve">movie.findFirst({ where: { muc } })</t>
  </si>
  <si>
    <t xml:space="preserve">Khóa xác định update/create.</t>
  </si>
  <si>
    <t xml:space="preserve">01!movieTitle</t>
  </si>
  <si>
    <t xml:space="preserve">movie.title</t>
  </si>
  <si>
    <t xml:space="preserve">Tên hiển thị.</t>
  </si>
  <si>
    <t xml:space="preserve">01!seedFunctionName</t>
  </si>
  <si>
    <t xml:space="preserve">Tên export function</t>
  </si>
  <si>
    <t xml:space="preserve">Đăng ký vào seed/index.ts</t>
  </si>
  <si>
    <t xml:space="preserve">Phải duy nhất.</t>
  </si>
  <si>
    <t xml:space="preserve">01!seedLogLabel</t>
  </si>
  <si>
    <t xml:space="preserve">seedLog(label, 1)</t>
  </si>
  <si>
    <t xml:space="preserve">Log seed</t>
  </si>
  <si>
    <t xml:space="preserve">Đổi theo chương.</t>
  </si>
  <si>
    <t xml:space="preserve">2. MAPPING SCRIPT NODE</t>
  </si>
  <si>
    <t xml:space="preserve">Excel fields</t>
  </si>
  <si>
    <t xml:space="preserve">Bỏ qua khi rỗng</t>
  </si>
  <si>
    <t xml:space="preserve">Liên kết option</t>
  </si>
  <si>
    <t xml:space="preserve">Background, ActNo, SceneName</t>
  </si>
  <si>
    <t xml:space="preserve">{ t:"scene", bg, act, name }</t>
  </si>
  <si>
    <t xml:space="preserve">NodeOrder</t>
  </si>
  <si>
    <t xml:space="preserve">Đủ 3 trường</t>
  </si>
  <si>
    <t xml:space="preserve">Đầu màn.</t>
  </si>
  <si>
    <t xml:space="preserve">SpeakerKey, Mood, Text</t>
  </si>
  <si>
    <t xml:space="preserve">{ t:"say", who, mood?, text }</t>
  </si>
  <si>
    <t xml:space="preserve">mood</t>
  </si>
  <si>
    <t xml:space="preserve">who/text bắt buộc</t>
  </si>
  <si>
    <t xml:space="preserve">narr thường không có mood.</t>
  </si>
  <si>
    <t xml:space="preserve">SpeakerKey, Mood, Question</t>
  </si>
  <si>
    <t xml:space="preserve">{ t:"choice", who, mood, q, opts }</t>
  </si>
  <si>
    <t xml:space="preserve">Join 03 theo ChoiceNodeId</t>
  </si>
  <si>
    <t xml:space="preserve">NodeOrder + OptionOrder</t>
  </si>
  <si>
    <t xml:space="preserve">2-4 opts, theo ChoiceMode</t>
  </si>
  <si>
    <t xml:space="preserve">Không xuất ChoiceMode.</t>
  </si>
  <si>
    <t xml:space="preserve">{ t:"act", n }</t>
  </si>
  <si>
    <t xml:space="preserve">n bắt buộc</t>
  </si>
  <si>
    <t xml:space="preserve">Cuối màn.</t>
  </si>
  <si>
    <t xml:space="preserve">--</t>
  </si>
  <si>
    <t xml:space="preserve">{ t:"end" }</t>
  </si>
  <si>
    <t xml:space="preserve">Tất cả</t>
  </si>
  <si>
    <t xml:space="preserve">Đúng 1 node</t>
  </si>
  <si>
    <t xml:space="preserve">Cuối phim.</t>
  </si>
  <si>
    <t xml:space="preserve">3. MAPPING CHOICE OPTION</t>
  </si>
  <si>
    <t xml:space="preserve">Excel field</t>
  </si>
  <si>
    <t xml:space="preserve">Output field</t>
  </si>
  <si>
    <t xml:space="preserve">Lưu ý</t>
  </si>
  <si>
    <t xml:space="preserve">OptionText</t>
  </si>
  <si>
    <t xml:space="preserve">text</t>
  </si>
  <si>
    <t xml:space="preserve">Giữ nguyên chuỗi</t>
  </si>
  <si>
    <t xml:space="preserve">Em sẵn sàng.</t>
  </si>
  <si>
    <t xml:space="preserve">Không tự thêm A/B/C nếu UI không yêu cầu.</t>
  </si>
  <si>
    <t xml:space="preserve">IsCorrect</t>
  </si>
  <si>
    <t xml:space="preserve">correct</t>
  </si>
  <si>
    <t xml:space="preserve">Chỉ xuất correct:true khi "Có"</t>
  </si>
  <si>
    <t xml:space="preserve">true</t>
  </si>
  <si>
    <t xml:space="preserve">Tương tác: tất cả = Không; không xuất false.</t>
  </si>
  <si>
    <t xml:space="preserve">Chỉ xuất khi có số</t>
  </si>
  <si>
    <t xml:space="preserve">8 hoặc -2</t>
  </si>
  <si>
    <t xml:space="preserve">Dùng cho thiện cảm.</t>
  </si>
  <si>
    <t xml:space="preserve">ReplySpeaker</t>
  </si>
  <si>
    <t xml:space="preserve">reply.who</t>
  </si>
  <si>
    <t xml:space="preserve">Key hợp lệ</t>
  </si>
  <si>
    <t xml:space="preserve">reply.t luôn là say.</t>
  </si>
  <si>
    <t xml:space="preserve">reply.mood</t>
  </si>
  <si>
    <t xml:space="preserve">Bỏ qua nếu trống</t>
  </si>
  <si>
    <t xml:space="preserve">narr thường trống.</t>
  </si>
  <si>
    <t xml:space="preserve">ReplyText</t>
  </si>
  <si>
    <t xml:space="preserve">reply.text</t>
  </si>
  <si>
    <t xml:space="preserve">Giữ nguyên</t>
  </si>
  <si>
    <t xml:space="preserve">Tinh thần tốt.</t>
  </si>
  <si>
    <t xml:space="preserve">Sai kiến thức cần giải thích.</t>
  </si>
  <si>
    <t xml:space="preserve">4. THUẬT TOÁN CHUYỂN ĐỔI ĐỀ XUẤT</t>
  </si>
  <si>
    <t xml:space="preserve">Xử lý</t>
  </si>
  <si>
    <t xml:space="preserve">Chi tiết</t>
  </si>
  <si>
    <t xml:space="preserve">Đọc metadata</t>
  </si>
  <si>
    <t xml:space="preserve">Lấy chapterCode, muc, movieTitle, tên hàm/file.</t>
  </si>
  <si>
    <t xml:space="preserve">Đọc node</t>
  </si>
  <si>
    <t xml:space="preserve">Bỏ NodeOrder trống; sort tăng dần; kiểm tra NodeId duy nhất.</t>
  </si>
  <si>
    <t xml:space="preserve">Đọc option</t>
  </si>
  <si>
    <t xml:space="preserve">Bỏ ChoiceNodeId trống; group theo ID; sort OptionOrder.</t>
  </si>
  <si>
    <t xml:space="preserve">Dựng script</t>
  </si>
  <si>
    <t xml:space="preserve">Switch NodeType; choice gắn opts đã group; bỏ ChoiceMode.</t>
  </si>
  <si>
    <t xml:space="preserve">Tạo option</t>
  </si>
  <si>
    <t xml:space="preserve">correct chỉ khi Có; dc/mood chỉ khi có giá trị; reply luôn t=say.</t>
  </si>
  <si>
    <t xml:space="preserve">Upsert movie</t>
  </si>
  <si>
    <t xml:space="preserve">Tìm chapter; tìm movie theo muc; update hoặc create.</t>
  </si>
  <si>
    <t xml:space="preserve">Đăng ký seed</t>
  </si>
  <si>
    <t xml:space="preserve">Import và gọi hàm trong services/src/seed/index.ts.</t>
  </si>
  <si>
    <t xml:space="preserve">5. MẪU OBJECT ĐẦU RA</t>
  </si>
  <si>
    <t xml:space="preserve">Loại</t>
  </si>
  <si>
    <t xml:space="preserve">Ví dụ TypeScript / JSON tương ứng</t>
  </si>
  <si>
    <t xml:space="preserve">{ t: "scene", bg: "thukho", act: 1, name: "Màn I . Nguồn gốc" }</t>
  </si>
  <si>
    <t xml:space="preserve">{ t: "say", who: "lam", mood: "neutral", text: "Chào trợ lý mới." }</t>
  </si>
  <si>
    <t xml:space="preserve">{ t: "choice", who: "lam", mood: "neutral", q: "...", opts: [ /* từ sheet 03 */ ] }</t>
  </si>
  <si>
    <t xml:space="preserve">{ t: "act", n: "I" }</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</si>
</sst>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name val="Times New Roman"/>
      <family val="0"/>
      <charset val="1"/>
    </font>
    <font>
      <i val="true"/>
      <sz val="9"/>
      <color rgb="FF555555"/>
      <name val="Times New Roman"/>
      <family val="0"/>
      <charset val="1"/>
    </font>
    <font>
      <b val="true"/>
      <sz val="12"/>
      <name val="Times New Roman"/>
      <family val="0"/>
      <charset val="1"/>
    </font>
    <font>
      <b val="true"/>
      <sz val="10"/>
      <name val="Times New Roman"/>
      <family val="0"/>
      <charset val="1"/>
    </font>
    <font>
      <sz val="10"/>
      <name val="Times New Roman"/>
      <family val="0"/>
      <charset val="1"/>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4" min="3" style="0" width="34"/>
    <col collapsed="false" customWidth="true" hidden="false" outlineLevel="0" max="5" min="5" style="0" width="30"/>
  </cols>
  <sheetData>
    <row r="1" customFormat="false" ht="19.7"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15" hidden="false" customHeight="false" outlineLevel="0" collapsed="false">
      <c r="A6" s="5" t="n">
        <v>1</v>
      </c>
      <c r="B6" s="5" t="s">
        <v>8</v>
      </c>
      <c r="C6" s="5" t="s">
        <v>9</v>
      </c>
      <c r="D6" s="5" t="s">
        <v>10</v>
      </c>
      <c r="E6" s="5" t="s">
        <v>11</v>
      </c>
    </row>
    <row r="7" customFormat="false" ht="23.85" hidden="false" customHeight="false" outlineLevel="0" collapsed="false">
      <c r="A7" s="5" t="n">
        <v>2</v>
      </c>
      <c r="B7" s="5" t="s">
        <v>8</v>
      </c>
      <c r="C7" s="5" t="s">
        <v>12</v>
      </c>
      <c r="D7" s="5" t="s">
        <v>13</v>
      </c>
      <c r="E7" s="5" t="s">
        <v>14</v>
      </c>
    </row>
    <row r="8" customFormat="false" ht="23.85" hidden="false" customHeight="false" outlineLevel="0" collapsed="false">
      <c r="A8" s="5" t="n">
        <v>3</v>
      </c>
      <c r="B8" s="5" t="s">
        <v>8</v>
      </c>
      <c r="C8" s="5" t="s">
        <v>15</v>
      </c>
      <c r="D8" s="5" t="s">
        <v>16</v>
      </c>
      <c r="E8" s="5" t="s">
        <v>17</v>
      </c>
    </row>
    <row r="9" customFormat="false" ht="23.85" hidden="false" customHeight="false" outlineLevel="0" collapsed="false">
      <c r="A9" s="5" t="n">
        <v>4</v>
      </c>
      <c r="B9" s="5" t="s">
        <v>18</v>
      </c>
      <c r="C9" s="5" t="s">
        <v>19</v>
      </c>
      <c r="D9" s="5" t="s">
        <v>20</v>
      </c>
      <c r="E9" s="5" t="s">
        <v>21</v>
      </c>
    </row>
    <row r="10" customFormat="false" ht="15" hidden="false" customHeight="false" outlineLevel="0" collapsed="false">
      <c r="A10" s="5" t="n">
        <v>5</v>
      </c>
      <c r="B10" s="5" t="s">
        <v>22</v>
      </c>
      <c r="C10" s="5" t="s">
        <v>23</v>
      </c>
      <c r="D10" s="5" t="s">
        <v>24</v>
      </c>
      <c r="E10" s="5" t="s">
        <v>25</v>
      </c>
    </row>
    <row r="12" customFormat="false" ht="15" hidden="false" customHeight="false" outlineLevel="0" collapsed="false">
      <c r="A12" s="3" t="s">
        <v>26</v>
      </c>
    </row>
    <row r="13" customFormat="false" ht="15" hidden="false" customHeight="false" outlineLevel="0" collapsed="false">
      <c r="A13" s="4" t="s">
        <v>27</v>
      </c>
      <c r="B13" s="4" t="s">
        <v>28</v>
      </c>
      <c r="C13" s="4" t="s">
        <v>29</v>
      </c>
    </row>
    <row r="14" customFormat="false" ht="23.85" hidden="false" customHeight="false" outlineLevel="0" collapsed="false">
      <c r="A14" s="6" t="s">
        <v>30</v>
      </c>
      <c r="B14" s="5" t="s">
        <v>31</v>
      </c>
      <c r="C14" s="5" t="s">
        <v>32</v>
      </c>
    </row>
    <row r="15" customFormat="false" ht="23.85" hidden="false" customHeight="false" outlineLevel="0" collapsed="false">
      <c r="A15" s="7" t="s">
        <v>33</v>
      </c>
      <c r="B15" s="5" t="s">
        <v>34</v>
      </c>
      <c r="C15" s="5" t="s">
        <v>35</v>
      </c>
    </row>
    <row r="16" customFormat="false" ht="23.85" hidden="false" customHeight="false" outlineLevel="0" collapsed="false">
      <c r="A16" s="5" t="s">
        <v>36</v>
      </c>
      <c r="B16" s="5" t="s">
        <v>37</v>
      </c>
      <c r="C16" s="5" t="s">
        <v>38</v>
      </c>
    </row>
    <row r="17" customFormat="false" ht="23.85" hidden="false" customHeight="false" outlineLevel="0" collapsed="false">
      <c r="A17" s="5" t="s">
        <v>39</v>
      </c>
      <c r="B17" s="5" t="s">
        <v>40</v>
      </c>
      <c r="C17" s="5" t="s">
        <v>41</v>
      </c>
    </row>
    <row r="19" customFormat="false" ht="15" hidden="false" customHeight="false" outlineLevel="0" collapsed="false">
      <c r="A19" s="3" t="s">
        <v>42</v>
      </c>
    </row>
    <row r="20" customFormat="false" ht="15" hidden="false" customHeight="false" outlineLevel="0" collapsed="false">
      <c r="A20" s="4" t="s">
        <v>43</v>
      </c>
      <c r="B20" s="4" t="s">
        <v>44</v>
      </c>
      <c r="C20" s="4" t="s">
        <v>45</v>
      </c>
      <c r="D20" s="4" t="s">
        <v>46</v>
      </c>
    </row>
    <row r="21" customFormat="false" ht="46.25" hidden="false" customHeight="false" outlineLevel="0" collapsed="false">
      <c r="A21" s="5" t="s">
        <v>47</v>
      </c>
      <c r="B21" s="5" t="s">
        <v>48</v>
      </c>
      <c r="C21" s="5" t="s">
        <v>49</v>
      </c>
      <c r="D21" s="5" t="s">
        <v>50</v>
      </c>
    </row>
    <row r="22" customFormat="false" ht="35.05" hidden="false" customHeight="false" outlineLevel="0" collapsed="false">
      <c r="A22" s="5" t="s">
        <v>51</v>
      </c>
      <c r="B22" s="5" t="s">
        <v>52</v>
      </c>
      <c r="C22" s="5" t="s">
        <v>49</v>
      </c>
      <c r="D22" s="5" t="s">
        <v>53</v>
      </c>
    </row>
    <row r="23" customFormat="false" ht="35.05" hidden="false" customHeight="false" outlineLevel="0" collapsed="false">
      <c r="A23" s="5" t="s">
        <v>54</v>
      </c>
      <c r="B23" s="5" t="s">
        <v>55</v>
      </c>
      <c r="C23" s="5" t="s">
        <v>49</v>
      </c>
      <c r="D23" s="5" t="s">
        <v>56</v>
      </c>
    </row>
    <row r="24" customFormat="false" ht="46.25" hidden="false" customHeight="false" outlineLevel="0" collapsed="false">
      <c r="A24" s="5" t="s">
        <v>57</v>
      </c>
      <c r="B24" s="5" t="s">
        <v>58</v>
      </c>
      <c r="C24" s="5" t="s">
        <v>49</v>
      </c>
      <c r="D24" s="5" t="s">
        <v>59</v>
      </c>
    </row>
    <row r="25" customFormat="false" ht="46.25" hidden="false" customHeight="false" outlineLevel="0" collapsed="false">
      <c r="A25" s="5" t="s">
        <v>60</v>
      </c>
      <c r="B25" s="5" t="s">
        <v>61</v>
      </c>
      <c r="C25" s="5" t="s">
        <v>49</v>
      </c>
      <c r="D25" s="5" t="s">
        <v>62</v>
      </c>
    </row>
    <row r="26" customFormat="false" ht="35.05" hidden="false" customHeight="false" outlineLevel="0" collapsed="false">
      <c r="A26" s="5" t="s">
        <v>63</v>
      </c>
      <c r="B26" s="5" t="s">
        <v>64</v>
      </c>
      <c r="C26" s="5" t="s">
        <v>49</v>
      </c>
      <c r="D26" s="5" t="s">
        <v>65</v>
      </c>
    </row>
    <row r="27" customFormat="false" ht="35.05" hidden="false" customHeight="false" outlineLevel="0" collapsed="false">
      <c r="A27" s="5" t="s">
        <v>66</v>
      </c>
      <c r="B27" s="5" t="s">
        <v>67</v>
      </c>
      <c r="C27" s="5" t="s">
        <v>68</v>
      </c>
      <c r="D27" s="5" t="s">
        <v>69</v>
      </c>
    </row>
    <row r="28" customFormat="false" ht="35.05" hidden="false" customHeight="false" outlineLevel="0" collapsed="false">
      <c r="A28" s="5" t="s">
        <v>70</v>
      </c>
      <c r="B28" s="5" t="s">
        <v>71</v>
      </c>
      <c r="C28" s="5" t="s">
        <v>49</v>
      </c>
      <c r="D28" s="5" t="s">
        <v>72</v>
      </c>
    </row>
    <row r="30" customFormat="false" ht="15" hidden="false" customHeight="false" outlineLevel="0" collapsed="false">
      <c r="A30" s="3" t="s">
        <v>73</v>
      </c>
    </row>
    <row r="31" customFormat="false" ht="15" hidden="false" customHeight="false" outlineLevel="0" collapsed="false">
      <c r="A31" s="4" t="s">
        <v>74</v>
      </c>
      <c r="B31" s="4" t="s">
        <v>75</v>
      </c>
    </row>
    <row r="32" customFormat="false" ht="23.85" hidden="false" customHeight="false" outlineLevel="0" collapsed="false">
      <c r="A32" s="5" t="s">
        <v>76</v>
      </c>
      <c r="B32" s="5" t="s">
        <v>77</v>
      </c>
    </row>
    <row r="33" customFormat="false" ht="35.05" hidden="false" customHeight="false" outlineLevel="0" collapsed="false">
      <c r="A33" s="5" t="s">
        <v>78</v>
      </c>
      <c r="B33" s="5" t="s">
        <v>79</v>
      </c>
    </row>
    <row r="34" customFormat="false" ht="35.05" hidden="false" customHeight="false" outlineLevel="0" collapsed="false">
      <c r="A34" s="5" t="s">
        <v>80</v>
      </c>
      <c r="B34" s="5" t="s">
        <v>81</v>
      </c>
    </row>
    <row r="35" customFormat="false" ht="35.05" hidden="false" customHeight="false" outlineLevel="0" collapsed="false">
      <c r="A35" s="5" t="s">
        <v>82</v>
      </c>
      <c r="B35" s="5" t="s">
        <v>83</v>
      </c>
    </row>
    <row r="37" customFormat="false" ht="15" hidden="false" customHeight="false" outlineLevel="0" collapsed="false">
      <c r="A37" s="4" t="s">
        <v>84</v>
      </c>
      <c r="B37" s="4" t="s">
        <v>85</v>
      </c>
    </row>
    <row r="38" customFormat="false" ht="15" hidden="false" customHeight="false" outlineLevel="0" collapsed="false">
      <c r="A38" s="5" t="s">
        <v>86</v>
      </c>
      <c r="B38" s="5" t="s">
        <v>87</v>
      </c>
    </row>
    <row r="39" customFormat="false" ht="15" hidden="false" customHeight="false" outlineLevel="0" collapsed="false">
      <c r="A39" s="5" t="s">
        <v>88</v>
      </c>
      <c r="B39" s="5" t="s">
        <v>89</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46"/>
    <col collapsed="false" customWidth="true" hidden="false" outlineLevel="0" max="4" min="4" style="0" width="30"/>
    <col collapsed="false" customWidth="true" hidden="false" outlineLevel="0" max="5" min="5" style="0" width="40"/>
  </cols>
  <sheetData>
    <row r="1" customFormat="false" ht="19.7" hidden="false" customHeight="false" outlineLevel="0" collapsed="false">
      <c r="A1" s="1" t="s">
        <v>90</v>
      </c>
    </row>
    <row r="2" customFormat="false" ht="15" hidden="false" customHeight="false" outlineLevel="0" collapsed="false">
      <c r="A2" s="8" t="s">
        <v>91</v>
      </c>
      <c r="B2" s="8"/>
      <c r="C2" s="8"/>
      <c r="D2" s="8"/>
      <c r="E2" s="8"/>
    </row>
    <row r="4" customFormat="false" ht="15" hidden="false" customHeight="false" outlineLevel="0" collapsed="false">
      <c r="A4" s="4" t="s">
        <v>92</v>
      </c>
      <c r="B4" s="4" t="s">
        <v>49</v>
      </c>
      <c r="C4" s="4" t="s">
        <v>85</v>
      </c>
      <c r="D4" s="4" t="s">
        <v>93</v>
      </c>
      <c r="E4" s="4" t="s">
        <v>94</v>
      </c>
    </row>
    <row r="5" customFormat="false" ht="15" hidden="false" customHeight="false" outlineLevel="0" collapsed="false">
      <c r="A5" s="5" t="s">
        <v>95</v>
      </c>
      <c r="B5" s="5" t="s">
        <v>96</v>
      </c>
      <c r="C5" s="6" t="s">
        <v>97</v>
      </c>
      <c r="D5" s="5" t="s">
        <v>98</v>
      </c>
      <c r="E5" s="5" t="s">
        <v>99</v>
      </c>
    </row>
    <row r="6" customFormat="false" ht="23.85" hidden="false" customHeight="false" outlineLevel="0" collapsed="false">
      <c r="A6" s="5" t="s">
        <v>100</v>
      </c>
      <c r="B6" s="5" t="s">
        <v>96</v>
      </c>
      <c r="C6" s="6" t="s">
        <v>101</v>
      </c>
      <c r="D6" s="5" t="s">
        <v>102</v>
      </c>
      <c r="E6" s="5" t="s">
        <v>103</v>
      </c>
    </row>
    <row r="7" customFormat="false" ht="23.85" hidden="false" customHeight="false" outlineLevel="0" collapsed="false">
      <c r="A7" s="5" t="s">
        <v>104</v>
      </c>
      <c r="B7" s="5" t="s">
        <v>96</v>
      </c>
      <c r="C7" s="6" t="s">
        <v>105</v>
      </c>
      <c r="D7" s="5" t="s">
        <v>106</v>
      </c>
      <c r="E7" s="5" t="s">
        <v>107</v>
      </c>
    </row>
    <row r="8" customFormat="false" ht="15" hidden="false" customHeight="false" outlineLevel="0" collapsed="false">
      <c r="A8" s="5" t="s">
        <v>108</v>
      </c>
      <c r="B8" s="5" t="s">
        <v>96</v>
      </c>
      <c r="C8" s="6" t="s">
        <v>109</v>
      </c>
      <c r="D8" s="5" t="s">
        <v>110</v>
      </c>
      <c r="E8" s="5" t="s">
        <v>111</v>
      </c>
    </row>
    <row r="9" customFormat="false" ht="15" hidden="false" customHeight="false" outlineLevel="0" collapsed="false">
      <c r="A9" s="5" t="s">
        <v>112</v>
      </c>
      <c r="B9" s="5" t="s">
        <v>96</v>
      </c>
      <c r="C9" s="6" t="s">
        <v>113</v>
      </c>
      <c r="D9" s="5" t="s">
        <v>114</v>
      </c>
      <c r="E9" s="5" t="s">
        <v>115</v>
      </c>
    </row>
    <row r="10" customFormat="false" ht="15" hidden="false" customHeight="false" outlineLevel="0" collapsed="false">
      <c r="A10" s="5" t="s">
        <v>116</v>
      </c>
      <c r="B10" s="5" t="s">
        <v>96</v>
      </c>
      <c r="C10" s="6" t="s">
        <v>117</v>
      </c>
      <c r="D10" s="5" t="s">
        <v>118</v>
      </c>
      <c r="E10" s="5" t="s">
        <v>119</v>
      </c>
    </row>
    <row r="11" customFormat="false" ht="15" hidden="false" customHeight="false" outlineLevel="0" collapsed="false">
      <c r="A11" s="5" t="s">
        <v>120</v>
      </c>
      <c r="B11" s="5" t="s">
        <v>96</v>
      </c>
      <c r="C11" s="6" t="s">
        <v>121</v>
      </c>
      <c r="D11" s="5" t="s">
        <v>122</v>
      </c>
      <c r="E11" s="5" t="s">
        <v>123</v>
      </c>
    </row>
    <row r="12" customFormat="false" ht="15" hidden="false" customHeight="false" outlineLevel="0" collapsed="false">
      <c r="A12" s="5" t="s">
        <v>124</v>
      </c>
      <c r="B12" s="5" t="s">
        <v>96</v>
      </c>
      <c r="C12" s="6" t="s">
        <v>125</v>
      </c>
      <c r="D12" s="5" t="s">
        <v>126</v>
      </c>
      <c r="E12" s="5" t="s">
        <v>127</v>
      </c>
    </row>
    <row r="13" customFormat="false" ht="15" hidden="false" customHeight="false" outlineLevel="0" collapsed="false">
      <c r="A13" s="5" t="s">
        <v>128</v>
      </c>
      <c r="B13" s="5" t="s">
        <v>96</v>
      </c>
      <c r="C13" s="6" t="s">
        <v>129</v>
      </c>
      <c r="D13" s="5" t="s">
        <v>101</v>
      </c>
      <c r="E13" s="5" t="s">
        <v>130</v>
      </c>
    </row>
    <row r="14" customFormat="false" ht="15" hidden="false" customHeight="false" outlineLevel="0" collapsed="false">
      <c r="A14" s="5" t="s">
        <v>131</v>
      </c>
      <c r="B14" s="5" t="s">
        <v>96</v>
      </c>
      <c r="C14" s="6" t="s">
        <v>132</v>
      </c>
      <c r="D14" s="5" t="s">
        <v>133</v>
      </c>
      <c r="E14" s="5" t="s">
        <v>134</v>
      </c>
    </row>
    <row r="15" customFormat="false" ht="23.85" hidden="false" customHeight="false" outlineLevel="0" collapsed="false">
      <c r="A15" s="5" t="s">
        <v>135</v>
      </c>
      <c r="B15" s="5" t="s">
        <v>136</v>
      </c>
      <c r="C15" s="6" t="s">
        <v>137</v>
      </c>
      <c r="D15" s="5" t="s">
        <v>138</v>
      </c>
      <c r="E15" s="5" t="s">
        <v>139</v>
      </c>
    </row>
    <row r="16" customFormat="false" ht="23.85" hidden="false" customHeight="false" outlineLevel="0" collapsed="false">
      <c r="A16" s="5" t="s">
        <v>140</v>
      </c>
      <c r="B16" s="5" t="s">
        <v>136</v>
      </c>
      <c r="C16" s="6" t="s">
        <v>141</v>
      </c>
      <c r="D16" s="5" t="s">
        <v>142</v>
      </c>
      <c r="E16" s="5" t="s">
        <v>143</v>
      </c>
    </row>
    <row r="18" customFormat="false" ht="15" hidden="false" customHeight="false" outlineLevel="0" collapsed="false">
      <c r="A18" s="3" t="s">
        <v>144</v>
      </c>
    </row>
    <row r="19" customFormat="false" ht="15" hidden="false" customHeight="false" outlineLevel="0" collapsed="false">
      <c r="A19" s="4" t="s">
        <v>145</v>
      </c>
      <c r="B19" s="4" t="s">
        <v>85</v>
      </c>
      <c r="C19" s="4" t="s">
        <v>146</v>
      </c>
      <c r="D19" s="4" t="s">
        <v>147</v>
      </c>
    </row>
    <row r="20" customFormat="false" ht="15" hidden="false" customHeight="false" outlineLevel="0" collapsed="false">
      <c r="A20" s="5" t="s">
        <v>148</v>
      </c>
      <c r="B20" s="7" t="n">
        <f aca="false">COUNTIFS(B5:B16,"Có",C5:C16,"")</f>
        <v>0</v>
      </c>
      <c r="C20" s="7" t="str">
        <f aca="false">IF(B20=0,"ĐỦ","CẦN SỬA")</f>
        <v>ĐỦ</v>
      </c>
      <c r="D20" s="5"/>
    </row>
    <row r="21" customFormat="false" ht="15" hidden="false" customHeight="false" outlineLevel="0" collapsed="false">
      <c r="A21" s="5" t="s">
        <v>149</v>
      </c>
      <c r="B21" s="7" t="str">
        <f aca="false">C14</f>
        <v>Đang soạn</v>
      </c>
      <c r="C21" s="7" t="str">
        <f aca="false">IF(B21="Đã duyệt","ĐÃ DUYỆT","CHƯA DUYỆT")</f>
        <v>CHƯA DUYỆT</v>
      </c>
      <c r="D21" s="5"/>
    </row>
    <row r="22" customFormat="false" ht="23.85" hidden="false" customHeight="false" outlineLevel="0" collapsed="false">
      <c r="A22" s="5" t="s">
        <v>150</v>
      </c>
      <c r="B22" s="7"/>
      <c r="C22" s="7" t="str">
        <f aca="false">IF(AND(C20="ĐỦ",C21="ĐÃ DUYỆT"),"SẴN SÀNG","CHƯA SẴN SÀNG")</f>
        <v>CHƯA SẴN SÀNG</v>
      </c>
      <c r="D22" s="5" t="s">
        <v>151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7"/>
    <col collapsed="false" customWidth="true" hidden="false" outlineLevel="0" max="4" min="4" style="0" width="10"/>
    <col collapsed="false" customWidth="true" hidden="false" outlineLevel="0" max="6" min="5" style="0" width="12"/>
    <col collapsed="false" customWidth="true" hidden="false" outlineLevel="0" max="7" min="7" style="0" width="30"/>
    <col collapsed="false" customWidth="true" hidden="false" outlineLevel="0" max="8" min="8" style="0" width="11"/>
    <col collapsed="false" customWidth="true" hidden="false" outlineLevel="0" max="9" min="9" style="0" width="10"/>
    <col collapsed="false" customWidth="true" hidden="false" outlineLevel="0" max="10" min="10" style="0" width="46"/>
    <col collapsed="false" customWidth="true" hidden="false" outlineLevel="0" max="11" min="11" style="0" width="9"/>
    <col collapsed="false" customWidth="true" hidden="false" outlineLevel="0" max="12" min="12" style="0" width="24"/>
    <col collapsed="false" customWidth="true" hidden="false" outlineLevel="0" max="13" min="13" style="0" width="14"/>
  </cols>
  <sheetData>
    <row r="1" customFormat="false" ht="19.7" hidden="false" customHeight="false" outlineLevel="0" collapsed="false">
      <c r="A1" s="1" t="s">
        <v>152</v>
      </c>
    </row>
    <row r="2" customFormat="false" ht="15" hidden="false" customHeight="false" outlineLevel="0" collapsed="false">
      <c r="A2" s="8" t="s">
        <v>153</v>
      </c>
      <c r="B2" s="8"/>
      <c r="C2" s="8"/>
      <c r="D2" s="8"/>
      <c r="E2" s="8"/>
      <c r="F2" s="8"/>
      <c r="G2" s="8"/>
      <c r="H2" s="8"/>
      <c r="I2" s="8"/>
      <c r="J2" s="8"/>
      <c r="K2" s="8"/>
      <c r="L2" s="8"/>
      <c r="M2" s="8"/>
    </row>
    <row r="4" customFormat="false" ht="23.85" hidden="false" customHeight="false" outlineLevel="0" collapsed="false">
      <c r="A4" s="4" t="s">
        <v>154</v>
      </c>
      <c r="B4" s="4" t="s">
        <v>155</v>
      </c>
      <c r="C4" s="4" t="s">
        <v>156</v>
      </c>
      <c r="D4" s="4" t="s">
        <v>157</v>
      </c>
      <c r="E4" s="4" t="s">
        <v>158</v>
      </c>
      <c r="F4" s="4" t="s">
        <v>159</v>
      </c>
      <c r="G4" s="4" t="s">
        <v>160</v>
      </c>
      <c r="H4" s="4" t="s">
        <v>161</v>
      </c>
      <c r="I4" s="4" t="s">
        <v>162</v>
      </c>
      <c r="J4" s="4" t="s">
        <v>163</v>
      </c>
      <c r="K4" s="4" t="s">
        <v>164</v>
      </c>
      <c r="L4" s="4" t="s">
        <v>165</v>
      </c>
      <c r="M4" s="4" t="s">
        <v>166</v>
      </c>
    </row>
    <row r="5" customFormat="false" ht="42" hidden="false" customHeight="true" outlineLevel="0" collapsed="false">
      <c r="A5" s="6" t="n">
        <v>1</v>
      </c>
      <c r="B5" s="6" t="s">
        <v>167</v>
      </c>
      <c r="C5" s="6" t="n">
        <v>1</v>
      </c>
      <c r="D5" s="6" t="s">
        <v>168</v>
      </c>
      <c r="E5" s="6"/>
      <c r="F5" s="6" t="s">
        <v>169</v>
      </c>
      <c r="G5" s="6" t="s">
        <v>170</v>
      </c>
      <c r="H5" s="6"/>
      <c r="I5" s="6"/>
      <c r="J5" s="6"/>
      <c r="K5" s="6"/>
      <c r="L5" s="6" t="s">
        <v>171</v>
      </c>
      <c r="M5" s="7" t="str">
        <f aca="false">IF(D5="scene",IF(AND(F5&lt;&gt;"",C5&lt;&gt;"",G5&lt;&gt;""),"HỢP LỆ","CẦN SỬA"),IF(D5="say",IF(AND(H5&lt;&gt;"",J5&lt;&gt;""),"HỢP LỆ","CẦN SỬA"),IF(D5="choice",IF(AND(E5&lt;&gt;"",H5&lt;&gt;"",I5&lt;&gt;"",J5&lt;&gt;""),"HỢP LỆ","CẦN SỬA"),IF(D5="act",IF(K5&lt;&gt;"","HỢP LỆ","CẦN SỬA"),IF(D5="end","HỢP LỆ","CẦN SỬA")))))</f>
        <v>HỢP LỆ</v>
      </c>
    </row>
    <row r="6" customFormat="false" ht="42" hidden="false" customHeight="true" outlineLevel="0" collapsed="false">
      <c r="A6" s="6" t="n">
        <v>2</v>
      </c>
      <c r="B6" s="6" t="s">
        <v>172</v>
      </c>
      <c r="C6" s="6" t="n">
        <v>1</v>
      </c>
      <c r="D6" s="6" t="s">
        <v>173</v>
      </c>
      <c r="E6" s="6"/>
      <c r="F6" s="6"/>
      <c r="G6" s="6"/>
      <c r="H6" s="6" t="s">
        <v>174</v>
      </c>
      <c r="I6" s="6"/>
      <c r="J6" s="6" t="s">
        <v>175</v>
      </c>
      <c r="K6" s="6"/>
      <c r="L6" s="6"/>
      <c r="M6" s="7" t="str">
        <f aca="false">IF(D6="scene",IF(AND(F6&lt;&gt;"",C6&lt;&gt;"",G6&lt;&gt;""),"HỢP LỆ","CẦN SỬA"),IF(D6="say",IF(AND(H6&lt;&gt;"",J6&lt;&gt;""),"HỢP LỆ","CẦN SỬA"),IF(D6="choice",IF(AND(E6&lt;&gt;"",H6&lt;&gt;"",I6&lt;&gt;"",J6&lt;&gt;""),"HỢP LỆ","CẦN SỬA"),IF(D6="act",IF(K6&lt;&gt;"","HỢP LỆ","CẦN SỬA"),IF(D6="end","HỢP LỆ","CẦN SỬA")))))</f>
        <v>HỢP LỆ</v>
      </c>
    </row>
    <row r="7" customFormat="false" ht="42" hidden="false" customHeight="true" outlineLevel="0" collapsed="false">
      <c r="A7" s="6" t="n">
        <v>3</v>
      </c>
      <c r="B7" s="6" t="s">
        <v>176</v>
      </c>
      <c r="C7" s="6" t="n">
        <v>1</v>
      </c>
      <c r="D7" s="6" t="s">
        <v>173</v>
      </c>
      <c r="E7" s="6"/>
      <c r="F7" s="6"/>
      <c r="G7" s="6"/>
      <c r="H7" s="6" t="s">
        <v>177</v>
      </c>
      <c r="I7" s="6" t="s">
        <v>178</v>
      </c>
      <c r="J7" s="6" t="s">
        <v>179</v>
      </c>
      <c r="K7" s="6"/>
      <c r="L7" s="6"/>
      <c r="M7" s="7" t="str">
        <f aca="false">IF(D7="scene",IF(AND(F7&lt;&gt;"",C7&lt;&gt;"",G7&lt;&gt;""),"HỢP LỆ","CẦN SỬA"),IF(D7="say",IF(AND(H7&lt;&gt;"",J7&lt;&gt;""),"HỢP LỆ","CẦN SỬA"),IF(D7="choice",IF(AND(E7&lt;&gt;"",H7&lt;&gt;"",I7&lt;&gt;"",J7&lt;&gt;""),"HỢP LỆ","CẦN SỬA"),IF(D7="act",IF(K7&lt;&gt;"","HỢP LỆ","CẦN SỬA"),IF(D7="end","HỢP LỆ","CẦN SỬA")))))</f>
        <v>HỢP LỆ</v>
      </c>
    </row>
    <row r="8" customFormat="false" ht="42" hidden="false" customHeight="true" outlineLevel="0" collapsed="false">
      <c r="A8" s="6" t="n">
        <v>4</v>
      </c>
      <c r="B8" s="6" t="s">
        <v>180</v>
      </c>
      <c r="C8" s="6" t="n">
        <v>1</v>
      </c>
      <c r="D8" s="6" t="s">
        <v>181</v>
      </c>
      <c r="E8" s="6" t="s">
        <v>182</v>
      </c>
      <c r="F8" s="6"/>
      <c r="G8" s="6"/>
      <c r="H8" s="6" t="s">
        <v>177</v>
      </c>
      <c r="I8" s="6" t="s">
        <v>178</v>
      </c>
      <c r="J8" s="6" t="s">
        <v>183</v>
      </c>
      <c r="K8" s="6"/>
      <c r="L8" s="6" t="s">
        <v>184</v>
      </c>
      <c r="M8" s="7" t="str">
        <f aca="false">IF(D8="scene",IF(AND(F8&lt;&gt;"",C8&lt;&gt;"",G8&lt;&gt;""),"HỢP LỆ","CẦN SỬA"),IF(D8="say",IF(AND(H8&lt;&gt;"",J8&lt;&gt;""),"HỢP LỆ","CẦN SỬA"),IF(D8="choice",IF(AND(E8&lt;&gt;"",H8&lt;&gt;"",I8&lt;&gt;"",J8&lt;&gt;""),"HỢP LỆ","CẦN SỬA"),IF(D8="act",IF(K8&lt;&gt;"","HỢP LỆ","CẦN SỬA"),IF(D8="end","HỢP LỆ","CẦN SỬA")))))</f>
        <v>HỢP LỆ</v>
      </c>
    </row>
    <row r="9" customFormat="false" ht="42" hidden="false" customHeight="true" outlineLevel="0" collapsed="false">
      <c r="A9" s="6" t="n">
        <v>5</v>
      </c>
      <c r="B9" s="6" t="s">
        <v>185</v>
      </c>
      <c r="C9" s="6" t="n">
        <v>1</v>
      </c>
      <c r="D9" s="6" t="s">
        <v>181</v>
      </c>
      <c r="E9" s="6" t="s">
        <v>182</v>
      </c>
      <c r="F9" s="6"/>
      <c r="G9" s="6"/>
      <c r="H9" s="6" t="s">
        <v>177</v>
      </c>
      <c r="I9" s="6" t="s">
        <v>178</v>
      </c>
      <c r="J9" s="6" t="s">
        <v>186</v>
      </c>
      <c r="K9" s="6"/>
      <c r="L9" s="6" t="s">
        <v>184</v>
      </c>
      <c r="M9" s="7" t="str">
        <f aca="false">IF(D9="scene",IF(AND(F9&lt;&gt;"",C9&lt;&gt;"",G9&lt;&gt;""),"HỢP LỆ","CẦN SỬA"),IF(D9="say",IF(AND(H9&lt;&gt;"",J9&lt;&gt;""),"HỢP LỆ","CẦN SỬA"),IF(D9="choice",IF(AND(E9&lt;&gt;"",H9&lt;&gt;"",I9&lt;&gt;"",J9&lt;&gt;""),"HỢP LỆ","CẦN SỬA"),IF(D9="act",IF(K9&lt;&gt;"","HỢP LỆ","CẦN SỬA"),IF(D9="end","HỢP LỆ","CẦN SỬA")))))</f>
        <v>HỢP LỆ</v>
      </c>
    </row>
    <row r="10" customFormat="false" ht="42" hidden="false" customHeight="true" outlineLevel="0" collapsed="false">
      <c r="A10" s="6" t="n">
        <v>6</v>
      </c>
      <c r="B10" s="6" t="s">
        <v>187</v>
      </c>
      <c r="C10" s="6" t="n">
        <v>1</v>
      </c>
      <c r="D10" s="6" t="s">
        <v>188</v>
      </c>
      <c r="E10" s="6"/>
      <c r="F10" s="6"/>
      <c r="G10" s="6"/>
      <c r="H10" s="6"/>
      <c r="I10" s="6"/>
      <c r="J10" s="6"/>
      <c r="K10" s="6" t="s">
        <v>189</v>
      </c>
      <c r="L10" s="6" t="s">
        <v>190</v>
      </c>
      <c r="M10" s="7" t="str">
        <f aca="false">IF(D10="scene",IF(AND(F10&lt;&gt;"",C10&lt;&gt;"",G10&lt;&gt;""),"HỢP LỆ","CẦN SỬA"),IF(D10="say",IF(AND(H10&lt;&gt;"",J10&lt;&gt;""),"HỢP LỆ","CẦN SỬA"),IF(D10="choice",IF(AND(E10&lt;&gt;"",H10&lt;&gt;"",I10&lt;&gt;"",J10&lt;&gt;""),"HỢP LỆ","CẦN SỬA"),IF(D10="act",IF(K10&lt;&gt;"","HỢP LỆ","CẦN SỬA"),IF(D10="end","HỢP LỆ","CẦN SỬA")))))</f>
        <v>HỢP LỆ</v>
      </c>
    </row>
    <row r="11" customFormat="false" ht="42" hidden="false" customHeight="true" outlineLevel="0" collapsed="false">
      <c r="A11" s="6" t="n">
        <v>7</v>
      </c>
      <c r="B11" s="6" t="s">
        <v>191</v>
      </c>
      <c r="C11" s="6" t="n">
        <v>2</v>
      </c>
      <c r="D11" s="6" t="s">
        <v>168</v>
      </c>
      <c r="E11" s="6"/>
      <c r="F11" s="6" t="s">
        <v>192</v>
      </c>
      <c r="G11" s="6" t="s">
        <v>193</v>
      </c>
      <c r="H11" s="6"/>
      <c r="I11" s="6"/>
      <c r="J11" s="6"/>
      <c r="K11" s="6"/>
      <c r="L11" s="6" t="s">
        <v>194</v>
      </c>
      <c r="M11" s="7" t="str">
        <f aca="false">IF(D11="scene",IF(AND(F11&lt;&gt;"",C11&lt;&gt;"",G11&lt;&gt;""),"HỢP LỆ","CẦN SỬA"),IF(D11="say",IF(AND(H11&lt;&gt;"",J11&lt;&gt;""),"HỢP LỆ","CẦN SỬA"),IF(D11="choice",IF(AND(E11&lt;&gt;"",H11&lt;&gt;"",I11&lt;&gt;"",J11&lt;&gt;""),"HỢP LỆ","CẦN SỬA"),IF(D11="act",IF(K11&lt;&gt;"","HỢP LỆ","CẦN SỬA"),IF(D11="end","HỢP LỆ","CẦN SỬA")))))</f>
        <v>HỢP LỆ</v>
      </c>
    </row>
    <row r="12" customFormat="false" ht="42" hidden="false" customHeight="true" outlineLevel="0" collapsed="false">
      <c r="A12" s="6" t="n">
        <v>8</v>
      </c>
      <c r="B12" s="6" t="s">
        <v>195</v>
      </c>
      <c r="C12" s="6" t="n">
        <v>2</v>
      </c>
      <c r="D12" s="6" t="s">
        <v>173</v>
      </c>
      <c r="E12" s="6"/>
      <c r="F12" s="6"/>
      <c r="G12" s="6"/>
      <c r="H12" s="6" t="s">
        <v>174</v>
      </c>
      <c r="I12" s="6"/>
      <c r="J12" s="6" t="s">
        <v>196</v>
      </c>
      <c r="K12" s="6"/>
      <c r="L12" s="6"/>
      <c r="M12" s="7" t="str">
        <f aca="false">IF(D12="scene",IF(AND(F12&lt;&gt;"",C12&lt;&gt;"",G12&lt;&gt;""),"HỢP LỆ","CẦN SỬA"),IF(D12="say",IF(AND(H12&lt;&gt;"",J12&lt;&gt;""),"HỢP LỆ","CẦN SỬA"),IF(D12="choice",IF(AND(E12&lt;&gt;"",H12&lt;&gt;"",I12&lt;&gt;"",J12&lt;&gt;""),"HỢP LỆ","CẦN SỬA"),IF(D12="act",IF(K12&lt;&gt;"","HỢP LỆ","CẦN SỬA"),IF(D12="end","HỢP LỆ","CẦN SỬA")))))</f>
        <v>HỢP LỆ</v>
      </c>
    </row>
    <row r="13" customFormat="false" ht="42" hidden="false" customHeight="true" outlineLevel="0" collapsed="false">
      <c r="A13" s="6" t="n">
        <v>9</v>
      </c>
      <c r="B13" s="6" t="s">
        <v>197</v>
      </c>
      <c r="C13" s="6" t="n">
        <v>2</v>
      </c>
      <c r="D13" s="6" t="s">
        <v>181</v>
      </c>
      <c r="E13" s="6" t="s">
        <v>182</v>
      </c>
      <c r="F13" s="6"/>
      <c r="G13" s="6"/>
      <c r="H13" s="6" t="s">
        <v>198</v>
      </c>
      <c r="I13" s="6" t="s">
        <v>199</v>
      </c>
      <c r="J13" s="6" t="s">
        <v>200</v>
      </c>
      <c r="K13" s="6"/>
      <c r="L13" s="6" t="s">
        <v>184</v>
      </c>
      <c r="M13" s="7" t="str">
        <f aca="false">IF(D13="scene",IF(AND(F13&lt;&gt;"",C13&lt;&gt;"",G13&lt;&gt;""),"HỢP LỆ","CẦN SỬA"),IF(D13="say",IF(AND(H13&lt;&gt;"",J13&lt;&gt;""),"HỢP LỆ","CẦN SỬA"),IF(D13="choice",IF(AND(E13&lt;&gt;"",H13&lt;&gt;"",I13&lt;&gt;"",J13&lt;&gt;""),"HỢP LỆ","CẦN SỬA"),IF(D13="act",IF(K13&lt;&gt;"","HỢP LỆ","CẦN SỬA"),IF(D13="end","HỢP LỆ","CẦN SỬA")))))</f>
        <v>HỢP LỆ</v>
      </c>
    </row>
    <row r="14" customFormat="false" ht="42" hidden="false" customHeight="true" outlineLevel="0" collapsed="false">
      <c r="A14" s="6" t="n">
        <v>10</v>
      </c>
      <c r="B14" s="6" t="s">
        <v>201</v>
      </c>
      <c r="C14" s="6" t="n">
        <v>2</v>
      </c>
      <c r="D14" s="6" t="s">
        <v>188</v>
      </c>
      <c r="E14" s="6"/>
      <c r="F14" s="6"/>
      <c r="G14" s="6"/>
      <c r="H14" s="6"/>
      <c r="I14" s="6"/>
      <c r="J14" s="6"/>
      <c r="K14" s="6" t="s">
        <v>202</v>
      </c>
      <c r="L14" s="6" t="s">
        <v>203</v>
      </c>
      <c r="M14" s="7" t="str">
        <f aca="false">IF(D14="scene",IF(AND(F14&lt;&gt;"",C14&lt;&gt;"",G14&lt;&gt;""),"HỢP LỆ","CẦN SỬA"),IF(D14="say",IF(AND(H14&lt;&gt;"",J14&lt;&gt;""),"HỢP LỆ","CẦN SỬA"),IF(D14="choice",IF(AND(E14&lt;&gt;"",H14&lt;&gt;"",I14&lt;&gt;"",J14&lt;&gt;""),"HỢP LỆ","CẦN SỬA"),IF(D14="act",IF(K14&lt;&gt;"","HỢP LỆ","CẦN SỬA"),IF(D14="end","HỢP LỆ","CẦN SỬA")))))</f>
        <v>HỢP LỆ</v>
      </c>
    </row>
    <row r="15" customFormat="false" ht="42" hidden="false" customHeight="true" outlineLevel="0" collapsed="false">
      <c r="A15" s="6" t="n">
        <v>11</v>
      </c>
      <c r="B15" s="6" t="s">
        <v>204</v>
      </c>
      <c r="C15" s="6" t="n">
        <v>3</v>
      </c>
      <c r="D15" s="6" t="s">
        <v>168</v>
      </c>
      <c r="E15" s="6"/>
      <c r="F15" s="6" t="s">
        <v>205</v>
      </c>
      <c r="G15" s="6" t="s">
        <v>206</v>
      </c>
      <c r="H15" s="6"/>
      <c r="I15" s="6"/>
      <c r="J15" s="6"/>
      <c r="K15" s="6"/>
      <c r="L15" s="6" t="s">
        <v>207</v>
      </c>
      <c r="M15" s="7" t="str">
        <f aca="false">IF(D15="scene",IF(AND(F15&lt;&gt;"",C15&lt;&gt;"",G15&lt;&gt;""),"HỢP LỆ","CẦN SỬA"),IF(D15="say",IF(AND(H15&lt;&gt;"",J15&lt;&gt;""),"HỢP LỆ","CẦN SỬA"),IF(D15="choice",IF(AND(E15&lt;&gt;"",H15&lt;&gt;"",I15&lt;&gt;"",J15&lt;&gt;""),"HỢP LỆ","CẦN SỬA"),IF(D15="act",IF(K15&lt;&gt;"","HỢP LỆ","CẦN SỬA"),IF(D15="end","HỢP LỆ","CẦN SỬA")))))</f>
        <v>HỢP LỆ</v>
      </c>
    </row>
    <row r="16" customFormat="false" ht="42" hidden="false" customHeight="true" outlineLevel="0" collapsed="false">
      <c r="A16" s="6" t="n">
        <v>12</v>
      </c>
      <c r="B16" s="6" t="s">
        <v>208</v>
      </c>
      <c r="C16" s="6" t="n">
        <v>3</v>
      </c>
      <c r="D16" s="6" t="s">
        <v>173</v>
      </c>
      <c r="E16" s="6"/>
      <c r="F16" s="6"/>
      <c r="G16" s="6"/>
      <c r="H16" s="6" t="s">
        <v>174</v>
      </c>
      <c r="I16" s="6"/>
      <c r="J16" s="6" t="s">
        <v>209</v>
      </c>
      <c r="K16" s="6"/>
      <c r="L16" s="6"/>
      <c r="M16" s="7" t="str">
        <f aca="false">IF(D16="scene",IF(AND(F16&lt;&gt;"",C16&lt;&gt;"",G16&lt;&gt;""),"HỢP LỆ","CẦN SỬA"),IF(D16="say",IF(AND(H16&lt;&gt;"",J16&lt;&gt;""),"HỢP LỆ","CẦN SỬA"),IF(D16="choice",IF(AND(E16&lt;&gt;"",H16&lt;&gt;"",I16&lt;&gt;"",J16&lt;&gt;""),"HỢP LỆ","CẦN SỬA"),IF(D16="act",IF(K16&lt;&gt;"","HỢP LỆ","CẦN SỬA"),IF(D16="end","HỢP LỆ","CẦN SỬA")))))</f>
        <v>HỢP LỆ</v>
      </c>
    </row>
    <row r="17" customFormat="false" ht="42" hidden="false" customHeight="true" outlineLevel="0" collapsed="false">
      <c r="A17" s="6" t="n">
        <v>13</v>
      </c>
      <c r="B17" s="6" t="s">
        <v>210</v>
      </c>
      <c r="C17" s="6" t="n">
        <v>3</v>
      </c>
      <c r="D17" s="6" t="s">
        <v>173</v>
      </c>
      <c r="E17" s="6"/>
      <c r="F17" s="6"/>
      <c r="G17" s="6"/>
      <c r="H17" s="6" t="s">
        <v>177</v>
      </c>
      <c r="I17" s="6" t="s">
        <v>211</v>
      </c>
      <c r="J17" s="6" t="s">
        <v>212</v>
      </c>
      <c r="K17" s="6"/>
      <c r="L17" s="6"/>
      <c r="M17" s="7" t="str">
        <f aca="false">IF(D17="scene",IF(AND(F17&lt;&gt;"",C17&lt;&gt;"",G17&lt;&gt;""),"HỢP LỆ","CẦN SỬA"),IF(D17="say",IF(AND(H17&lt;&gt;"",J17&lt;&gt;""),"HỢP LỆ","CẦN SỬA"),IF(D17="choice",IF(AND(E17&lt;&gt;"",H17&lt;&gt;"",I17&lt;&gt;"",J17&lt;&gt;""),"HỢP LỆ","CẦN SỬA"),IF(D17="act",IF(K17&lt;&gt;"","HỢP LỆ","CẦN SỬA"),IF(D17="end","HỢP LỆ","CẦN SỬA")))))</f>
        <v>HỢP LỆ</v>
      </c>
    </row>
    <row r="18" customFormat="false" ht="42" hidden="false" customHeight="true" outlineLevel="0" collapsed="false">
      <c r="A18" s="6" t="n">
        <v>14</v>
      </c>
      <c r="B18" s="6" t="s">
        <v>213</v>
      </c>
      <c r="C18" s="6" t="n">
        <v>3</v>
      </c>
      <c r="D18" s="6" t="s">
        <v>181</v>
      </c>
      <c r="E18" s="6" t="s">
        <v>182</v>
      </c>
      <c r="F18" s="6"/>
      <c r="G18" s="6"/>
      <c r="H18" s="6" t="s">
        <v>177</v>
      </c>
      <c r="I18" s="6" t="s">
        <v>178</v>
      </c>
      <c r="J18" s="6" t="s">
        <v>214</v>
      </c>
      <c r="K18" s="6"/>
      <c r="L18" s="6" t="s">
        <v>184</v>
      </c>
      <c r="M18" s="7" t="str">
        <f aca="false">IF(D18="scene",IF(AND(F18&lt;&gt;"",C18&lt;&gt;"",G18&lt;&gt;""),"HỢP LỆ","CẦN SỬA"),IF(D18="say",IF(AND(H18&lt;&gt;"",J18&lt;&gt;""),"HỢP LỆ","CẦN SỬA"),IF(D18="choice",IF(AND(E18&lt;&gt;"",H18&lt;&gt;"",I18&lt;&gt;"",J18&lt;&gt;""),"HỢP LỆ","CẦN SỬA"),IF(D18="act",IF(K18&lt;&gt;"","HỢP LỆ","CẦN SỬA"),IF(D18="end","HỢP LỆ","CẦN SỬA")))))</f>
        <v>HỢP LỆ</v>
      </c>
    </row>
    <row r="19" customFormat="false" ht="42" hidden="false" customHeight="true" outlineLevel="0" collapsed="false">
      <c r="A19" s="6" t="n">
        <v>15</v>
      </c>
      <c r="B19" s="6" t="s">
        <v>215</v>
      </c>
      <c r="C19" s="6" t="n">
        <v>3</v>
      </c>
      <c r="D19" s="6" t="s">
        <v>188</v>
      </c>
      <c r="E19" s="6"/>
      <c r="F19" s="6"/>
      <c r="G19" s="6"/>
      <c r="H19" s="6"/>
      <c r="I19" s="6"/>
      <c r="J19" s="6"/>
      <c r="K19" s="6" t="s">
        <v>216</v>
      </c>
      <c r="L19" s="6" t="s">
        <v>217</v>
      </c>
      <c r="M19" s="7" t="str">
        <f aca="false">IF(D19="scene",IF(AND(F19&lt;&gt;"",C19&lt;&gt;"",G19&lt;&gt;""),"HỢP LỆ","CẦN SỬA"),IF(D19="say",IF(AND(H19&lt;&gt;"",J19&lt;&gt;""),"HỢP LỆ","CẦN SỬA"),IF(D19="choice",IF(AND(E19&lt;&gt;"",H19&lt;&gt;"",I19&lt;&gt;"",J19&lt;&gt;""),"HỢP LỆ","CẦN SỬA"),IF(D19="act",IF(K19&lt;&gt;"","HỢP LỆ","CẦN SỬA"),IF(D19="end","HỢP LỆ","CẦN SỬA")))))</f>
        <v>HỢP LỆ</v>
      </c>
    </row>
    <row r="20" customFormat="false" ht="42" hidden="false" customHeight="true" outlineLevel="0" collapsed="false">
      <c r="A20" s="6" t="n">
        <v>16</v>
      </c>
      <c r="B20" s="6" t="s">
        <v>218</v>
      </c>
      <c r="C20" s="6"/>
      <c r="D20" s="6" t="s">
        <v>219</v>
      </c>
      <c r="E20" s="6"/>
      <c r="F20" s="6"/>
      <c r="G20" s="6"/>
      <c r="H20" s="6"/>
      <c r="I20" s="6"/>
      <c r="J20" s="6"/>
      <c r="K20" s="6"/>
      <c r="L20" s="6" t="s">
        <v>220</v>
      </c>
      <c r="M20" s="7" t="str">
        <f aca="false">IF(D20="scene",IF(AND(F20&lt;&gt;"",C20&lt;&gt;"",G20&lt;&gt;""),"HỢP LỆ","CẦN SỬA"),IF(D20="say",IF(AND(H20&lt;&gt;"",J20&lt;&gt;""),"HỢP LỆ","CẦN SỬA"),IF(D20="choice",IF(AND(E20&lt;&gt;"",H20&lt;&gt;"",I20&lt;&gt;"",J20&lt;&gt;""),"HỢP LỆ","CẦN SỬA"),IF(D20="act",IF(K20&lt;&gt;"","HỢP LỆ","CẦN SỬA"),IF(D20="end","HỢP LỆ","CẦN SỬA")))))</f>
        <v>HỢP LỆ</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42"/>
    <col collapsed="false" customWidth="true" hidden="false" outlineLevel="0" max="4" min="4" style="0" width="10"/>
    <col collapsed="false" customWidth="true" hidden="false" outlineLevel="0" max="5" min="5" style="0" width="6"/>
    <col collapsed="false" customWidth="true" hidden="false" outlineLevel="0" max="6" min="6" style="0" width="13"/>
    <col collapsed="false" customWidth="true" hidden="false" outlineLevel="0" max="7" min="7" style="0" width="11"/>
    <col collapsed="false" customWidth="true" hidden="false" outlineLevel="0" max="8" min="8" style="0" width="40"/>
    <col collapsed="false" customWidth="true" hidden="false" outlineLevel="0" max="9" min="9" style="0" width="16"/>
    <col collapsed="false" customWidth="true" hidden="false" outlineLevel="0" max="10" min="10" style="0" width="14"/>
  </cols>
  <sheetData>
    <row r="1" customFormat="false" ht="19.7" hidden="false" customHeight="false" outlineLevel="0" collapsed="false">
      <c r="A1" s="1" t="s">
        <v>221</v>
      </c>
    </row>
    <row r="2" customFormat="false" ht="15" hidden="false" customHeight="false" outlineLevel="0" collapsed="false">
      <c r="A2" s="8" t="s">
        <v>222</v>
      </c>
      <c r="B2" s="8"/>
      <c r="C2" s="8"/>
      <c r="D2" s="8"/>
      <c r="E2" s="8"/>
      <c r="F2" s="8"/>
      <c r="G2" s="8"/>
      <c r="H2" s="8"/>
      <c r="I2" s="8"/>
      <c r="J2" s="8"/>
    </row>
    <row r="4" customFormat="false" ht="23.85" hidden="false" customHeight="false" outlineLevel="0" collapsed="false">
      <c r="A4" s="4" t="s">
        <v>223</v>
      </c>
      <c r="B4" s="4" t="s">
        <v>224</v>
      </c>
      <c r="C4" s="4" t="s">
        <v>225</v>
      </c>
      <c r="D4" s="4" t="s">
        <v>226</v>
      </c>
      <c r="E4" s="4" t="s">
        <v>227</v>
      </c>
      <c r="F4" s="4" t="s">
        <v>228</v>
      </c>
      <c r="G4" s="4" t="s">
        <v>229</v>
      </c>
      <c r="H4" s="4" t="s">
        <v>230</v>
      </c>
      <c r="I4" s="4" t="s">
        <v>147</v>
      </c>
      <c r="J4" s="4" t="s">
        <v>166</v>
      </c>
    </row>
    <row r="5" customFormat="false" ht="39.75" hidden="false" customHeight="true" outlineLevel="0" collapsed="false">
      <c r="A5" s="6" t="s">
        <v>180</v>
      </c>
      <c r="B5" s="6" t="n">
        <v>1</v>
      </c>
      <c r="C5" s="6" t="s">
        <v>231</v>
      </c>
      <c r="D5" s="6" t="s">
        <v>96</v>
      </c>
      <c r="E5" s="6"/>
      <c r="F5" s="6" t="s">
        <v>177</v>
      </c>
      <c r="G5" s="6" t="s">
        <v>232</v>
      </c>
      <c r="H5" s="6" t="s">
        <v>233</v>
      </c>
      <c r="I5" s="6" t="s">
        <v>234</v>
      </c>
      <c r="J5" s="7" t="str">
        <f aca="false">IF(AND(C5&lt;&gt;"",D5&lt;&gt;"",F5&lt;&gt;"",H5&lt;&gt;""),"HỢP LỆ","CẦN SỬA")</f>
        <v>HỢP LỆ</v>
      </c>
    </row>
    <row r="6" customFormat="false" ht="39.75" hidden="false" customHeight="true" outlineLevel="0" collapsed="false">
      <c r="A6" s="6" t="s">
        <v>180</v>
      </c>
      <c r="B6" s="6" t="n">
        <v>2</v>
      </c>
      <c r="C6" s="6" t="s">
        <v>235</v>
      </c>
      <c r="D6" s="6" t="s">
        <v>136</v>
      </c>
      <c r="E6" s="6"/>
      <c r="F6" s="6" t="s">
        <v>177</v>
      </c>
      <c r="G6" s="6" t="s">
        <v>211</v>
      </c>
      <c r="H6" s="6" t="s">
        <v>236</v>
      </c>
      <c r="I6" s="6" t="s">
        <v>237</v>
      </c>
      <c r="J6" s="7" t="str">
        <f aca="false">IF(AND(C6&lt;&gt;"",D6&lt;&gt;"",F6&lt;&gt;"",H6&lt;&gt;""),"HỢP LỆ","CẦN SỬA")</f>
        <v>HỢP LỆ</v>
      </c>
    </row>
    <row r="7" customFormat="false" ht="39.75" hidden="false" customHeight="true" outlineLevel="0" collapsed="false">
      <c r="A7" s="6" t="s">
        <v>180</v>
      </c>
      <c r="B7" s="6" t="n">
        <v>3</v>
      </c>
      <c r="C7" s="6" t="s">
        <v>238</v>
      </c>
      <c r="D7" s="6" t="s">
        <v>136</v>
      </c>
      <c r="E7" s="6"/>
      <c r="F7" s="6" t="s">
        <v>177</v>
      </c>
      <c r="G7" s="6" t="s">
        <v>211</v>
      </c>
      <c r="H7" s="6" t="s">
        <v>239</v>
      </c>
      <c r="I7" s="6" t="s">
        <v>237</v>
      </c>
      <c r="J7" s="7" t="str">
        <f aca="false">IF(AND(C7&lt;&gt;"",D7&lt;&gt;"",F7&lt;&gt;"",H7&lt;&gt;""),"HỢP LỆ","CẦN SỬA")</f>
        <v>HỢP LỆ</v>
      </c>
    </row>
    <row r="8" customFormat="false" ht="39.75" hidden="false" customHeight="true" outlineLevel="0" collapsed="false">
      <c r="A8" s="6" t="s">
        <v>185</v>
      </c>
      <c r="B8" s="6" t="n">
        <v>1</v>
      </c>
      <c r="C8" s="6" t="s">
        <v>240</v>
      </c>
      <c r="D8" s="6" t="s">
        <v>96</v>
      </c>
      <c r="E8" s="6"/>
      <c r="F8" s="6" t="s">
        <v>177</v>
      </c>
      <c r="G8" s="6" t="s">
        <v>232</v>
      </c>
      <c r="H8" s="6" t="s">
        <v>241</v>
      </c>
      <c r="I8" s="6" t="s">
        <v>234</v>
      </c>
      <c r="J8" s="7" t="str">
        <f aca="false">IF(AND(C8&lt;&gt;"",D8&lt;&gt;"",F8&lt;&gt;"",H8&lt;&gt;""),"HỢP LỆ","CẦN SỬA")</f>
        <v>HỢP LỆ</v>
      </c>
    </row>
    <row r="9" customFormat="false" ht="39.75" hidden="false" customHeight="true" outlineLevel="0" collapsed="false">
      <c r="A9" s="6" t="s">
        <v>185</v>
      </c>
      <c r="B9" s="6" t="n">
        <v>2</v>
      </c>
      <c r="C9" s="6" t="s">
        <v>242</v>
      </c>
      <c r="D9" s="6" t="s">
        <v>136</v>
      </c>
      <c r="E9" s="6"/>
      <c r="F9" s="6" t="s">
        <v>177</v>
      </c>
      <c r="G9" s="6" t="s">
        <v>211</v>
      </c>
      <c r="H9" s="6" t="s">
        <v>243</v>
      </c>
      <c r="I9" s="6" t="s">
        <v>237</v>
      </c>
      <c r="J9" s="7" t="str">
        <f aca="false">IF(AND(C9&lt;&gt;"",D9&lt;&gt;"",F9&lt;&gt;"",H9&lt;&gt;""),"HỢP LỆ","CẦN SỬA")</f>
        <v>HỢP LỆ</v>
      </c>
    </row>
    <row r="10" customFormat="false" ht="39.75" hidden="false" customHeight="true" outlineLevel="0" collapsed="false">
      <c r="A10" s="6" t="s">
        <v>185</v>
      </c>
      <c r="B10" s="6" t="n">
        <v>3</v>
      </c>
      <c r="C10" s="6" t="s">
        <v>244</v>
      </c>
      <c r="D10" s="6" t="s">
        <v>136</v>
      </c>
      <c r="E10" s="6"/>
      <c r="F10" s="6" t="s">
        <v>177</v>
      </c>
      <c r="G10" s="6" t="s">
        <v>211</v>
      </c>
      <c r="H10" s="6" t="s">
        <v>245</v>
      </c>
      <c r="I10" s="6" t="s">
        <v>237</v>
      </c>
      <c r="J10" s="7" t="str">
        <f aca="false">IF(AND(C10&lt;&gt;"",D10&lt;&gt;"",F10&lt;&gt;"",H10&lt;&gt;""),"HỢP LỆ","CẦN SỬA")</f>
        <v>HỢP LỆ</v>
      </c>
    </row>
    <row r="11" customFormat="false" ht="39.75" hidden="false" customHeight="true" outlineLevel="0" collapsed="false">
      <c r="A11" s="6" t="s">
        <v>197</v>
      </c>
      <c r="B11" s="6" t="n">
        <v>1</v>
      </c>
      <c r="C11" s="6" t="s">
        <v>246</v>
      </c>
      <c r="D11" s="6" t="s">
        <v>96</v>
      </c>
      <c r="E11" s="6"/>
      <c r="F11" s="6" t="s">
        <v>198</v>
      </c>
      <c r="G11" s="6" t="s">
        <v>178</v>
      </c>
      <c r="H11" s="6" t="s">
        <v>247</v>
      </c>
      <c r="I11" s="6" t="s">
        <v>234</v>
      </c>
      <c r="J11" s="7" t="str">
        <f aca="false">IF(AND(C11&lt;&gt;"",D11&lt;&gt;"",F11&lt;&gt;"",H11&lt;&gt;""),"HỢP LỆ","CẦN SỬA")</f>
        <v>HỢP LỆ</v>
      </c>
    </row>
    <row r="12" customFormat="false" ht="39.75" hidden="false" customHeight="true" outlineLevel="0" collapsed="false">
      <c r="A12" s="6" t="s">
        <v>197</v>
      </c>
      <c r="B12" s="6" t="n">
        <v>2</v>
      </c>
      <c r="C12" s="6" t="s">
        <v>248</v>
      </c>
      <c r="D12" s="6" t="s">
        <v>136</v>
      </c>
      <c r="E12" s="6"/>
      <c r="F12" s="6" t="s">
        <v>198</v>
      </c>
      <c r="G12" s="6" t="s">
        <v>199</v>
      </c>
      <c r="H12" s="6" t="s">
        <v>249</v>
      </c>
      <c r="I12" s="6" t="s">
        <v>237</v>
      </c>
      <c r="J12" s="7" t="str">
        <f aca="false">IF(AND(C12&lt;&gt;"",D12&lt;&gt;"",F12&lt;&gt;"",H12&lt;&gt;""),"HỢP LỆ","CẦN SỬA")</f>
        <v>HỢP LỆ</v>
      </c>
    </row>
    <row r="13" customFormat="false" ht="39.75" hidden="false" customHeight="true" outlineLevel="0" collapsed="false">
      <c r="A13" s="6" t="s">
        <v>197</v>
      </c>
      <c r="B13" s="6" t="n">
        <v>3</v>
      </c>
      <c r="C13" s="6" t="s">
        <v>250</v>
      </c>
      <c r="D13" s="6" t="s">
        <v>136</v>
      </c>
      <c r="E13" s="6"/>
      <c r="F13" s="6" t="s">
        <v>198</v>
      </c>
      <c r="G13" s="6" t="s">
        <v>199</v>
      </c>
      <c r="H13" s="6" t="s">
        <v>251</v>
      </c>
      <c r="I13" s="6" t="s">
        <v>237</v>
      </c>
      <c r="J13" s="7" t="str">
        <f aca="false">IF(AND(C13&lt;&gt;"",D13&lt;&gt;"",F13&lt;&gt;"",H13&lt;&gt;""),"HỢP LỆ","CẦN SỬA")</f>
        <v>HỢP LỆ</v>
      </c>
    </row>
    <row r="14" customFormat="false" ht="39.75" hidden="false" customHeight="true" outlineLevel="0" collapsed="false">
      <c r="A14" s="6" t="s">
        <v>213</v>
      </c>
      <c r="B14" s="6" t="n">
        <v>1</v>
      </c>
      <c r="C14" s="6" t="s">
        <v>252</v>
      </c>
      <c r="D14" s="6" t="s">
        <v>96</v>
      </c>
      <c r="E14" s="6"/>
      <c r="F14" s="6" t="s">
        <v>177</v>
      </c>
      <c r="G14" s="6" t="s">
        <v>232</v>
      </c>
      <c r="H14" s="6" t="s">
        <v>253</v>
      </c>
      <c r="I14" s="6" t="s">
        <v>234</v>
      </c>
      <c r="J14" s="7" t="str">
        <f aca="false">IF(AND(C14&lt;&gt;"",D14&lt;&gt;"",F14&lt;&gt;"",H14&lt;&gt;""),"HỢP LỆ","CẦN SỬA")</f>
        <v>HỢP LỆ</v>
      </c>
    </row>
    <row r="15" customFormat="false" ht="39.75" hidden="false" customHeight="true" outlineLevel="0" collapsed="false">
      <c r="A15" s="6" t="s">
        <v>213</v>
      </c>
      <c r="B15" s="6" t="n">
        <v>2</v>
      </c>
      <c r="C15" s="6" t="s">
        <v>254</v>
      </c>
      <c r="D15" s="6" t="s">
        <v>136</v>
      </c>
      <c r="E15" s="6"/>
      <c r="F15" s="6" t="s">
        <v>177</v>
      </c>
      <c r="G15" s="6" t="s">
        <v>211</v>
      </c>
      <c r="H15" s="6" t="s">
        <v>255</v>
      </c>
      <c r="I15" s="6" t="s">
        <v>237</v>
      </c>
      <c r="J15" s="7" t="str">
        <f aca="false">IF(AND(C15&lt;&gt;"",D15&lt;&gt;"",F15&lt;&gt;"",H15&lt;&gt;""),"HỢP LỆ","CẦN SỬA")</f>
        <v>HỢP LỆ</v>
      </c>
    </row>
    <row r="16" customFormat="false" ht="39.75" hidden="false" customHeight="true" outlineLevel="0" collapsed="false">
      <c r="A16" s="6" t="s">
        <v>213</v>
      </c>
      <c r="B16" s="6" t="n">
        <v>3</v>
      </c>
      <c r="C16" s="6" t="s">
        <v>256</v>
      </c>
      <c r="D16" s="6" t="s">
        <v>136</v>
      </c>
      <c r="E16" s="6"/>
      <c r="F16" s="6" t="s">
        <v>177</v>
      </c>
      <c r="G16" s="6" t="s">
        <v>211</v>
      </c>
      <c r="H16" s="6" t="s">
        <v>257</v>
      </c>
      <c r="I16" s="6" t="s">
        <v>237</v>
      </c>
      <c r="J16" s="7" t="str">
        <f aca="false">IF(AND(C16&lt;&gt;"",D16&lt;&gt;"",F16&lt;&gt;"",H16&lt;&gt;""),"HỢP LỆ","CẦN SỬA")</f>
        <v>HỢP LỆ</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2"/>
    <col collapsed="false" customWidth="true" hidden="false" outlineLevel="0" max="4" min="4" style="0" width="20"/>
    <col collapsed="false" customWidth="true" hidden="false" outlineLevel="0" max="5" min="5" style="0" width="14"/>
    <col collapsed="false" customWidth="true" hidden="false" outlineLevel="0" max="6" min="6" style="0" width="12"/>
  </cols>
  <sheetData>
    <row r="1" customFormat="false" ht="19.7" hidden="false" customHeight="false" outlineLevel="0" collapsed="false">
      <c r="A1" s="1" t="s">
        <v>258</v>
      </c>
    </row>
    <row r="2" customFormat="false" ht="15" hidden="false" customHeight="false" outlineLevel="0" collapsed="false">
      <c r="A2" s="8" t="s">
        <v>259</v>
      </c>
      <c r="B2" s="8"/>
      <c r="C2" s="8"/>
      <c r="D2" s="8"/>
      <c r="E2" s="8"/>
      <c r="F2" s="8"/>
      <c r="G2" s="8"/>
      <c r="H2" s="8"/>
      <c r="I2" s="8"/>
      <c r="J2" s="8"/>
    </row>
    <row r="4" customFormat="false" ht="15" hidden="false" customHeight="false" outlineLevel="0" collapsed="false">
      <c r="A4" s="3" t="s">
        <v>260</v>
      </c>
    </row>
    <row r="5" customFormat="false" ht="15" hidden="false" customHeight="false" outlineLevel="0" collapsed="false">
      <c r="A5" s="4" t="s">
        <v>161</v>
      </c>
      <c r="B5" s="4" t="s">
        <v>261</v>
      </c>
      <c r="C5" s="4" t="s">
        <v>262</v>
      </c>
    </row>
    <row r="6" customFormat="false" ht="15" hidden="false" customHeight="false" outlineLevel="0" collapsed="false">
      <c r="A6" s="5" t="s">
        <v>174</v>
      </c>
      <c r="B6" s="5" t="s">
        <v>76</v>
      </c>
      <c r="C6" s="5"/>
    </row>
    <row r="7" customFormat="false" ht="15" hidden="false" customHeight="false" outlineLevel="0" collapsed="false">
      <c r="A7" s="5" t="s">
        <v>263</v>
      </c>
      <c r="B7" s="5" t="s">
        <v>264</v>
      </c>
      <c r="C7" s="5" t="s">
        <v>265</v>
      </c>
    </row>
    <row r="8" customFormat="false" ht="15" hidden="false" customHeight="false" outlineLevel="0" collapsed="false">
      <c r="A8" s="5" t="s">
        <v>177</v>
      </c>
      <c r="B8" s="5" t="s">
        <v>266</v>
      </c>
      <c r="C8" s="5" t="s">
        <v>267</v>
      </c>
    </row>
    <row r="9" customFormat="false" ht="15" hidden="false" customHeight="false" outlineLevel="0" collapsed="false">
      <c r="A9" s="5" t="s">
        <v>268</v>
      </c>
      <c r="B9" s="5" t="s">
        <v>269</v>
      </c>
      <c r="C9" s="5" t="s">
        <v>270</v>
      </c>
    </row>
    <row r="10" customFormat="false" ht="15" hidden="false" customHeight="false" outlineLevel="0" collapsed="false">
      <c r="A10" s="5" t="s">
        <v>198</v>
      </c>
      <c r="B10" s="5" t="s">
        <v>271</v>
      </c>
      <c r="C10" s="5" t="s">
        <v>272</v>
      </c>
    </row>
    <row r="11" customFormat="false" ht="15" hidden="false" customHeight="false" outlineLevel="0" collapsed="false">
      <c r="A11" s="5" t="s">
        <v>273</v>
      </c>
      <c r="B11" s="5" t="s">
        <v>274</v>
      </c>
      <c r="C11" s="5" t="s">
        <v>275</v>
      </c>
    </row>
    <row r="13" customFormat="false" ht="15" hidden="false" customHeight="false" outlineLevel="0" collapsed="false">
      <c r="A13" s="3" t="s">
        <v>276</v>
      </c>
    </row>
    <row r="14" customFormat="false" ht="15" hidden="false" customHeight="false" outlineLevel="0" collapsed="false">
      <c r="A14" s="4" t="s">
        <v>277</v>
      </c>
      <c r="B14" s="4" t="s">
        <v>278</v>
      </c>
      <c r="C14" s="4" t="s">
        <v>279</v>
      </c>
    </row>
    <row r="15" customFormat="false" ht="23.85" hidden="false" customHeight="false" outlineLevel="0" collapsed="false">
      <c r="A15" s="5" t="s">
        <v>169</v>
      </c>
      <c r="B15" s="5" t="s">
        <v>280</v>
      </c>
      <c r="C15" s="5" t="s">
        <v>281</v>
      </c>
    </row>
    <row r="16" customFormat="false" ht="23.85" hidden="false" customHeight="false" outlineLevel="0" collapsed="false">
      <c r="A16" s="5" t="s">
        <v>192</v>
      </c>
      <c r="B16" s="5" t="s">
        <v>282</v>
      </c>
      <c r="C16" s="5" t="s">
        <v>281</v>
      </c>
    </row>
    <row r="17" customFormat="false" ht="23.85" hidden="false" customHeight="false" outlineLevel="0" collapsed="false">
      <c r="A17" s="5" t="s">
        <v>205</v>
      </c>
      <c r="B17" s="5" t="s">
        <v>283</v>
      </c>
      <c r="C17" s="5" t="s">
        <v>281</v>
      </c>
    </row>
    <row r="19" customFormat="false" ht="15" hidden="false" customHeight="false" outlineLevel="0" collapsed="false">
      <c r="A19" s="3" t="s">
        <v>284</v>
      </c>
    </row>
    <row r="20" customFormat="false" ht="15" hidden="false" customHeight="false" outlineLevel="0" collapsed="false">
      <c r="A20" s="4" t="s">
        <v>285</v>
      </c>
      <c r="B20" s="4" t="s">
        <v>286</v>
      </c>
    </row>
    <row r="21" customFormat="false" ht="15" hidden="false" customHeight="false" outlineLevel="0" collapsed="false">
      <c r="A21" s="5" t="s">
        <v>178</v>
      </c>
      <c r="B21" s="5" t="s">
        <v>287</v>
      </c>
    </row>
    <row r="22" customFormat="false" ht="15" hidden="false" customHeight="false" outlineLevel="0" collapsed="false">
      <c r="A22" s="5" t="s">
        <v>232</v>
      </c>
      <c r="B22" s="5" t="s">
        <v>288</v>
      </c>
    </row>
    <row r="23" customFormat="false" ht="23.85" hidden="false" customHeight="false" outlineLevel="0" collapsed="false">
      <c r="A23" s="5" t="s">
        <v>211</v>
      </c>
      <c r="B23" s="5" t="s">
        <v>289</v>
      </c>
    </row>
    <row r="24" customFormat="false" ht="15" hidden="false" customHeight="false" outlineLevel="0" collapsed="false">
      <c r="A24" s="5" t="s">
        <v>199</v>
      </c>
      <c r="B24" s="5" t="s">
        <v>290</v>
      </c>
    </row>
    <row r="26" customFormat="false" ht="15" hidden="false" customHeight="false" outlineLevel="0" collapsed="false">
      <c r="A26" s="3" t="s">
        <v>291</v>
      </c>
    </row>
    <row r="27" customFormat="false" ht="15" hidden="false" customHeight="false" outlineLevel="0" collapsed="false">
      <c r="A27" s="4" t="s">
        <v>292</v>
      </c>
      <c r="B27" s="4" t="s">
        <v>293</v>
      </c>
      <c r="C27" s="4" t="s">
        <v>294</v>
      </c>
    </row>
    <row r="28" customFormat="false" ht="23.85" hidden="false" customHeight="false" outlineLevel="0" collapsed="false">
      <c r="A28" s="5" t="s">
        <v>168</v>
      </c>
      <c r="B28" s="5" t="s">
        <v>295</v>
      </c>
      <c r="C28" s="5" t="s">
        <v>296</v>
      </c>
    </row>
    <row r="29" customFormat="false" ht="23.85" hidden="false" customHeight="false" outlineLevel="0" collapsed="false">
      <c r="A29" s="5" t="s">
        <v>173</v>
      </c>
      <c r="B29" s="5" t="s">
        <v>297</v>
      </c>
      <c r="C29" s="5" t="s">
        <v>298</v>
      </c>
    </row>
    <row r="30" customFormat="false" ht="35.05" hidden="false" customHeight="false" outlineLevel="0" collapsed="false">
      <c r="A30" s="5" t="s">
        <v>181</v>
      </c>
      <c r="B30" s="5" t="s">
        <v>299</v>
      </c>
      <c r="C30" s="5" t="s">
        <v>300</v>
      </c>
    </row>
    <row r="31" customFormat="false" ht="15" hidden="false" customHeight="false" outlineLevel="0" collapsed="false">
      <c r="A31" s="5" t="s">
        <v>188</v>
      </c>
      <c r="B31" s="5" t="s">
        <v>164</v>
      </c>
      <c r="C31" s="5" t="s">
        <v>301</v>
      </c>
    </row>
    <row r="32" customFormat="false" ht="15" hidden="false" customHeight="false" outlineLevel="0" collapsed="false">
      <c r="A32" s="5" t="s">
        <v>219</v>
      </c>
      <c r="B32" s="5" t="s">
        <v>302</v>
      </c>
      <c r="C32" s="5" t="s">
        <v>303</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22"/>
    <col collapsed="false" customWidth="true" hidden="false" outlineLevel="0" max="6" min="6" style="0" width="34"/>
    <col collapsed="false" customWidth="true" hidden="false" outlineLevel="0" max="7" min="7" style="0" width="14"/>
  </cols>
  <sheetData>
    <row r="1" customFormat="false" ht="19.7" hidden="false" customHeight="false" outlineLevel="0" collapsed="false">
      <c r="A1" s="1" t="s">
        <v>304</v>
      </c>
    </row>
    <row r="2" customFormat="false" ht="15" hidden="false" customHeight="false" outlineLevel="0" collapsed="false">
      <c r="A2" s="8" t="s">
        <v>305</v>
      </c>
      <c r="B2" s="8"/>
      <c r="C2" s="8"/>
      <c r="D2" s="8"/>
      <c r="E2" s="8"/>
      <c r="F2" s="8"/>
      <c r="G2" s="8"/>
      <c r="H2" s="8"/>
    </row>
    <row r="4" customFormat="false" ht="15" hidden="false" customHeight="false" outlineLevel="0" collapsed="false">
      <c r="A4" s="3" t="s">
        <v>306</v>
      </c>
    </row>
    <row r="5" customFormat="false" ht="15" hidden="false" customHeight="false" outlineLevel="0" collapsed="false">
      <c r="A5" s="4" t="s">
        <v>307</v>
      </c>
      <c r="B5" s="4" t="s">
        <v>308</v>
      </c>
      <c r="C5" s="4" t="s">
        <v>309</v>
      </c>
      <c r="D5" s="4" t="s">
        <v>310</v>
      </c>
      <c r="E5" s="4" t="s">
        <v>311</v>
      </c>
      <c r="F5" s="4" t="s">
        <v>312</v>
      </c>
      <c r="G5" s="4" t="s">
        <v>313</v>
      </c>
      <c r="H5" s="4" t="s">
        <v>314</v>
      </c>
    </row>
    <row r="6" customFormat="false" ht="15" hidden="false" customHeight="false" outlineLevel="0" collapsed="false">
      <c r="A6" s="7" t="n">
        <f aca="false">COUNTA(02_KICH_BAN_NODES!B5:B20)</f>
        <v>16</v>
      </c>
      <c r="B6" s="7" t="n">
        <f aca="false">COUNTIF(02_KICH_BAN_NODES!D5:D20,"scene")</f>
        <v>3</v>
      </c>
      <c r="C6" s="7" t="n">
        <f aca="false">COUNTIF(02_KICH_BAN_NODES!D5:D20,"say")</f>
        <v>5</v>
      </c>
      <c r="D6" s="7" t="n">
        <f aca="false">COUNTIF(02_KICH_BAN_NODES!D5:D20,"choice")</f>
        <v>4</v>
      </c>
      <c r="E6" s="7" t="n">
        <f aca="false">COUNTIF(02_KICH_BAN_NODES!D5:D20,"act")</f>
        <v>3</v>
      </c>
      <c r="F6" s="7" t="n">
        <f aca="false">COUNTIF(02_KICH_BAN_NODES!D5:D20,"end")</f>
        <v>1</v>
      </c>
      <c r="G6" s="7" t="n">
        <f aca="false">COUNTIF(02_KICH_BAN_NODES!M5:M20,"CẦN SỬA")</f>
        <v>0</v>
      </c>
      <c r="H6" s="7" t="n">
        <f aca="false">COUNTIF(03_LUA_CHON!J5:J16,"CẦN SỬA")</f>
        <v>0</v>
      </c>
    </row>
    <row r="8" customFormat="false" ht="15" hidden="false" customHeight="false" outlineLevel="0" collapsed="false">
      <c r="A8" s="3" t="s">
        <v>315</v>
      </c>
    </row>
    <row r="9" customFormat="false" ht="15" hidden="false" customHeight="false" outlineLevel="0" collapsed="false">
      <c r="A9" s="4" t="s">
        <v>316</v>
      </c>
      <c r="B9" s="4" t="s">
        <v>85</v>
      </c>
      <c r="C9" s="4" t="s">
        <v>317</v>
      </c>
      <c r="D9" s="4" t="s">
        <v>75</v>
      </c>
    </row>
    <row r="10" customFormat="false" ht="23.85" hidden="false" customHeight="false" outlineLevel="0" collapsed="false">
      <c r="A10" s="5" t="s">
        <v>318</v>
      </c>
      <c r="B10" s="5" t="n">
        <f aca="false">F6</f>
        <v>1</v>
      </c>
      <c r="C10" s="5" t="str">
        <f aca="false">IF(F6=1,"HỢP LỆ","CẦN SỬA")</f>
        <v>HỢP LỆ</v>
      </c>
      <c r="D10" s="5" t="s">
        <v>319</v>
      </c>
    </row>
    <row r="11" customFormat="false" ht="23.85" hidden="false" customHeight="false" outlineLevel="0" collapsed="false">
      <c r="A11" s="5" t="s">
        <v>320</v>
      </c>
      <c r="B11" s="5" t="n">
        <f aca="false">G6</f>
        <v>0</v>
      </c>
      <c r="C11" s="5" t="str">
        <f aca="false">IF(G6=0,"HỢP LỆ","CẦN SỬA")</f>
        <v>HỢP LỆ</v>
      </c>
      <c r="D11" s="5" t="s">
        <v>321</v>
      </c>
    </row>
    <row r="12" customFormat="false" ht="23.85" hidden="false" customHeight="false" outlineLevel="0" collapsed="false">
      <c r="A12" s="5" t="s">
        <v>322</v>
      </c>
      <c r="B12" s="5" t="n">
        <f aca="false">H6</f>
        <v>0</v>
      </c>
      <c r="C12" s="5" t="str">
        <f aca="false">IF(H6=0,"HỢP LỆ","CẦN SỬA")</f>
        <v>HỢP LỆ</v>
      </c>
      <c r="D12" s="5" t="s">
        <v>323</v>
      </c>
    </row>
    <row r="13" customFormat="false" ht="35.05" hidden="false" customHeight="false" outlineLevel="0" collapsed="false">
      <c r="A13" s="5" t="s">
        <v>324</v>
      </c>
      <c r="B13" s="5" t="n">
        <f aca="false">B6</f>
        <v>3</v>
      </c>
      <c r="C13" s="5" t="str">
        <f aca="false">IF(AND(B6&gt;=2,B6&lt;=4),"HỢP LỆ","NGOÀI KHOẢNG - CẦN REVIEWER")</f>
        <v>HỢP LỆ</v>
      </c>
      <c r="D13" s="5" t="s">
        <v>325</v>
      </c>
    </row>
    <row r="14" customFormat="false" ht="23.85" hidden="false" customHeight="false" outlineLevel="0" collapsed="false">
      <c r="A14" s="5" t="s">
        <v>326</v>
      </c>
      <c r="B14" s="5"/>
      <c r="C14" s="5" t="str">
        <f aca="false">01_THONG_TIN_Game!C22</f>
        <v>CHƯA SẴN SÀNG</v>
      </c>
      <c r="D14" s="5" t="s">
        <v>327</v>
      </c>
    </row>
    <row r="15" customFormat="false" ht="23.85" hidden="false" customHeight="false" outlineLevel="0" collapsed="false">
      <c r="A15" s="5" t="s">
        <v>328</v>
      </c>
      <c r="B15" s="7" t="str">
        <f aca="false">IF(AND(C10="HỢP LỆ",C11="HỢP LỆ",C12="HỢP LỆ",C14="SẴN SÀNG"),"SẴN SÀNG","CHƯA SẴN SÀNG")</f>
        <v>CHƯA SẴN SÀNG</v>
      </c>
      <c r="C15" s="7" t="str">
        <f aca="false">IF(B15="SẴN SÀNG","SẴN SÀNG","CHƯA SẴN SÀNG")</f>
        <v>CHƯA SẴN SÀNG</v>
      </c>
      <c r="D15" s="5" t="s">
        <v>329</v>
      </c>
    </row>
    <row r="17" customFormat="false" ht="15" hidden="false" customHeight="false" outlineLevel="0" collapsed="false">
      <c r="A17" s="3" t="s">
        <v>330</v>
      </c>
    </row>
    <row r="18" customFormat="false" ht="15" hidden="false" customHeight="false" outlineLevel="0" collapsed="false">
      <c r="A18" s="4" t="s">
        <v>331</v>
      </c>
      <c r="B18" s="4" t="s">
        <v>158</v>
      </c>
      <c r="C18" s="4" t="s">
        <v>332</v>
      </c>
      <c r="D18" s="4" t="s">
        <v>333</v>
      </c>
      <c r="E18" s="4" t="s">
        <v>146</v>
      </c>
      <c r="F18" s="4" t="s">
        <v>334</v>
      </c>
    </row>
    <row r="19" customFormat="false" ht="15" hidden="false" customHeight="false" outlineLevel="0" collapsed="false">
      <c r="A19" s="7" t="s">
        <v>180</v>
      </c>
      <c r="B19" s="7" t="str">
        <f aca="false">INDEX(02_KICH_BAN_NODES!E5:E20,MATCH("N004",02_KICH_BAN_NODES!B5:B20,0))</f>
        <v>Kiến thức</v>
      </c>
      <c r="C19" s="7" t="n">
        <f aca="false">COUNTIF(03_LUA_CHON!A5:A16,"N004")</f>
        <v>3</v>
      </c>
      <c r="D19" s="7" t="n">
        <f aca="false">COUNTIFS(03_LUA_CHON!A5:A16,"N004",03_LUA_CHON!D5:D16,"Có")</f>
        <v>1</v>
      </c>
      <c r="E19" s="7" t="str">
        <f aca="false">IF(AND(C19&gt;=2,C19&lt;=4,D19=1),"HỢP LỆ","CẦN SỬA")</f>
        <v>HỢP LỆ</v>
      </c>
      <c r="F19" s="7"/>
    </row>
    <row r="20" customFormat="false" ht="15" hidden="false" customHeight="false" outlineLevel="0" collapsed="false">
      <c r="A20" s="7" t="s">
        <v>185</v>
      </c>
      <c r="B20" s="7" t="str">
        <f aca="false">INDEX(02_KICH_BAN_NODES!E5:E20,MATCH("N005",02_KICH_BAN_NODES!B5:B20,0))</f>
        <v>Kiến thức</v>
      </c>
      <c r="C20" s="7" t="n">
        <f aca="false">COUNTIF(03_LUA_CHON!A5:A16,"N005")</f>
        <v>3</v>
      </c>
      <c r="D20" s="7" t="n">
        <f aca="false">COUNTIFS(03_LUA_CHON!A5:A16,"N005",03_LUA_CHON!D5:D16,"Có")</f>
        <v>1</v>
      </c>
      <c r="E20" s="7" t="str">
        <f aca="false">IF(AND(C20&gt;=2,C20&lt;=4,D20=1),"HỢP LỆ","CẦN SỬA")</f>
        <v>HỢP LỆ</v>
      </c>
      <c r="F20" s="7"/>
    </row>
    <row r="21" customFormat="false" ht="15" hidden="false" customHeight="false" outlineLevel="0" collapsed="false">
      <c r="A21" s="7" t="s">
        <v>197</v>
      </c>
      <c r="B21" s="7" t="str">
        <f aca="false">INDEX(02_KICH_BAN_NODES!E5:E20,MATCH("N009",02_KICH_BAN_NODES!B5:B20,0))</f>
        <v>Kiến thức</v>
      </c>
      <c r="C21" s="7" t="n">
        <f aca="false">COUNTIF(03_LUA_CHON!A5:A16,"N009")</f>
        <v>3</v>
      </c>
      <c r="D21" s="7" t="n">
        <f aca="false">COUNTIFS(03_LUA_CHON!A5:A16,"N009",03_LUA_CHON!D5:D16,"Có")</f>
        <v>1</v>
      </c>
      <c r="E21" s="7" t="str">
        <f aca="false">IF(AND(C21&gt;=2,C21&lt;=4,D21=1),"HỢP LỆ","CẦN SỬA")</f>
        <v>HỢP LỆ</v>
      </c>
      <c r="F21" s="7"/>
    </row>
    <row r="22" customFormat="false" ht="15" hidden="false" customHeight="false" outlineLevel="0" collapsed="false">
      <c r="A22" s="7" t="s">
        <v>213</v>
      </c>
      <c r="B22" s="7" t="str">
        <f aca="false">INDEX(02_KICH_BAN_NODES!E5:E20,MATCH("N014",02_KICH_BAN_NODES!B5:B20,0))</f>
        <v>Kiến thức</v>
      </c>
      <c r="C22" s="7" t="n">
        <f aca="false">COUNTIF(03_LUA_CHON!A5:A16,"N014")</f>
        <v>3</v>
      </c>
      <c r="D22" s="7" t="n">
        <f aca="false">COUNTIFS(03_LUA_CHON!A5:A16,"N014",03_LUA_CHON!D5:D16,"Có")</f>
        <v>1</v>
      </c>
      <c r="E22" s="7" t="str">
        <f aca="false">IF(AND(C22&gt;=2,C22&lt;=4,D22=1),"HỢP LỆ","CẦN SỬA")</f>
        <v>HỢP LỆ</v>
      </c>
      <c r="F22" s="7"/>
    </row>
    <row r="24" customFormat="false" ht="15" hidden="false" customHeight="false" outlineLevel="0" collapsed="false">
      <c r="A24" s="3" t="s">
        <v>335</v>
      </c>
    </row>
    <row r="25" customFormat="false" ht="15" hidden="false" customHeight="false" outlineLevel="0" collapsed="false">
      <c r="A25" s="4" t="s">
        <v>336</v>
      </c>
      <c r="B25" s="4" t="s">
        <v>337</v>
      </c>
    </row>
    <row r="26" customFormat="false" ht="15" hidden="false" customHeight="false" outlineLevel="0" collapsed="false">
      <c r="A26" s="5" t="s">
        <v>338</v>
      </c>
      <c r="B26" s="6" t="s">
        <v>339</v>
      </c>
    </row>
    <row r="27" customFormat="false" ht="15" hidden="false" customHeight="false" outlineLevel="0" collapsed="false">
      <c r="A27" s="5" t="s">
        <v>340</v>
      </c>
      <c r="B27" s="6" t="s">
        <v>339</v>
      </c>
    </row>
    <row r="28" customFormat="false" ht="15" hidden="false" customHeight="false" outlineLevel="0" collapsed="false">
      <c r="A28" s="5" t="s">
        <v>341</v>
      </c>
      <c r="B28" s="6" t="s">
        <v>339</v>
      </c>
    </row>
    <row r="29" customFormat="false" ht="23.85" hidden="false" customHeight="false" outlineLevel="0" collapsed="false">
      <c r="A29" s="5" t="s">
        <v>342</v>
      </c>
      <c r="B29" s="6" t="s">
        <v>339</v>
      </c>
    </row>
    <row r="30" customFormat="false" ht="15" hidden="false" customHeight="false" outlineLevel="0" collapsed="false">
      <c r="A30" s="5" t="s">
        <v>343</v>
      </c>
      <c r="B30" s="6" t="s">
        <v>339</v>
      </c>
    </row>
    <row r="31" customFormat="false" ht="23.85" hidden="false" customHeight="false" outlineLevel="0" collapsed="false">
      <c r="A31" s="5" t="s">
        <v>344</v>
      </c>
      <c r="B31" s="6" t="s">
        <v>339</v>
      </c>
    </row>
    <row r="32" customFormat="false" ht="23.85" hidden="false" customHeight="false" outlineLevel="0" collapsed="false">
      <c r="A32" s="5" t="s">
        <v>345</v>
      </c>
      <c r="B32" s="6" t="s">
        <v>339</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0"/>
    <col collapsed="false" customWidth="true" hidden="false" outlineLevel="0" max="4" min="4" style="0" width="24"/>
    <col collapsed="false" customWidth="true" hidden="false" outlineLevel="0" max="5" min="5" style="0" width="20"/>
    <col collapsed="false" customWidth="true" hidden="false" outlineLevel="0" max="6" min="6" style="0" width="30"/>
    <col collapsed="false" customWidth="true" hidden="false" outlineLevel="0" max="8" min="7" style="0" width="20"/>
  </cols>
  <sheetData>
    <row r="1" customFormat="false" ht="19.7" hidden="false" customHeight="false" outlineLevel="0" collapsed="false">
      <c r="A1" s="1" t="s">
        <v>346</v>
      </c>
    </row>
    <row r="2" customFormat="false" ht="15" hidden="false" customHeight="false" outlineLevel="0" collapsed="false">
      <c r="A2" s="8" t="s">
        <v>347</v>
      </c>
      <c r="B2" s="8"/>
      <c r="C2" s="8"/>
      <c r="D2" s="8"/>
      <c r="E2" s="8"/>
      <c r="F2" s="8"/>
    </row>
    <row r="4" customFormat="false" ht="15" hidden="false" customHeight="false" outlineLevel="0" collapsed="false">
      <c r="A4" s="3" t="s">
        <v>348</v>
      </c>
    </row>
    <row r="5" customFormat="false" ht="15" hidden="false" customHeight="false" outlineLevel="0" collapsed="false">
      <c r="A5" s="4" t="s">
        <v>349</v>
      </c>
      <c r="B5" s="4" t="s">
        <v>350</v>
      </c>
      <c r="C5" s="4" t="s">
        <v>351</v>
      </c>
      <c r="D5" s="4" t="s">
        <v>49</v>
      </c>
      <c r="E5" s="4" t="s">
        <v>147</v>
      </c>
    </row>
    <row r="6" customFormat="false" ht="23.85" hidden="false" customHeight="false" outlineLevel="0" collapsed="false">
      <c r="A6" s="5" t="s">
        <v>352</v>
      </c>
      <c r="B6" s="5" t="s">
        <v>95</v>
      </c>
      <c r="C6" s="5" t="s">
        <v>353</v>
      </c>
      <c r="D6" s="5" t="s">
        <v>96</v>
      </c>
      <c r="E6" s="5" t="s">
        <v>354</v>
      </c>
    </row>
    <row r="7" customFormat="false" ht="23.85" hidden="false" customHeight="false" outlineLevel="0" collapsed="false">
      <c r="A7" s="5" t="s">
        <v>355</v>
      </c>
      <c r="B7" s="5" t="s">
        <v>100</v>
      </c>
      <c r="C7" s="5" t="s">
        <v>356</v>
      </c>
      <c r="D7" s="5" t="s">
        <v>96</v>
      </c>
      <c r="E7" s="5" t="s">
        <v>357</v>
      </c>
    </row>
    <row r="8" customFormat="false" ht="15" hidden="false" customHeight="false" outlineLevel="0" collapsed="false">
      <c r="A8" s="5" t="s">
        <v>358</v>
      </c>
      <c r="B8" s="5" t="s">
        <v>104</v>
      </c>
      <c r="C8" s="5" t="s">
        <v>359</v>
      </c>
      <c r="D8" s="5" t="s">
        <v>96</v>
      </c>
      <c r="E8" s="5" t="s">
        <v>360</v>
      </c>
    </row>
    <row r="9" customFormat="false" ht="15" hidden="false" customHeight="false" outlineLevel="0" collapsed="false">
      <c r="A9" s="5" t="s">
        <v>361</v>
      </c>
      <c r="B9" s="5" t="s">
        <v>362</v>
      </c>
      <c r="C9" s="5" t="s">
        <v>363</v>
      </c>
      <c r="D9" s="5" t="s">
        <v>96</v>
      </c>
      <c r="E9" s="5" t="s">
        <v>364</v>
      </c>
    </row>
    <row r="10" customFormat="false" ht="15" hidden="false" customHeight="false" outlineLevel="0" collapsed="false">
      <c r="A10" s="5" t="s">
        <v>365</v>
      </c>
      <c r="B10" s="5" t="s">
        <v>366</v>
      </c>
      <c r="C10" s="5" t="s">
        <v>367</v>
      </c>
      <c r="D10" s="5" t="s">
        <v>96</v>
      </c>
      <c r="E10" s="5" t="s">
        <v>368</v>
      </c>
    </row>
    <row r="12" customFormat="false" ht="15" hidden="false" customHeight="false" outlineLevel="0" collapsed="false">
      <c r="A12" s="3" t="s">
        <v>369</v>
      </c>
    </row>
    <row r="13" customFormat="false" ht="15" hidden="false" customHeight="false" outlineLevel="0" collapsed="false">
      <c r="A13" s="4" t="s">
        <v>292</v>
      </c>
      <c r="B13" s="4" t="s">
        <v>370</v>
      </c>
      <c r="C13" s="4" t="s">
        <v>294</v>
      </c>
      <c r="D13" s="4" t="s">
        <v>371</v>
      </c>
      <c r="E13" s="4" t="s">
        <v>372</v>
      </c>
      <c r="F13" s="4" t="s">
        <v>70</v>
      </c>
      <c r="G13" s="4" t="s">
        <v>316</v>
      </c>
      <c r="H13" s="4" t="s">
        <v>147</v>
      </c>
    </row>
    <row r="14" customFormat="false" ht="15" hidden="false" customHeight="false" outlineLevel="0" collapsed="false">
      <c r="A14" s="5" t="s">
        <v>168</v>
      </c>
      <c r="B14" s="5" t="s">
        <v>373</v>
      </c>
      <c r="C14" s="5" t="s">
        <v>374</v>
      </c>
      <c r="D14" s="5" t="s">
        <v>136</v>
      </c>
      <c r="E14" s="5" t="s">
        <v>136</v>
      </c>
      <c r="F14" s="5" t="s">
        <v>375</v>
      </c>
      <c r="G14" s="5" t="s">
        <v>376</v>
      </c>
      <c r="H14" s="5" t="s">
        <v>377</v>
      </c>
    </row>
    <row r="15" customFormat="false" ht="23.85" hidden="false" customHeight="false" outlineLevel="0" collapsed="false">
      <c r="A15" s="5" t="s">
        <v>173</v>
      </c>
      <c r="B15" s="5" t="s">
        <v>378</v>
      </c>
      <c r="C15" s="5" t="s">
        <v>379</v>
      </c>
      <c r="D15" s="5" t="s">
        <v>380</v>
      </c>
      <c r="E15" s="5" t="s">
        <v>136</v>
      </c>
      <c r="F15" s="5" t="s">
        <v>375</v>
      </c>
      <c r="G15" s="5" t="s">
        <v>381</v>
      </c>
      <c r="H15" s="5" t="s">
        <v>382</v>
      </c>
    </row>
    <row r="16" customFormat="false" ht="23.85" hidden="false" customHeight="false" outlineLevel="0" collapsed="false">
      <c r="A16" s="5" t="s">
        <v>181</v>
      </c>
      <c r="B16" s="5" t="s">
        <v>383</v>
      </c>
      <c r="C16" s="5" t="s">
        <v>384</v>
      </c>
      <c r="D16" s="5" t="s">
        <v>136</v>
      </c>
      <c r="E16" s="5" t="s">
        <v>385</v>
      </c>
      <c r="F16" s="5" t="s">
        <v>386</v>
      </c>
      <c r="G16" s="5" t="s">
        <v>387</v>
      </c>
      <c r="H16" s="5" t="s">
        <v>388</v>
      </c>
    </row>
    <row r="17" customFormat="false" ht="15" hidden="false" customHeight="false" outlineLevel="0" collapsed="false">
      <c r="A17" s="5" t="s">
        <v>188</v>
      </c>
      <c r="B17" s="5" t="s">
        <v>164</v>
      </c>
      <c r="C17" s="5" t="s">
        <v>389</v>
      </c>
      <c r="D17" s="5" t="s">
        <v>136</v>
      </c>
      <c r="E17" s="5" t="s">
        <v>136</v>
      </c>
      <c r="F17" s="5" t="s">
        <v>375</v>
      </c>
      <c r="G17" s="5" t="s">
        <v>390</v>
      </c>
      <c r="H17" s="5" t="s">
        <v>391</v>
      </c>
    </row>
    <row r="18" customFormat="false" ht="15" hidden="false" customHeight="false" outlineLevel="0" collapsed="false">
      <c r="A18" s="5" t="s">
        <v>219</v>
      </c>
      <c r="B18" s="5" t="s">
        <v>392</v>
      </c>
      <c r="C18" s="5" t="s">
        <v>393</v>
      </c>
      <c r="D18" s="5" t="s">
        <v>394</v>
      </c>
      <c r="E18" s="5" t="s">
        <v>136</v>
      </c>
      <c r="F18" s="5" t="s">
        <v>375</v>
      </c>
      <c r="G18" s="5" t="s">
        <v>395</v>
      </c>
      <c r="H18" s="5" t="s">
        <v>396</v>
      </c>
    </row>
    <row r="20" customFormat="false" ht="15" hidden="false" customHeight="false" outlineLevel="0" collapsed="false">
      <c r="A20" s="3" t="s">
        <v>397</v>
      </c>
    </row>
    <row r="21" customFormat="false" ht="15" hidden="false" customHeight="false" outlineLevel="0" collapsed="false">
      <c r="A21" s="4" t="s">
        <v>398</v>
      </c>
      <c r="B21" s="4" t="s">
        <v>399</v>
      </c>
      <c r="C21" s="4" t="s">
        <v>44</v>
      </c>
      <c r="D21" s="4" t="s">
        <v>93</v>
      </c>
      <c r="E21" s="4" t="s">
        <v>49</v>
      </c>
      <c r="F21" s="4" t="s">
        <v>400</v>
      </c>
    </row>
    <row r="22" customFormat="false" ht="23.85" hidden="false" customHeight="false" outlineLevel="0" collapsed="false">
      <c r="A22" s="5" t="s">
        <v>401</v>
      </c>
      <c r="B22" s="5" t="s">
        <v>402</v>
      </c>
      <c r="C22" s="5" t="s">
        <v>403</v>
      </c>
      <c r="D22" s="5" t="s">
        <v>404</v>
      </c>
      <c r="E22" s="5" t="s">
        <v>96</v>
      </c>
      <c r="F22" s="5" t="s">
        <v>405</v>
      </c>
    </row>
    <row r="23" customFormat="false" ht="23.85" hidden="false" customHeight="false" outlineLevel="0" collapsed="false">
      <c r="A23" s="5" t="s">
        <v>406</v>
      </c>
      <c r="B23" s="5" t="s">
        <v>407</v>
      </c>
      <c r="C23" s="5" t="s">
        <v>408</v>
      </c>
      <c r="D23" s="5" t="s">
        <v>409</v>
      </c>
      <c r="E23" s="5" t="s">
        <v>96</v>
      </c>
      <c r="F23" s="5" t="s">
        <v>410</v>
      </c>
    </row>
    <row r="24" customFormat="false" ht="15" hidden="false" customHeight="false" outlineLevel="0" collapsed="false">
      <c r="A24" s="5" t="s">
        <v>227</v>
      </c>
      <c r="B24" s="5" t="s">
        <v>227</v>
      </c>
      <c r="C24" s="5" t="s">
        <v>411</v>
      </c>
      <c r="D24" s="5" t="s">
        <v>412</v>
      </c>
      <c r="E24" s="5" t="s">
        <v>136</v>
      </c>
      <c r="F24" s="5" t="s">
        <v>413</v>
      </c>
    </row>
    <row r="25" customFormat="false" ht="15" hidden="false" customHeight="false" outlineLevel="0" collapsed="false">
      <c r="A25" s="5" t="s">
        <v>414</v>
      </c>
      <c r="B25" s="5" t="s">
        <v>415</v>
      </c>
      <c r="C25" s="5" t="s">
        <v>416</v>
      </c>
      <c r="D25" s="5" t="s">
        <v>177</v>
      </c>
      <c r="E25" s="5" t="s">
        <v>96</v>
      </c>
      <c r="F25" s="5" t="s">
        <v>417</v>
      </c>
    </row>
    <row r="26" customFormat="false" ht="15" hidden="false" customHeight="false" outlineLevel="0" collapsed="false">
      <c r="A26" s="5" t="s">
        <v>229</v>
      </c>
      <c r="B26" s="5" t="s">
        <v>418</v>
      </c>
      <c r="C26" s="5" t="s">
        <v>419</v>
      </c>
      <c r="D26" s="5" t="s">
        <v>232</v>
      </c>
      <c r="E26" s="5" t="s">
        <v>136</v>
      </c>
      <c r="F26" s="5" t="s">
        <v>420</v>
      </c>
    </row>
    <row r="27" customFormat="false" ht="15" hidden="false" customHeight="false" outlineLevel="0" collapsed="false">
      <c r="A27" s="5" t="s">
        <v>421</v>
      </c>
      <c r="B27" s="5" t="s">
        <v>422</v>
      </c>
      <c r="C27" s="5" t="s">
        <v>423</v>
      </c>
      <c r="D27" s="5" t="s">
        <v>424</v>
      </c>
      <c r="E27" s="5" t="s">
        <v>96</v>
      </c>
      <c r="F27" s="5" t="s">
        <v>425</v>
      </c>
    </row>
    <row r="29" customFormat="false" ht="15" hidden="false" customHeight="false" outlineLevel="0" collapsed="false">
      <c r="A29" s="3" t="s">
        <v>426</v>
      </c>
    </row>
    <row r="30" customFormat="false" ht="15" hidden="false" customHeight="false" outlineLevel="0" collapsed="false">
      <c r="A30" s="4" t="s">
        <v>3</v>
      </c>
      <c r="B30" s="4" t="s">
        <v>427</v>
      </c>
      <c r="C30" s="4" t="s">
        <v>428</v>
      </c>
    </row>
    <row r="31" customFormat="false" ht="23.85" hidden="false" customHeight="false" outlineLevel="0" collapsed="false">
      <c r="A31" s="5" t="n">
        <v>1</v>
      </c>
      <c r="B31" s="5" t="s">
        <v>429</v>
      </c>
      <c r="C31" s="5" t="s">
        <v>430</v>
      </c>
    </row>
    <row r="32" customFormat="false" ht="23.85" hidden="false" customHeight="false" outlineLevel="0" collapsed="false">
      <c r="A32" s="5" t="n">
        <v>2</v>
      </c>
      <c r="B32" s="5" t="s">
        <v>431</v>
      </c>
      <c r="C32" s="5" t="s">
        <v>432</v>
      </c>
    </row>
    <row r="33" customFormat="false" ht="23.85" hidden="false" customHeight="false" outlineLevel="0" collapsed="false">
      <c r="A33" s="5" t="n">
        <v>3</v>
      </c>
      <c r="B33" s="5" t="s">
        <v>433</v>
      </c>
      <c r="C33" s="5" t="s">
        <v>434</v>
      </c>
    </row>
    <row r="34" customFormat="false" ht="23.85" hidden="false" customHeight="false" outlineLevel="0" collapsed="false">
      <c r="A34" s="5" t="n">
        <v>4</v>
      </c>
      <c r="B34" s="5" t="s">
        <v>435</v>
      </c>
      <c r="C34" s="5" t="s">
        <v>436</v>
      </c>
    </row>
    <row r="35" customFormat="false" ht="23.85" hidden="false" customHeight="false" outlineLevel="0" collapsed="false">
      <c r="A35" s="5" t="n">
        <v>5</v>
      </c>
      <c r="B35" s="5" t="s">
        <v>437</v>
      </c>
      <c r="C35" s="5" t="s">
        <v>438</v>
      </c>
    </row>
    <row r="36" customFormat="false" ht="23.85" hidden="false" customHeight="false" outlineLevel="0" collapsed="false">
      <c r="A36" s="5" t="n">
        <v>6</v>
      </c>
      <c r="B36" s="5" t="s">
        <v>439</v>
      </c>
      <c r="C36" s="5" t="s">
        <v>440</v>
      </c>
    </row>
    <row r="37" customFormat="false" ht="23.85" hidden="false" customHeight="false" outlineLevel="0" collapsed="false">
      <c r="A37" s="5" t="n">
        <v>7</v>
      </c>
      <c r="B37" s="5" t="s">
        <v>441</v>
      </c>
      <c r="C37" s="5" t="s">
        <v>442</v>
      </c>
    </row>
    <row r="39" customFormat="false" ht="15" hidden="false" customHeight="false" outlineLevel="0" collapsed="false">
      <c r="A39" s="3" t="s">
        <v>443</v>
      </c>
    </row>
    <row r="40" customFormat="false" ht="23.85" hidden="false" customHeight="false" outlineLevel="0" collapsed="false">
      <c r="A40" s="4" t="s">
        <v>444</v>
      </c>
      <c r="B40" s="4" t="s">
        <v>445</v>
      </c>
    </row>
    <row r="41" customFormat="false" ht="23.85" hidden="false" customHeight="false" outlineLevel="0" collapsed="false">
      <c r="A41" s="5" t="s">
        <v>168</v>
      </c>
      <c r="B41" s="5" t="s">
        <v>446</v>
      </c>
    </row>
    <row r="42" customFormat="false" ht="35.05" hidden="false" customHeight="false" outlineLevel="0" collapsed="false">
      <c r="A42" s="5" t="s">
        <v>173</v>
      </c>
      <c r="B42" s="5" t="s">
        <v>447</v>
      </c>
    </row>
    <row r="43" customFormat="false" ht="35.05" hidden="false" customHeight="false" outlineLevel="0" collapsed="false">
      <c r="A43" s="5" t="s">
        <v>181</v>
      </c>
      <c r="B43" s="5" t="s">
        <v>448</v>
      </c>
    </row>
    <row r="44" customFormat="false" ht="15" hidden="false" customHeight="false" outlineLevel="0" collapsed="false">
      <c r="A44" s="5" t="s">
        <v>188</v>
      </c>
      <c r="B44" s="5" t="s">
        <v>449</v>
      </c>
    </row>
    <row r="45" customFormat="false" ht="15" hidden="false" customHeight="false" outlineLevel="0" collapsed="false">
      <c r="A45" s="5" t="s">
        <v>219</v>
      </c>
      <c r="B45" s="5" t="s">
        <v>303</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2026-07-12T06:43:21Z</dcterms:created>
  <dc:creator>openpyxl</dc:creator>
  <dc:description/>
  <dc:language>en-US</dc:language>
  <cp:lastModifiedBy/>
  <dcterms:modified xsi:type="dcterms:W3CDTF">2026-07-12T06:43:21Z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