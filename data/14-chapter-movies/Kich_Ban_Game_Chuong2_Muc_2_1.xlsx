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HUONG_DAN" sheetId="1" state="visible" r:id="rId3"/>
    <sheet name="01_THONG_TIN_Game" sheetId="2" state="visible" r:id="rId4"/>
    <sheet name="02_KICH_BAN_NODES" sheetId="3" state="visible" r:id="rId5"/>
    <sheet name="03_LUA_CHON" sheetId="4" state="visible" r:id="rId6"/>
    <sheet name="04_DANH_MUC" sheetId="5" state="visible" r:id="rId7"/>
    <sheet name="05_KIEM_TRA_QA" sheetId="6" state="visible" r:id="rId8"/>
    <sheet name="06_DEV_MAPPIN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<sst xmlns="http://schemas.openxmlformats.org/spreadsheetml/2006/main" count="802" uniqueCount="503">
  <si>
    <t xml:space="preserve">MẪU NHẬP KỊCH BẢN GAME TƯƠNG TÁC</t>
  </si>
  <si>
    <t xml:space="preserve">Workbook chuẩn hóa cấu trúc từ 15-movie-template.ts. Team tài liệu nhập ô màu vàng; team dev dùng các bảng dữ liệu đã chuẩn hóa để dựng mảng script JSON/TypeScript và upsert movie.</t>
  </si>
  <si>
    <t xml:space="preserve">1. QUY TRÌNH SỬ DỤNG</t>
  </si>
  <si>
    <t xml:space="preserve">Bước</t>
  </si>
  <si>
    <t xml:space="preserve">Người thực hiện</t>
  </si>
  <si>
    <t xml:space="preserve">Thao tác</t>
  </si>
  <si>
    <t xml:space="preserve">Kết quả cần đạt</t>
  </si>
  <si>
    <t xml:space="preserve">Không được làm</t>
  </si>
  <si>
    <t xml:space="preserve">Team tài liệu</t>
  </si>
  <si>
    <t xml:space="preserve">Điền 01_THONG_TIN_Game</t>
  </si>
  <si>
    <t xml:space="preserve">Đủ mã chương, mục, tiêu đề và thông tin seed</t>
  </si>
  <si>
    <t xml:space="preserve">Không đổi tên trường kỹ thuật</t>
  </si>
  <si>
    <t xml:space="preserve">Điền 02_KICH_BAN_NODES theo NodeOrder</t>
  </si>
  <si>
    <t xml:space="preserve">Mỗi dòng là 1 scene/say/choice/act/end</t>
  </si>
  <si>
    <t xml:space="preserve">Không gộp nhiều node trong một dòng</t>
  </si>
  <si>
    <t xml:space="preserve">Điền 03_LUA_CHON theo ChoiceNodeId</t>
  </si>
  <si>
    <t xml:space="preserve">Mỗi choice có 2-4 phương án và đúng quy tắc ChoiceMode</t>
  </si>
  <si>
    <t xml:space="preserve">Không bỏ phản hồi phương án</t>
  </si>
  <si>
    <t xml:space="preserve">Reviewer</t>
  </si>
  <si>
    <t xml:space="preserve">Kiểm tra 05_KIEM_TRA_QA</t>
  </si>
  <si>
    <t xml:space="preserve">Không còn lỗi cấu trúc; checklist chuyên môn đạt</t>
  </si>
  <si>
    <t xml:space="preserve">Không bàn giao khi còn CẦN SỬA</t>
  </si>
  <si>
    <t xml:space="preserve">Team dev</t>
  </si>
  <si>
    <t xml:space="preserve">Chuyển đổi theo 06_DEV_MAPPING</t>
  </si>
  <si>
    <t xml:space="preserve">Seed chạy được và upsert theo muc</t>
  </si>
  <si>
    <t xml:space="preserve">Không tự thay đổi nội dung chuyên môn</t>
  </si>
  <si>
    <t xml:space="preserve">2. QUY ƯỚC MÀU VÀ TRẠNG THÁI</t>
  </si>
  <si>
    <t xml:space="preserve">Màu/Trạng thái</t>
  </si>
  <si>
    <t xml:space="preserve">Ý nghĩa</t>
  </si>
  <si>
    <t xml:space="preserve">Hành động</t>
  </si>
  <si>
    <t xml:space="preserve">Ô màu vàng</t>
  </si>
  <si>
    <t xml:space="preserve">Dữ liệu team tài liệu được phép nhập/sửa</t>
  </si>
  <si>
    <t xml:space="preserve">Điền nội dung, không xóa tiêu đề cột</t>
  </si>
  <si>
    <t xml:space="preserve">Ô màu xám</t>
  </si>
  <si>
    <t xml:space="preserve">Công thức hoặc thông tin kỹ thuật</t>
  </si>
  <si>
    <t xml:space="preserve">Không sửa</t>
  </si>
  <si>
    <t xml:space="preserve">HỢP LỆ</t>
  </si>
  <si>
    <t xml:space="preserve">Dòng đạt kiểm tra cấu trúc cơ bản</t>
  </si>
  <si>
    <t xml:space="preserve">Chuyển sang review chuyên môn</t>
  </si>
  <si>
    <t xml:space="preserve">CẦN SỬA</t>
  </si>
  <si>
    <t xml:space="preserve">Thiếu dữ liệu, sai liên kết hoặc sai quy tắc</t>
  </si>
  <si>
    <t xml:space="preserve">Đọc cột Lỗi cấu trúc và chỉnh lại</t>
  </si>
  <si>
    <t xml:space="preserve">3. QUY TẮC NỘI DUNG BẮT BUỘC</t>
  </si>
  <si>
    <t xml:space="preserve">Nhóm</t>
  </si>
  <si>
    <t xml:space="preserve">Quy tắc</t>
  </si>
  <si>
    <t xml:space="preserve">Mức độ</t>
  </si>
  <si>
    <t xml:space="preserve">Lý do</t>
  </si>
  <si>
    <t xml:space="preserve">Cấu trúc game</t>
  </si>
  <si>
    <t xml:space="preserve">Thông thường 2-4 màn; mỗi màn bắt đầu bằng scene, kết thúc bằng act; toàn game có đúng 1 end.</t>
  </si>
  <si>
    <t xml:space="preserve">Bắt buộc</t>
  </si>
  <si>
    <t xml:space="preserve">Khớp ScriptNode trong template.</t>
  </si>
  <si>
    <t xml:space="preserve">Choice kiến thức</t>
  </si>
  <si>
    <t xml:space="preserve">ChoiceMode = Kiến thức: 2-4 phương án và đúng 1 IsCorrect = Có.</t>
  </si>
  <si>
    <t xml:space="preserve">Dùng để kiểm tra và chấm đúng/sai.</t>
  </si>
  <si>
    <t xml:space="preserve">Choice tương tác</t>
  </si>
  <si>
    <t xml:space="preserve">ChoiceMode = Tương tác: 2-4 phương án và không đánh dấu đáp án đúng; có thể dùng dc.</t>
  </si>
  <si>
    <t xml:space="preserve">Khớp các lựa chọn thái độ/thiện cảm trong kịch bản mẫu.</t>
  </si>
  <si>
    <t xml:space="preserve">Phản hồi</t>
  </si>
  <si>
    <t xml:space="preserve">Mọi phương án phải có ReplyText; phương án sai của câu kiến thức phải giải thích vì sao sai.</t>
  </si>
  <si>
    <t xml:space="preserve">Bảo đảm giá trị học tập.</t>
  </si>
  <si>
    <t xml:space="preserve">Nhân vật</t>
  </si>
  <si>
    <t xml:space="preserve">Chỉ dùng SpeakerKey trong danh mục; nhân vật mới phải được dev bổ sung vào CHARACTERS.</t>
  </si>
  <si>
    <t xml:space="preserve">Tránh key không tồn tại.</t>
  </si>
  <si>
    <t xml:space="preserve">Cảnh nền</t>
  </si>
  <si>
    <t xml:space="preserve">Chỉ dùng Background trong danh mục; cảnh mới cần asset/SVG được dev xác nhận.</t>
  </si>
  <si>
    <t xml:space="preserve">Tránh thiếu tài nguyên giao diện.</t>
  </si>
  <si>
    <t xml:space="preserve">Văn bản</t>
  </si>
  <si>
    <t xml:space="preserve">Không dùng HTML; câu hỏi không đánh đố; lời thoại tự nhiên, phù hợp vai trò.</t>
  </si>
  <si>
    <t xml:space="preserve">Khuyến nghị cao</t>
  </si>
  <si>
    <t xml:space="preserve">Theo nguyên tắc biên soạn của template.</t>
  </si>
  <si>
    <t xml:space="preserve">Thứ tự</t>
  </si>
  <si>
    <t xml:space="preserve">NodeOrder và NodeId phải duy nhất; option sắp xếp bằng OptionOrder.</t>
  </si>
  <si>
    <t xml:space="preserve">Bảo toàn thứ tự mảng script/opts.</t>
  </si>
  <si>
    <t xml:space="preserve">4. TRƯỜNG HỢP ĐẶC BIỆT</t>
  </si>
  <si>
    <t xml:space="preserve">Tình huống</t>
  </si>
  <si>
    <t xml:space="preserve">Cách xử lý</t>
  </si>
  <si>
    <t xml:space="preserve">Lời dẫn chuyện</t>
  </si>
  <si>
    <t xml:space="preserve">NodeType = say, SpeakerKey = narr, Mood để trống.</t>
  </si>
  <si>
    <t xml:space="preserve">Choice mở đầu kiểu “Bạn sẵn sàng chứ?”</t>
  </si>
  <si>
    <t xml:space="preserve">Chọn ChoiceMode = Tương tác; IsCorrect của mọi option = Không; dùng dc nếu cần.</t>
  </si>
  <si>
    <t xml:space="preserve">Thêm nhân vật/cảnh nền</t>
  </si>
  <si>
    <t xml:space="preserve">Bổ sung tại 04_DANH_MUC, ghi rõ cần dev bổ sung và chỉ dùng sau khi được duyệt.</t>
  </si>
  <si>
    <t xml:space="preserve">Điểm thiện cảm dc</t>
  </si>
  <si>
    <t xml:space="preserve">Nhập số nguyên dương/âm khi cần; để trống để dùng cơ chế mặc định.</t>
  </si>
  <si>
    <t xml:space="preserve">Thông tin mẫu</t>
  </si>
  <si>
    <t xml:space="preserve">Giá trị</t>
  </si>
  <si>
    <t xml:space="preserve">Nguồn cấu trúc</t>
  </si>
  <si>
    <t xml:space="preserve">15-movie-template.ts</t>
  </si>
  <si>
    <t xml:space="preserve">Phiên bản workbook</t>
  </si>
  <si>
    <t xml:space="preserve">1.1.0 -- 2026-07-12</t>
  </si>
  <si>
    <t xml:space="preserve">01 -- THÔNG TIN game / THÔNG SỐ SEED</t>
  </si>
  <si>
    <t xml:space="preserve">Điền cột Giá trị. Trường có Bắt buộc = Có phải hoàn thành trước khi bàn giao.</t>
  </si>
  <si>
    <t xml:space="preserve">Trường kỹ thuật</t>
  </si>
  <si>
    <t xml:space="preserve">Ví dụ</t>
  </si>
  <si>
    <t xml:space="preserve">Quy tắc / Ghi chú</t>
  </si>
  <si>
    <t xml:space="preserve">chapterCode</t>
  </si>
  <si>
    <t xml:space="preserve">Có</t>
  </si>
  <si>
    <t xml:space="preserve">2</t>
  </si>
  <si>
    <t xml:space="preserve">1  /  2</t>
  </si>
  <si>
    <t xml:space="preserve">Phải tồn tại trong bảng chapter trước khi seed.</t>
  </si>
  <si>
    <t xml:space="preserve">muc</t>
  </si>
  <si>
    <t xml:space="preserve">2.1</t>
  </si>
  <si>
    <t xml:space="preserve">1.1  /  2.1</t>
  </si>
  <si>
    <t xml:space="preserve">Khóa nghiệp vụ dùng tìm movie hiện có để update/create.</t>
  </si>
  <si>
    <t xml:space="preserve">movieTitle</t>
  </si>
  <si>
    <t xml:space="preserve">game tương tác: Lý luận của C.Mác về sản xuất hàng hóa và hàng hóa</t>
  </si>
  <si>
    <t xml:space="preserve">game tương tác: Hàng hóa và tiền tệ</t>
  </si>
  <si>
    <t xml:space="preserve">Tên hiển thị của game.</t>
  </si>
  <si>
    <t xml:space="preserve">seedFunctionName</t>
  </si>
  <si>
    <t xml:space="preserve">seedMovieChuong2Muc21</t>
  </si>
  <si>
    <t xml:space="preserve">seedMovieChuong2</t>
  </si>
  <si>
    <t xml:space="preserve">camelCase, không dấu, duy nhất.</t>
  </si>
  <si>
    <t xml:space="preserve">outputFileName</t>
  </si>
  <si>
    <t xml:space="preserve">movie-chuong2-muc2-1.ts</t>
  </si>
  <si>
    <t xml:space="preserve">16-movie-chuong-2.ts</t>
  </si>
  <si>
    <t xml:space="preserve">Tên file TypeScript sau chuyển đổi.</t>
  </si>
  <si>
    <t xml:space="preserve">seedLogLabel</t>
  </si>
  <si>
    <t xml:space="preserve">Interactive Movies (Chương 2 - Mục 2.1)</t>
  </si>
  <si>
    <t xml:space="preserve">Interactive Movies (Chương 2)</t>
  </si>
  <si>
    <t xml:space="preserve">Nhãn dùng trong seedLog().</t>
  </si>
  <si>
    <t xml:space="preserve">author</t>
  </si>
  <si>
    <t xml:space="preserve">Nguyễn Quyền Linh</t>
  </si>
  <si>
    <t xml:space="preserve">Nguyễn Văn A</t>
  </si>
  <si>
    <t xml:space="preserve">Người biên soạn.</t>
  </si>
  <si>
    <t xml:space="preserve">reviewer</t>
  </si>
  <si>
    <t xml:space="preserve">[Điền tên reviewer]</t>
  </si>
  <si>
    <t xml:space="preserve">Trần Thị B</t>
  </si>
  <si>
    <t xml:space="preserve">Người duyệt nội dung.</t>
  </si>
  <si>
    <t xml:space="preserve">version</t>
  </si>
  <si>
    <t xml:space="preserve">1.0</t>
  </si>
  <si>
    <t xml:space="preserve">1.1</t>
  </si>
  <si>
    <t xml:space="preserve">Tăng version khi chỉnh sau bàn giao.</t>
  </si>
  <si>
    <t xml:space="preserve">documentStatus</t>
  </si>
  <si>
    <t xml:space="preserve">Đang soạn</t>
  </si>
  <si>
    <t xml:space="preserve">Đã duyệt</t>
  </si>
  <si>
    <t xml:space="preserve">Chỉ bàn giao khi Đã duyệt.</t>
  </si>
  <si>
    <t xml:space="preserve">sourceReference</t>
  </si>
  <si>
    <t xml:space="preserve">Không</t>
  </si>
  <si>
    <t xml:space="preserve">Giáo trình KTCT Mác - Lênin, NXB CTQG Sự thật 2021, Chương 2 mục 2.1, tr.19-33</t>
  </si>
  <si>
    <t xml:space="preserve">Giáo trình Chương 2, trang 30-45</t>
  </si>
  <si>
    <t xml:space="preserve">Nguồn chuyên môn.</t>
  </si>
  <si>
    <t xml:space="preserve">changeSummary</t>
  </si>
  <si>
    <t xml:space="preserve">Tạo mới kịch bản mục 2.1 - Lý luận của C.Mác về sản xuất hàng hóa và hàng hóa</t>
  </si>
  <si>
    <t xml:space="preserve">Tạo mới kịch bản Chương 2</t>
  </si>
  <si>
    <t xml:space="preserve">Tóm tắt thay đổi.</t>
  </si>
  <si>
    <t xml:space="preserve">KIỂM TRA NHANH</t>
  </si>
  <si>
    <t xml:space="preserve">Chỉ số</t>
  </si>
  <si>
    <t xml:space="preserve">Trạng thái</t>
  </si>
  <si>
    <t xml:space="preserve">Ghi chú</t>
  </si>
  <si>
    <t xml:space="preserve">Trường bắt buộc còn trống</t>
  </si>
  <si>
    <t xml:space="preserve">Trạng thái tài liệu</t>
  </si>
  <si>
    <t xml:space="preserve">Sẵn sàng bàn giao dev</t>
  </si>
  <si>
    <t xml:space="preserve">Công thức chỉ kiểm tra cấu trúc; reviewer vẫn phải kiểm tra kiến thức.</t>
  </si>
  <si>
    <t xml:space="preserve">02 -- KỊCH BẢN: DANH SÁCH SCRIPT NODE</t>
  </si>
  <si>
    <t xml:space="preserve">Mỗi dòng là một ScriptNode. ChoiceMode chỉ dùng để QA/biên soạn và không cần ghi vào object TypeScript.</t>
  </si>
  <si>
    <t xml:space="preserve">NodeOrder*</t>
  </si>
  <si>
    <t xml:space="preserve">NodeId*</t>
  </si>
  <si>
    <t xml:space="preserve">ActNo</t>
  </si>
  <si>
    <t xml:space="preserve">NodeType*</t>
  </si>
  <si>
    <t xml:space="preserve">ChoiceMode</t>
  </si>
  <si>
    <t xml:space="preserve">Background</t>
  </si>
  <si>
    <t xml:space="preserve">SceneName</t>
  </si>
  <si>
    <t xml:space="preserve">SpeakerKey</t>
  </si>
  <si>
    <t xml:space="preserve">Mood</t>
  </si>
  <si>
    <t xml:space="preserve">Text / Question</t>
  </si>
  <si>
    <t xml:space="preserve">ActRoman</t>
  </si>
  <si>
    <t xml:space="preserve">Ghi chú biên soạn</t>
  </si>
  <si>
    <t xml:space="preserve">Trạng thái Lỗi cấu trúc</t>
  </si>
  <si>
    <t xml:space="preserve">N001</t>
  </si>
  <si>
    <t xml:space="preserve">scene</t>
  </si>
  <si>
    <t xml:space="preserve">thukho</t>
  </si>
  <si>
    <t xml:space="preserve">Màn I · Sản xuất hàng hóa và hai thuộc tính của hàng hóa</t>
  </si>
  <si>
    <t xml:space="preserve">Đầu màn</t>
  </si>
  <si>
    <t xml:space="preserve">N002</t>
  </si>
  <si>
    <t xml:space="preserve">say</t>
  </si>
  <si>
    <t xml:space="preserve">narr</t>
  </si>
  <si>
    <t xml:space="preserve">Bạn cùng GS. Lâm quay lại thư khố, lần này bước vào học thuyết giá trị của C.Mác — nơi khởi nguồn từ khái niệm giản dị nhất: hàng hóa.</t>
  </si>
  <si>
    <t xml:space="preserve">N003</t>
  </si>
  <si>
    <t xml:space="preserve">lam</t>
  </si>
  <si>
    <t xml:space="preserve">neutral</t>
  </si>
  <si>
    <t xml:space="preserve">Sản xuất hàng hóa chỉ ra đời khi có đủ hai điều kiện: phân công lao động xã hội, và sự tách biệt về mặt kinh tế giữa những người sản xuất. Thiếu một trong hai, nền sản xuất hàng hóa không thể hình thành.</t>
  </si>
  <si>
    <t xml:space="preserve">N004</t>
  </si>
  <si>
    <t xml:space="preserve">choice</t>
  </si>
  <si>
    <t xml:space="preserve">Kiến thức</t>
  </si>
  <si>
    <t xml:space="preserve">Hai điều kiện ra đời của sản xuất hàng hóa là gì?</t>
  </si>
  <si>
    <t xml:space="preserve">Nhập option ở sheet 03</t>
  </si>
  <si>
    <t xml:space="preserve">N005</t>
  </si>
  <si>
    <t xml:space="preserve">Giờ hãy xem hàng hóa có gì đặc biệt. Hàng hóa là sản phẩm của lao động, có thể thỏa mãn nhu cầu nào đó của con người thông qua trao đổi, mua bán — và nó mang trong mình hai thuộc tính song song: giá trị sử dụng và giá trị.</t>
  </si>
  <si>
    <t xml:space="preserve">N006</t>
  </si>
  <si>
    <t xml:space="preserve">Điểm chung nào khiến các hàng hóa có giá trị sử dụng rất khác nhau vẫn có thể trao đổi được với nhau theo một tỷ lệ nhất định?</t>
  </si>
  <si>
    <t xml:space="preserve">N007</t>
  </si>
  <si>
    <t xml:space="preserve">act</t>
  </si>
  <si>
    <t xml:space="preserve">I</t>
  </si>
  <si>
    <t xml:space="preserve">Kết thúc màn I</t>
  </si>
  <si>
    <t xml:space="preserve">N008</t>
  </si>
  <si>
    <t xml:space="preserve">hoithao</t>
  </si>
  <si>
    <t xml:space="preserve">Màn II · Tính hai mặt của lao động và lượng giá trị hàng hóa</t>
  </si>
  <si>
    <t xml:space="preserve">Bắt đầu màn II</t>
  </si>
  <si>
    <t xml:space="preserve">N009</t>
  </si>
  <si>
    <t xml:space="preserve">Sang gian hội thảo, TS. Khoa đặt vấn đề về một phát hiện quan trọng bậc nhất của C.Mác: vì sao hàng hóa lại có hai thuộc tính song song?</t>
  </si>
  <si>
    <t xml:space="preserve">N010</t>
  </si>
  <si>
    <t xml:space="preserve">khoa</t>
  </si>
  <si>
    <t xml:space="preserve">stern</t>
  </si>
  <si>
    <t xml:space="preserve">Sở dĩ hàng hóa có hai thuộc tính là vì lao động sản xuất ra nó có tính hai mặt: lao động cụ thể tạo ra giá trị sử dụng, còn lao động trừu tượng — tức hao phí sức lao động nói chung, không kể hình thức cụ thể — mới tạo ra giá trị.</t>
  </si>
  <si>
    <t xml:space="preserve">N011</t>
  </si>
  <si>
    <t xml:space="preserve">Lao động trừu tượng là gì, và nó tạo ra thuộc tính nào của hàng hóa?</t>
  </si>
  <si>
    <t xml:space="preserve">N012</t>
  </si>
  <si>
    <t xml:space="preserve">Vậy lượng giá trị của một hàng hóa được đo bằng gì? Không phải bằng thời gian lao động của riêng một người, mà bằng thời gian lao động xã hội cần thiết — và nó chịu ảnh hưởng rõ rệt bởi năng suất lao động cũng như cường độ lao động.</t>
  </si>
  <si>
    <t xml:space="preserve">N013</t>
  </si>
  <si>
    <t xml:space="preserve">Khi năng suất lao động tăng lên, điều gì xảy ra với lượng giá trị của một đơn vị hàng hóa? Còn khi cường độ lao động tăng lên thì sao?</t>
  </si>
  <si>
    <t xml:space="preserve">N014</t>
  </si>
  <si>
    <t xml:space="preserve">II</t>
  </si>
  <si>
    <t xml:space="preserve">Kết thúc màn II</t>
  </si>
  <si>
    <t xml:space="preserve">N015</t>
  </si>
  <si>
    <t xml:space="preserve">buctham</t>
  </si>
  <si>
    <t xml:space="preserve">Màn III · Nguồn gốc và chức năng của tiền tệ</t>
  </si>
  <si>
    <t xml:space="preserve">Bắt đầu màn III</t>
  </si>
  <si>
    <t xml:space="preserve">N016</t>
  </si>
  <si>
    <t xml:space="preserve">Tại bục thẩm, SV. Minh đang thắc mắc về một câu hỏi tưởng chừng đơn giản: vì sao tờ giấy bạc trong ví lại có thể mua được hàng hóa?</t>
  </si>
  <si>
    <t xml:space="preserve">N017</t>
  </si>
  <si>
    <t xml:space="preserve">minh</t>
  </si>
  <si>
    <t xml:space="preserve">Mình cứ nghĩ tiền chỉ là quy ước xã hội thôi, không ngờ nó lại có cả một quá trình lịch sử hình thành từ các hình thái giá trị.</t>
  </si>
  <si>
    <t xml:space="preserve">N018</t>
  </si>
  <si>
    <t xml:space="preserve">Theo C.Mác, bản chất của tiền tệ là gì?</t>
  </si>
  <si>
    <t xml:space="preserve">N019</t>
  </si>
  <si>
    <t xml:space="preserve">Và một khi đã trở thành tiền, nó đảm nhận rất nhiều vai trò khác nhau trong nền kinh tế — từ đo lường giá trị, làm phương tiện lưu thông, đến cất trữ, thanh toán và cả giao dịch quốc tế.</t>
  </si>
  <si>
    <t xml:space="preserve">N020</t>
  </si>
  <si>
    <t xml:space="preserve">Khi bạn dùng thẻ ngân hàng quẹt mua một ly cà phê, tiền đang thực hiện chức năng nào?</t>
  </si>
  <si>
    <t xml:space="preserve">N021</t>
  </si>
  <si>
    <t xml:space="preserve">III</t>
  </si>
  <si>
    <t xml:space="preserve">Kết thúc màn III</t>
  </si>
  <si>
    <t xml:space="preserve">N022</t>
  </si>
  <si>
    <t xml:space="preserve">Màn IV · Dịch vụ và những hàng hóa đặc biệt hôm nay</t>
  </si>
  <si>
    <t xml:space="preserve">Bắt đầu màn IV</t>
  </si>
  <si>
    <t xml:space="preserve">N023</t>
  </si>
  <si>
    <t xml:space="preserve">Bạn và GS. Lâm quay lại thư khố để khép lại phần lý luận về hàng hóa — lần này bàn về những gì mà thời C.Mác chưa kịp bàn sâu: dịch vụ, quyền sử dụng đất, thương hiệu, chứng khoán.</t>
  </si>
  <si>
    <t xml:space="preserve">N024</t>
  </si>
  <si>
    <t xml:space="preserve">Dịch vụ cũng là một loại hàng hóa, nhưng là hàng hóa vô hình. Nó có một đặc điểm khác hẳn hàng hóa thông thường.</t>
  </si>
  <si>
    <t xml:space="preserve">N025</t>
  </si>
  <si>
    <t xml:space="preserve">Dịch vụ khác hàng hóa thông thường ở đặc điểm nào?</t>
  </si>
  <si>
    <t xml:space="preserve">N026</t>
  </si>
  <si>
    <t xml:space="preserve">Còn khi một người 'giàu lên' nhờ mua đi bán lại quyền sử dụng đất hay cổ phiếu, thực chất điều gì đang xảy ra?</t>
  </si>
  <si>
    <t xml:space="preserve">N027</t>
  </si>
  <si>
    <t xml:space="preserve">Xét trên phạm vi toàn xã hội, việc một cá nhân giàu lên nhờ mua bán quyền sử dụng đất hoặc chứng khoán có tạo ra giá trị mới cho xã hội không?</t>
  </si>
  <si>
    <t xml:space="preserve">N028</t>
  </si>
  <si>
    <t xml:space="preserve">IV</t>
  </si>
  <si>
    <t xml:space="preserve">Kết thúc màn IV</t>
  </si>
  <si>
    <t xml:space="preserve">N029</t>
  </si>
  <si>
    <t xml:space="preserve">end</t>
  </si>
  <si>
    <t xml:space="preserve">Kết thúc toàn bộ game</t>
  </si>
  <si>
    <t xml:space="preserve">03 -- PHƯƠNG ÁN CHO CÁC NODE CHOICE</t>
  </si>
  <si>
    <t xml:space="preserve">Choice kiến thức: đúng 1 đáp án. Choice tương tác: không có đáp án đúng, có thể nhập dc để thay đổi thiện cảm.</t>
  </si>
  <si>
    <t xml:space="preserve">ChoiceNodeId*</t>
  </si>
  <si>
    <t xml:space="preserve">OptionOrder*</t>
  </si>
  <si>
    <t xml:space="preserve">OptionText*</t>
  </si>
  <si>
    <t xml:space="preserve">IsCorrect*</t>
  </si>
  <si>
    <t xml:space="preserve">dc</t>
  </si>
  <si>
    <t xml:space="preserve">ReplySpeaker*</t>
  </si>
  <si>
    <t xml:space="preserve">ReplyMood</t>
  </si>
  <si>
    <t xml:space="preserve">ReplyText*</t>
  </si>
  <si>
    <t xml:space="preserve">Phân công lao động xã hội, và sự tách biệt về mặt kinh tế giữa các chủ thể sản xuất.</t>
  </si>
  <si>
    <t xml:space="preserve">happy</t>
  </si>
  <si>
    <t xml:space="preserve">Chính xác! Thiếu phân công lao động thì không có nhu cầu trao đổi; thiếu tách biệt kinh tế thì trao đổi cũng không cần thông qua mua bán.</t>
  </si>
  <si>
    <t xml:space="preserve">Đáp án đúng</t>
  </si>
  <si>
    <t xml:space="preserve">Phân công lao động xã hội, và sự xuất hiện của tiền tệ.</t>
  </si>
  <si>
    <t xml:space="preserve">concern</t>
  </si>
  <si>
    <t xml:space="preserve">Chưa đúng — tiền tệ ra đời sau, là kết quả của quá trình phát triển trao đổi hàng hóa, không phải điều kiện tiên quyết để sản xuất hàng hóa ra đời.</t>
  </si>
  <si>
    <t xml:space="preserve">Đáp án nhiễu hợp lý</t>
  </si>
  <si>
    <t xml:space="preserve">Sự tách biệt kinh tế, và có nhà nước quản lý thị trường.</t>
  </si>
  <si>
    <t xml:space="preserve">Chưa đúng — sản xuất hàng hóa đã tồn tại từ rất lâu trước khi có nhà nước hiện đại quản lý thị trường.</t>
  </si>
  <si>
    <t xml:space="preserve">Chúng đều là sản phẩm của lao động — một lượng lao động xã hội bằng nhau đã hao phí để tạo ra chúng, đó chính là giá trị.</t>
  </si>
  <si>
    <t xml:space="preserve">Đúng! Đây chính là phát hiện cốt lõi trong học thuyết giá trị của C.Mác.</t>
  </si>
  <si>
    <t xml:space="preserve">Chúng đều có cùng giá trị sử dụng.</t>
  </si>
  <si>
    <t xml:space="preserve">Chưa đúng — giá trị sử dụng của các hàng hóa trao đổi thường rất khác nhau (thí dụ vải và thóc); điểm chung phải nằm ở khía cạnh khác.</t>
  </si>
  <si>
    <t xml:space="preserve">Chúng đều được nhà nước quy định giá cả cố định.</t>
  </si>
  <si>
    <t xml:space="preserve">Không đúng — quan hệ trao đổi hàng hóa hình thành khách quan từ lao động, không phải do nhà nước ấn định giá.</t>
  </si>
  <si>
    <t xml:space="preserve">Là sự hao phí sức lao động nói chung của người sản xuất (không kể hình thức cụ thể); nó tạo ra giá trị của hàng hóa.</t>
  </si>
  <si>
    <t xml:space="preserve">Đúng. Còn lao động cụ thể — lao động dưới hình thức nghề nghiệp chuyên môn nhất định — mới là thứ tạo ra giá trị sử dụng.</t>
  </si>
  <si>
    <t xml:space="preserve">Là lao động của những nghề đòi hỏi trình độ cao; nó tạo ra giá trị sử dụng.</t>
  </si>
  <si>
    <t xml:space="preserve">Chưa đúng — đó là nhầm với khái niệm lao động phức tạp; lao động trừu tượng không phân biệt theo trình độ nghề nghiệp.</t>
  </si>
  <si>
    <t xml:space="preserve">Là lao động chưa được trả công; nó tạo ra lợi nhuận.</t>
  </si>
  <si>
    <t xml:space="preserve">Không đúng — lao động trừu tượng không liên quan đến việc trả công, mà là khái niệm chỉ hao phí sức lao động nói chung tạo ra giá trị.</t>
  </si>
  <si>
    <t xml:space="preserve">Năng suất lao động tăng làm lượng giá trị của một đơn vị hàng hóa giảm xuống; cường độ lao động tăng chỉ làm tăng số lượng hàng hóa, không làm thay đổi lượng giá trị của một đơn vị hàng hóa.</t>
  </si>
  <si>
    <t xml:space="preserve">Chính xác! Đây là điểm dễ nhầm lẫn nhất trong toàn bộ lý luận về lượng giá trị.</t>
  </si>
  <si>
    <t xml:space="preserve">Cả hai đều làm giảm lượng giá trị của một đơn vị hàng hóa như nhau.</t>
  </si>
  <si>
    <t xml:space="preserve">Chưa đúng — chỉ năng suất lao động mới làm giảm lượng giá trị một đơn vị hàng hóa; cường độ lao động không làm thay đổi điều này.</t>
  </si>
  <si>
    <t xml:space="preserve">Cả hai đều không ảnh hưởng gì đến lượng giá trị hàng hóa.</t>
  </si>
  <si>
    <t xml:space="preserve">Không đúng — năng suất lao động có ảnh hưởng trực tiếp và tỷ lệ nghịch với lượng giá trị của một đơn vị hàng hóa.</t>
  </si>
  <si>
    <t xml:space="preserve">Tiền là một loại hàng hóa đặc biệt, được tách ra làm vật ngang giá chung cho thế giới hàng hóa, là hình thái biểu hiện giá trị của hàng hóa.</t>
  </si>
  <si>
    <t xml:space="preserve">À, hóa ra tiền cũng có giá trị vì bản thân nó (như vàng) từng là một hàng hóa thực sự!</t>
  </si>
  <si>
    <t xml:space="preserve">Tiền chỉ là một quy ước xã hội thuần túy, không có giá trị nội tại.</t>
  </si>
  <si>
    <t xml:space="preserve">Chưa đầy đủ — về bản chất theo C.Mác, tiền có nguồn gốc là hàng hóa đặc biệt (như vàng) có giá trị thực, chứ không chỉ là quy ước.</t>
  </si>
  <si>
    <t xml:space="preserve">Tiền là công cụ do nhà nước phát minh ra để thu thuế.</t>
  </si>
  <si>
    <t xml:space="preserve">Không đúng — tiền tệ hình thành khách quan từ quá trình phát triển các hình thái giá trị trong trao đổi hàng hóa, trước khi có nhà nước hiện đại.</t>
  </si>
  <si>
    <t xml:space="preserve">Phương tiện lưu thông — tiền làm môi giới cho quá trình trao đổi hàng hóa.</t>
  </si>
  <si>
    <t xml:space="preserve">Đúng rồi! Khác với chức năng thước đo giá trị (chỉ cần so sánh tưởng tượng), chức năng lưu thông đòi hỏi tiền phải thực sự vận động trong giao dịch.</t>
  </si>
  <si>
    <t xml:space="preserve">Thước đo giá trị — vì thẻ ngân hàng đo lường giá trị ly cà phê.</t>
  </si>
  <si>
    <t xml:space="preserve">Chưa đúng — thước đo giá trị chỉ cần so sánh tưởng tượng với một lượng vàng nhất định, không cần tiền thực sự vận động như trong giao dịch này.</t>
  </si>
  <si>
    <t xml:space="preserve">Phương tiện cất trữ — vì tiền vẫn còn trong tài khoản trước khi bạn quẹt thẻ.</t>
  </si>
  <si>
    <t xml:space="preserve">Chưa đúng — ngay tại thời điểm bạn quẹt thẻ để mua, tiền đang vận động làm môi giới trao đổi, đó là chức năng lưu thông, không phải cất trữ.</t>
  </si>
  <si>
    <t xml:space="preserve">Dịch vụ không thể cất trữ được — việc sản xuất và tiêu dùng dịch vụ diễn ra đồng thời.</t>
  </si>
  <si>
    <t xml:space="preserve">Chính xác! Một buổi biểu diễn hay một ca khám bệnh không thể 'để dành' như một chiếc áo.</t>
  </si>
  <si>
    <t xml:space="preserve">Dịch vụ không có giá trị sử dụng.</t>
  </si>
  <si>
    <t xml:space="preserve">Chưa đúng — dịch vụ vẫn có giá trị sử dụng, vì nó vẫn thỏa mãn một nhu cầu cụ thể của con người.</t>
  </si>
  <si>
    <t xml:space="preserve">Dịch vụ không do lao động tạo ra.</t>
  </si>
  <si>
    <t xml:space="preserve">Không đúng — dịch vụ vẫn phải hao phí sức lao động để tạo ra, giá trị của nó vẫn là lao động xã hội kết tinh.</t>
  </si>
  <si>
    <t xml:space="preserve">Không — về bản chất đó chỉ là tiền chuyển từ túi người này sang túi người khác qua chức năng thanh toán, không phải toàn xã hội giàu thêm nhờ riêng hoạt động này.</t>
  </si>
  <si>
    <t xml:space="preserve">Đúng! Xã hội chỉ thực sự giàu có hơn khi có một nền sản xuất thực làm cơ sở, chứ không thể giàu lên chỉ bằng mua bán chứng khoán, đất đai.</t>
  </si>
  <si>
    <t xml:space="preserve">Có — vì số tiền của người đó tăng lên nghĩa là của cải xã hội cũng tăng lên tương ứng.</t>
  </si>
  <si>
    <t xml:space="preserve">Chưa đúng — đây chính là sự ngộ nhận phổ biến giữa 'giá trị' và 'của cải cá nhân'; tiền của người này tăng chỉ là tiền của người khác giảm đi.</t>
  </si>
  <si>
    <t xml:space="preserve">Có — vì đất đai và cổ phiếu tự thân tạo ra giá trị mới khi được giao dịch.</t>
  </si>
  <si>
    <t xml:space="preserve">Không đúng — đất đai, chứng khoán có giá cả nhưng không do hao phí lao động trực tiếp tạo ra như hàng hóa thông thường.</t>
  </si>
  <si>
    <t xml:space="preserve">04 -- DANH MỤC KỸ THUẬT DÙNG CHUNG</t>
  </si>
  <si>
    <t xml:space="preserve">Các vùng danh mục là nguồn dropdown. Dòng trống phía dưới dành cho tài nguyên mới đã được dev xác nhận.</t>
  </si>
  <si>
    <t xml:space="preserve">NHÂN VẬT</t>
  </si>
  <si>
    <t xml:space="preserve">Tên hiển thị</t>
  </si>
  <si>
    <t xml:space="preserve">Vai trò</t>
  </si>
  <si>
    <t xml:space="preserve">you</t>
  </si>
  <si>
    <t xml:space="preserve">Bạn</t>
  </si>
  <si>
    <t xml:space="preserve">Trợ lý nghiên cứu</t>
  </si>
  <si>
    <t xml:space="preserve">GS. Lâm</t>
  </si>
  <si>
    <t xml:space="preserve">Người hướng dẫn</t>
  </si>
  <si>
    <t xml:space="preserve">an</t>
  </si>
  <si>
    <t xml:space="preserve">Thủ thư An</t>
  </si>
  <si>
    <t xml:space="preserve">Thủ thư lưu trữ</t>
  </si>
  <si>
    <t xml:space="preserve">TS. Khoa</t>
  </si>
  <si>
    <t xml:space="preserve">Phản biện viên</t>
  </si>
  <si>
    <t xml:space="preserve">SV. Minh</t>
  </si>
  <si>
    <t xml:space="preserve">Sinh viên</t>
  </si>
  <si>
    <t xml:space="preserve">CẢNH NỀN</t>
  </si>
  <si>
    <t xml:space="preserve">BackgroundKey</t>
  </si>
  <si>
    <t xml:space="preserve">Mô tả</t>
  </si>
  <si>
    <t xml:space="preserve">Tình trạng asset</t>
  </si>
  <si>
    <t xml:space="preserve">Thư khố / tầng hầm lưu trữ, tông nâu ấm</t>
  </si>
  <si>
    <t xml:space="preserve">Có sẵn</t>
  </si>
  <si>
    <t xml:space="preserve">Hội trường / hội thảo, tông tím xanh</t>
  </si>
  <si>
    <t xml:space="preserve">Bục thẩm / khán phòng, tông đỏ trầm</t>
  </si>
  <si>
    <t xml:space="preserve">MOOD</t>
  </si>
  <si>
    <t xml:space="preserve">MoodKey</t>
  </si>
  <si>
    <t xml:space="preserve">Ý nghĩa gợi ý</t>
  </si>
  <si>
    <t xml:space="preserve">Bình thường / trung lập</t>
  </si>
  <si>
    <t xml:space="preserve">Vui / khích lệ</t>
  </si>
  <si>
    <t xml:space="preserve">Quan ngại / sửa sai nhẹ nhàng</t>
  </si>
  <si>
    <t xml:space="preserve">Nghiêm khắc / phản biện</t>
  </si>
  <si>
    <t xml:space="preserve">NODE TYPE</t>
  </si>
  <si>
    <t xml:space="preserve">NodeType</t>
  </si>
  <si>
    <t xml:space="preserve">Trường bắt buộc</t>
  </si>
  <si>
    <t xml:space="preserve">Object đầu ra</t>
  </si>
  <si>
    <t xml:space="preserve">ActNo, Background, SceneName</t>
  </si>
  <si>
    <t xml:space="preserve">{ t: "scene", bg, act, name }</t>
  </si>
  <si>
    <t xml:space="preserve">SpeakerKey, Text; Mood trừ narr</t>
  </si>
  <si>
    <t xml:space="preserve">{ t: "say", who, mood?, text }</t>
  </si>
  <si>
    <t xml:space="preserve">ChoiceMode, SpeakerKey, Mood, Question + options</t>
  </si>
  <si>
    <t xml:space="preserve">{ t: "choice", who, mood, q, opts }</t>
  </si>
  <si>
    <t xml:space="preserve">{ t: "act", n }</t>
  </si>
  <si>
    <t xml:space="preserve">Không có trường phụ</t>
  </si>
  <si>
    <t xml:space="preserve">{ t: "end" }</t>
  </si>
  <si>
    <t xml:space="preserve">05 -- KIỂM TRA CHẤT LƯỢNG TRƯỚC KHI BÀN GIAO</t>
  </si>
  <si>
    <t xml:space="preserve">QA tự động kiểm tra cấu trúc; reviewer vẫn cần duyệt kiến thức, chính tả và tính tự nhiên.</t>
  </si>
  <si>
    <t xml:space="preserve">TỔNG QUAN</t>
  </si>
  <si>
    <t xml:space="preserve">Tổng node</t>
  </si>
  <si>
    <t xml:space="preserve">Scene</t>
  </si>
  <si>
    <t xml:space="preserve">Say</t>
  </si>
  <si>
    <t xml:space="preserve">Choice</t>
  </si>
  <si>
    <t xml:space="preserve">Act</t>
  </si>
  <si>
    <t xml:space="preserve">End</t>
  </si>
  <si>
    <t xml:space="preserve">Lỗi node</t>
  </si>
  <si>
    <t xml:space="preserve">Lỗi option</t>
  </si>
  <si>
    <t xml:space="preserve">CÁC ĐIỀU KIỆN BẮT BUỘC</t>
  </si>
  <si>
    <t xml:space="preserve">Kiểm tra</t>
  </si>
  <si>
    <t xml:space="preserve">Kết quả</t>
  </si>
  <si>
    <t xml:space="preserve">Có đúng 1 node end</t>
  </si>
  <si>
    <t xml:space="preserve">Giữ đúng một end ở cuối phim.</t>
  </si>
  <si>
    <t xml:space="preserve">Không có lỗi node</t>
  </si>
  <si>
    <t xml:space="preserve">Xem cột Lỗi cấu trúc sheet 02.</t>
  </si>
  <si>
    <t xml:space="preserve">Không có lỗi option</t>
  </si>
  <si>
    <t xml:space="preserve">Xem cột Lỗi cấu trúc sheet 03.</t>
  </si>
  <si>
    <t xml:space="preserve">Số scene thông thường 2-4</t>
  </si>
  <si>
    <t xml:space="preserve">Ngoài khoảng cần reviewer xác nhận.</t>
  </si>
  <si>
    <t xml:space="preserve">Metadata sẵn sàng</t>
  </si>
  <si>
    <t xml:space="preserve">Hoàn tất sheet 01 và Đã duyệt.</t>
  </si>
  <si>
    <t xml:space="preserve">KẾT LUẬN BÀN GIAO</t>
  </si>
  <si>
    <t xml:space="preserve">Chỉ bàn giao khi SẴN SÀNG.</t>
  </si>
  <si>
    <t xml:space="preserve">KIỂM TRA TỪNG CHOICE NODE</t>
  </si>
  <si>
    <t xml:space="preserve">ChoiceNodeId</t>
  </si>
  <si>
    <t xml:space="preserve">Số option</t>
  </si>
  <si>
    <t xml:space="preserve">Số đáp án đúng</t>
  </si>
  <si>
    <t xml:space="preserve">Lỗi</t>
  </si>
  <si>
    <t xml:space="preserve">CHECKLIST REVIEWER</t>
  </si>
  <si>
    <t xml:space="preserve">Mục review</t>
  </si>
  <si>
    <t xml:space="preserve">Xác nhận</t>
  </si>
  <si>
    <t xml:space="preserve">Kiến thức đúng nguồn</t>
  </si>
  <si>
    <t xml:space="preserve">Chưa kiểm tra</t>
  </si>
  <si>
    <t xml:space="preserve">Câu hỏi không đánh đố</t>
  </si>
  <si>
    <t xml:space="preserve">Phản hồi sai có giải thích</t>
  </si>
  <si>
    <t xml:space="preserve">Tên màn và chuyển cảnh hợp lý</t>
  </si>
  <si>
    <t xml:space="preserve">Lời thoại tự nhiên, đúng vai</t>
  </si>
  <si>
    <t xml:space="preserve">Không có HTML / lỗi chính tả</t>
  </si>
  <si>
    <t xml:space="preserve">Đã chạy thử seed ở môi trường dev</t>
  </si>
  <si>
    <t xml:space="preserve">06 -- MAPPING EXCEL -&gt; TYPESCRIPT / PRISMA SEED</t>
  </si>
  <si>
    <t xml:space="preserve">Dành cho dev. ChoiceMode là metadata biên soạn, chỉ dùng để validate và không xuất vào ScriptNode.</t>
  </si>
  <si>
    <t xml:space="preserve">1. MAPPING THÔNG TIN MOVIE</t>
  </si>
  <si>
    <t xml:space="preserve">Excel</t>
  </si>
  <si>
    <t xml:space="preserve">Biến seed / Prisma</t>
  </si>
  <si>
    <t xml:space="preserve">Mục đích</t>
  </si>
  <si>
    <t xml:space="preserve">01!chapterCode</t>
  </si>
  <si>
    <t xml:space="preserve">chapter.findUnique({ where: { code } })</t>
  </si>
  <si>
    <t xml:space="preserve">Không tìm thấy chapter thì cảnh báo và return.</t>
  </si>
  <si>
    <t xml:space="preserve">01!muc</t>
  </si>
  <si>
    <t xml:space="preserve">movie.findFirst({ where: { muc } })</t>
  </si>
  <si>
    <t xml:space="preserve">Khóa xác định update/create.</t>
  </si>
  <si>
    <t xml:space="preserve">01!movieTitle</t>
  </si>
  <si>
    <t xml:space="preserve">movie.title</t>
  </si>
  <si>
    <t xml:space="preserve">Tên hiển thị.</t>
  </si>
  <si>
    <t xml:space="preserve">01!seedFunctionName</t>
  </si>
  <si>
    <t xml:space="preserve">Tên export function</t>
  </si>
  <si>
    <t xml:space="preserve">Đăng ký vào seed/index.ts</t>
  </si>
  <si>
    <t xml:space="preserve">Phải duy nhất.</t>
  </si>
  <si>
    <t xml:space="preserve">01!seedLogLabel</t>
  </si>
  <si>
    <t xml:space="preserve">seedLog(label, 1)</t>
  </si>
  <si>
    <t xml:space="preserve">Log seed</t>
  </si>
  <si>
    <t xml:space="preserve">Đổi theo chương.</t>
  </si>
  <si>
    <t xml:space="preserve">2. MAPPING SCRIPT NODE</t>
  </si>
  <si>
    <t xml:space="preserve">Excel fields</t>
  </si>
  <si>
    <t xml:space="preserve">Bỏ qua khi rỗng</t>
  </si>
  <si>
    <t xml:space="preserve">Liên kết option</t>
  </si>
  <si>
    <t xml:space="preserve">Background, ActNo, SceneName</t>
  </si>
  <si>
    <t xml:space="preserve">{ t:"scene", bg, act, name }</t>
  </si>
  <si>
    <t xml:space="preserve">NodeOrder</t>
  </si>
  <si>
    <t xml:space="preserve">Đủ 3 trường</t>
  </si>
  <si>
    <t xml:space="preserve">Đầu màn.</t>
  </si>
  <si>
    <t xml:space="preserve">SpeakerKey, Mood, Text</t>
  </si>
  <si>
    <t xml:space="preserve">{ t:"say", who, mood?, text }</t>
  </si>
  <si>
    <t xml:space="preserve">mood</t>
  </si>
  <si>
    <t xml:space="preserve">who/text bắt buộc</t>
  </si>
  <si>
    <t xml:space="preserve">narr thường không có mood.</t>
  </si>
  <si>
    <t xml:space="preserve">SpeakerKey, Mood, Question</t>
  </si>
  <si>
    <t xml:space="preserve">{ t:"choice", who, mood, q, opts }</t>
  </si>
  <si>
    <t xml:space="preserve">Join 03 theo ChoiceNodeId</t>
  </si>
  <si>
    <t xml:space="preserve">NodeOrder + OptionOrder</t>
  </si>
  <si>
    <t xml:space="preserve">2-4 opts, theo ChoiceMode</t>
  </si>
  <si>
    <t xml:space="preserve">Không xuất ChoiceMode.</t>
  </si>
  <si>
    <t xml:space="preserve">{ t:"act", n }</t>
  </si>
  <si>
    <t xml:space="preserve">n bắt buộc</t>
  </si>
  <si>
    <t xml:space="preserve">Cuối màn.</t>
  </si>
  <si>
    <t xml:space="preserve">--</t>
  </si>
  <si>
    <t xml:space="preserve">{ t:"end" }</t>
  </si>
  <si>
    <t xml:space="preserve">Tất cả</t>
  </si>
  <si>
    <t xml:space="preserve">Đúng 1 node</t>
  </si>
  <si>
    <t xml:space="preserve">Cuối phim.</t>
  </si>
  <si>
    <t xml:space="preserve">3. MAPPING CHOICE OPTION</t>
  </si>
  <si>
    <t xml:space="preserve">Excel field</t>
  </si>
  <si>
    <t xml:space="preserve">Output field</t>
  </si>
  <si>
    <t xml:space="preserve">Lưu ý</t>
  </si>
  <si>
    <t xml:space="preserve">OptionText</t>
  </si>
  <si>
    <t xml:space="preserve">text</t>
  </si>
  <si>
    <t xml:space="preserve">Giữ nguyên chuỗi</t>
  </si>
  <si>
    <t xml:space="preserve">Em sẵn sàng.</t>
  </si>
  <si>
    <t xml:space="preserve">Không tự thêm A/B/C nếu UI không yêu cầu.</t>
  </si>
  <si>
    <t xml:space="preserve">IsCorrect</t>
  </si>
  <si>
    <t xml:space="preserve">correct</t>
  </si>
  <si>
    <t xml:space="preserve">Chỉ xuất correct:true khi "Có"</t>
  </si>
  <si>
    <t xml:space="preserve">true</t>
  </si>
  <si>
    <t xml:space="preserve">Tương tác: tất cả = Không; không xuất false.</t>
  </si>
  <si>
    <t xml:space="preserve">Chỉ xuất khi có số</t>
  </si>
  <si>
    <t xml:space="preserve">8 hoặc -2</t>
  </si>
  <si>
    <t xml:space="preserve">Dùng cho thiện cảm.</t>
  </si>
  <si>
    <t xml:space="preserve">ReplySpeaker</t>
  </si>
  <si>
    <t xml:space="preserve">reply.who</t>
  </si>
  <si>
    <t xml:space="preserve">Key hợp lệ</t>
  </si>
  <si>
    <t xml:space="preserve">reply.t luôn là say.</t>
  </si>
  <si>
    <t xml:space="preserve">reply.mood</t>
  </si>
  <si>
    <t xml:space="preserve">Bỏ qua nếu trống</t>
  </si>
  <si>
    <t xml:space="preserve">narr thường trống.</t>
  </si>
  <si>
    <t xml:space="preserve">ReplyText</t>
  </si>
  <si>
    <t xml:space="preserve">reply.text</t>
  </si>
  <si>
    <t xml:space="preserve">Giữ nguyên</t>
  </si>
  <si>
    <t xml:space="preserve">Tinh thần tốt.</t>
  </si>
  <si>
    <t xml:space="preserve">Sai kiến thức cần giải thích.</t>
  </si>
  <si>
    <t xml:space="preserve">4. THUẬT TOÁN CHUYỂN ĐỔI ĐỀ XUẤT</t>
  </si>
  <si>
    <t xml:space="preserve">Xử lý</t>
  </si>
  <si>
    <t xml:space="preserve">Chi tiết</t>
  </si>
  <si>
    <t xml:space="preserve">Đọc metadata</t>
  </si>
  <si>
    <t xml:space="preserve">Lấy chapterCode, muc, movieTitle, tên hàm/file.</t>
  </si>
  <si>
    <t xml:space="preserve">Đọc node</t>
  </si>
  <si>
    <t xml:space="preserve">Bỏ NodeOrder trống; sort tăng dần; kiểm tra NodeId duy nhất.</t>
  </si>
  <si>
    <t xml:space="preserve">Đọc option</t>
  </si>
  <si>
    <t xml:space="preserve">Bỏ ChoiceNodeId trống; group theo ID; sort OptionOrder.</t>
  </si>
  <si>
    <t xml:space="preserve">Dựng script</t>
  </si>
  <si>
    <t xml:space="preserve">Switch NodeType; choice gắn opts đã group; bỏ ChoiceMode.</t>
  </si>
  <si>
    <t xml:space="preserve">Tạo option</t>
  </si>
  <si>
    <t xml:space="preserve">correct chỉ khi Có; dc/mood chỉ khi có giá trị; reply luôn t=say.</t>
  </si>
  <si>
    <t xml:space="preserve">Upsert movie</t>
  </si>
  <si>
    <t xml:space="preserve">Tìm chapter; tìm movie theo muc; update hoặc create.</t>
  </si>
  <si>
    <t xml:space="preserve">Đăng ký seed</t>
  </si>
  <si>
    <t xml:space="preserve">Import và gọi hàm trong services/src/seed/index.ts.</t>
  </si>
  <si>
    <t xml:space="preserve">5. MẪU OBJECT ĐẦU RA</t>
  </si>
  <si>
    <t xml:space="preserve">Loại</t>
  </si>
  <si>
    <t xml:space="preserve">Ví dụ TypeScript / JSON tương ứng</t>
  </si>
  <si>
    <t xml:space="preserve">{ t: "scene", bg: "thukho", act: 1, name: "Màn I . Nguồn gốc" }</t>
  </si>
  <si>
    <t xml:space="preserve">{ t: "say", who: "lam", mood: "neutral", text: "Chào trợ lý mới." }</t>
  </si>
  <si>
    <t xml:space="preserve">{ t: "choice", who: "lam", mood: "neutral", q: "...", opts: [ /* từ sheet 03 */ ] }</t>
  </si>
  <si>
    <t xml:space="preserve">{ t: "act", n: "I" }</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</si>
</sst>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6"/>
      <name val="Times New Roman"/>
      <family val="0"/>
      <charset val="1"/>
    </font>
    <font>
      <i val="true"/>
      <sz val="9"/>
      <color rgb="FF555555"/>
      <name val="Times New Roman"/>
      <family val="0"/>
      <charset val="1"/>
    </font>
    <font>
      <b val="true"/>
      <sz val="12"/>
      <name val="Times New Roman"/>
      <family val="0"/>
      <charset val="1"/>
    </font>
    <font>
      <b val="true"/>
      <sz val="10"/>
      <name val="Times New Roman"/>
      <family val="0"/>
      <charset val="1"/>
    </font>
    <font>
      <sz val="10"/>
      <name val="Times New Roman"/>
      <family val="0"/>
      <charset val="1"/>
    </font>
  </fonts>
  <fills count="4">
    <fill>
      <patternFill patternType="none"/>
    </fill>
    <fill>
      <patternFill patternType="gray125"/>
    </fill>
    <fill>
      <patternFill patternType="solid">
        <fgColor rgb="FFD9D9D9"/>
        <bgColor rgb="FFC0C0C0"/>
      </patternFill>
    </fill>
    <fill>
      <patternFill patternType="solid">
        <fgColor rgb="FFFFF2CC"/>
        <bgColor rgb="FFFFFFFF"/>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4"/>
    <col collapsed="false" customWidth="true" hidden="false" outlineLevel="0" max="4" min="3" style="0" width="34"/>
    <col collapsed="false" customWidth="true" hidden="false" outlineLevel="0" max="5" min="5" style="0" width="30"/>
  </cols>
  <sheetData>
    <row r="1" customFormat="false" ht="19.7" hidden="false" customHeight="false" outlineLevel="0" collapsed="false">
      <c r="A1" s="1" t="s">
        <v>0</v>
      </c>
    </row>
    <row r="2" customFormat="false" ht="30" hidden="false" customHeight="true" outlineLevel="0" collapsed="false">
      <c r="A2" s="2" t="s">
        <v>1</v>
      </c>
      <c r="B2" s="2"/>
      <c r="C2" s="2"/>
      <c r="D2" s="2"/>
      <c r="E2" s="2"/>
      <c r="F2" s="2"/>
      <c r="G2" s="2"/>
      <c r="H2" s="2"/>
    </row>
    <row r="4" customFormat="false" ht="15" hidden="false" customHeight="false" outlineLevel="0" collapsed="false">
      <c r="A4" s="3" t="s">
        <v>2</v>
      </c>
    </row>
    <row r="5" customFormat="false" ht="15" hidden="false" customHeight="false" outlineLevel="0" collapsed="false">
      <c r="A5" s="4" t="s">
        <v>3</v>
      </c>
      <c r="B5" s="4" t="s">
        <v>4</v>
      </c>
      <c r="C5" s="4" t="s">
        <v>5</v>
      </c>
      <c r="D5" s="4" t="s">
        <v>6</v>
      </c>
      <c r="E5" s="4" t="s">
        <v>7</v>
      </c>
    </row>
    <row r="6" customFormat="false" ht="15" hidden="false" customHeight="false" outlineLevel="0" collapsed="false">
      <c r="A6" s="5" t="n">
        <v>1</v>
      </c>
      <c r="B6" s="5" t="s">
        <v>8</v>
      </c>
      <c r="C6" s="5" t="s">
        <v>9</v>
      </c>
      <c r="D6" s="5" t="s">
        <v>10</v>
      </c>
      <c r="E6" s="5" t="s">
        <v>11</v>
      </c>
    </row>
    <row r="7" customFormat="false" ht="23.85" hidden="false" customHeight="false" outlineLevel="0" collapsed="false">
      <c r="A7" s="5" t="n">
        <v>2</v>
      </c>
      <c r="B7" s="5" t="s">
        <v>8</v>
      </c>
      <c r="C7" s="5" t="s">
        <v>12</v>
      </c>
      <c r="D7" s="5" t="s">
        <v>13</v>
      </c>
      <c r="E7" s="5" t="s">
        <v>14</v>
      </c>
    </row>
    <row r="8" customFormat="false" ht="23.85" hidden="false" customHeight="false" outlineLevel="0" collapsed="false">
      <c r="A8" s="5" t="n">
        <v>3</v>
      </c>
      <c r="B8" s="5" t="s">
        <v>8</v>
      </c>
      <c r="C8" s="5" t="s">
        <v>15</v>
      </c>
      <c r="D8" s="5" t="s">
        <v>16</v>
      </c>
      <c r="E8" s="5" t="s">
        <v>17</v>
      </c>
    </row>
    <row r="9" customFormat="false" ht="23.85" hidden="false" customHeight="false" outlineLevel="0" collapsed="false">
      <c r="A9" s="5" t="n">
        <v>4</v>
      </c>
      <c r="B9" s="5" t="s">
        <v>18</v>
      </c>
      <c r="C9" s="5" t="s">
        <v>19</v>
      </c>
      <c r="D9" s="5" t="s">
        <v>20</v>
      </c>
      <c r="E9" s="5" t="s">
        <v>21</v>
      </c>
    </row>
    <row r="10" customFormat="false" ht="15" hidden="false" customHeight="false" outlineLevel="0" collapsed="false">
      <c r="A10" s="5" t="n">
        <v>5</v>
      </c>
      <c r="B10" s="5" t="s">
        <v>22</v>
      </c>
      <c r="C10" s="5" t="s">
        <v>23</v>
      </c>
      <c r="D10" s="5" t="s">
        <v>24</v>
      </c>
      <c r="E10" s="5" t="s">
        <v>25</v>
      </c>
    </row>
    <row r="12" customFormat="false" ht="15" hidden="false" customHeight="false" outlineLevel="0" collapsed="false">
      <c r="A12" s="3" t="s">
        <v>26</v>
      </c>
    </row>
    <row r="13" customFormat="false" ht="15" hidden="false" customHeight="false" outlineLevel="0" collapsed="false">
      <c r="A13" s="4" t="s">
        <v>27</v>
      </c>
      <c r="B13" s="4" t="s">
        <v>28</v>
      </c>
      <c r="C13" s="4" t="s">
        <v>29</v>
      </c>
    </row>
    <row r="14" customFormat="false" ht="23.85" hidden="false" customHeight="false" outlineLevel="0" collapsed="false">
      <c r="A14" s="6" t="s">
        <v>30</v>
      </c>
      <c r="B14" s="5" t="s">
        <v>31</v>
      </c>
      <c r="C14" s="5" t="s">
        <v>32</v>
      </c>
    </row>
    <row r="15" customFormat="false" ht="23.85" hidden="false" customHeight="false" outlineLevel="0" collapsed="false">
      <c r="A15" s="7" t="s">
        <v>33</v>
      </c>
      <c r="B15" s="5" t="s">
        <v>34</v>
      </c>
      <c r="C15" s="5" t="s">
        <v>35</v>
      </c>
    </row>
    <row r="16" customFormat="false" ht="23.85" hidden="false" customHeight="false" outlineLevel="0" collapsed="false">
      <c r="A16" s="5" t="s">
        <v>36</v>
      </c>
      <c r="B16" s="5" t="s">
        <v>37</v>
      </c>
      <c r="C16" s="5" t="s">
        <v>38</v>
      </c>
    </row>
    <row r="17" customFormat="false" ht="23.85" hidden="false" customHeight="false" outlineLevel="0" collapsed="false">
      <c r="A17" s="5" t="s">
        <v>39</v>
      </c>
      <c r="B17" s="5" t="s">
        <v>40</v>
      </c>
      <c r="C17" s="5" t="s">
        <v>41</v>
      </c>
    </row>
    <row r="19" customFormat="false" ht="15" hidden="false" customHeight="false" outlineLevel="0" collapsed="false">
      <c r="A19" s="3" t="s">
        <v>42</v>
      </c>
    </row>
    <row r="20" customFormat="false" ht="15" hidden="false" customHeight="false" outlineLevel="0" collapsed="false">
      <c r="A20" s="4" t="s">
        <v>43</v>
      </c>
      <c r="B20" s="4" t="s">
        <v>44</v>
      </c>
      <c r="C20" s="4" t="s">
        <v>45</v>
      </c>
      <c r="D20" s="4" t="s">
        <v>46</v>
      </c>
    </row>
    <row r="21" customFormat="false" ht="46.25" hidden="false" customHeight="false" outlineLevel="0" collapsed="false">
      <c r="A21" s="5" t="s">
        <v>47</v>
      </c>
      <c r="B21" s="5" t="s">
        <v>48</v>
      </c>
      <c r="C21" s="5" t="s">
        <v>49</v>
      </c>
      <c r="D21" s="5" t="s">
        <v>50</v>
      </c>
    </row>
    <row r="22" customFormat="false" ht="35.05" hidden="false" customHeight="false" outlineLevel="0" collapsed="false">
      <c r="A22" s="5" t="s">
        <v>51</v>
      </c>
      <c r="B22" s="5" t="s">
        <v>52</v>
      </c>
      <c r="C22" s="5" t="s">
        <v>49</v>
      </c>
      <c r="D22" s="5" t="s">
        <v>53</v>
      </c>
    </row>
    <row r="23" customFormat="false" ht="35.05" hidden="false" customHeight="false" outlineLevel="0" collapsed="false">
      <c r="A23" s="5" t="s">
        <v>54</v>
      </c>
      <c r="B23" s="5" t="s">
        <v>55</v>
      </c>
      <c r="C23" s="5" t="s">
        <v>49</v>
      </c>
      <c r="D23" s="5" t="s">
        <v>56</v>
      </c>
    </row>
    <row r="24" customFormat="false" ht="46.25" hidden="false" customHeight="false" outlineLevel="0" collapsed="false">
      <c r="A24" s="5" t="s">
        <v>57</v>
      </c>
      <c r="B24" s="5" t="s">
        <v>58</v>
      </c>
      <c r="C24" s="5" t="s">
        <v>49</v>
      </c>
      <c r="D24" s="5" t="s">
        <v>59</v>
      </c>
    </row>
    <row r="25" customFormat="false" ht="46.25" hidden="false" customHeight="false" outlineLevel="0" collapsed="false">
      <c r="A25" s="5" t="s">
        <v>60</v>
      </c>
      <c r="B25" s="5" t="s">
        <v>61</v>
      </c>
      <c r="C25" s="5" t="s">
        <v>49</v>
      </c>
      <c r="D25" s="5" t="s">
        <v>62</v>
      </c>
    </row>
    <row r="26" customFormat="false" ht="35.05" hidden="false" customHeight="false" outlineLevel="0" collapsed="false">
      <c r="A26" s="5" t="s">
        <v>63</v>
      </c>
      <c r="B26" s="5" t="s">
        <v>64</v>
      </c>
      <c r="C26" s="5" t="s">
        <v>49</v>
      </c>
      <c r="D26" s="5" t="s">
        <v>65</v>
      </c>
    </row>
    <row r="27" customFormat="false" ht="35.05" hidden="false" customHeight="false" outlineLevel="0" collapsed="false">
      <c r="A27" s="5" t="s">
        <v>66</v>
      </c>
      <c r="B27" s="5" t="s">
        <v>67</v>
      </c>
      <c r="C27" s="5" t="s">
        <v>68</v>
      </c>
      <c r="D27" s="5" t="s">
        <v>69</v>
      </c>
    </row>
    <row r="28" customFormat="false" ht="35.05" hidden="false" customHeight="false" outlineLevel="0" collapsed="false">
      <c r="A28" s="5" t="s">
        <v>70</v>
      </c>
      <c r="B28" s="5" t="s">
        <v>71</v>
      </c>
      <c r="C28" s="5" t="s">
        <v>49</v>
      </c>
      <c r="D28" s="5" t="s">
        <v>72</v>
      </c>
    </row>
    <row r="30" customFormat="false" ht="15" hidden="false" customHeight="false" outlineLevel="0" collapsed="false">
      <c r="A30" s="3" t="s">
        <v>73</v>
      </c>
    </row>
    <row r="31" customFormat="false" ht="15" hidden="false" customHeight="false" outlineLevel="0" collapsed="false">
      <c r="A31" s="4" t="s">
        <v>74</v>
      </c>
      <c r="B31" s="4" t="s">
        <v>75</v>
      </c>
    </row>
    <row r="32" customFormat="false" ht="23.85" hidden="false" customHeight="false" outlineLevel="0" collapsed="false">
      <c r="A32" s="5" t="s">
        <v>76</v>
      </c>
      <c r="B32" s="5" t="s">
        <v>77</v>
      </c>
    </row>
    <row r="33" customFormat="false" ht="35.05" hidden="false" customHeight="false" outlineLevel="0" collapsed="false">
      <c r="A33" s="5" t="s">
        <v>78</v>
      </c>
      <c r="B33" s="5" t="s">
        <v>79</v>
      </c>
    </row>
    <row r="34" customFormat="false" ht="35.05" hidden="false" customHeight="false" outlineLevel="0" collapsed="false">
      <c r="A34" s="5" t="s">
        <v>80</v>
      </c>
      <c r="B34" s="5" t="s">
        <v>81</v>
      </c>
    </row>
    <row r="35" customFormat="false" ht="35.05" hidden="false" customHeight="false" outlineLevel="0" collapsed="false">
      <c r="A35" s="5" t="s">
        <v>82</v>
      </c>
      <c r="B35" s="5" t="s">
        <v>83</v>
      </c>
    </row>
    <row r="37" customFormat="false" ht="15" hidden="false" customHeight="false" outlineLevel="0" collapsed="false">
      <c r="A37" s="4" t="s">
        <v>84</v>
      </c>
      <c r="B37" s="4" t="s">
        <v>85</v>
      </c>
    </row>
    <row r="38" customFormat="false" ht="15" hidden="false" customHeight="false" outlineLevel="0" collapsed="false">
      <c r="A38" s="5" t="s">
        <v>86</v>
      </c>
      <c r="B38" s="5" t="s">
        <v>87</v>
      </c>
    </row>
    <row r="39" customFormat="false" ht="15" hidden="false" customHeight="false" outlineLevel="0" collapsed="false">
      <c r="A39" s="5" t="s">
        <v>88</v>
      </c>
      <c r="B39" s="5" t="s">
        <v>89</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
    <col collapsed="false" customWidth="true" hidden="false" outlineLevel="0" max="3" min="3" style="0" width="46"/>
    <col collapsed="false" customWidth="true" hidden="false" outlineLevel="0" max="4" min="4" style="0" width="30"/>
    <col collapsed="false" customWidth="true" hidden="false" outlineLevel="0" max="5" min="5" style="0" width="40"/>
  </cols>
  <sheetData>
    <row r="1" customFormat="false" ht="19.7" hidden="false" customHeight="false" outlineLevel="0" collapsed="false">
      <c r="A1" s="1" t="s">
        <v>90</v>
      </c>
    </row>
    <row r="2" customFormat="false" ht="15" hidden="false" customHeight="false" outlineLevel="0" collapsed="false">
      <c r="A2" s="8" t="s">
        <v>91</v>
      </c>
      <c r="B2" s="8"/>
      <c r="C2" s="8"/>
      <c r="D2" s="8"/>
      <c r="E2" s="8"/>
    </row>
    <row r="4" customFormat="false" ht="15" hidden="false" customHeight="false" outlineLevel="0" collapsed="false">
      <c r="A4" s="4" t="s">
        <v>92</v>
      </c>
      <c r="B4" s="4" t="s">
        <v>49</v>
      </c>
      <c r="C4" s="4" t="s">
        <v>85</v>
      </c>
      <c r="D4" s="4" t="s">
        <v>93</v>
      </c>
      <c r="E4" s="4" t="s">
        <v>94</v>
      </c>
    </row>
    <row r="5" customFormat="false" ht="15" hidden="false" customHeight="false" outlineLevel="0" collapsed="false">
      <c r="A5" s="5" t="s">
        <v>95</v>
      </c>
      <c r="B5" s="5" t="s">
        <v>96</v>
      </c>
      <c r="C5" s="6" t="s">
        <v>97</v>
      </c>
      <c r="D5" s="5" t="s">
        <v>98</v>
      </c>
      <c r="E5" s="5" t="s">
        <v>99</v>
      </c>
    </row>
    <row r="6" customFormat="false" ht="23.85" hidden="false" customHeight="false" outlineLevel="0" collapsed="false">
      <c r="A6" s="5" t="s">
        <v>100</v>
      </c>
      <c r="B6" s="5" t="s">
        <v>96</v>
      </c>
      <c r="C6" s="6" t="s">
        <v>101</v>
      </c>
      <c r="D6" s="5" t="s">
        <v>102</v>
      </c>
      <c r="E6" s="5" t="s">
        <v>103</v>
      </c>
    </row>
    <row r="7" customFormat="false" ht="23.85" hidden="false" customHeight="false" outlineLevel="0" collapsed="false">
      <c r="A7" s="5" t="s">
        <v>104</v>
      </c>
      <c r="B7" s="5" t="s">
        <v>96</v>
      </c>
      <c r="C7" s="6" t="s">
        <v>105</v>
      </c>
      <c r="D7" s="5" t="s">
        <v>106</v>
      </c>
      <c r="E7" s="5" t="s">
        <v>107</v>
      </c>
    </row>
    <row r="8" customFormat="false" ht="15" hidden="false" customHeight="false" outlineLevel="0" collapsed="false">
      <c r="A8" s="5" t="s">
        <v>108</v>
      </c>
      <c r="B8" s="5" t="s">
        <v>96</v>
      </c>
      <c r="C8" s="6" t="s">
        <v>109</v>
      </c>
      <c r="D8" s="5" t="s">
        <v>110</v>
      </c>
      <c r="E8" s="5" t="s">
        <v>111</v>
      </c>
    </row>
    <row r="9" customFormat="false" ht="15" hidden="false" customHeight="false" outlineLevel="0" collapsed="false">
      <c r="A9" s="5" t="s">
        <v>112</v>
      </c>
      <c r="B9" s="5" t="s">
        <v>96</v>
      </c>
      <c r="C9" s="6" t="s">
        <v>113</v>
      </c>
      <c r="D9" s="5" t="s">
        <v>114</v>
      </c>
      <c r="E9" s="5" t="s">
        <v>115</v>
      </c>
    </row>
    <row r="10" customFormat="false" ht="15" hidden="false" customHeight="false" outlineLevel="0" collapsed="false">
      <c r="A10" s="5" t="s">
        <v>116</v>
      </c>
      <c r="B10" s="5" t="s">
        <v>96</v>
      </c>
      <c r="C10" s="6" t="s">
        <v>117</v>
      </c>
      <c r="D10" s="5" t="s">
        <v>118</v>
      </c>
      <c r="E10" s="5" t="s">
        <v>119</v>
      </c>
    </row>
    <row r="11" customFormat="false" ht="15" hidden="false" customHeight="false" outlineLevel="0" collapsed="false">
      <c r="A11" s="5" t="s">
        <v>120</v>
      </c>
      <c r="B11" s="5" t="s">
        <v>96</v>
      </c>
      <c r="C11" s="6" t="s">
        <v>121</v>
      </c>
      <c r="D11" s="5" t="s">
        <v>122</v>
      </c>
      <c r="E11" s="5" t="s">
        <v>123</v>
      </c>
    </row>
    <row r="12" customFormat="false" ht="15" hidden="false" customHeight="false" outlineLevel="0" collapsed="false">
      <c r="A12" s="5" t="s">
        <v>124</v>
      </c>
      <c r="B12" s="5" t="s">
        <v>96</v>
      </c>
      <c r="C12" s="6" t="s">
        <v>125</v>
      </c>
      <c r="D12" s="5" t="s">
        <v>126</v>
      </c>
      <c r="E12" s="5" t="s">
        <v>127</v>
      </c>
    </row>
    <row r="13" customFormat="false" ht="15" hidden="false" customHeight="false" outlineLevel="0" collapsed="false">
      <c r="A13" s="5" t="s">
        <v>128</v>
      </c>
      <c r="B13" s="5" t="s">
        <v>96</v>
      </c>
      <c r="C13" s="6" t="s">
        <v>129</v>
      </c>
      <c r="D13" s="5" t="s">
        <v>130</v>
      </c>
      <c r="E13" s="5" t="s">
        <v>131</v>
      </c>
    </row>
    <row r="14" customFormat="false" ht="15" hidden="false" customHeight="false" outlineLevel="0" collapsed="false">
      <c r="A14" s="5" t="s">
        <v>132</v>
      </c>
      <c r="B14" s="5" t="s">
        <v>96</v>
      </c>
      <c r="C14" s="6" t="s">
        <v>133</v>
      </c>
      <c r="D14" s="5" t="s">
        <v>134</v>
      </c>
      <c r="E14" s="5" t="s">
        <v>135</v>
      </c>
    </row>
    <row r="15" customFormat="false" ht="23.85" hidden="false" customHeight="false" outlineLevel="0" collapsed="false">
      <c r="A15" s="5" t="s">
        <v>136</v>
      </c>
      <c r="B15" s="5" t="s">
        <v>137</v>
      </c>
      <c r="C15" s="6" t="s">
        <v>138</v>
      </c>
      <c r="D15" s="5" t="s">
        <v>139</v>
      </c>
      <c r="E15" s="5" t="s">
        <v>140</v>
      </c>
    </row>
    <row r="16" customFormat="false" ht="23.85" hidden="false" customHeight="false" outlineLevel="0" collapsed="false">
      <c r="A16" s="5" t="s">
        <v>141</v>
      </c>
      <c r="B16" s="5" t="s">
        <v>137</v>
      </c>
      <c r="C16" s="6" t="s">
        <v>142</v>
      </c>
      <c r="D16" s="5" t="s">
        <v>143</v>
      </c>
      <c r="E16" s="5" t="s">
        <v>144</v>
      </c>
    </row>
    <row r="18" customFormat="false" ht="15" hidden="false" customHeight="false" outlineLevel="0" collapsed="false">
      <c r="A18" s="3" t="s">
        <v>145</v>
      </c>
    </row>
    <row r="19" customFormat="false" ht="15" hidden="false" customHeight="false" outlineLevel="0" collapsed="false">
      <c r="A19" s="4" t="s">
        <v>146</v>
      </c>
      <c r="B19" s="4" t="s">
        <v>85</v>
      </c>
      <c r="C19" s="4" t="s">
        <v>147</v>
      </c>
      <c r="D19" s="4" t="s">
        <v>148</v>
      </c>
    </row>
    <row r="20" customFormat="false" ht="15" hidden="false" customHeight="false" outlineLevel="0" collapsed="false">
      <c r="A20" s="5" t="s">
        <v>149</v>
      </c>
      <c r="B20" s="7" t="n">
        <f aca="false">COUNTIFS(B5:B16,"Có",C5:C16,"")</f>
        <v>0</v>
      </c>
      <c r="C20" s="7" t="str">
        <f aca="false">IF(B20=0,"ĐỦ","CẦN SỬA")</f>
        <v>ĐỦ</v>
      </c>
      <c r="D20" s="5"/>
    </row>
    <row r="21" customFormat="false" ht="15" hidden="false" customHeight="false" outlineLevel="0" collapsed="false">
      <c r="A21" s="5" t="s">
        <v>150</v>
      </c>
      <c r="B21" s="7" t="str">
        <f aca="false">C14</f>
        <v>Đang soạn</v>
      </c>
      <c r="C21" s="7" t="str">
        <f aca="false">IF(B21="Đã duyệt","ĐÃ DUYỆT","CHƯA DUYỆT")</f>
        <v>CHƯA DUYỆT</v>
      </c>
      <c r="D21" s="5"/>
    </row>
    <row r="22" customFormat="false" ht="23.85" hidden="false" customHeight="false" outlineLevel="0" collapsed="false">
      <c r="A22" s="5" t="s">
        <v>151</v>
      </c>
      <c r="B22" s="7"/>
      <c r="C22" s="7" t="str">
        <f aca="false">IF(AND(C20="ĐỦ",C21="ĐÃ DUYỆT"),"SẴN SÀNG","CHƯA SẴN SÀNG")</f>
        <v>CHƯA SẴN SÀNG</v>
      </c>
      <c r="D22" s="5" t="s">
        <v>152</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7"/>
    <col collapsed="false" customWidth="true" hidden="false" outlineLevel="0" max="4" min="4" style="0" width="10"/>
    <col collapsed="false" customWidth="true" hidden="false" outlineLevel="0" max="6" min="5" style="0" width="12"/>
    <col collapsed="false" customWidth="true" hidden="false" outlineLevel="0" max="7" min="7" style="0" width="30"/>
    <col collapsed="false" customWidth="true" hidden="false" outlineLevel="0" max="8" min="8" style="0" width="11"/>
    <col collapsed="false" customWidth="true" hidden="false" outlineLevel="0" max="9" min="9" style="0" width="10"/>
    <col collapsed="false" customWidth="true" hidden="false" outlineLevel="0" max="10" min="10" style="0" width="46"/>
    <col collapsed="false" customWidth="true" hidden="false" outlineLevel="0" max="11" min="11" style="0" width="9"/>
    <col collapsed="false" customWidth="true" hidden="false" outlineLevel="0" max="12" min="12" style="0" width="24"/>
    <col collapsed="false" customWidth="true" hidden="false" outlineLevel="0" max="13" min="13" style="0" width="14"/>
  </cols>
  <sheetData>
    <row r="1" customFormat="false" ht="19.7" hidden="false" customHeight="false" outlineLevel="0" collapsed="false">
      <c r="A1" s="1" t="s">
        <v>153</v>
      </c>
    </row>
    <row r="2" customFormat="false" ht="15" hidden="false" customHeight="false" outlineLevel="0" collapsed="false">
      <c r="A2" s="8" t="s">
        <v>154</v>
      </c>
      <c r="B2" s="8"/>
      <c r="C2" s="8"/>
      <c r="D2" s="8"/>
      <c r="E2" s="8"/>
      <c r="F2" s="8"/>
      <c r="G2" s="8"/>
      <c r="H2" s="8"/>
      <c r="I2" s="8"/>
      <c r="J2" s="8"/>
      <c r="K2" s="8"/>
      <c r="L2" s="8"/>
      <c r="M2" s="8"/>
    </row>
    <row r="4" customFormat="false" ht="23.85" hidden="false" customHeight="false" outlineLevel="0" collapsed="false">
      <c r="A4" s="4" t="s">
        <v>155</v>
      </c>
      <c r="B4" s="4" t="s">
        <v>156</v>
      </c>
      <c r="C4" s="4" t="s">
        <v>157</v>
      </c>
      <c r="D4" s="4" t="s">
        <v>158</v>
      </c>
      <c r="E4" s="4" t="s">
        <v>159</v>
      </c>
      <c r="F4" s="4" t="s">
        <v>160</v>
      </c>
      <c r="G4" s="4" t="s">
        <v>161</v>
      </c>
      <c r="H4" s="4" t="s">
        <v>162</v>
      </c>
      <c r="I4" s="4" t="s">
        <v>163</v>
      </c>
      <c r="J4" s="4" t="s">
        <v>164</v>
      </c>
      <c r="K4" s="4" t="s">
        <v>165</v>
      </c>
      <c r="L4" s="4" t="s">
        <v>166</v>
      </c>
      <c r="M4" s="4" t="s">
        <v>167</v>
      </c>
    </row>
    <row r="5" customFormat="false" ht="42" hidden="false" customHeight="true" outlineLevel="0" collapsed="false">
      <c r="A5" s="6" t="n">
        <v>1</v>
      </c>
      <c r="B5" s="6" t="s">
        <v>168</v>
      </c>
      <c r="C5" s="6" t="n">
        <v>1</v>
      </c>
      <c r="D5" s="6" t="s">
        <v>169</v>
      </c>
      <c r="E5" s="6"/>
      <c r="F5" s="6" t="s">
        <v>170</v>
      </c>
      <c r="G5" s="6" t="s">
        <v>171</v>
      </c>
      <c r="H5" s="6"/>
      <c r="I5" s="6"/>
      <c r="J5" s="6"/>
      <c r="K5" s="6"/>
      <c r="L5" s="6" t="s">
        <v>172</v>
      </c>
      <c r="M5" s="7" t="str">
        <f aca="false">IF(D5="scene",IF(AND(F5&lt;&gt;"",C5&lt;&gt;"",G5&lt;&gt;""),"HỢP LỆ","CẦN SỬA"),IF(D5="say",IF(AND(H5&lt;&gt;"",J5&lt;&gt;""),"HỢP LỆ","CẦN SỬA"),IF(D5="choice",IF(AND(E5&lt;&gt;"",H5&lt;&gt;"",I5&lt;&gt;"",J5&lt;&gt;""),"HỢP LỆ","CẦN SỬA"),IF(D5="act",IF(K5&lt;&gt;"","HỢP LỆ","CẦN SỬA"),IF(D5="end","HỢP LỆ","CẦN SỬA")))))</f>
        <v>HỢP LỆ</v>
      </c>
    </row>
    <row r="6" customFormat="false" ht="42" hidden="false" customHeight="true" outlineLevel="0" collapsed="false">
      <c r="A6" s="6" t="n">
        <v>2</v>
      </c>
      <c r="B6" s="6" t="s">
        <v>173</v>
      </c>
      <c r="C6" s="6" t="n">
        <v>1</v>
      </c>
      <c r="D6" s="6" t="s">
        <v>174</v>
      </c>
      <c r="E6" s="6"/>
      <c r="F6" s="6"/>
      <c r="G6" s="6"/>
      <c r="H6" s="6" t="s">
        <v>175</v>
      </c>
      <c r="I6" s="6"/>
      <c r="J6" s="6" t="s">
        <v>176</v>
      </c>
      <c r="K6" s="6"/>
      <c r="L6" s="6"/>
      <c r="M6" s="7" t="str">
        <f aca="false">IF(D6="scene",IF(AND(F6&lt;&gt;"",C6&lt;&gt;"",G6&lt;&gt;""),"HỢP LỆ","CẦN SỬA"),IF(D6="say",IF(AND(H6&lt;&gt;"",J6&lt;&gt;""),"HỢP LỆ","CẦN SỬA"),IF(D6="choice",IF(AND(E6&lt;&gt;"",H6&lt;&gt;"",I6&lt;&gt;"",J6&lt;&gt;""),"HỢP LỆ","CẦN SỬA"),IF(D6="act",IF(K6&lt;&gt;"","HỢP LỆ","CẦN SỬA"),IF(D6="end","HỢP LỆ","CẦN SỬA")))))</f>
        <v>HỢP LỆ</v>
      </c>
    </row>
    <row r="7" customFormat="false" ht="42" hidden="false" customHeight="true" outlineLevel="0" collapsed="false">
      <c r="A7" s="6" t="n">
        <v>3</v>
      </c>
      <c r="B7" s="6" t="s">
        <v>177</v>
      </c>
      <c r="C7" s="6" t="n">
        <v>1</v>
      </c>
      <c r="D7" s="6" t="s">
        <v>174</v>
      </c>
      <c r="E7" s="6"/>
      <c r="F7" s="6"/>
      <c r="G7" s="6"/>
      <c r="H7" s="6" t="s">
        <v>178</v>
      </c>
      <c r="I7" s="6" t="s">
        <v>179</v>
      </c>
      <c r="J7" s="6" t="s">
        <v>180</v>
      </c>
      <c r="K7" s="6"/>
      <c r="L7" s="6"/>
      <c r="M7" s="7" t="str">
        <f aca="false">IF(D7="scene",IF(AND(F7&lt;&gt;"",C7&lt;&gt;"",G7&lt;&gt;""),"HỢP LỆ","CẦN SỬA"),IF(D7="say",IF(AND(H7&lt;&gt;"",J7&lt;&gt;""),"HỢP LỆ","CẦN SỬA"),IF(D7="choice",IF(AND(E7&lt;&gt;"",H7&lt;&gt;"",I7&lt;&gt;"",J7&lt;&gt;""),"HỢP LỆ","CẦN SỬA"),IF(D7="act",IF(K7&lt;&gt;"","HỢP LỆ","CẦN SỬA"),IF(D7="end","HỢP LỆ","CẦN SỬA")))))</f>
        <v>HỢP LỆ</v>
      </c>
    </row>
    <row r="8" customFormat="false" ht="42" hidden="false" customHeight="true" outlineLevel="0" collapsed="false">
      <c r="A8" s="6" t="n">
        <v>4</v>
      </c>
      <c r="B8" s="6" t="s">
        <v>181</v>
      </c>
      <c r="C8" s="6" t="n">
        <v>1</v>
      </c>
      <c r="D8" s="6" t="s">
        <v>182</v>
      </c>
      <c r="E8" s="6" t="s">
        <v>183</v>
      </c>
      <c r="F8" s="6"/>
      <c r="G8" s="6"/>
      <c r="H8" s="6" t="s">
        <v>178</v>
      </c>
      <c r="I8" s="6" t="s">
        <v>179</v>
      </c>
      <c r="J8" s="6" t="s">
        <v>184</v>
      </c>
      <c r="K8" s="6"/>
      <c r="L8" s="6" t="s">
        <v>185</v>
      </c>
      <c r="M8" s="7" t="str">
        <f aca="false">IF(D8="scene",IF(AND(F8&lt;&gt;"",C8&lt;&gt;"",G8&lt;&gt;""),"HỢP LỆ","CẦN SỬA"),IF(D8="say",IF(AND(H8&lt;&gt;"",J8&lt;&gt;""),"HỢP LỆ","CẦN SỬA"),IF(D8="choice",IF(AND(E8&lt;&gt;"",H8&lt;&gt;"",I8&lt;&gt;"",J8&lt;&gt;""),"HỢP LỆ","CẦN SỬA"),IF(D8="act",IF(K8&lt;&gt;"","HỢP LỆ","CẦN SỬA"),IF(D8="end","HỢP LỆ","CẦN SỬA")))))</f>
        <v>HỢP LỆ</v>
      </c>
    </row>
    <row r="9" customFormat="false" ht="42" hidden="false" customHeight="true" outlineLevel="0" collapsed="false">
      <c r="A9" s="6" t="n">
        <v>5</v>
      </c>
      <c r="B9" s="6" t="s">
        <v>186</v>
      </c>
      <c r="C9" s="6" t="n">
        <v>1</v>
      </c>
      <c r="D9" s="6" t="s">
        <v>174</v>
      </c>
      <c r="E9" s="6"/>
      <c r="F9" s="6"/>
      <c r="G9" s="6"/>
      <c r="H9" s="6" t="s">
        <v>178</v>
      </c>
      <c r="I9" s="6" t="s">
        <v>179</v>
      </c>
      <c r="J9" s="6" t="s">
        <v>187</v>
      </c>
      <c r="K9" s="6"/>
      <c r="L9" s="6"/>
      <c r="M9" s="7" t="str">
        <f aca="false">IF(D9="scene",IF(AND(F9&lt;&gt;"",C9&lt;&gt;"",G9&lt;&gt;""),"HỢP LỆ","CẦN SỬA"),IF(D9="say",IF(AND(H9&lt;&gt;"",J9&lt;&gt;""),"HỢP LỆ","CẦN SỬA"),IF(D9="choice",IF(AND(E9&lt;&gt;"",H9&lt;&gt;"",I9&lt;&gt;"",J9&lt;&gt;""),"HỢP LỆ","CẦN SỬA"),IF(D9="act",IF(K9&lt;&gt;"","HỢP LỆ","CẦN SỬA"),IF(D9="end","HỢP LỆ","CẦN SỬA")))))</f>
        <v>HỢP LỆ</v>
      </c>
    </row>
    <row r="10" customFormat="false" ht="42" hidden="false" customHeight="true" outlineLevel="0" collapsed="false">
      <c r="A10" s="6" t="n">
        <v>6</v>
      </c>
      <c r="B10" s="6" t="s">
        <v>188</v>
      </c>
      <c r="C10" s="6" t="n">
        <v>1</v>
      </c>
      <c r="D10" s="6" t="s">
        <v>182</v>
      </c>
      <c r="E10" s="6" t="s">
        <v>183</v>
      </c>
      <c r="F10" s="6"/>
      <c r="G10" s="6"/>
      <c r="H10" s="6" t="s">
        <v>178</v>
      </c>
      <c r="I10" s="6" t="s">
        <v>179</v>
      </c>
      <c r="J10" s="6" t="s">
        <v>189</v>
      </c>
      <c r="K10" s="6"/>
      <c r="L10" s="6" t="s">
        <v>185</v>
      </c>
      <c r="M10" s="7" t="str">
        <f aca="false">IF(D10="scene",IF(AND(F10&lt;&gt;"",C10&lt;&gt;"",G10&lt;&gt;""),"HỢP LỆ","CẦN SỬA"),IF(D10="say",IF(AND(H10&lt;&gt;"",J10&lt;&gt;""),"HỢP LỆ","CẦN SỬA"),IF(D10="choice",IF(AND(E10&lt;&gt;"",H10&lt;&gt;"",I10&lt;&gt;"",J10&lt;&gt;""),"HỢP LỆ","CẦN SỬA"),IF(D10="act",IF(K10&lt;&gt;"","HỢP LỆ","CẦN SỬA"),IF(D10="end","HỢP LỆ","CẦN SỬA")))))</f>
        <v>HỢP LỆ</v>
      </c>
    </row>
    <row r="11" customFormat="false" ht="42" hidden="false" customHeight="true" outlineLevel="0" collapsed="false">
      <c r="A11" s="6" t="n">
        <v>7</v>
      </c>
      <c r="B11" s="6" t="s">
        <v>190</v>
      </c>
      <c r="C11" s="6" t="n">
        <v>1</v>
      </c>
      <c r="D11" s="6" t="s">
        <v>191</v>
      </c>
      <c r="E11" s="6"/>
      <c r="F11" s="6"/>
      <c r="G11" s="6"/>
      <c r="H11" s="6"/>
      <c r="I11" s="6"/>
      <c r="J11" s="6"/>
      <c r="K11" s="6" t="s">
        <v>192</v>
      </c>
      <c r="L11" s="6" t="s">
        <v>193</v>
      </c>
      <c r="M11" s="7" t="str">
        <f aca="false">IF(D11="scene",IF(AND(F11&lt;&gt;"",C11&lt;&gt;"",G11&lt;&gt;""),"HỢP LỆ","CẦN SỬA"),IF(D11="say",IF(AND(H11&lt;&gt;"",J11&lt;&gt;""),"HỢP LỆ","CẦN SỬA"),IF(D11="choice",IF(AND(E11&lt;&gt;"",H11&lt;&gt;"",I11&lt;&gt;"",J11&lt;&gt;""),"HỢP LỆ","CẦN SỬA"),IF(D11="act",IF(K11&lt;&gt;"","HỢP LỆ","CẦN SỬA"),IF(D11="end","HỢP LỆ","CẦN SỬA")))))</f>
        <v>HỢP LỆ</v>
      </c>
    </row>
    <row r="12" customFormat="false" ht="42" hidden="false" customHeight="true" outlineLevel="0" collapsed="false">
      <c r="A12" s="6" t="n">
        <v>8</v>
      </c>
      <c r="B12" s="6" t="s">
        <v>194</v>
      </c>
      <c r="C12" s="6" t="n">
        <v>2</v>
      </c>
      <c r="D12" s="6" t="s">
        <v>169</v>
      </c>
      <c r="E12" s="6"/>
      <c r="F12" s="6" t="s">
        <v>195</v>
      </c>
      <c r="G12" s="6" t="s">
        <v>196</v>
      </c>
      <c r="H12" s="6"/>
      <c r="I12" s="6"/>
      <c r="J12" s="6"/>
      <c r="K12" s="6"/>
      <c r="L12" s="6" t="s">
        <v>197</v>
      </c>
      <c r="M12" s="7" t="str">
        <f aca="false">IF(D12="scene",IF(AND(F12&lt;&gt;"",C12&lt;&gt;"",G12&lt;&gt;""),"HỢP LỆ","CẦN SỬA"),IF(D12="say",IF(AND(H12&lt;&gt;"",J12&lt;&gt;""),"HỢP LỆ","CẦN SỬA"),IF(D12="choice",IF(AND(E12&lt;&gt;"",H12&lt;&gt;"",I12&lt;&gt;"",J12&lt;&gt;""),"HỢP LỆ","CẦN SỬA"),IF(D12="act",IF(K12&lt;&gt;"","HỢP LỆ","CẦN SỬA"),IF(D12="end","HỢP LỆ","CẦN SỬA")))))</f>
        <v>HỢP LỆ</v>
      </c>
    </row>
    <row r="13" customFormat="false" ht="42" hidden="false" customHeight="true" outlineLevel="0" collapsed="false">
      <c r="A13" s="6" t="n">
        <v>9</v>
      </c>
      <c r="B13" s="6" t="s">
        <v>198</v>
      </c>
      <c r="C13" s="6" t="n">
        <v>2</v>
      </c>
      <c r="D13" s="6" t="s">
        <v>174</v>
      </c>
      <c r="E13" s="6"/>
      <c r="F13" s="6"/>
      <c r="G13" s="6"/>
      <c r="H13" s="6" t="s">
        <v>175</v>
      </c>
      <c r="I13" s="6"/>
      <c r="J13" s="6" t="s">
        <v>199</v>
      </c>
      <c r="K13" s="6"/>
      <c r="L13" s="6"/>
      <c r="M13" s="7" t="str">
        <f aca="false">IF(D13="scene",IF(AND(F13&lt;&gt;"",C13&lt;&gt;"",G13&lt;&gt;""),"HỢP LỆ","CẦN SỬA"),IF(D13="say",IF(AND(H13&lt;&gt;"",J13&lt;&gt;""),"HỢP LỆ","CẦN SỬA"),IF(D13="choice",IF(AND(E13&lt;&gt;"",H13&lt;&gt;"",I13&lt;&gt;"",J13&lt;&gt;""),"HỢP LỆ","CẦN SỬA"),IF(D13="act",IF(K13&lt;&gt;"","HỢP LỆ","CẦN SỬA"),IF(D13="end","HỢP LỆ","CẦN SỬA")))))</f>
        <v>HỢP LỆ</v>
      </c>
    </row>
    <row r="14" customFormat="false" ht="42" hidden="false" customHeight="true" outlineLevel="0" collapsed="false">
      <c r="A14" s="6" t="n">
        <v>10</v>
      </c>
      <c r="B14" s="6" t="s">
        <v>200</v>
      </c>
      <c r="C14" s="6" t="n">
        <v>2</v>
      </c>
      <c r="D14" s="6" t="s">
        <v>174</v>
      </c>
      <c r="E14" s="6"/>
      <c r="F14" s="6"/>
      <c r="G14" s="6"/>
      <c r="H14" s="6" t="s">
        <v>201</v>
      </c>
      <c r="I14" s="6" t="s">
        <v>202</v>
      </c>
      <c r="J14" s="6" t="s">
        <v>203</v>
      </c>
      <c r="K14" s="6"/>
      <c r="L14" s="6"/>
      <c r="M14" s="7" t="str">
        <f aca="false">IF(D14="scene",IF(AND(F14&lt;&gt;"",C14&lt;&gt;"",G14&lt;&gt;""),"HỢP LỆ","CẦN SỬA"),IF(D14="say",IF(AND(H14&lt;&gt;"",J14&lt;&gt;""),"HỢP LỆ","CẦN SỬA"),IF(D14="choice",IF(AND(E14&lt;&gt;"",H14&lt;&gt;"",I14&lt;&gt;"",J14&lt;&gt;""),"HỢP LỆ","CẦN SỬA"),IF(D14="act",IF(K14&lt;&gt;"","HỢP LỆ","CẦN SỬA"),IF(D14="end","HỢP LỆ","CẦN SỬA")))))</f>
        <v>HỢP LỆ</v>
      </c>
    </row>
    <row r="15" customFormat="false" ht="42" hidden="false" customHeight="true" outlineLevel="0" collapsed="false">
      <c r="A15" s="6" t="n">
        <v>11</v>
      </c>
      <c r="B15" s="6" t="s">
        <v>204</v>
      </c>
      <c r="C15" s="6" t="n">
        <v>2</v>
      </c>
      <c r="D15" s="6" t="s">
        <v>182</v>
      </c>
      <c r="E15" s="6" t="s">
        <v>183</v>
      </c>
      <c r="F15" s="6"/>
      <c r="G15" s="6"/>
      <c r="H15" s="6" t="s">
        <v>201</v>
      </c>
      <c r="I15" s="6" t="s">
        <v>202</v>
      </c>
      <c r="J15" s="6" t="s">
        <v>205</v>
      </c>
      <c r="K15" s="6"/>
      <c r="L15" s="6" t="s">
        <v>185</v>
      </c>
      <c r="M15" s="7" t="str">
        <f aca="false">IF(D15="scene",IF(AND(F15&lt;&gt;"",C15&lt;&gt;"",G15&lt;&gt;""),"HỢP LỆ","CẦN SỬA"),IF(D15="say",IF(AND(H15&lt;&gt;"",J15&lt;&gt;""),"HỢP LỆ","CẦN SỬA"),IF(D15="choice",IF(AND(E15&lt;&gt;"",H15&lt;&gt;"",I15&lt;&gt;"",J15&lt;&gt;""),"HỢP LỆ","CẦN SỬA"),IF(D15="act",IF(K15&lt;&gt;"","HỢP LỆ","CẦN SỬA"),IF(D15="end","HỢP LỆ","CẦN SỬA")))))</f>
        <v>HỢP LỆ</v>
      </c>
    </row>
    <row r="16" customFormat="false" ht="42" hidden="false" customHeight="true" outlineLevel="0" collapsed="false">
      <c r="A16" s="6" t="n">
        <v>12</v>
      </c>
      <c r="B16" s="6" t="s">
        <v>206</v>
      </c>
      <c r="C16" s="6" t="n">
        <v>2</v>
      </c>
      <c r="D16" s="6" t="s">
        <v>174</v>
      </c>
      <c r="E16" s="6"/>
      <c r="F16" s="6"/>
      <c r="G16" s="6"/>
      <c r="H16" s="6" t="s">
        <v>201</v>
      </c>
      <c r="I16" s="6" t="s">
        <v>202</v>
      </c>
      <c r="J16" s="6" t="s">
        <v>207</v>
      </c>
      <c r="K16" s="6"/>
      <c r="L16" s="6"/>
      <c r="M16" s="7" t="str">
        <f aca="false">IF(D16="scene",IF(AND(F16&lt;&gt;"",C16&lt;&gt;"",G16&lt;&gt;""),"HỢP LỆ","CẦN SỬA"),IF(D16="say",IF(AND(H16&lt;&gt;"",J16&lt;&gt;""),"HỢP LỆ","CẦN SỬA"),IF(D16="choice",IF(AND(E16&lt;&gt;"",H16&lt;&gt;"",I16&lt;&gt;"",J16&lt;&gt;""),"HỢP LỆ","CẦN SỬA"),IF(D16="act",IF(K16&lt;&gt;"","HỢP LỆ","CẦN SỬA"),IF(D16="end","HỢP LỆ","CẦN SỬA")))))</f>
        <v>HỢP LỆ</v>
      </c>
    </row>
    <row r="17" customFormat="false" ht="42" hidden="false" customHeight="true" outlineLevel="0" collapsed="false">
      <c r="A17" s="6" t="n">
        <v>13</v>
      </c>
      <c r="B17" s="6" t="s">
        <v>208</v>
      </c>
      <c r="C17" s="6" t="n">
        <v>2</v>
      </c>
      <c r="D17" s="6" t="s">
        <v>182</v>
      </c>
      <c r="E17" s="6" t="s">
        <v>183</v>
      </c>
      <c r="F17" s="6"/>
      <c r="G17" s="6"/>
      <c r="H17" s="6" t="s">
        <v>201</v>
      </c>
      <c r="I17" s="6" t="s">
        <v>202</v>
      </c>
      <c r="J17" s="6" t="s">
        <v>209</v>
      </c>
      <c r="K17" s="6"/>
      <c r="L17" s="6" t="s">
        <v>185</v>
      </c>
      <c r="M17" s="7" t="str">
        <f aca="false">IF(D17="scene",IF(AND(F17&lt;&gt;"",C17&lt;&gt;"",G17&lt;&gt;""),"HỢP LỆ","CẦN SỬA"),IF(D17="say",IF(AND(H17&lt;&gt;"",J17&lt;&gt;""),"HỢP LỆ","CẦN SỬA"),IF(D17="choice",IF(AND(E17&lt;&gt;"",H17&lt;&gt;"",I17&lt;&gt;"",J17&lt;&gt;""),"HỢP LỆ","CẦN SỬA"),IF(D17="act",IF(K17&lt;&gt;"","HỢP LỆ","CẦN SỬA"),IF(D17="end","HỢP LỆ","CẦN SỬA")))))</f>
        <v>HỢP LỆ</v>
      </c>
    </row>
    <row r="18" customFormat="false" ht="42" hidden="false" customHeight="true" outlineLevel="0" collapsed="false">
      <c r="A18" s="6" t="n">
        <v>14</v>
      </c>
      <c r="B18" s="6" t="s">
        <v>210</v>
      </c>
      <c r="C18" s="6" t="n">
        <v>2</v>
      </c>
      <c r="D18" s="6" t="s">
        <v>191</v>
      </c>
      <c r="E18" s="6"/>
      <c r="F18" s="6"/>
      <c r="G18" s="6"/>
      <c r="H18" s="6"/>
      <c r="I18" s="6"/>
      <c r="J18" s="6"/>
      <c r="K18" s="6" t="s">
        <v>211</v>
      </c>
      <c r="L18" s="6" t="s">
        <v>212</v>
      </c>
      <c r="M18" s="7" t="str">
        <f aca="false">IF(D18="scene",IF(AND(F18&lt;&gt;"",C18&lt;&gt;"",G18&lt;&gt;""),"HỢP LỆ","CẦN SỬA"),IF(D18="say",IF(AND(H18&lt;&gt;"",J18&lt;&gt;""),"HỢP LỆ","CẦN SỬA"),IF(D18="choice",IF(AND(E18&lt;&gt;"",H18&lt;&gt;"",I18&lt;&gt;"",J18&lt;&gt;""),"HỢP LỆ","CẦN SỬA"),IF(D18="act",IF(K18&lt;&gt;"","HỢP LỆ","CẦN SỬA"),IF(D18="end","HỢP LỆ","CẦN SỬA")))))</f>
        <v>HỢP LỆ</v>
      </c>
    </row>
    <row r="19" customFormat="false" ht="42" hidden="false" customHeight="true" outlineLevel="0" collapsed="false">
      <c r="A19" s="6" t="n">
        <v>15</v>
      </c>
      <c r="B19" s="6" t="s">
        <v>213</v>
      </c>
      <c r="C19" s="6" t="n">
        <v>3</v>
      </c>
      <c r="D19" s="6" t="s">
        <v>169</v>
      </c>
      <c r="E19" s="6"/>
      <c r="F19" s="6" t="s">
        <v>214</v>
      </c>
      <c r="G19" s="6" t="s">
        <v>215</v>
      </c>
      <c r="H19" s="6"/>
      <c r="I19" s="6"/>
      <c r="J19" s="6"/>
      <c r="K19" s="6"/>
      <c r="L19" s="6" t="s">
        <v>216</v>
      </c>
      <c r="M19" s="7" t="str">
        <f aca="false">IF(D19="scene",IF(AND(F19&lt;&gt;"",C19&lt;&gt;"",G19&lt;&gt;""),"HỢP LỆ","CẦN SỬA"),IF(D19="say",IF(AND(H19&lt;&gt;"",J19&lt;&gt;""),"HỢP LỆ","CẦN SỬA"),IF(D19="choice",IF(AND(E19&lt;&gt;"",H19&lt;&gt;"",I19&lt;&gt;"",J19&lt;&gt;""),"HỢP LỆ","CẦN SỬA"),IF(D19="act",IF(K19&lt;&gt;"","HỢP LỆ","CẦN SỬA"),IF(D19="end","HỢP LỆ","CẦN SỬA")))))</f>
        <v>HỢP LỆ</v>
      </c>
    </row>
    <row r="20" customFormat="false" ht="42" hidden="false" customHeight="true" outlineLevel="0" collapsed="false">
      <c r="A20" s="6" t="n">
        <v>16</v>
      </c>
      <c r="B20" s="6" t="s">
        <v>217</v>
      </c>
      <c r="C20" s="6" t="n">
        <v>3</v>
      </c>
      <c r="D20" s="6" t="s">
        <v>174</v>
      </c>
      <c r="E20" s="6"/>
      <c r="F20" s="6"/>
      <c r="G20" s="6"/>
      <c r="H20" s="6" t="s">
        <v>175</v>
      </c>
      <c r="I20" s="6"/>
      <c r="J20" s="6" t="s">
        <v>218</v>
      </c>
      <c r="K20" s="6"/>
      <c r="L20" s="6"/>
      <c r="M20" s="7" t="str">
        <f aca="false">IF(D20="scene",IF(AND(F20&lt;&gt;"",C20&lt;&gt;"",G20&lt;&gt;""),"HỢP LỆ","CẦN SỬA"),IF(D20="say",IF(AND(H20&lt;&gt;"",J20&lt;&gt;""),"HỢP LỆ","CẦN SỬA"),IF(D20="choice",IF(AND(E20&lt;&gt;"",H20&lt;&gt;"",I20&lt;&gt;"",J20&lt;&gt;""),"HỢP LỆ","CẦN SỬA"),IF(D20="act",IF(K20&lt;&gt;"","HỢP LỆ","CẦN SỬA"),IF(D20="end","HỢP LỆ","CẦN SỬA")))))</f>
        <v>HỢP LỆ</v>
      </c>
    </row>
    <row r="21" customFormat="false" ht="42" hidden="false" customHeight="true" outlineLevel="0" collapsed="false">
      <c r="A21" s="6" t="n">
        <v>17</v>
      </c>
      <c r="B21" s="6" t="s">
        <v>219</v>
      </c>
      <c r="C21" s="6" t="n">
        <v>3</v>
      </c>
      <c r="D21" s="6" t="s">
        <v>174</v>
      </c>
      <c r="E21" s="6"/>
      <c r="F21" s="6"/>
      <c r="G21" s="6"/>
      <c r="H21" s="6" t="s">
        <v>220</v>
      </c>
      <c r="I21" s="6" t="s">
        <v>179</v>
      </c>
      <c r="J21" s="6" t="s">
        <v>221</v>
      </c>
      <c r="K21" s="6"/>
      <c r="L21" s="6"/>
      <c r="M21" s="7" t="str">
        <f aca="false">IF(D21="scene",IF(AND(F21&lt;&gt;"",C21&lt;&gt;"",G21&lt;&gt;""),"HỢP LỆ","CẦN SỬA"),IF(D21="say",IF(AND(H21&lt;&gt;"",J21&lt;&gt;""),"HỢP LỆ","CẦN SỬA"),IF(D21="choice",IF(AND(E21&lt;&gt;"",H21&lt;&gt;"",I21&lt;&gt;"",J21&lt;&gt;""),"HỢP LỆ","CẦN SỬA"),IF(D21="act",IF(K21&lt;&gt;"","HỢP LỆ","CẦN SỬA"),IF(D21="end","HỢP LỆ","CẦN SỬA")))))</f>
        <v>HỢP LỆ</v>
      </c>
    </row>
    <row r="22" customFormat="false" ht="42" hidden="false" customHeight="true" outlineLevel="0" collapsed="false">
      <c r="A22" s="6" t="n">
        <v>18</v>
      </c>
      <c r="B22" s="6" t="s">
        <v>222</v>
      </c>
      <c r="C22" s="6" t="n">
        <v>3</v>
      </c>
      <c r="D22" s="6" t="s">
        <v>182</v>
      </c>
      <c r="E22" s="6" t="s">
        <v>183</v>
      </c>
      <c r="F22" s="6"/>
      <c r="G22" s="6"/>
      <c r="H22" s="6" t="s">
        <v>220</v>
      </c>
      <c r="I22" s="6" t="s">
        <v>179</v>
      </c>
      <c r="J22" s="6" t="s">
        <v>223</v>
      </c>
      <c r="K22" s="6"/>
      <c r="L22" s="6" t="s">
        <v>185</v>
      </c>
      <c r="M22" s="7" t="str">
        <f aca="false">IF(D22="scene",IF(AND(F22&lt;&gt;"",C22&lt;&gt;"",G22&lt;&gt;""),"HỢP LỆ","CẦN SỬA"),IF(D22="say",IF(AND(H22&lt;&gt;"",J22&lt;&gt;""),"HỢP LỆ","CẦN SỬA"),IF(D22="choice",IF(AND(E22&lt;&gt;"",H22&lt;&gt;"",I22&lt;&gt;"",J22&lt;&gt;""),"HỢP LỆ","CẦN SỬA"),IF(D22="act",IF(K22&lt;&gt;"","HỢP LỆ","CẦN SỬA"),IF(D22="end","HỢP LỆ","CẦN SỬA")))))</f>
        <v>HỢP LỆ</v>
      </c>
    </row>
    <row r="23" customFormat="false" ht="42" hidden="false" customHeight="true" outlineLevel="0" collapsed="false">
      <c r="A23" s="6" t="n">
        <v>19</v>
      </c>
      <c r="B23" s="6" t="s">
        <v>224</v>
      </c>
      <c r="C23" s="6" t="n">
        <v>3</v>
      </c>
      <c r="D23" s="6" t="s">
        <v>174</v>
      </c>
      <c r="E23" s="6"/>
      <c r="F23" s="6"/>
      <c r="G23" s="6"/>
      <c r="H23" s="6" t="s">
        <v>178</v>
      </c>
      <c r="I23" s="6" t="s">
        <v>179</v>
      </c>
      <c r="J23" s="6" t="s">
        <v>225</v>
      </c>
      <c r="K23" s="6"/>
      <c r="L23" s="6"/>
      <c r="M23" s="7" t="str">
        <f aca="false">IF(D23="scene",IF(AND(F23&lt;&gt;"",C23&lt;&gt;"",G23&lt;&gt;""),"HỢP LỆ","CẦN SỬA"),IF(D23="say",IF(AND(H23&lt;&gt;"",J23&lt;&gt;""),"HỢP LỆ","CẦN SỬA"),IF(D23="choice",IF(AND(E23&lt;&gt;"",H23&lt;&gt;"",I23&lt;&gt;"",J23&lt;&gt;""),"HỢP LỆ","CẦN SỬA"),IF(D23="act",IF(K23&lt;&gt;"","HỢP LỆ","CẦN SỬA"),IF(D23="end","HỢP LỆ","CẦN SỬA")))))</f>
        <v>HỢP LỆ</v>
      </c>
    </row>
    <row r="24" customFormat="false" ht="42" hidden="false" customHeight="true" outlineLevel="0" collapsed="false">
      <c r="A24" s="6" t="n">
        <v>20</v>
      </c>
      <c r="B24" s="6" t="s">
        <v>226</v>
      </c>
      <c r="C24" s="6" t="n">
        <v>3</v>
      </c>
      <c r="D24" s="6" t="s">
        <v>182</v>
      </c>
      <c r="E24" s="6" t="s">
        <v>183</v>
      </c>
      <c r="F24" s="6"/>
      <c r="G24" s="6"/>
      <c r="H24" s="6" t="s">
        <v>178</v>
      </c>
      <c r="I24" s="6" t="s">
        <v>179</v>
      </c>
      <c r="J24" s="6" t="s">
        <v>227</v>
      </c>
      <c r="K24" s="6"/>
      <c r="L24" s="6" t="s">
        <v>185</v>
      </c>
      <c r="M24" s="7" t="str">
        <f aca="false">IF(D24="scene",IF(AND(F24&lt;&gt;"",C24&lt;&gt;"",G24&lt;&gt;""),"HỢP LỆ","CẦN SỬA"),IF(D24="say",IF(AND(H24&lt;&gt;"",J24&lt;&gt;""),"HỢP LỆ","CẦN SỬA"),IF(D24="choice",IF(AND(E24&lt;&gt;"",H24&lt;&gt;"",I24&lt;&gt;"",J24&lt;&gt;""),"HỢP LỆ","CẦN SỬA"),IF(D24="act",IF(K24&lt;&gt;"","HỢP LỆ","CẦN SỬA"),IF(D24="end","HỢP LỆ","CẦN SỬA")))))</f>
        <v>HỢP LỆ</v>
      </c>
    </row>
    <row r="25" customFormat="false" ht="42" hidden="false" customHeight="true" outlineLevel="0" collapsed="false">
      <c r="A25" s="6" t="n">
        <v>21</v>
      </c>
      <c r="B25" s="6" t="s">
        <v>228</v>
      </c>
      <c r="C25" s="6" t="n">
        <v>3</v>
      </c>
      <c r="D25" s="6" t="s">
        <v>191</v>
      </c>
      <c r="E25" s="6"/>
      <c r="F25" s="6"/>
      <c r="G25" s="6"/>
      <c r="H25" s="6"/>
      <c r="I25" s="6"/>
      <c r="J25" s="6"/>
      <c r="K25" s="6" t="s">
        <v>229</v>
      </c>
      <c r="L25" s="6" t="s">
        <v>230</v>
      </c>
      <c r="M25" s="7" t="str">
        <f aca="false">IF(D25="scene",IF(AND(F25&lt;&gt;"",C25&lt;&gt;"",G25&lt;&gt;""),"HỢP LỆ","CẦN SỬA"),IF(D25="say",IF(AND(H25&lt;&gt;"",J25&lt;&gt;""),"HỢP LỆ","CẦN SỬA"),IF(D25="choice",IF(AND(E25&lt;&gt;"",H25&lt;&gt;"",I25&lt;&gt;"",J25&lt;&gt;""),"HỢP LỆ","CẦN SỬA"),IF(D25="act",IF(K25&lt;&gt;"","HỢP LỆ","CẦN SỬA"),IF(D25="end","HỢP LỆ","CẦN SỬA")))))</f>
        <v>HỢP LỆ</v>
      </c>
    </row>
    <row r="26" customFormat="false" ht="42" hidden="false" customHeight="true" outlineLevel="0" collapsed="false">
      <c r="A26" s="6" t="n">
        <v>22</v>
      </c>
      <c r="B26" s="6" t="s">
        <v>231</v>
      </c>
      <c r="C26" s="6" t="n">
        <v>4</v>
      </c>
      <c r="D26" s="6" t="s">
        <v>169</v>
      </c>
      <c r="E26" s="6"/>
      <c r="F26" s="6" t="s">
        <v>170</v>
      </c>
      <c r="G26" s="6" t="s">
        <v>232</v>
      </c>
      <c r="H26" s="6"/>
      <c r="I26" s="6"/>
      <c r="J26" s="6"/>
      <c r="K26" s="6"/>
      <c r="L26" s="6" t="s">
        <v>233</v>
      </c>
      <c r="M26" s="7" t="str">
        <f aca="false">IF(D26="scene",IF(AND(F26&lt;&gt;"",C26&lt;&gt;"",G26&lt;&gt;""),"HỢP LỆ","CẦN SỬA"),IF(D26="say",IF(AND(H26&lt;&gt;"",J26&lt;&gt;""),"HỢP LỆ","CẦN SỬA"),IF(D26="choice",IF(AND(E26&lt;&gt;"",H26&lt;&gt;"",I26&lt;&gt;"",J26&lt;&gt;""),"HỢP LỆ","CẦN SỬA"),IF(D26="act",IF(K26&lt;&gt;"","HỢP LỆ","CẦN SỬA"),IF(D26="end","HỢP LỆ","CẦN SỬA")))))</f>
        <v>HỢP LỆ</v>
      </c>
    </row>
    <row r="27" customFormat="false" ht="42" hidden="false" customHeight="true" outlineLevel="0" collapsed="false">
      <c r="A27" s="6" t="n">
        <v>23</v>
      </c>
      <c r="B27" s="6" t="s">
        <v>234</v>
      </c>
      <c r="C27" s="6" t="n">
        <v>4</v>
      </c>
      <c r="D27" s="6" t="s">
        <v>174</v>
      </c>
      <c r="E27" s="6"/>
      <c r="F27" s="6"/>
      <c r="G27" s="6"/>
      <c r="H27" s="6" t="s">
        <v>175</v>
      </c>
      <c r="I27" s="6"/>
      <c r="J27" s="6" t="s">
        <v>235</v>
      </c>
      <c r="K27" s="6"/>
      <c r="L27" s="6"/>
      <c r="M27" s="7" t="str">
        <f aca="false">IF(D27="scene",IF(AND(F27&lt;&gt;"",C27&lt;&gt;"",G27&lt;&gt;""),"HỢP LỆ","CẦN SỬA"),IF(D27="say",IF(AND(H27&lt;&gt;"",J27&lt;&gt;""),"HỢP LỆ","CẦN SỬA"),IF(D27="choice",IF(AND(E27&lt;&gt;"",H27&lt;&gt;"",I27&lt;&gt;"",J27&lt;&gt;""),"HỢP LỆ","CẦN SỬA"),IF(D27="act",IF(K27&lt;&gt;"","HỢP LỆ","CẦN SỬA"),IF(D27="end","HỢP LỆ","CẦN SỬA")))))</f>
        <v>HỢP LỆ</v>
      </c>
    </row>
    <row r="28" customFormat="false" ht="42" hidden="false" customHeight="true" outlineLevel="0" collapsed="false">
      <c r="A28" s="6" t="n">
        <v>24</v>
      </c>
      <c r="B28" s="6" t="s">
        <v>236</v>
      </c>
      <c r="C28" s="6" t="n">
        <v>4</v>
      </c>
      <c r="D28" s="6" t="s">
        <v>174</v>
      </c>
      <c r="E28" s="6"/>
      <c r="F28" s="6"/>
      <c r="G28" s="6"/>
      <c r="H28" s="6" t="s">
        <v>178</v>
      </c>
      <c r="I28" s="6" t="s">
        <v>179</v>
      </c>
      <c r="J28" s="6" t="s">
        <v>237</v>
      </c>
      <c r="K28" s="6"/>
      <c r="L28" s="6"/>
      <c r="M28" s="7" t="str">
        <f aca="false">IF(D28="scene",IF(AND(F28&lt;&gt;"",C28&lt;&gt;"",G28&lt;&gt;""),"HỢP LỆ","CẦN SỬA"),IF(D28="say",IF(AND(H28&lt;&gt;"",J28&lt;&gt;""),"HỢP LỆ","CẦN SỬA"),IF(D28="choice",IF(AND(E28&lt;&gt;"",H28&lt;&gt;"",I28&lt;&gt;"",J28&lt;&gt;""),"HỢP LỆ","CẦN SỬA"),IF(D28="act",IF(K28&lt;&gt;"","HỢP LỆ","CẦN SỬA"),IF(D28="end","HỢP LỆ","CẦN SỬA")))))</f>
        <v>HỢP LỆ</v>
      </c>
    </row>
    <row r="29" customFormat="false" ht="42" hidden="false" customHeight="true" outlineLevel="0" collapsed="false">
      <c r="A29" s="6" t="n">
        <v>25</v>
      </c>
      <c r="B29" s="6" t="s">
        <v>238</v>
      </c>
      <c r="C29" s="6" t="n">
        <v>4</v>
      </c>
      <c r="D29" s="6" t="s">
        <v>182</v>
      </c>
      <c r="E29" s="6" t="s">
        <v>183</v>
      </c>
      <c r="F29" s="6"/>
      <c r="G29" s="6"/>
      <c r="H29" s="6" t="s">
        <v>178</v>
      </c>
      <c r="I29" s="6" t="s">
        <v>179</v>
      </c>
      <c r="J29" s="6" t="s">
        <v>239</v>
      </c>
      <c r="K29" s="6"/>
      <c r="L29" s="6" t="s">
        <v>185</v>
      </c>
      <c r="M29" s="7" t="str">
        <f aca="false">IF(D29="scene",IF(AND(F29&lt;&gt;"",C29&lt;&gt;"",G29&lt;&gt;""),"HỢP LỆ","CẦN SỬA"),IF(D29="say",IF(AND(H29&lt;&gt;"",J29&lt;&gt;""),"HỢP LỆ","CẦN SỬA"),IF(D29="choice",IF(AND(E29&lt;&gt;"",H29&lt;&gt;"",I29&lt;&gt;"",J29&lt;&gt;""),"HỢP LỆ","CẦN SỬA"),IF(D29="act",IF(K29&lt;&gt;"","HỢP LỆ","CẦN SỬA"),IF(D29="end","HỢP LỆ","CẦN SỬA")))))</f>
        <v>HỢP LỆ</v>
      </c>
    </row>
    <row r="30" customFormat="false" ht="42" hidden="false" customHeight="true" outlineLevel="0" collapsed="false">
      <c r="A30" s="6" t="n">
        <v>26</v>
      </c>
      <c r="B30" s="6" t="s">
        <v>240</v>
      </c>
      <c r="C30" s="6" t="n">
        <v>4</v>
      </c>
      <c r="D30" s="6" t="s">
        <v>174</v>
      </c>
      <c r="E30" s="6"/>
      <c r="F30" s="6"/>
      <c r="G30" s="6"/>
      <c r="H30" s="6" t="s">
        <v>178</v>
      </c>
      <c r="I30" s="6" t="s">
        <v>179</v>
      </c>
      <c r="J30" s="6" t="s">
        <v>241</v>
      </c>
      <c r="K30" s="6"/>
      <c r="L30" s="6"/>
      <c r="M30" s="7" t="str">
        <f aca="false">IF(D30="scene",IF(AND(F30&lt;&gt;"",C30&lt;&gt;"",G30&lt;&gt;""),"HỢP LỆ","CẦN SỬA"),IF(D30="say",IF(AND(H30&lt;&gt;"",J30&lt;&gt;""),"HỢP LỆ","CẦN SỬA"),IF(D30="choice",IF(AND(E30&lt;&gt;"",H30&lt;&gt;"",I30&lt;&gt;"",J30&lt;&gt;""),"HỢP LỆ","CẦN SỬA"),IF(D30="act",IF(K30&lt;&gt;"","HỢP LỆ","CẦN SỬA"),IF(D30="end","HỢP LỆ","CẦN SỬA")))))</f>
        <v>HỢP LỆ</v>
      </c>
    </row>
    <row r="31" customFormat="false" ht="42" hidden="false" customHeight="true" outlineLevel="0" collapsed="false">
      <c r="A31" s="6" t="n">
        <v>27</v>
      </c>
      <c r="B31" s="6" t="s">
        <v>242</v>
      </c>
      <c r="C31" s="6" t="n">
        <v>4</v>
      </c>
      <c r="D31" s="6" t="s">
        <v>182</v>
      </c>
      <c r="E31" s="6" t="s">
        <v>183</v>
      </c>
      <c r="F31" s="6"/>
      <c r="G31" s="6"/>
      <c r="H31" s="6" t="s">
        <v>178</v>
      </c>
      <c r="I31" s="6" t="s">
        <v>179</v>
      </c>
      <c r="J31" s="6" t="s">
        <v>243</v>
      </c>
      <c r="K31" s="6"/>
      <c r="L31" s="6" t="s">
        <v>185</v>
      </c>
      <c r="M31" s="7" t="str">
        <f aca="false">IF(D31="scene",IF(AND(F31&lt;&gt;"",C31&lt;&gt;"",G31&lt;&gt;""),"HỢP LỆ","CẦN SỬA"),IF(D31="say",IF(AND(H31&lt;&gt;"",J31&lt;&gt;""),"HỢP LỆ","CẦN SỬA"),IF(D31="choice",IF(AND(E31&lt;&gt;"",H31&lt;&gt;"",I31&lt;&gt;"",J31&lt;&gt;""),"HỢP LỆ","CẦN SỬA"),IF(D31="act",IF(K31&lt;&gt;"","HỢP LỆ","CẦN SỬA"),IF(D31="end","HỢP LỆ","CẦN SỬA")))))</f>
        <v>HỢP LỆ</v>
      </c>
    </row>
    <row r="32" customFormat="false" ht="42" hidden="false" customHeight="true" outlineLevel="0" collapsed="false">
      <c r="A32" s="6" t="n">
        <v>28</v>
      </c>
      <c r="B32" s="6" t="s">
        <v>244</v>
      </c>
      <c r="C32" s="6" t="n">
        <v>4</v>
      </c>
      <c r="D32" s="6" t="s">
        <v>191</v>
      </c>
      <c r="E32" s="6"/>
      <c r="F32" s="6"/>
      <c r="G32" s="6"/>
      <c r="H32" s="6"/>
      <c r="I32" s="6"/>
      <c r="J32" s="6"/>
      <c r="K32" s="6" t="s">
        <v>245</v>
      </c>
      <c r="L32" s="6" t="s">
        <v>246</v>
      </c>
      <c r="M32" s="7" t="str">
        <f aca="false">IF(D32="scene",IF(AND(F32&lt;&gt;"",C32&lt;&gt;"",G32&lt;&gt;""),"HỢP LỆ","CẦN SỬA"),IF(D32="say",IF(AND(H32&lt;&gt;"",J32&lt;&gt;""),"HỢP LỆ","CẦN SỬA"),IF(D32="choice",IF(AND(E32&lt;&gt;"",H32&lt;&gt;"",I32&lt;&gt;"",J32&lt;&gt;""),"HỢP LỆ","CẦN SỬA"),IF(D32="act",IF(K32&lt;&gt;"","HỢP LỆ","CẦN SỬA"),IF(D32="end","HỢP LỆ","CẦN SỬA")))))</f>
        <v>HỢP LỆ</v>
      </c>
    </row>
    <row r="33" customFormat="false" ht="42" hidden="false" customHeight="true" outlineLevel="0" collapsed="false">
      <c r="A33" s="6" t="n">
        <v>29</v>
      </c>
      <c r="B33" s="6" t="s">
        <v>247</v>
      </c>
      <c r="C33" s="6"/>
      <c r="D33" s="6" t="s">
        <v>248</v>
      </c>
      <c r="E33" s="6"/>
      <c r="F33" s="6"/>
      <c r="G33" s="6"/>
      <c r="H33" s="6"/>
      <c r="I33" s="6"/>
      <c r="J33" s="6"/>
      <c r="K33" s="6"/>
      <c r="L33" s="6" t="s">
        <v>249</v>
      </c>
      <c r="M33" s="7" t="str">
        <f aca="false">IF(D33="scene",IF(AND(F33&lt;&gt;"",C33&lt;&gt;"",G33&lt;&gt;""),"HỢP LỆ","CẦN SỬA"),IF(D33="say",IF(AND(H33&lt;&gt;"",J33&lt;&gt;""),"HỢP LỆ","CẦN SỬA"),IF(D33="choice",IF(AND(E33&lt;&gt;"",H33&lt;&gt;"",I33&lt;&gt;"",J33&lt;&gt;""),"HỢP LỆ","CẦN SỬA"),IF(D33="act",IF(K33&lt;&gt;"","HỢP LỆ","CẦN SỬA"),IF(D33="end","HỢP LỆ","CẦN SỬA")))))</f>
        <v>HỢP LỆ</v>
      </c>
    </row>
  </sheetData>
  <mergeCells count="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42"/>
    <col collapsed="false" customWidth="true" hidden="false" outlineLevel="0" max="4" min="4" style="0" width="10"/>
    <col collapsed="false" customWidth="true" hidden="false" outlineLevel="0" max="5" min="5" style="0" width="6"/>
    <col collapsed="false" customWidth="true" hidden="false" outlineLevel="0" max="6" min="6" style="0" width="13"/>
    <col collapsed="false" customWidth="true" hidden="false" outlineLevel="0" max="7" min="7" style="0" width="11"/>
    <col collapsed="false" customWidth="true" hidden="false" outlineLevel="0" max="8" min="8" style="0" width="40"/>
    <col collapsed="false" customWidth="true" hidden="false" outlineLevel="0" max="9" min="9" style="0" width="16"/>
    <col collapsed="false" customWidth="true" hidden="false" outlineLevel="0" max="10" min="10" style="0" width="14"/>
  </cols>
  <sheetData>
    <row r="1" customFormat="false" ht="19.7" hidden="false" customHeight="false" outlineLevel="0" collapsed="false">
      <c r="A1" s="1" t="s">
        <v>250</v>
      </c>
    </row>
    <row r="2" customFormat="false" ht="15" hidden="false" customHeight="false" outlineLevel="0" collapsed="false">
      <c r="A2" s="8" t="s">
        <v>251</v>
      </c>
      <c r="B2" s="8"/>
      <c r="C2" s="8"/>
      <c r="D2" s="8"/>
      <c r="E2" s="8"/>
      <c r="F2" s="8"/>
      <c r="G2" s="8"/>
      <c r="H2" s="8"/>
      <c r="I2" s="8"/>
      <c r="J2" s="8"/>
    </row>
    <row r="4" customFormat="false" ht="23.85" hidden="false" customHeight="false" outlineLevel="0" collapsed="false">
      <c r="A4" s="4" t="s">
        <v>252</v>
      </c>
      <c r="B4" s="4" t="s">
        <v>253</v>
      </c>
      <c r="C4" s="4" t="s">
        <v>254</v>
      </c>
      <c r="D4" s="4" t="s">
        <v>255</v>
      </c>
      <c r="E4" s="4" t="s">
        <v>256</v>
      </c>
      <c r="F4" s="4" t="s">
        <v>257</v>
      </c>
      <c r="G4" s="4" t="s">
        <v>258</v>
      </c>
      <c r="H4" s="4" t="s">
        <v>259</v>
      </c>
      <c r="I4" s="4" t="s">
        <v>148</v>
      </c>
      <c r="J4" s="4" t="s">
        <v>167</v>
      </c>
    </row>
    <row r="5" customFormat="false" ht="39.75" hidden="false" customHeight="true" outlineLevel="0" collapsed="false">
      <c r="A5" s="6" t="s">
        <v>181</v>
      </c>
      <c r="B5" s="6" t="n">
        <v>1</v>
      </c>
      <c r="C5" s="6" t="s">
        <v>260</v>
      </c>
      <c r="D5" s="6" t="s">
        <v>96</v>
      </c>
      <c r="E5" s="6"/>
      <c r="F5" s="6" t="s">
        <v>178</v>
      </c>
      <c r="G5" s="6" t="s">
        <v>261</v>
      </c>
      <c r="H5" s="6" t="s">
        <v>262</v>
      </c>
      <c r="I5" s="6" t="s">
        <v>263</v>
      </c>
      <c r="J5" s="7" t="str">
        <f aca="false">IF(AND(C5&lt;&gt;"",D5&lt;&gt;"",F5&lt;&gt;"",H5&lt;&gt;""),"HỢP LỆ","CẦN SỬA")</f>
        <v>HỢP LỆ</v>
      </c>
    </row>
    <row r="6" customFormat="false" ht="39.75" hidden="false" customHeight="true" outlineLevel="0" collapsed="false">
      <c r="A6" s="6" t="s">
        <v>181</v>
      </c>
      <c r="B6" s="6" t="n">
        <v>2</v>
      </c>
      <c r="C6" s="6" t="s">
        <v>264</v>
      </c>
      <c r="D6" s="6" t="s">
        <v>137</v>
      </c>
      <c r="E6" s="6"/>
      <c r="F6" s="6" t="s">
        <v>178</v>
      </c>
      <c r="G6" s="6" t="s">
        <v>265</v>
      </c>
      <c r="H6" s="6" t="s">
        <v>266</v>
      </c>
      <c r="I6" s="6" t="s">
        <v>267</v>
      </c>
      <c r="J6" s="7" t="str">
        <f aca="false">IF(AND(C6&lt;&gt;"",D6&lt;&gt;"",F6&lt;&gt;"",H6&lt;&gt;""),"HỢP LỆ","CẦN SỬA")</f>
        <v>HỢP LỆ</v>
      </c>
    </row>
    <row r="7" customFormat="false" ht="39.75" hidden="false" customHeight="true" outlineLevel="0" collapsed="false">
      <c r="A7" s="6" t="s">
        <v>181</v>
      </c>
      <c r="B7" s="6" t="n">
        <v>3</v>
      </c>
      <c r="C7" s="6" t="s">
        <v>268</v>
      </c>
      <c r="D7" s="6" t="s">
        <v>137</v>
      </c>
      <c r="E7" s="6"/>
      <c r="F7" s="6" t="s">
        <v>178</v>
      </c>
      <c r="G7" s="6" t="s">
        <v>265</v>
      </c>
      <c r="H7" s="6" t="s">
        <v>269</v>
      </c>
      <c r="I7" s="6" t="s">
        <v>267</v>
      </c>
      <c r="J7" s="7" t="str">
        <f aca="false">IF(AND(C7&lt;&gt;"",D7&lt;&gt;"",F7&lt;&gt;"",H7&lt;&gt;""),"HỢP LỆ","CẦN SỬA")</f>
        <v>HỢP LỆ</v>
      </c>
    </row>
    <row r="8" customFormat="false" ht="39.75" hidden="false" customHeight="true" outlineLevel="0" collapsed="false">
      <c r="A8" s="6" t="s">
        <v>188</v>
      </c>
      <c r="B8" s="6" t="n">
        <v>1</v>
      </c>
      <c r="C8" s="6" t="s">
        <v>270</v>
      </c>
      <c r="D8" s="6" t="s">
        <v>96</v>
      </c>
      <c r="E8" s="6"/>
      <c r="F8" s="6" t="s">
        <v>178</v>
      </c>
      <c r="G8" s="6" t="s">
        <v>261</v>
      </c>
      <c r="H8" s="6" t="s">
        <v>271</v>
      </c>
      <c r="I8" s="6" t="s">
        <v>263</v>
      </c>
      <c r="J8" s="7" t="str">
        <f aca="false">IF(AND(C8&lt;&gt;"",D8&lt;&gt;"",F8&lt;&gt;"",H8&lt;&gt;""),"HỢP LỆ","CẦN SỬA")</f>
        <v>HỢP LỆ</v>
      </c>
    </row>
    <row r="9" customFormat="false" ht="39.75" hidden="false" customHeight="true" outlineLevel="0" collapsed="false">
      <c r="A9" s="6" t="s">
        <v>188</v>
      </c>
      <c r="B9" s="6" t="n">
        <v>2</v>
      </c>
      <c r="C9" s="6" t="s">
        <v>272</v>
      </c>
      <c r="D9" s="6" t="s">
        <v>137</v>
      </c>
      <c r="E9" s="6"/>
      <c r="F9" s="6" t="s">
        <v>178</v>
      </c>
      <c r="G9" s="6" t="s">
        <v>265</v>
      </c>
      <c r="H9" s="6" t="s">
        <v>273</v>
      </c>
      <c r="I9" s="6" t="s">
        <v>267</v>
      </c>
      <c r="J9" s="7" t="str">
        <f aca="false">IF(AND(C9&lt;&gt;"",D9&lt;&gt;"",F9&lt;&gt;"",H9&lt;&gt;""),"HỢP LỆ","CẦN SỬA")</f>
        <v>HỢP LỆ</v>
      </c>
    </row>
    <row r="10" customFormat="false" ht="39.75" hidden="false" customHeight="true" outlineLevel="0" collapsed="false">
      <c r="A10" s="6" t="s">
        <v>188</v>
      </c>
      <c r="B10" s="6" t="n">
        <v>3</v>
      </c>
      <c r="C10" s="6" t="s">
        <v>274</v>
      </c>
      <c r="D10" s="6" t="s">
        <v>137</v>
      </c>
      <c r="E10" s="6"/>
      <c r="F10" s="6" t="s">
        <v>178</v>
      </c>
      <c r="G10" s="6" t="s">
        <v>265</v>
      </c>
      <c r="H10" s="6" t="s">
        <v>275</v>
      </c>
      <c r="I10" s="6" t="s">
        <v>267</v>
      </c>
      <c r="J10" s="7" t="str">
        <f aca="false">IF(AND(C10&lt;&gt;"",D10&lt;&gt;"",F10&lt;&gt;"",H10&lt;&gt;""),"HỢP LỆ","CẦN SỬA")</f>
        <v>HỢP LỆ</v>
      </c>
    </row>
    <row r="11" customFormat="false" ht="39.75" hidden="false" customHeight="true" outlineLevel="0" collapsed="false">
      <c r="A11" s="6" t="s">
        <v>204</v>
      </c>
      <c r="B11" s="6" t="n">
        <v>1</v>
      </c>
      <c r="C11" s="6" t="s">
        <v>276</v>
      </c>
      <c r="D11" s="6" t="s">
        <v>96</v>
      </c>
      <c r="E11" s="6"/>
      <c r="F11" s="6" t="s">
        <v>201</v>
      </c>
      <c r="G11" s="6" t="s">
        <v>179</v>
      </c>
      <c r="H11" s="6" t="s">
        <v>277</v>
      </c>
      <c r="I11" s="6" t="s">
        <v>263</v>
      </c>
      <c r="J11" s="7" t="str">
        <f aca="false">IF(AND(C11&lt;&gt;"",D11&lt;&gt;"",F11&lt;&gt;"",H11&lt;&gt;""),"HỢP LỆ","CẦN SỬA")</f>
        <v>HỢP LỆ</v>
      </c>
    </row>
    <row r="12" customFormat="false" ht="39.75" hidden="false" customHeight="true" outlineLevel="0" collapsed="false">
      <c r="A12" s="6" t="s">
        <v>204</v>
      </c>
      <c r="B12" s="6" t="n">
        <v>2</v>
      </c>
      <c r="C12" s="6" t="s">
        <v>278</v>
      </c>
      <c r="D12" s="6" t="s">
        <v>137</v>
      </c>
      <c r="E12" s="6"/>
      <c r="F12" s="6" t="s">
        <v>201</v>
      </c>
      <c r="G12" s="6" t="s">
        <v>202</v>
      </c>
      <c r="H12" s="6" t="s">
        <v>279</v>
      </c>
      <c r="I12" s="6" t="s">
        <v>267</v>
      </c>
      <c r="J12" s="7" t="str">
        <f aca="false">IF(AND(C12&lt;&gt;"",D12&lt;&gt;"",F12&lt;&gt;"",H12&lt;&gt;""),"HỢP LỆ","CẦN SỬA")</f>
        <v>HỢP LỆ</v>
      </c>
    </row>
    <row r="13" customFormat="false" ht="39.75" hidden="false" customHeight="true" outlineLevel="0" collapsed="false">
      <c r="A13" s="6" t="s">
        <v>204</v>
      </c>
      <c r="B13" s="6" t="n">
        <v>3</v>
      </c>
      <c r="C13" s="6" t="s">
        <v>280</v>
      </c>
      <c r="D13" s="6" t="s">
        <v>137</v>
      </c>
      <c r="E13" s="6"/>
      <c r="F13" s="6" t="s">
        <v>201</v>
      </c>
      <c r="G13" s="6" t="s">
        <v>202</v>
      </c>
      <c r="H13" s="6" t="s">
        <v>281</v>
      </c>
      <c r="I13" s="6" t="s">
        <v>267</v>
      </c>
      <c r="J13" s="7" t="str">
        <f aca="false">IF(AND(C13&lt;&gt;"",D13&lt;&gt;"",F13&lt;&gt;"",H13&lt;&gt;""),"HỢP LỆ","CẦN SỬA")</f>
        <v>HỢP LỆ</v>
      </c>
    </row>
    <row r="14" customFormat="false" ht="39.75" hidden="false" customHeight="true" outlineLevel="0" collapsed="false">
      <c r="A14" s="6" t="s">
        <v>208</v>
      </c>
      <c r="B14" s="6" t="n">
        <v>1</v>
      </c>
      <c r="C14" s="6" t="s">
        <v>282</v>
      </c>
      <c r="D14" s="6" t="s">
        <v>96</v>
      </c>
      <c r="E14" s="6"/>
      <c r="F14" s="6" t="s">
        <v>201</v>
      </c>
      <c r="G14" s="6" t="s">
        <v>179</v>
      </c>
      <c r="H14" s="6" t="s">
        <v>283</v>
      </c>
      <c r="I14" s="6" t="s">
        <v>263</v>
      </c>
      <c r="J14" s="7" t="str">
        <f aca="false">IF(AND(C14&lt;&gt;"",D14&lt;&gt;"",F14&lt;&gt;"",H14&lt;&gt;""),"HỢP LỆ","CẦN SỬA")</f>
        <v>HỢP LỆ</v>
      </c>
    </row>
    <row r="15" customFormat="false" ht="39.75" hidden="false" customHeight="true" outlineLevel="0" collapsed="false">
      <c r="A15" s="6" t="s">
        <v>208</v>
      </c>
      <c r="B15" s="6" t="n">
        <v>2</v>
      </c>
      <c r="C15" s="6" t="s">
        <v>284</v>
      </c>
      <c r="D15" s="6" t="s">
        <v>137</v>
      </c>
      <c r="E15" s="6"/>
      <c r="F15" s="6" t="s">
        <v>201</v>
      </c>
      <c r="G15" s="6" t="s">
        <v>202</v>
      </c>
      <c r="H15" s="6" t="s">
        <v>285</v>
      </c>
      <c r="I15" s="6" t="s">
        <v>267</v>
      </c>
      <c r="J15" s="7" t="str">
        <f aca="false">IF(AND(C15&lt;&gt;"",D15&lt;&gt;"",F15&lt;&gt;"",H15&lt;&gt;""),"HỢP LỆ","CẦN SỬA")</f>
        <v>HỢP LỆ</v>
      </c>
    </row>
    <row r="16" customFormat="false" ht="39.75" hidden="false" customHeight="true" outlineLevel="0" collapsed="false">
      <c r="A16" s="6" t="s">
        <v>208</v>
      </c>
      <c r="B16" s="6" t="n">
        <v>3</v>
      </c>
      <c r="C16" s="6" t="s">
        <v>286</v>
      </c>
      <c r="D16" s="6" t="s">
        <v>137</v>
      </c>
      <c r="E16" s="6"/>
      <c r="F16" s="6" t="s">
        <v>201</v>
      </c>
      <c r="G16" s="6" t="s">
        <v>202</v>
      </c>
      <c r="H16" s="6" t="s">
        <v>287</v>
      </c>
      <c r="I16" s="6" t="s">
        <v>267</v>
      </c>
      <c r="J16" s="7" t="str">
        <f aca="false">IF(AND(C16&lt;&gt;"",D16&lt;&gt;"",F16&lt;&gt;"",H16&lt;&gt;""),"HỢP LỆ","CẦN SỬA")</f>
        <v>HỢP LỆ</v>
      </c>
    </row>
    <row r="17" customFormat="false" ht="39.75" hidden="false" customHeight="true" outlineLevel="0" collapsed="false">
      <c r="A17" s="6" t="s">
        <v>222</v>
      </c>
      <c r="B17" s="6" t="n">
        <v>1</v>
      </c>
      <c r="C17" s="6" t="s">
        <v>288</v>
      </c>
      <c r="D17" s="6" t="s">
        <v>96</v>
      </c>
      <c r="E17" s="6"/>
      <c r="F17" s="6" t="s">
        <v>220</v>
      </c>
      <c r="G17" s="6" t="s">
        <v>261</v>
      </c>
      <c r="H17" s="6" t="s">
        <v>289</v>
      </c>
      <c r="I17" s="6" t="s">
        <v>263</v>
      </c>
      <c r="J17" s="7" t="str">
        <f aca="false">IF(AND(C17&lt;&gt;"",D17&lt;&gt;"",F17&lt;&gt;"",H17&lt;&gt;""),"HỢP LỆ","CẦN SỬA")</f>
        <v>HỢP LỆ</v>
      </c>
    </row>
    <row r="18" customFormat="false" ht="39.75" hidden="false" customHeight="true" outlineLevel="0" collapsed="false">
      <c r="A18" s="6" t="s">
        <v>222</v>
      </c>
      <c r="B18" s="6" t="n">
        <v>2</v>
      </c>
      <c r="C18" s="6" t="s">
        <v>290</v>
      </c>
      <c r="D18" s="6" t="s">
        <v>137</v>
      </c>
      <c r="E18" s="6"/>
      <c r="F18" s="6" t="s">
        <v>178</v>
      </c>
      <c r="G18" s="6" t="s">
        <v>265</v>
      </c>
      <c r="H18" s="6" t="s">
        <v>291</v>
      </c>
      <c r="I18" s="6" t="s">
        <v>267</v>
      </c>
      <c r="J18" s="7" t="str">
        <f aca="false">IF(AND(C18&lt;&gt;"",D18&lt;&gt;"",F18&lt;&gt;"",H18&lt;&gt;""),"HỢP LỆ","CẦN SỬA")</f>
        <v>HỢP LỆ</v>
      </c>
    </row>
    <row r="19" customFormat="false" ht="39.75" hidden="false" customHeight="true" outlineLevel="0" collapsed="false">
      <c r="A19" s="6" t="s">
        <v>222</v>
      </c>
      <c r="B19" s="6" t="n">
        <v>3</v>
      </c>
      <c r="C19" s="6" t="s">
        <v>292</v>
      </c>
      <c r="D19" s="6" t="s">
        <v>137</v>
      </c>
      <c r="E19" s="6"/>
      <c r="F19" s="6" t="s">
        <v>178</v>
      </c>
      <c r="G19" s="6" t="s">
        <v>265</v>
      </c>
      <c r="H19" s="6" t="s">
        <v>293</v>
      </c>
      <c r="I19" s="6" t="s">
        <v>267</v>
      </c>
      <c r="J19" s="7" t="str">
        <f aca="false">IF(AND(C19&lt;&gt;"",D19&lt;&gt;"",F19&lt;&gt;"",H19&lt;&gt;""),"HỢP LỆ","CẦN SỬA")</f>
        <v>HỢP LỆ</v>
      </c>
    </row>
    <row r="20" customFormat="false" ht="39.75" hidden="false" customHeight="true" outlineLevel="0" collapsed="false">
      <c r="A20" s="6" t="s">
        <v>226</v>
      </c>
      <c r="B20" s="6" t="n">
        <v>1</v>
      </c>
      <c r="C20" s="6" t="s">
        <v>294</v>
      </c>
      <c r="D20" s="6" t="s">
        <v>96</v>
      </c>
      <c r="E20" s="6"/>
      <c r="F20" s="6" t="s">
        <v>178</v>
      </c>
      <c r="G20" s="6" t="s">
        <v>261</v>
      </c>
      <c r="H20" s="6" t="s">
        <v>295</v>
      </c>
      <c r="I20" s="6" t="s">
        <v>263</v>
      </c>
      <c r="J20" s="7" t="str">
        <f aca="false">IF(AND(C20&lt;&gt;"",D20&lt;&gt;"",F20&lt;&gt;"",H20&lt;&gt;""),"HỢP LỆ","CẦN SỬA")</f>
        <v>HỢP LỆ</v>
      </c>
    </row>
    <row r="21" customFormat="false" ht="39.75" hidden="false" customHeight="true" outlineLevel="0" collapsed="false">
      <c r="A21" s="6" t="s">
        <v>226</v>
      </c>
      <c r="B21" s="6" t="n">
        <v>2</v>
      </c>
      <c r="C21" s="6" t="s">
        <v>296</v>
      </c>
      <c r="D21" s="6" t="s">
        <v>137</v>
      </c>
      <c r="E21" s="6"/>
      <c r="F21" s="6" t="s">
        <v>178</v>
      </c>
      <c r="G21" s="6" t="s">
        <v>265</v>
      </c>
      <c r="H21" s="6" t="s">
        <v>297</v>
      </c>
      <c r="I21" s="6" t="s">
        <v>267</v>
      </c>
      <c r="J21" s="7" t="str">
        <f aca="false">IF(AND(C21&lt;&gt;"",D21&lt;&gt;"",F21&lt;&gt;"",H21&lt;&gt;""),"HỢP LỆ","CẦN SỬA")</f>
        <v>HỢP LỆ</v>
      </c>
    </row>
    <row r="22" customFormat="false" ht="39.75" hidden="false" customHeight="true" outlineLevel="0" collapsed="false">
      <c r="A22" s="6" t="s">
        <v>226</v>
      </c>
      <c r="B22" s="6" t="n">
        <v>3</v>
      </c>
      <c r="C22" s="6" t="s">
        <v>298</v>
      </c>
      <c r="D22" s="6" t="s">
        <v>137</v>
      </c>
      <c r="E22" s="6"/>
      <c r="F22" s="6" t="s">
        <v>178</v>
      </c>
      <c r="G22" s="6" t="s">
        <v>265</v>
      </c>
      <c r="H22" s="6" t="s">
        <v>299</v>
      </c>
      <c r="I22" s="6" t="s">
        <v>267</v>
      </c>
      <c r="J22" s="7" t="str">
        <f aca="false">IF(AND(C22&lt;&gt;"",D22&lt;&gt;"",F22&lt;&gt;"",H22&lt;&gt;""),"HỢP LỆ","CẦN SỬA")</f>
        <v>HỢP LỆ</v>
      </c>
    </row>
    <row r="23" customFormat="false" ht="39.75" hidden="false" customHeight="true" outlineLevel="0" collapsed="false">
      <c r="A23" s="6" t="s">
        <v>238</v>
      </c>
      <c r="B23" s="6" t="n">
        <v>1</v>
      </c>
      <c r="C23" s="6" t="s">
        <v>300</v>
      </c>
      <c r="D23" s="6" t="s">
        <v>96</v>
      </c>
      <c r="E23" s="6"/>
      <c r="F23" s="6" t="s">
        <v>178</v>
      </c>
      <c r="G23" s="6" t="s">
        <v>261</v>
      </c>
      <c r="H23" s="6" t="s">
        <v>301</v>
      </c>
      <c r="I23" s="6" t="s">
        <v>263</v>
      </c>
      <c r="J23" s="7" t="str">
        <f aca="false">IF(AND(C23&lt;&gt;"",D23&lt;&gt;"",F23&lt;&gt;"",H23&lt;&gt;""),"HỢP LỆ","CẦN SỬA")</f>
        <v>HỢP LỆ</v>
      </c>
    </row>
    <row r="24" customFormat="false" ht="39.75" hidden="false" customHeight="true" outlineLevel="0" collapsed="false">
      <c r="A24" s="6" t="s">
        <v>238</v>
      </c>
      <c r="B24" s="6" t="n">
        <v>2</v>
      </c>
      <c r="C24" s="6" t="s">
        <v>302</v>
      </c>
      <c r="D24" s="6" t="s">
        <v>137</v>
      </c>
      <c r="E24" s="6"/>
      <c r="F24" s="6" t="s">
        <v>178</v>
      </c>
      <c r="G24" s="6" t="s">
        <v>265</v>
      </c>
      <c r="H24" s="6" t="s">
        <v>303</v>
      </c>
      <c r="I24" s="6" t="s">
        <v>267</v>
      </c>
      <c r="J24" s="7" t="str">
        <f aca="false">IF(AND(C24&lt;&gt;"",D24&lt;&gt;"",F24&lt;&gt;"",H24&lt;&gt;""),"HỢP LỆ","CẦN SỬA")</f>
        <v>HỢP LỆ</v>
      </c>
    </row>
    <row r="25" customFormat="false" ht="39.75" hidden="false" customHeight="true" outlineLevel="0" collapsed="false">
      <c r="A25" s="6" t="s">
        <v>238</v>
      </c>
      <c r="B25" s="6" t="n">
        <v>3</v>
      </c>
      <c r="C25" s="6" t="s">
        <v>304</v>
      </c>
      <c r="D25" s="6" t="s">
        <v>137</v>
      </c>
      <c r="E25" s="6"/>
      <c r="F25" s="6" t="s">
        <v>178</v>
      </c>
      <c r="G25" s="6" t="s">
        <v>265</v>
      </c>
      <c r="H25" s="6" t="s">
        <v>305</v>
      </c>
      <c r="I25" s="6" t="s">
        <v>267</v>
      </c>
      <c r="J25" s="7" t="str">
        <f aca="false">IF(AND(C25&lt;&gt;"",D25&lt;&gt;"",F25&lt;&gt;"",H25&lt;&gt;""),"HỢP LỆ","CẦN SỬA")</f>
        <v>HỢP LỆ</v>
      </c>
    </row>
    <row r="26" customFormat="false" ht="39.75" hidden="false" customHeight="true" outlineLevel="0" collapsed="false">
      <c r="A26" s="6" t="s">
        <v>242</v>
      </c>
      <c r="B26" s="6" t="n">
        <v>1</v>
      </c>
      <c r="C26" s="6" t="s">
        <v>306</v>
      </c>
      <c r="D26" s="6" t="s">
        <v>96</v>
      </c>
      <c r="E26" s="6"/>
      <c r="F26" s="6" t="s">
        <v>178</v>
      </c>
      <c r="G26" s="6" t="s">
        <v>261</v>
      </c>
      <c r="H26" s="6" t="s">
        <v>307</v>
      </c>
      <c r="I26" s="6" t="s">
        <v>263</v>
      </c>
      <c r="J26" s="7" t="str">
        <f aca="false">IF(AND(C26&lt;&gt;"",D26&lt;&gt;"",F26&lt;&gt;"",H26&lt;&gt;""),"HỢP LỆ","CẦN SỬA")</f>
        <v>HỢP LỆ</v>
      </c>
    </row>
    <row r="27" customFormat="false" ht="39.75" hidden="false" customHeight="true" outlineLevel="0" collapsed="false">
      <c r="A27" s="6" t="s">
        <v>242</v>
      </c>
      <c r="B27" s="6" t="n">
        <v>2</v>
      </c>
      <c r="C27" s="6" t="s">
        <v>308</v>
      </c>
      <c r="D27" s="6" t="s">
        <v>137</v>
      </c>
      <c r="E27" s="6"/>
      <c r="F27" s="6" t="s">
        <v>178</v>
      </c>
      <c r="G27" s="6" t="s">
        <v>265</v>
      </c>
      <c r="H27" s="6" t="s">
        <v>309</v>
      </c>
      <c r="I27" s="6" t="s">
        <v>267</v>
      </c>
      <c r="J27" s="7" t="str">
        <f aca="false">IF(AND(C27&lt;&gt;"",D27&lt;&gt;"",F27&lt;&gt;"",H27&lt;&gt;""),"HỢP LỆ","CẦN SỬA")</f>
        <v>HỢP LỆ</v>
      </c>
    </row>
    <row r="28" customFormat="false" ht="39.75" hidden="false" customHeight="true" outlineLevel="0" collapsed="false">
      <c r="A28" s="6" t="s">
        <v>242</v>
      </c>
      <c r="B28" s="6" t="n">
        <v>3</v>
      </c>
      <c r="C28" s="6" t="s">
        <v>310</v>
      </c>
      <c r="D28" s="6" t="s">
        <v>137</v>
      </c>
      <c r="E28" s="6"/>
      <c r="F28" s="6" t="s">
        <v>178</v>
      </c>
      <c r="G28" s="6" t="s">
        <v>265</v>
      </c>
      <c r="H28" s="6" t="s">
        <v>311</v>
      </c>
      <c r="I28" s="6" t="s">
        <v>267</v>
      </c>
      <c r="J28" s="7" t="str">
        <f aca="false">IF(AND(C28&lt;&gt;"",D28&lt;&gt;"",F28&lt;&gt;"",H28&lt;&gt;""),"HỢP LỆ","CẦN SỬA")</f>
        <v>HỢP LỆ</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22"/>
    <col collapsed="false" customWidth="true" hidden="false" outlineLevel="0" max="4" min="4" style="0" width="20"/>
    <col collapsed="false" customWidth="true" hidden="false" outlineLevel="0" max="5" min="5" style="0" width="14"/>
    <col collapsed="false" customWidth="true" hidden="false" outlineLevel="0" max="6" min="6" style="0" width="12"/>
  </cols>
  <sheetData>
    <row r="1" customFormat="false" ht="19.7" hidden="false" customHeight="false" outlineLevel="0" collapsed="false">
      <c r="A1" s="1" t="s">
        <v>312</v>
      </c>
    </row>
    <row r="2" customFormat="false" ht="15" hidden="false" customHeight="false" outlineLevel="0" collapsed="false">
      <c r="A2" s="8" t="s">
        <v>313</v>
      </c>
      <c r="B2" s="8"/>
      <c r="C2" s="8"/>
      <c r="D2" s="8"/>
      <c r="E2" s="8"/>
      <c r="F2" s="8"/>
      <c r="G2" s="8"/>
      <c r="H2" s="8"/>
      <c r="I2" s="8"/>
      <c r="J2" s="8"/>
    </row>
    <row r="4" customFormat="false" ht="15" hidden="false" customHeight="false" outlineLevel="0" collapsed="false">
      <c r="A4" s="3" t="s">
        <v>314</v>
      </c>
    </row>
    <row r="5" customFormat="false" ht="15" hidden="false" customHeight="false" outlineLevel="0" collapsed="false">
      <c r="A5" s="4" t="s">
        <v>162</v>
      </c>
      <c r="B5" s="4" t="s">
        <v>315</v>
      </c>
      <c r="C5" s="4" t="s">
        <v>316</v>
      </c>
    </row>
    <row r="6" customFormat="false" ht="15" hidden="false" customHeight="false" outlineLevel="0" collapsed="false">
      <c r="A6" s="5" t="s">
        <v>175</v>
      </c>
      <c r="B6" s="5" t="s">
        <v>76</v>
      </c>
      <c r="C6" s="5"/>
    </row>
    <row r="7" customFormat="false" ht="15" hidden="false" customHeight="false" outlineLevel="0" collapsed="false">
      <c r="A7" s="5" t="s">
        <v>317</v>
      </c>
      <c r="B7" s="5" t="s">
        <v>318</v>
      </c>
      <c r="C7" s="5" t="s">
        <v>319</v>
      </c>
    </row>
    <row r="8" customFormat="false" ht="15" hidden="false" customHeight="false" outlineLevel="0" collapsed="false">
      <c r="A8" s="5" t="s">
        <v>178</v>
      </c>
      <c r="B8" s="5" t="s">
        <v>320</v>
      </c>
      <c r="C8" s="5" t="s">
        <v>321</v>
      </c>
    </row>
    <row r="9" customFormat="false" ht="15" hidden="false" customHeight="false" outlineLevel="0" collapsed="false">
      <c r="A9" s="5" t="s">
        <v>322</v>
      </c>
      <c r="B9" s="5" t="s">
        <v>323</v>
      </c>
      <c r="C9" s="5" t="s">
        <v>324</v>
      </c>
    </row>
    <row r="10" customFormat="false" ht="15" hidden="false" customHeight="false" outlineLevel="0" collapsed="false">
      <c r="A10" s="5" t="s">
        <v>201</v>
      </c>
      <c r="B10" s="5" t="s">
        <v>325</v>
      </c>
      <c r="C10" s="5" t="s">
        <v>326</v>
      </c>
    </row>
    <row r="11" customFormat="false" ht="15" hidden="false" customHeight="false" outlineLevel="0" collapsed="false">
      <c r="A11" s="5" t="s">
        <v>220</v>
      </c>
      <c r="B11" s="5" t="s">
        <v>327</v>
      </c>
      <c r="C11" s="5" t="s">
        <v>328</v>
      </c>
    </row>
    <row r="13" customFormat="false" ht="15" hidden="false" customHeight="false" outlineLevel="0" collapsed="false">
      <c r="A13" s="3" t="s">
        <v>329</v>
      </c>
    </row>
    <row r="14" customFormat="false" ht="15" hidden="false" customHeight="false" outlineLevel="0" collapsed="false">
      <c r="A14" s="4" t="s">
        <v>330</v>
      </c>
      <c r="B14" s="4" t="s">
        <v>331</v>
      </c>
      <c r="C14" s="4" t="s">
        <v>332</v>
      </c>
    </row>
    <row r="15" customFormat="false" ht="23.85" hidden="false" customHeight="false" outlineLevel="0" collapsed="false">
      <c r="A15" s="5" t="s">
        <v>170</v>
      </c>
      <c r="B15" s="5" t="s">
        <v>333</v>
      </c>
      <c r="C15" s="5" t="s">
        <v>334</v>
      </c>
    </row>
    <row r="16" customFormat="false" ht="23.85" hidden="false" customHeight="false" outlineLevel="0" collapsed="false">
      <c r="A16" s="5" t="s">
        <v>195</v>
      </c>
      <c r="B16" s="5" t="s">
        <v>335</v>
      </c>
      <c r="C16" s="5" t="s">
        <v>334</v>
      </c>
    </row>
    <row r="17" customFormat="false" ht="23.85" hidden="false" customHeight="false" outlineLevel="0" collapsed="false">
      <c r="A17" s="5" t="s">
        <v>214</v>
      </c>
      <c r="B17" s="5" t="s">
        <v>336</v>
      </c>
      <c r="C17" s="5" t="s">
        <v>334</v>
      </c>
    </row>
    <row r="19" customFormat="false" ht="15" hidden="false" customHeight="false" outlineLevel="0" collapsed="false">
      <c r="A19" s="3" t="s">
        <v>337</v>
      </c>
    </row>
    <row r="20" customFormat="false" ht="15" hidden="false" customHeight="false" outlineLevel="0" collapsed="false">
      <c r="A20" s="4" t="s">
        <v>338</v>
      </c>
      <c r="B20" s="4" t="s">
        <v>339</v>
      </c>
    </row>
    <row r="21" customFormat="false" ht="15" hidden="false" customHeight="false" outlineLevel="0" collapsed="false">
      <c r="A21" s="5" t="s">
        <v>179</v>
      </c>
      <c r="B21" s="5" t="s">
        <v>340</v>
      </c>
    </row>
    <row r="22" customFormat="false" ht="15" hidden="false" customHeight="false" outlineLevel="0" collapsed="false">
      <c r="A22" s="5" t="s">
        <v>261</v>
      </c>
      <c r="B22" s="5" t="s">
        <v>341</v>
      </c>
    </row>
    <row r="23" customFormat="false" ht="23.85" hidden="false" customHeight="false" outlineLevel="0" collapsed="false">
      <c r="A23" s="5" t="s">
        <v>265</v>
      </c>
      <c r="B23" s="5" t="s">
        <v>342</v>
      </c>
    </row>
    <row r="24" customFormat="false" ht="15" hidden="false" customHeight="false" outlineLevel="0" collapsed="false">
      <c r="A24" s="5" t="s">
        <v>202</v>
      </c>
      <c r="B24" s="5" t="s">
        <v>343</v>
      </c>
    </row>
    <row r="26" customFormat="false" ht="15" hidden="false" customHeight="false" outlineLevel="0" collapsed="false">
      <c r="A26" s="3" t="s">
        <v>344</v>
      </c>
    </row>
    <row r="27" customFormat="false" ht="15" hidden="false" customHeight="false" outlineLevel="0" collapsed="false">
      <c r="A27" s="4" t="s">
        <v>345</v>
      </c>
      <c r="B27" s="4" t="s">
        <v>346</v>
      </c>
      <c r="C27" s="4" t="s">
        <v>347</v>
      </c>
    </row>
    <row r="28" customFormat="false" ht="23.85" hidden="false" customHeight="false" outlineLevel="0" collapsed="false">
      <c r="A28" s="5" t="s">
        <v>169</v>
      </c>
      <c r="B28" s="5" t="s">
        <v>348</v>
      </c>
      <c r="C28" s="5" t="s">
        <v>349</v>
      </c>
    </row>
    <row r="29" customFormat="false" ht="23.85" hidden="false" customHeight="false" outlineLevel="0" collapsed="false">
      <c r="A29" s="5" t="s">
        <v>174</v>
      </c>
      <c r="B29" s="5" t="s">
        <v>350</v>
      </c>
      <c r="C29" s="5" t="s">
        <v>351</v>
      </c>
    </row>
    <row r="30" customFormat="false" ht="35.05" hidden="false" customHeight="false" outlineLevel="0" collapsed="false">
      <c r="A30" s="5" t="s">
        <v>182</v>
      </c>
      <c r="B30" s="5" t="s">
        <v>352</v>
      </c>
      <c r="C30" s="5" t="s">
        <v>353</v>
      </c>
    </row>
    <row r="31" customFormat="false" ht="15" hidden="false" customHeight="false" outlineLevel="0" collapsed="false">
      <c r="A31" s="5" t="s">
        <v>191</v>
      </c>
      <c r="B31" s="5" t="s">
        <v>165</v>
      </c>
      <c r="C31" s="5" t="s">
        <v>354</v>
      </c>
    </row>
    <row r="32" customFormat="false" ht="15" hidden="false" customHeight="false" outlineLevel="0" collapsed="false">
      <c r="A32" s="5" t="s">
        <v>248</v>
      </c>
      <c r="B32" s="5" t="s">
        <v>355</v>
      </c>
      <c r="C32" s="5" t="s">
        <v>356</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4" min="4" style="0" width="14"/>
    <col collapsed="false" customWidth="true" hidden="false" outlineLevel="0" max="5" min="5" style="0" width="22"/>
    <col collapsed="false" customWidth="true" hidden="false" outlineLevel="0" max="6" min="6" style="0" width="34"/>
    <col collapsed="false" customWidth="true" hidden="false" outlineLevel="0" max="7" min="7" style="0" width="14"/>
  </cols>
  <sheetData>
    <row r="1" customFormat="false" ht="19.7" hidden="false" customHeight="false" outlineLevel="0" collapsed="false">
      <c r="A1" s="1" t="s">
        <v>357</v>
      </c>
    </row>
    <row r="2" customFormat="false" ht="15" hidden="false" customHeight="false" outlineLevel="0" collapsed="false">
      <c r="A2" s="8" t="s">
        <v>358</v>
      </c>
      <c r="B2" s="8"/>
      <c r="C2" s="8"/>
      <c r="D2" s="8"/>
      <c r="E2" s="8"/>
      <c r="F2" s="8"/>
      <c r="G2" s="8"/>
      <c r="H2" s="8"/>
    </row>
    <row r="4" customFormat="false" ht="15" hidden="false" customHeight="false" outlineLevel="0" collapsed="false">
      <c r="A4" s="3" t="s">
        <v>359</v>
      </c>
    </row>
    <row r="5" customFormat="false" ht="15" hidden="false" customHeight="false" outlineLevel="0" collapsed="false">
      <c r="A5" s="4" t="s">
        <v>360</v>
      </c>
      <c r="B5" s="4" t="s">
        <v>361</v>
      </c>
      <c r="C5" s="4" t="s">
        <v>362</v>
      </c>
      <c r="D5" s="4" t="s">
        <v>363</v>
      </c>
      <c r="E5" s="4" t="s">
        <v>364</v>
      </c>
      <c r="F5" s="4" t="s">
        <v>365</v>
      </c>
      <c r="G5" s="4" t="s">
        <v>366</v>
      </c>
      <c r="H5" s="4" t="s">
        <v>367</v>
      </c>
    </row>
    <row r="6" customFormat="false" ht="15" hidden="false" customHeight="false" outlineLevel="0" collapsed="false">
      <c r="A6" s="7" t="n">
        <f aca="false">COUNTA(02_KICH_BAN_NODES!B5:B33)</f>
        <v>29</v>
      </c>
      <c r="B6" s="7" t="n">
        <f aca="false">COUNTIF(02_KICH_BAN_NODES!D5:D33,"scene")</f>
        <v>4</v>
      </c>
      <c r="C6" s="7" t="n">
        <f aca="false">COUNTIF(02_KICH_BAN_NODES!D5:D33,"say")</f>
        <v>12</v>
      </c>
      <c r="D6" s="7" t="n">
        <f aca="false">COUNTIF(02_KICH_BAN_NODES!D5:D33,"choice")</f>
        <v>8</v>
      </c>
      <c r="E6" s="7" t="n">
        <f aca="false">COUNTIF(02_KICH_BAN_NODES!D5:D33,"act")</f>
        <v>4</v>
      </c>
      <c r="F6" s="7" t="n">
        <f aca="false">COUNTIF(02_KICH_BAN_NODES!D5:D33,"end")</f>
        <v>1</v>
      </c>
      <c r="G6" s="7" t="n">
        <f aca="false">COUNTIF(02_KICH_BAN_NODES!M5:M33,"CẦN SỬA")</f>
        <v>0</v>
      </c>
      <c r="H6" s="7" t="n">
        <f aca="false">COUNTIF(03_LUA_CHON!J5:J28,"CẦN SỬA")</f>
        <v>0</v>
      </c>
    </row>
    <row r="8" customFormat="false" ht="15" hidden="false" customHeight="false" outlineLevel="0" collapsed="false">
      <c r="A8" s="3" t="s">
        <v>368</v>
      </c>
    </row>
    <row r="9" customFormat="false" ht="15" hidden="false" customHeight="false" outlineLevel="0" collapsed="false">
      <c r="A9" s="4" t="s">
        <v>369</v>
      </c>
      <c r="B9" s="4" t="s">
        <v>85</v>
      </c>
      <c r="C9" s="4" t="s">
        <v>370</v>
      </c>
      <c r="D9" s="4" t="s">
        <v>75</v>
      </c>
    </row>
    <row r="10" customFormat="false" ht="23.85" hidden="false" customHeight="false" outlineLevel="0" collapsed="false">
      <c r="A10" s="5" t="s">
        <v>371</v>
      </c>
      <c r="B10" s="5" t="n">
        <f aca="false">F6</f>
        <v>1</v>
      </c>
      <c r="C10" s="5" t="str">
        <f aca="false">IF(F6=1,"HỢP LỆ","CẦN SỬA")</f>
        <v>HỢP LỆ</v>
      </c>
      <c r="D10" s="5" t="s">
        <v>372</v>
      </c>
    </row>
    <row r="11" customFormat="false" ht="23.85" hidden="false" customHeight="false" outlineLevel="0" collapsed="false">
      <c r="A11" s="5" t="s">
        <v>373</v>
      </c>
      <c r="B11" s="5" t="n">
        <f aca="false">G6</f>
        <v>0</v>
      </c>
      <c r="C11" s="5" t="str">
        <f aca="false">IF(G6=0,"HỢP LỆ","CẦN SỬA")</f>
        <v>HỢP LỆ</v>
      </c>
      <c r="D11" s="5" t="s">
        <v>374</v>
      </c>
    </row>
    <row r="12" customFormat="false" ht="23.85" hidden="false" customHeight="false" outlineLevel="0" collapsed="false">
      <c r="A12" s="5" t="s">
        <v>375</v>
      </c>
      <c r="B12" s="5" t="n">
        <f aca="false">H6</f>
        <v>0</v>
      </c>
      <c r="C12" s="5" t="str">
        <f aca="false">IF(H6=0,"HỢP LỆ","CẦN SỬA")</f>
        <v>HỢP LỆ</v>
      </c>
      <c r="D12" s="5" t="s">
        <v>376</v>
      </c>
    </row>
    <row r="13" customFormat="false" ht="35.05" hidden="false" customHeight="false" outlineLevel="0" collapsed="false">
      <c r="A13" s="5" t="s">
        <v>377</v>
      </c>
      <c r="B13" s="5" t="n">
        <f aca="false">B6</f>
        <v>4</v>
      </c>
      <c r="C13" s="5" t="str">
        <f aca="false">IF(AND(B6&gt;=2,B6&lt;=4),"HỢP LỆ","NGOÀI KHOẢNG - CẦN REVIEWER")</f>
        <v>HỢP LỆ</v>
      </c>
      <c r="D13" s="5" t="s">
        <v>378</v>
      </c>
    </row>
    <row r="14" customFormat="false" ht="23.85" hidden="false" customHeight="false" outlineLevel="0" collapsed="false">
      <c r="A14" s="5" t="s">
        <v>379</v>
      </c>
      <c r="B14" s="5"/>
      <c r="C14" s="5" t="str">
        <f aca="false">01_THONG_TIN_Game!C22</f>
        <v>CHƯA SẴN SÀNG</v>
      </c>
      <c r="D14" s="5" t="s">
        <v>380</v>
      </c>
    </row>
    <row r="15" customFormat="false" ht="23.85" hidden="false" customHeight="false" outlineLevel="0" collapsed="false">
      <c r="A15" s="5" t="s">
        <v>381</v>
      </c>
      <c r="B15" s="7" t="str">
        <f aca="false">IF(AND(C10="HỢP LỆ",C11="HỢP LỆ",C12="HỢP LỆ",C14="SẴN SÀNG"),"SẴN SÀNG","CHƯA SẴN SÀNG")</f>
        <v>CHƯA SẴN SÀNG</v>
      </c>
      <c r="C15" s="7" t="str">
        <f aca="false">IF(B15="SẴN SÀNG","SẴN SÀNG","CHƯA SẴN SÀNG")</f>
        <v>CHƯA SẴN SÀNG</v>
      </c>
      <c r="D15" s="5" t="s">
        <v>382</v>
      </c>
    </row>
    <row r="17" customFormat="false" ht="15" hidden="false" customHeight="false" outlineLevel="0" collapsed="false">
      <c r="A17" s="3" t="s">
        <v>383</v>
      </c>
    </row>
    <row r="18" customFormat="false" ht="15" hidden="false" customHeight="false" outlineLevel="0" collapsed="false">
      <c r="A18" s="4" t="s">
        <v>384</v>
      </c>
      <c r="B18" s="4" t="s">
        <v>159</v>
      </c>
      <c r="C18" s="4" t="s">
        <v>385</v>
      </c>
      <c r="D18" s="4" t="s">
        <v>386</v>
      </c>
      <c r="E18" s="4" t="s">
        <v>147</v>
      </c>
      <c r="F18" s="4" t="s">
        <v>387</v>
      </c>
    </row>
    <row r="19" customFormat="false" ht="15" hidden="false" customHeight="false" outlineLevel="0" collapsed="false">
      <c r="A19" s="7" t="s">
        <v>181</v>
      </c>
      <c r="B19" s="7" t="str">
        <f aca="false">INDEX(02_KICH_BAN_NODES!E5:E33,MATCH("N004",02_KICH_BAN_NODES!B5:B33,0))</f>
        <v>Kiến thức</v>
      </c>
      <c r="C19" s="7" t="n">
        <f aca="false">COUNTIF(03_LUA_CHON!A5:A28,"N004")</f>
        <v>3</v>
      </c>
      <c r="D19" s="7" t="n">
        <f aca="false">COUNTIFS(03_LUA_CHON!A5:A28,"N004",03_LUA_CHON!D5:D28,"Có")</f>
        <v>1</v>
      </c>
      <c r="E19" s="7" t="str">
        <f aca="false">IF(AND(C19&gt;=2,C19&lt;=4,D19=1),"HỢP LỆ","CẦN SỬA")</f>
        <v>HỢP LỆ</v>
      </c>
      <c r="F19" s="7"/>
    </row>
    <row r="20" customFormat="false" ht="15" hidden="false" customHeight="false" outlineLevel="0" collapsed="false">
      <c r="A20" s="7" t="s">
        <v>188</v>
      </c>
      <c r="B20" s="7" t="str">
        <f aca="false">INDEX(02_KICH_BAN_NODES!E5:E33,MATCH("N006",02_KICH_BAN_NODES!B5:B33,0))</f>
        <v>Kiến thức</v>
      </c>
      <c r="C20" s="7" t="n">
        <f aca="false">COUNTIF(03_LUA_CHON!A5:A28,"N006")</f>
        <v>3</v>
      </c>
      <c r="D20" s="7" t="n">
        <f aca="false">COUNTIFS(03_LUA_CHON!A5:A28,"N006",03_LUA_CHON!D5:D28,"Có")</f>
        <v>1</v>
      </c>
      <c r="E20" s="7" t="str">
        <f aca="false">IF(AND(C20&gt;=2,C20&lt;=4,D20=1),"HỢP LỆ","CẦN SỬA")</f>
        <v>HỢP LỆ</v>
      </c>
      <c r="F20" s="7"/>
    </row>
    <row r="21" customFormat="false" ht="15" hidden="false" customHeight="false" outlineLevel="0" collapsed="false">
      <c r="A21" s="7" t="s">
        <v>204</v>
      </c>
      <c r="B21" s="7" t="str">
        <f aca="false">INDEX(02_KICH_BAN_NODES!E5:E33,MATCH("N011",02_KICH_BAN_NODES!B5:B33,0))</f>
        <v>Kiến thức</v>
      </c>
      <c r="C21" s="7" t="n">
        <f aca="false">COUNTIF(03_LUA_CHON!A5:A28,"N011")</f>
        <v>3</v>
      </c>
      <c r="D21" s="7" t="n">
        <f aca="false">COUNTIFS(03_LUA_CHON!A5:A28,"N011",03_LUA_CHON!D5:D28,"Có")</f>
        <v>1</v>
      </c>
      <c r="E21" s="7" t="str">
        <f aca="false">IF(AND(C21&gt;=2,C21&lt;=4,D21=1),"HỢP LỆ","CẦN SỬA")</f>
        <v>HỢP LỆ</v>
      </c>
      <c r="F21" s="7"/>
    </row>
    <row r="22" customFormat="false" ht="15" hidden="false" customHeight="false" outlineLevel="0" collapsed="false">
      <c r="A22" s="7" t="s">
        <v>208</v>
      </c>
      <c r="B22" s="7" t="str">
        <f aca="false">INDEX(02_KICH_BAN_NODES!E5:E33,MATCH("N013",02_KICH_BAN_NODES!B5:B33,0))</f>
        <v>Kiến thức</v>
      </c>
      <c r="C22" s="7" t="n">
        <f aca="false">COUNTIF(03_LUA_CHON!A5:A28,"N013")</f>
        <v>3</v>
      </c>
      <c r="D22" s="7" t="n">
        <f aca="false">COUNTIFS(03_LUA_CHON!A5:A28,"N013",03_LUA_CHON!D5:D28,"Có")</f>
        <v>1</v>
      </c>
      <c r="E22" s="7" t="str">
        <f aca="false">IF(AND(C22&gt;=2,C22&lt;=4,D22=1),"HỢP LỆ","CẦN SỬA")</f>
        <v>HỢP LỆ</v>
      </c>
      <c r="F22" s="7"/>
    </row>
    <row r="23" customFormat="false" ht="15" hidden="false" customHeight="false" outlineLevel="0" collapsed="false">
      <c r="A23" s="7" t="s">
        <v>222</v>
      </c>
      <c r="B23" s="7" t="str">
        <f aca="false">INDEX(02_KICH_BAN_NODES!E5:E33,MATCH("N018",02_KICH_BAN_NODES!B5:B33,0))</f>
        <v>Kiến thức</v>
      </c>
      <c r="C23" s="7" t="n">
        <f aca="false">COUNTIF(03_LUA_CHON!A5:A28,"N018")</f>
        <v>3</v>
      </c>
      <c r="D23" s="7" t="n">
        <f aca="false">COUNTIFS(03_LUA_CHON!A5:A28,"N018",03_LUA_CHON!D5:D28,"Có")</f>
        <v>1</v>
      </c>
      <c r="E23" s="7" t="str">
        <f aca="false">IF(AND(C23&gt;=2,C23&lt;=4,D23=1),"HỢP LỆ","CẦN SỬA")</f>
        <v>HỢP LỆ</v>
      </c>
      <c r="F23" s="7"/>
    </row>
    <row r="24" customFormat="false" ht="15" hidden="false" customHeight="false" outlineLevel="0" collapsed="false">
      <c r="A24" s="7" t="s">
        <v>226</v>
      </c>
      <c r="B24" s="7" t="str">
        <f aca="false">INDEX(02_KICH_BAN_NODES!E5:E33,MATCH("N020",02_KICH_BAN_NODES!B5:B33,0))</f>
        <v>Kiến thức</v>
      </c>
      <c r="C24" s="7" t="n">
        <f aca="false">COUNTIF(03_LUA_CHON!A5:A28,"N020")</f>
        <v>3</v>
      </c>
      <c r="D24" s="7" t="n">
        <f aca="false">COUNTIFS(03_LUA_CHON!A5:A28,"N020",03_LUA_CHON!D5:D28,"Có")</f>
        <v>1</v>
      </c>
      <c r="E24" s="7" t="str">
        <f aca="false">IF(AND(C24&gt;=2,C24&lt;=4,D24=1),"HỢP LỆ","CẦN SỬA")</f>
        <v>HỢP LỆ</v>
      </c>
      <c r="F24" s="7"/>
    </row>
    <row r="25" customFormat="false" ht="15" hidden="false" customHeight="false" outlineLevel="0" collapsed="false">
      <c r="A25" s="7" t="s">
        <v>238</v>
      </c>
      <c r="B25" s="7" t="str">
        <f aca="false">INDEX(02_KICH_BAN_NODES!E5:E33,MATCH("N025",02_KICH_BAN_NODES!B5:B33,0))</f>
        <v>Kiến thức</v>
      </c>
      <c r="C25" s="7" t="n">
        <f aca="false">COUNTIF(03_LUA_CHON!A5:A28,"N025")</f>
        <v>3</v>
      </c>
      <c r="D25" s="7" t="n">
        <f aca="false">COUNTIFS(03_LUA_CHON!A5:A28,"N025",03_LUA_CHON!D5:D28,"Có")</f>
        <v>1</v>
      </c>
      <c r="E25" s="7" t="str">
        <f aca="false">IF(AND(C25&gt;=2,C25&lt;=4,D25=1),"HỢP LỆ","CẦN SỬA")</f>
        <v>HỢP LỆ</v>
      </c>
      <c r="F25" s="7"/>
    </row>
    <row r="26" customFormat="false" ht="15" hidden="false" customHeight="false" outlineLevel="0" collapsed="false">
      <c r="A26" s="7" t="s">
        <v>242</v>
      </c>
      <c r="B26" s="7" t="str">
        <f aca="false">INDEX(02_KICH_BAN_NODES!E5:E33,MATCH("N027",02_KICH_BAN_NODES!B5:B33,0))</f>
        <v>Kiến thức</v>
      </c>
      <c r="C26" s="7" t="n">
        <f aca="false">COUNTIF(03_LUA_CHON!A5:A28,"N027")</f>
        <v>3</v>
      </c>
      <c r="D26" s="7" t="n">
        <f aca="false">COUNTIFS(03_LUA_CHON!A5:A28,"N027",03_LUA_CHON!D5:D28,"Có")</f>
        <v>1</v>
      </c>
      <c r="E26" s="7" t="str">
        <f aca="false">IF(AND(C26&gt;=2,C26&lt;=4,D26=1),"HỢP LỆ","CẦN SỬA")</f>
        <v>HỢP LỆ</v>
      </c>
      <c r="F26" s="7"/>
    </row>
    <row r="28" customFormat="false" ht="15" hidden="false" customHeight="false" outlineLevel="0" collapsed="false">
      <c r="A28" s="3" t="s">
        <v>388</v>
      </c>
    </row>
    <row r="29" customFormat="false" ht="15" hidden="false" customHeight="false" outlineLevel="0" collapsed="false">
      <c r="A29" s="4" t="s">
        <v>389</v>
      </c>
      <c r="B29" s="4" t="s">
        <v>390</v>
      </c>
    </row>
    <row r="30" customFormat="false" ht="15" hidden="false" customHeight="false" outlineLevel="0" collapsed="false">
      <c r="A30" s="5" t="s">
        <v>391</v>
      </c>
      <c r="B30" s="6" t="s">
        <v>392</v>
      </c>
    </row>
    <row r="31" customFormat="false" ht="15" hidden="false" customHeight="false" outlineLevel="0" collapsed="false">
      <c r="A31" s="5" t="s">
        <v>393</v>
      </c>
      <c r="B31" s="6" t="s">
        <v>392</v>
      </c>
    </row>
    <row r="32" customFormat="false" ht="15" hidden="false" customHeight="false" outlineLevel="0" collapsed="false">
      <c r="A32" s="5" t="s">
        <v>394</v>
      </c>
      <c r="B32" s="6" t="s">
        <v>392</v>
      </c>
    </row>
    <row r="33" customFormat="false" ht="23.85" hidden="false" customHeight="false" outlineLevel="0" collapsed="false">
      <c r="A33" s="5" t="s">
        <v>395</v>
      </c>
      <c r="B33" s="6" t="s">
        <v>392</v>
      </c>
    </row>
    <row r="34" customFormat="false" ht="15" hidden="false" customHeight="false" outlineLevel="0" collapsed="false">
      <c r="A34" s="5" t="s">
        <v>396</v>
      </c>
      <c r="B34" s="6" t="s">
        <v>392</v>
      </c>
    </row>
    <row r="35" customFormat="false" ht="23.85" hidden="false" customHeight="false" outlineLevel="0" collapsed="false">
      <c r="A35" s="5" t="s">
        <v>397</v>
      </c>
      <c r="B35" s="6" t="s">
        <v>392</v>
      </c>
    </row>
    <row r="36" customFormat="false" ht="23.85" hidden="false" customHeight="false" outlineLevel="0" collapsed="false">
      <c r="A36" s="5" t="s">
        <v>398</v>
      </c>
      <c r="B36" s="6" t="s">
        <v>392</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30"/>
    <col collapsed="false" customWidth="true" hidden="false" outlineLevel="0" max="4" min="4" style="0" width="24"/>
    <col collapsed="false" customWidth="true" hidden="false" outlineLevel="0" max="5" min="5" style="0" width="20"/>
    <col collapsed="false" customWidth="true" hidden="false" outlineLevel="0" max="6" min="6" style="0" width="30"/>
    <col collapsed="false" customWidth="true" hidden="false" outlineLevel="0" max="8" min="7" style="0" width="20"/>
  </cols>
  <sheetData>
    <row r="1" customFormat="false" ht="19.7" hidden="false" customHeight="false" outlineLevel="0" collapsed="false">
      <c r="A1" s="1" t="s">
        <v>399</v>
      </c>
    </row>
    <row r="2" customFormat="false" ht="15" hidden="false" customHeight="false" outlineLevel="0" collapsed="false">
      <c r="A2" s="8" t="s">
        <v>400</v>
      </c>
      <c r="B2" s="8"/>
      <c r="C2" s="8"/>
      <c r="D2" s="8"/>
      <c r="E2" s="8"/>
      <c r="F2" s="8"/>
    </row>
    <row r="4" customFormat="false" ht="15" hidden="false" customHeight="false" outlineLevel="0" collapsed="false">
      <c r="A4" s="3" t="s">
        <v>401</v>
      </c>
    </row>
    <row r="5" customFormat="false" ht="15" hidden="false" customHeight="false" outlineLevel="0" collapsed="false">
      <c r="A5" s="4" t="s">
        <v>402</v>
      </c>
      <c r="B5" s="4" t="s">
        <v>403</v>
      </c>
      <c r="C5" s="4" t="s">
        <v>404</v>
      </c>
      <c r="D5" s="4" t="s">
        <v>49</v>
      </c>
      <c r="E5" s="4" t="s">
        <v>148</v>
      </c>
    </row>
    <row r="6" customFormat="false" ht="23.85" hidden="false" customHeight="false" outlineLevel="0" collapsed="false">
      <c r="A6" s="5" t="s">
        <v>405</v>
      </c>
      <c r="B6" s="5" t="s">
        <v>95</v>
      </c>
      <c r="C6" s="5" t="s">
        <v>406</v>
      </c>
      <c r="D6" s="5" t="s">
        <v>96</v>
      </c>
      <c r="E6" s="5" t="s">
        <v>407</v>
      </c>
    </row>
    <row r="7" customFormat="false" ht="23.85" hidden="false" customHeight="false" outlineLevel="0" collapsed="false">
      <c r="A7" s="5" t="s">
        <v>408</v>
      </c>
      <c r="B7" s="5" t="s">
        <v>100</v>
      </c>
      <c r="C7" s="5" t="s">
        <v>409</v>
      </c>
      <c r="D7" s="5" t="s">
        <v>96</v>
      </c>
      <c r="E7" s="5" t="s">
        <v>410</v>
      </c>
    </row>
    <row r="8" customFormat="false" ht="15" hidden="false" customHeight="false" outlineLevel="0" collapsed="false">
      <c r="A8" s="5" t="s">
        <v>411</v>
      </c>
      <c r="B8" s="5" t="s">
        <v>104</v>
      </c>
      <c r="C8" s="5" t="s">
        <v>412</v>
      </c>
      <c r="D8" s="5" t="s">
        <v>96</v>
      </c>
      <c r="E8" s="5" t="s">
        <v>413</v>
      </c>
    </row>
    <row r="9" customFormat="false" ht="15" hidden="false" customHeight="false" outlineLevel="0" collapsed="false">
      <c r="A9" s="5" t="s">
        <v>414</v>
      </c>
      <c r="B9" s="5" t="s">
        <v>415</v>
      </c>
      <c r="C9" s="5" t="s">
        <v>416</v>
      </c>
      <c r="D9" s="5" t="s">
        <v>96</v>
      </c>
      <c r="E9" s="5" t="s">
        <v>417</v>
      </c>
    </row>
    <row r="10" customFormat="false" ht="15" hidden="false" customHeight="false" outlineLevel="0" collapsed="false">
      <c r="A10" s="5" t="s">
        <v>418</v>
      </c>
      <c r="B10" s="5" t="s">
        <v>419</v>
      </c>
      <c r="C10" s="5" t="s">
        <v>420</v>
      </c>
      <c r="D10" s="5" t="s">
        <v>96</v>
      </c>
      <c r="E10" s="5" t="s">
        <v>421</v>
      </c>
    </row>
    <row r="12" customFormat="false" ht="15" hidden="false" customHeight="false" outlineLevel="0" collapsed="false">
      <c r="A12" s="3" t="s">
        <v>422</v>
      </c>
    </row>
    <row r="13" customFormat="false" ht="15" hidden="false" customHeight="false" outlineLevel="0" collapsed="false">
      <c r="A13" s="4" t="s">
        <v>345</v>
      </c>
      <c r="B13" s="4" t="s">
        <v>423</v>
      </c>
      <c r="C13" s="4" t="s">
        <v>347</v>
      </c>
      <c r="D13" s="4" t="s">
        <v>424</v>
      </c>
      <c r="E13" s="4" t="s">
        <v>425</v>
      </c>
      <c r="F13" s="4" t="s">
        <v>70</v>
      </c>
      <c r="G13" s="4" t="s">
        <v>369</v>
      </c>
      <c r="H13" s="4" t="s">
        <v>148</v>
      </c>
    </row>
    <row r="14" customFormat="false" ht="15" hidden="false" customHeight="false" outlineLevel="0" collapsed="false">
      <c r="A14" s="5" t="s">
        <v>169</v>
      </c>
      <c r="B14" s="5" t="s">
        <v>426</v>
      </c>
      <c r="C14" s="5" t="s">
        <v>427</v>
      </c>
      <c r="D14" s="5" t="s">
        <v>137</v>
      </c>
      <c r="E14" s="5" t="s">
        <v>137</v>
      </c>
      <c r="F14" s="5" t="s">
        <v>428</v>
      </c>
      <c r="G14" s="5" t="s">
        <v>429</v>
      </c>
      <c r="H14" s="5" t="s">
        <v>430</v>
      </c>
    </row>
    <row r="15" customFormat="false" ht="23.85" hidden="false" customHeight="false" outlineLevel="0" collapsed="false">
      <c r="A15" s="5" t="s">
        <v>174</v>
      </c>
      <c r="B15" s="5" t="s">
        <v>431</v>
      </c>
      <c r="C15" s="5" t="s">
        <v>432</v>
      </c>
      <c r="D15" s="5" t="s">
        <v>433</v>
      </c>
      <c r="E15" s="5" t="s">
        <v>137</v>
      </c>
      <c r="F15" s="5" t="s">
        <v>428</v>
      </c>
      <c r="G15" s="5" t="s">
        <v>434</v>
      </c>
      <c r="H15" s="5" t="s">
        <v>435</v>
      </c>
    </row>
    <row r="16" customFormat="false" ht="23.85" hidden="false" customHeight="false" outlineLevel="0" collapsed="false">
      <c r="A16" s="5" t="s">
        <v>182</v>
      </c>
      <c r="B16" s="5" t="s">
        <v>436</v>
      </c>
      <c r="C16" s="5" t="s">
        <v>437</v>
      </c>
      <c r="D16" s="5" t="s">
        <v>137</v>
      </c>
      <c r="E16" s="5" t="s">
        <v>438</v>
      </c>
      <c r="F16" s="5" t="s">
        <v>439</v>
      </c>
      <c r="G16" s="5" t="s">
        <v>440</v>
      </c>
      <c r="H16" s="5" t="s">
        <v>441</v>
      </c>
    </row>
    <row r="17" customFormat="false" ht="15" hidden="false" customHeight="false" outlineLevel="0" collapsed="false">
      <c r="A17" s="5" t="s">
        <v>191</v>
      </c>
      <c r="B17" s="5" t="s">
        <v>165</v>
      </c>
      <c r="C17" s="5" t="s">
        <v>442</v>
      </c>
      <c r="D17" s="5" t="s">
        <v>137</v>
      </c>
      <c r="E17" s="5" t="s">
        <v>137</v>
      </c>
      <c r="F17" s="5" t="s">
        <v>428</v>
      </c>
      <c r="G17" s="5" t="s">
        <v>443</v>
      </c>
      <c r="H17" s="5" t="s">
        <v>444</v>
      </c>
    </row>
    <row r="18" customFormat="false" ht="15" hidden="false" customHeight="false" outlineLevel="0" collapsed="false">
      <c r="A18" s="5" t="s">
        <v>248</v>
      </c>
      <c r="B18" s="5" t="s">
        <v>445</v>
      </c>
      <c r="C18" s="5" t="s">
        <v>446</v>
      </c>
      <c r="D18" s="5" t="s">
        <v>447</v>
      </c>
      <c r="E18" s="5" t="s">
        <v>137</v>
      </c>
      <c r="F18" s="5" t="s">
        <v>428</v>
      </c>
      <c r="G18" s="5" t="s">
        <v>448</v>
      </c>
      <c r="H18" s="5" t="s">
        <v>449</v>
      </c>
    </row>
    <row r="20" customFormat="false" ht="15" hidden="false" customHeight="false" outlineLevel="0" collapsed="false">
      <c r="A20" s="3" t="s">
        <v>450</v>
      </c>
    </row>
    <row r="21" customFormat="false" ht="15" hidden="false" customHeight="false" outlineLevel="0" collapsed="false">
      <c r="A21" s="4" t="s">
        <v>451</v>
      </c>
      <c r="B21" s="4" t="s">
        <v>452</v>
      </c>
      <c r="C21" s="4" t="s">
        <v>44</v>
      </c>
      <c r="D21" s="4" t="s">
        <v>93</v>
      </c>
      <c r="E21" s="4" t="s">
        <v>49</v>
      </c>
      <c r="F21" s="4" t="s">
        <v>453</v>
      </c>
    </row>
    <row r="22" customFormat="false" ht="23.85" hidden="false" customHeight="false" outlineLevel="0" collapsed="false">
      <c r="A22" s="5" t="s">
        <v>454</v>
      </c>
      <c r="B22" s="5" t="s">
        <v>455</v>
      </c>
      <c r="C22" s="5" t="s">
        <v>456</v>
      </c>
      <c r="D22" s="5" t="s">
        <v>457</v>
      </c>
      <c r="E22" s="5" t="s">
        <v>96</v>
      </c>
      <c r="F22" s="5" t="s">
        <v>458</v>
      </c>
    </row>
    <row r="23" customFormat="false" ht="23.85" hidden="false" customHeight="false" outlineLevel="0" collapsed="false">
      <c r="A23" s="5" t="s">
        <v>459</v>
      </c>
      <c r="B23" s="5" t="s">
        <v>460</v>
      </c>
      <c r="C23" s="5" t="s">
        <v>461</v>
      </c>
      <c r="D23" s="5" t="s">
        <v>462</v>
      </c>
      <c r="E23" s="5" t="s">
        <v>96</v>
      </c>
      <c r="F23" s="5" t="s">
        <v>463</v>
      </c>
    </row>
    <row r="24" customFormat="false" ht="15" hidden="false" customHeight="false" outlineLevel="0" collapsed="false">
      <c r="A24" s="5" t="s">
        <v>256</v>
      </c>
      <c r="B24" s="5" t="s">
        <v>256</v>
      </c>
      <c r="C24" s="5" t="s">
        <v>464</v>
      </c>
      <c r="D24" s="5" t="s">
        <v>465</v>
      </c>
      <c r="E24" s="5" t="s">
        <v>137</v>
      </c>
      <c r="F24" s="5" t="s">
        <v>466</v>
      </c>
    </row>
    <row r="25" customFormat="false" ht="15" hidden="false" customHeight="false" outlineLevel="0" collapsed="false">
      <c r="A25" s="5" t="s">
        <v>467</v>
      </c>
      <c r="B25" s="5" t="s">
        <v>468</v>
      </c>
      <c r="C25" s="5" t="s">
        <v>469</v>
      </c>
      <c r="D25" s="5" t="s">
        <v>178</v>
      </c>
      <c r="E25" s="5" t="s">
        <v>96</v>
      </c>
      <c r="F25" s="5" t="s">
        <v>470</v>
      </c>
    </row>
    <row r="26" customFormat="false" ht="15" hidden="false" customHeight="false" outlineLevel="0" collapsed="false">
      <c r="A26" s="5" t="s">
        <v>258</v>
      </c>
      <c r="B26" s="5" t="s">
        <v>471</v>
      </c>
      <c r="C26" s="5" t="s">
        <v>472</v>
      </c>
      <c r="D26" s="5" t="s">
        <v>261</v>
      </c>
      <c r="E26" s="5" t="s">
        <v>137</v>
      </c>
      <c r="F26" s="5" t="s">
        <v>473</v>
      </c>
    </row>
    <row r="27" customFormat="false" ht="15" hidden="false" customHeight="false" outlineLevel="0" collapsed="false">
      <c r="A27" s="5" t="s">
        <v>474</v>
      </c>
      <c r="B27" s="5" t="s">
        <v>475</v>
      </c>
      <c r="C27" s="5" t="s">
        <v>476</v>
      </c>
      <c r="D27" s="5" t="s">
        <v>477</v>
      </c>
      <c r="E27" s="5" t="s">
        <v>96</v>
      </c>
      <c r="F27" s="5" t="s">
        <v>478</v>
      </c>
    </row>
    <row r="29" customFormat="false" ht="15" hidden="false" customHeight="false" outlineLevel="0" collapsed="false">
      <c r="A29" s="3" t="s">
        <v>479</v>
      </c>
    </row>
    <row r="30" customFormat="false" ht="15" hidden="false" customHeight="false" outlineLevel="0" collapsed="false">
      <c r="A30" s="4" t="s">
        <v>3</v>
      </c>
      <c r="B30" s="4" t="s">
        <v>480</v>
      </c>
      <c r="C30" s="4" t="s">
        <v>481</v>
      </c>
    </row>
    <row r="31" customFormat="false" ht="23.85" hidden="false" customHeight="false" outlineLevel="0" collapsed="false">
      <c r="A31" s="5" t="n">
        <v>1</v>
      </c>
      <c r="B31" s="5" t="s">
        <v>482</v>
      </c>
      <c r="C31" s="5" t="s">
        <v>483</v>
      </c>
    </row>
    <row r="32" customFormat="false" ht="23.85" hidden="false" customHeight="false" outlineLevel="0" collapsed="false">
      <c r="A32" s="5" t="n">
        <v>2</v>
      </c>
      <c r="B32" s="5" t="s">
        <v>484</v>
      </c>
      <c r="C32" s="5" t="s">
        <v>485</v>
      </c>
    </row>
    <row r="33" customFormat="false" ht="23.85" hidden="false" customHeight="false" outlineLevel="0" collapsed="false">
      <c r="A33" s="5" t="n">
        <v>3</v>
      </c>
      <c r="B33" s="5" t="s">
        <v>486</v>
      </c>
      <c r="C33" s="5" t="s">
        <v>487</v>
      </c>
    </row>
    <row r="34" customFormat="false" ht="23.85" hidden="false" customHeight="false" outlineLevel="0" collapsed="false">
      <c r="A34" s="5" t="n">
        <v>4</v>
      </c>
      <c r="B34" s="5" t="s">
        <v>488</v>
      </c>
      <c r="C34" s="5" t="s">
        <v>489</v>
      </c>
    </row>
    <row r="35" customFormat="false" ht="23.85" hidden="false" customHeight="false" outlineLevel="0" collapsed="false">
      <c r="A35" s="5" t="n">
        <v>5</v>
      </c>
      <c r="B35" s="5" t="s">
        <v>490</v>
      </c>
      <c r="C35" s="5" t="s">
        <v>491</v>
      </c>
    </row>
    <row r="36" customFormat="false" ht="23.85" hidden="false" customHeight="false" outlineLevel="0" collapsed="false">
      <c r="A36" s="5" t="n">
        <v>6</v>
      </c>
      <c r="B36" s="5" t="s">
        <v>492</v>
      </c>
      <c r="C36" s="5" t="s">
        <v>493</v>
      </c>
    </row>
    <row r="37" customFormat="false" ht="23.85" hidden="false" customHeight="false" outlineLevel="0" collapsed="false">
      <c r="A37" s="5" t="n">
        <v>7</v>
      </c>
      <c r="B37" s="5" t="s">
        <v>494</v>
      </c>
      <c r="C37" s="5" t="s">
        <v>495</v>
      </c>
    </row>
    <row r="39" customFormat="false" ht="15" hidden="false" customHeight="false" outlineLevel="0" collapsed="false">
      <c r="A39" s="3" t="s">
        <v>496</v>
      </c>
    </row>
    <row r="40" customFormat="false" ht="23.85" hidden="false" customHeight="false" outlineLevel="0" collapsed="false">
      <c r="A40" s="4" t="s">
        <v>497</v>
      </c>
      <c r="B40" s="4" t="s">
        <v>498</v>
      </c>
    </row>
    <row r="41" customFormat="false" ht="23.85" hidden="false" customHeight="false" outlineLevel="0" collapsed="false">
      <c r="A41" s="5" t="s">
        <v>169</v>
      </c>
      <c r="B41" s="5" t="s">
        <v>499</v>
      </c>
    </row>
    <row r="42" customFormat="false" ht="35.05" hidden="false" customHeight="false" outlineLevel="0" collapsed="false">
      <c r="A42" s="5" t="s">
        <v>174</v>
      </c>
      <c r="B42" s="5" t="s">
        <v>500</v>
      </c>
    </row>
    <row r="43" customFormat="false" ht="35.05" hidden="false" customHeight="false" outlineLevel="0" collapsed="false">
      <c r="A43" s="5" t="s">
        <v>182</v>
      </c>
      <c r="B43" s="5" t="s">
        <v>501</v>
      </c>
    </row>
    <row r="44" customFormat="false" ht="15" hidden="false" customHeight="false" outlineLevel="0" collapsed="false">
      <c r="A44" s="5" t="s">
        <v>191</v>
      </c>
      <c r="B44" s="5" t="s">
        <v>502</v>
      </c>
    </row>
    <row r="45" customFormat="false" ht="15" hidden="false" customHeight="false" outlineLevel="0" collapsed="false">
      <c r="A45" s="5" t="s">
        <v>248</v>
      </c>
      <c r="B45" s="5" t="s">
        <v>356</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2026-07-12T13:10:25Z</dcterms:created>
  <dc:creator>openpyxl</dc:creator>
  <dc:description/>
  <dc:language>en-US</dc:language>
  <cp:lastModifiedBy/>
  <dcterms:modified xsi:type="dcterms:W3CDTF">2026-07-12T13:10:25Z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