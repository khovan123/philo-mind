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oang\Downloads\"/>
    </mc:Choice>
  </mc:AlternateContent>
  <xr:revisionPtr revIDLastSave="0" documentId="13_ncr:1_{B37F2454-4A2A-43CD-ABE0-34549588459B}" xr6:coauthVersionLast="47" xr6:coauthVersionMax="47" xr10:uidLastSave="{00000000-0000-0000-0000-000000000000}"/>
  <bookViews>
    <workbookView xWindow="22932" yWindow="-108" windowWidth="23256" windowHeight="12456" activeTab="1" xr2:uid="{00000000-000D-0000-FFFF-FFFF00000000}"/>
  </bookViews>
  <sheets>
    <sheet name="00_HUONG_DAN" sheetId="1" r:id="rId1"/>
    <sheet name="01_THONG_TIN_PHIM" sheetId="2" r:id="rId2"/>
    <sheet name="02_KICH_BAN_NODES" sheetId="3" r:id="rId3"/>
    <sheet name="03_LUA_CHON" sheetId="4" r:id="rId4"/>
    <sheet name="04_DANH_MUC" sheetId="5" r:id="rId5"/>
    <sheet name="05_KIEM_TRA_QA" sheetId="6" r:id="rId6"/>
    <sheet name="06_DEV_MAPPING"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8" i="6" l="1"/>
  <c r="F218" i="6" s="1"/>
  <c r="A217" i="6"/>
  <c r="F217" i="6" s="1"/>
  <c r="F216" i="6"/>
  <c r="E216" i="6"/>
  <c r="D216" i="6"/>
  <c r="C216" i="6"/>
  <c r="A216" i="6"/>
  <c r="B216" i="6" s="1"/>
  <c r="C215" i="6"/>
  <c r="B215" i="6"/>
  <c r="A215" i="6"/>
  <c r="F215" i="6" s="1"/>
  <c r="A214" i="6"/>
  <c r="F214" i="6" s="1"/>
  <c r="F213" i="6"/>
  <c r="E213" i="6"/>
  <c r="A213" i="6"/>
  <c r="D213" i="6" s="1"/>
  <c r="B212" i="6"/>
  <c r="A212" i="6"/>
  <c r="F212" i="6" s="1"/>
  <c r="C211" i="6"/>
  <c r="B211" i="6"/>
  <c r="A211" i="6"/>
  <c r="F211" i="6" s="1"/>
  <c r="A210" i="6"/>
  <c r="F210" i="6" s="1"/>
  <c r="A209" i="6"/>
  <c r="F209" i="6" s="1"/>
  <c r="F208" i="6"/>
  <c r="E208" i="6"/>
  <c r="D208" i="6"/>
  <c r="C208" i="6"/>
  <c r="A208" i="6"/>
  <c r="B208" i="6" s="1"/>
  <c r="C207" i="6"/>
  <c r="B207" i="6"/>
  <c r="A207" i="6"/>
  <c r="F207" i="6" s="1"/>
  <c r="A206" i="6"/>
  <c r="F206" i="6" s="1"/>
  <c r="F205" i="6"/>
  <c r="E205" i="6"/>
  <c r="A205" i="6"/>
  <c r="D205" i="6" s="1"/>
  <c r="B204" i="6"/>
  <c r="A204" i="6"/>
  <c r="F204" i="6" s="1"/>
  <c r="C203" i="6"/>
  <c r="B203" i="6"/>
  <c r="A203" i="6"/>
  <c r="F203" i="6" s="1"/>
  <c r="A202" i="6"/>
  <c r="F202" i="6" s="1"/>
  <c r="A201" i="6"/>
  <c r="F201" i="6" s="1"/>
  <c r="F200" i="6"/>
  <c r="E200" i="6"/>
  <c r="D200" i="6"/>
  <c r="C200" i="6"/>
  <c r="A200" i="6"/>
  <c r="B200" i="6" s="1"/>
  <c r="C199" i="6"/>
  <c r="B199" i="6"/>
  <c r="A199" i="6"/>
  <c r="F199" i="6" s="1"/>
  <c r="A198" i="6"/>
  <c r="F198" i="6" s="1"/>
  <c r="F197" i="6"/>
  <c r="E197" i="6"/>
  <c r="A197" i="6"/>
  <c r="D197" i="6" s="1"/>
  <c r="B196" i="6"/>
  <c r="A196" i="6"/>
  <c r="F196" i="6" s="1"/>
  <c r="C195" i="6"/>
  <c r="B195" i="6"/>
  <c r="A195" i="6"/>
  <c r="F195" i="6" s="1"/>
  <c r="A194" i="6"/>
  <c r="F194" i="6" s="1"/>
  <c r="A193" i="6"/>
  <c r="F193" i="6" s="1"/>
  <c r="F192" i="6"/>
  <c r="E192" i="6"/>
  <c r="D192" i="6"/>
  <c r="C192" i="6"/>
  <c r="A192" i="6"/>
  <c r="B192" i="6" s="1"/>
  <c r="C191" i="6"/>
  <c r="B191" i="6"/>
  <c r="A191" i="6"/>
  <c r="F191" i="6" s="1"/>
  <c r="A190" i="6"/>
  <c r="F190" i="6" s="1"/>
  <c r="F189" i="6"/>
  <c r="E189" i="6"/>
  <c r="A189" i="6"/>
  <c r="D189" i="6" s="1"/>
  <c r="B188" i="6"/>
  <c r="A188" i="6"/>
  <c r="F188" i="6" s="1"/>
  <c r="C187" i="6"/>
  <c r="B187" i="6"/>
  <c r="A187" i="6"/>
  <c r="F187" i="6" s="1"/>
  <c r="A186" i="6"/>
  <c r="F186" i="6" s="1"/>
  <c r="A185" i="6"/>
  <c r="F185" i="6" s="1"/>
  <c r="F184" i="6"/>
  <c r="E184" i="6"/>
  <c r="D184" i="6"/>
  <c r="C184" i="6"/>
  <c r="A184" i="6"/>
  <c r="B184" i="6" s="1"/>
  <c r="C183" i="6"/>
  <c r="B183" i="6"/>
  <c r="A183" i="6"/>
  <c r="F183" i="6" s="1"/>
  <c r="A182" i="6"/>
  <c r="F182" i="6" s="1"/>
  <c r="F181" i="6"/>
  <c r="E181" i="6"/>
  <c r="A181" i="6"/>
  <c r="D181" i="6" s="1"/>
  <c r="B180" i="6"/>
  <c r="A180" i="6"/>
  <c r="F180" i="6" s="1"/>
  <c r="C179" i="6"/>
  <c r="B179" i="6"/>
  <c r="A179" i="6"/>
  <c r="F179" i="6" s="1"/>
  <c r="A178" i="6"/>
  <c r="F178" i="6" s="1"/>
  <c r="A177" i="6"/>
  <c r="F177" i="6" s="1"/>
  <c r="F176" i="6"/>
  <c r="E176" i="6"/>
  <c r="D176" i="6"/>
  <c r="C176" i="6"/>
  <c r="A176" i="6"/>
  <c r="B176" i="6" s="1"/>
  <c r="C175" i="6"/>
  <c r="B175" i="6"/>
  <c r="A175" i="6"/>
  <c r="F175" i="6" s="1"/>
  <c r="A174" i="6"/>
  <c r="F174" i="6" s="1"/>
  <c r="F173" i="6"/>
  <c r="E173" i="6"/>
  <c r="A173" i="6"/>
  <c r="D173" i="6" s="1"/>
  <c r="B172" i="6"/>
  <c r="A172" i="6"/>
  <c r="F172" i="6" s="1"/>
  <c r="C171" i="6"/>
  <c r="B171" i="6"/>
  <c r="A171" i="6"/>
  <c r="F171" i="6" s="1"/>
  <c r="A170" i="6"/>
  <c r="F170" i="6" s="1"/>
  <c r="A169" i="6"/>
  <c r="F169" i="6" s="1"/>
  <c r="F168" i="6"/>
  <c r="E168" i="6"/>
  <c r="D168" i="6"/>
  <c r="C168" i="6"/>
  <c r="A168" i="6"/>
  <c r="B168" i="6" s="1"/>
  <c r="C167" i="6"/>
  <c r="B167" i="6"/>
  <c r="A167" i="6"/>
  <c r="F167" i="6" s="1"/>
  <c r="A166" i="6"/>
  <c r="F166" i="6" s="1"/>
  <c r="F165" i="6"/>
  <c r="E165" i="6"/>
  <c r="A165" i="6"/>
  <c r="D165" i="6" s="1"/>
  <c r="B164" i="6"/>
  <c r="A164" i="6"/>
  <c r="F164" i="6" s="1"/>
  <c r="C163" i="6"/>
  <c r="B163" i="6"/>
  <c r="A163" i="6"/>
  <c r="F163" i="6" s="1"/>
  <c r="A162" i="6"/>
  <c r="F162" i="6" s="1"/>
  <c r="A161" i="6"/>
  <c r="F161" i="6" s="1"/>
  <c r="F160" i="6"/>
  <c r="E160" i="6"/>
  <c r="D160" i="6"/>
  <c r="C160" i="6"/>
  <c r="A160" i="6"/>
  <c r="B160" i="6" s="1"/>
  <c r="C159" i="6"/>
  <c r="B159" i="6"/>
  <c r="A159" i="6"/>
  <c r="F159" i="6" s="1"/>
  <c r="A158" i="6"/>
  <c r="F158" i="6" s="1"/>
  <c r="F157" i="6"/>
  <c r="E157" i="6"/>
  <c r="A157" i="6"/>
  <c r="D157" i="6" s="1"/>
  <c r="B156" i="6"/>
  <c r="A156" i="6"/>
  <c r="F156" i="6" s="1"/>
  <c r="C155" i="6"/>
  <c r="B155" i="6"/>
  <c r="A155" i="6"/>
  <c r="F155" i="6" s="1"/>
  <c r="A154" i="6"/>
  <c r="F154" i="6" s="1"/>
  <c r="A153" i="6"/>
  <c r="F153" i="6" s="1"/>
  <c r="F152" i="6"/>
  <c r="E152" i="6"/>
  <c r="D152" i="6"/>
  <c r="C152" i="6"/>
  <c r="A152" i="6"/>
  <c r="B152" i="6" s="1"/>
  <c r="C151" i="6"/>
  <c r="B151" i="6"/>
  <c r="A151" i="6"/>
  <c r="F151" i="6" s="1"/>
  <c r="A150" i="6"/>
  <c r="F150" i="6" s="1"/>
  <c r="F149" i="6"/>
  <c r="E149" i="6"/>
  <c r="A149" i="6"/>
  <c r="D149" i="6" s="1"/>
  <c r="B148" i="6"/>
  <c r="A148" i="6"/>
  <c r="F148" i="6" s="1"/>
  <c r="C147" i="6"/>
  <c r="B147" i="6"/>
  <c r="A147" i="6"/>
  <c r="F147" i="6" s="1"/>
  <c r="A146" i="6"/>
  <c r="F146" i="6" s="1"/>
  <c r="A145" i="6"/>
  <c r="F145" i="6" s="1"/>
  <c r="F144" i="6"/>
  <c r="E144" i="6"/>
  <c r="D144" i="6"/>
  <c r="C144" i="6"/>
  <c r="A144" i="6"/>
  <c r="B144" i="6" s="1"/>
  <c r="C143" i="6"/>
  <c r="B143" i="6"/>
  <c r="A143" i="6"/>
  <c r="F143" i="6" s="1"/>
  <c r="A142" i="6"/>
  <c r="F142" i="6" s="1"/>
  <c r="F141" i="6"/>
  <c r="E141" i="6"/>
  <c r="A141" i="6"/>
  <c r="D141" i="6" s="1"/>
  <c r="B140" i="6"/>
  <c r="A140" i="6"/>
  <c r="F140" i="6" s="1"/>
  <c r="C139" i="6"/>
  <c r="B139" i="6"/>
  <c r="A139" i="6"/>
  <c r="F139" i="6" s="1"/>
  <c r="A138" i="6"/>
  <c r="F138" i="6" s="1"/>
  <c r="A137" i="6"/>
  <c r="F137" i="6" s="1"/>
  <c r="F136" i="6"/>
  <c r="E136" i="6"/>
  <c r="D136" i="6"/>
  <c r="C136" i="6"/>
  <c r="A136" i="6"/>
  <c r="B136" i="6" s="1"/>
  <c r="C135" i="6"/>
  <c r="B135" i="6"/>
  <c r="A135" i="6"/>
  <c r="F135" i="6" s="1"/>
  <c r="A134" i="6"/>
  <c r="F134" i="6" s="1"/>
  <c r="F133" i="6"/>
  <c r="E133" i="6"/>
  <c r="A133" i="6"/>
  <c r="D133" i="6" s="1"/>
  <c r="B132" i="6"/>
  <c r="A132" i="6"/>
  <c r="F132" i="6" s="1"/>
  <c r="C131" i="6"/>
  <c r="B131" i="6"/>
  <c r="A131" i="6"/>
  <c r="F131" i="6" s="1"/>
  <c r="A130" i="6"/>
  <c r="F130" i="6" s="1"/>
  <c r="A129" i="6"/>
  <c r="F129" i="6" s="1"/>
  <c r="F128" i="6"/>
  <c r="E128" i="6"/>
  <c r="D128" i="6"/>
  <c r="C128" i="6"/>
  <c r="A128" i="6"/>
  <c r="B128" i="6" s="1"/>
  <c r="C127" i="6"/>
  <c r="B127" i="6"/>
  <c r="A127" i="6"/>
  <c r="F127" i="6" s="1"/>
  <c r="A126" i="6"/>
  <c r="F126" i="6" s="1"/>
  <c r="F125" i="6"/>
  <c r="E125" i="6"/>
  <c r="A125" i="6"/>
  <c r="D125" i="6" s="1"/>
  <c r="B124" i="6"/>
  <c r="A124" i="6"/>
  <c r="F124" i="6" s="1"/>
  <c r="C123" i="6"/>
  <c r="B123" i="6"/>
  <c r="A123" i="6"/>
  <c r="F123" i="6" s="1"/>
  <c r="A122" i="6"/>
  <c r="F122" i="6" s="1"/>
  <c r="A121" i="6"/>
  <c r="F121" i="6" s="1"/>
  <c r="F120" i="6"/>
  <c r="E120" i="6"/>
  <c r="D120" i="6"/>
  <c r="C120" i="6"/>
  <c r="A120" i="6"/>
  <c r="B120" i="6" s="1"/>
  <c r="C119" i="6"/>
  <c r="B119" i="6"/>
  <c r="A119" i="6"/>
  <c r="F119" i="6" s="1"/>
  <c r="A118" i="6"/>
  <c r="F118" i="6" s="1"/>
  <c r="F117" i="6"/>
  <c r="E117" i="6"/>
  <c r="A117" i="6"/>
  <c r="D117" i="6" s="1"/>
  <c r="B116" i="6"/>
  <c r="A116" i="6"/>
  <c r="F116" i="6" s="1"/>
  <c r="C115" i="6"/>
  <c r="B115" i="6"/>
  <c r="A115" i="6"/>
  <c r="F115" i="6" s="1"/>
  <c r="A114" i="6"/>
  <c r="F114" i="6" s="1"/>
  <c r="A113" i="6"/>
  <c r="F113" i="6" s="1"/>
  <c r="F112" i="6"/>
  <c r="E112" i="6"/>
  <c r="D112" i="6"/>
  <c r="C112" i="6"/>
  <c r="A112" i="6"/>
  <c r="B112" i="6" s="1"/>
  <c r="C111" i="6"/>
  <c r="B111" i="6"/>
  <c r="A111" i="6"/>
  <c r="F111" i="6" s="1"/>
  <c r="A110" i="6"/>
  <c r="F110" i="6" s="1"/>
  <c r="F109" i="6"/>
  <c r="E109" i="6"/>
  <c r="A109" i="6"/>
  <c r="D109" i="6" s="1"/>
  <c r="B108" i="6"/>
  <c r="A108" i="6"/>
  <c r="F108" i="6" s="1"/>
  <c r="C107" i="6"/>
  <c r="B107" i="6"/>
  <c r="A107" i="6"/>
  <c r="F107" i="6" s="1"/>
  <c r="A106" i="6"/>
  <c r="F106" i="6" s="1"/>
  <c r="A105" i="6"/>
  <c r="F105" i="6" s="1"/>
  <c r="F104" i="6"/>
  <c r="E104" i="6"/>
  <c r="D104" i="6"/>
  <c r="C104" i="6"/>
  <c r="A104" i="6"/>
  <c r="B104" i="6" s="1"/>
  <c r="C103" i="6"/>
  <c r="B103" i="6"/>
  <c r="A103" i="6"/>
  <c r="F103" i="6" s="1"/>
  <c r="A102" i="6"/>
  <c r="F102" i="6" s="1"/>
  <c r="F101" i="6"/>
  <c r="E101" i="6"/>
  <c r="A101" i="6"/>
  <c r="D101" i="6" s="1"/>
  <c r="E100" i="6"/>
  <c r="B100" i="6"/>
  <c r="A100" i="6"/>
  <c r="F100" i="6" s="1"/>
  <c r="C99" i="6"/>
  <c r="B99" i="6"/>
  <c r="A99" i="6"/>
  <c r="F99" i="6" s="1"/>
  <c r="A98" i="6"/>
  <c r="F98" i="6" s="1"/>
  <c r="A97" i="6"/>
  <c r="F97" i="6" s="1"/>
  <c r="F96" i="6"/>
  <c r="E96" i="6"/>
  <c r="D96" i="6"/>
  <c r="C96" i="6"/>
  <c r="A96" i="6"/>
  <c r="B96" i="6" s="1"/>
  <c r="C95" i="6"/>
  <c r="B95" i="6"/>
  <c r="A95" i="6"/>
  <c r="F95" i="6" s="1"/>
  <c r="A94" i="6"/>
  <c r="F94" i="6" s="1"/>
  <c r="F93" i="6"/>
  <c r="E93" i="6"/>
  <c r="A93" i="6"/>
  <c r="D93" i="6" s="1"/>
  <c r="E92" i="6"/>
  <c r="B92" i="6"/>
  <c r="A92" i="6"/>
  <c r="F92" i="6" s="1"/>
  <c r="C91" i="6"/>
  <c r="B91" i="6"/>
  <c r="A91" i="6"/>
  <c r="F91" i="6" s="1"/>
  <c r="A90" i="6"/>
  <c r="F90" i="6" s="1"/>
  <c r="A89" i="6"/>
  <c r="F89" i="6" s="1"/>
  <c r="F88" i="6"/>
  <c r="E88" i="6"/>
  <c r="D88" i="6"/>
  <c r="C88" i="6"/>
  <c r="A88" i="6"/>
  <c r="B88" i="6" s="1"/>
  <c r="C87" i="6"/>
  <c r="B87" i="6"/>
  <c r="A87" i="6"/>
  <c r="F87" i="6" s="1"/>
  <c r="A86" i="6"/>
  <c r="F86" i="6" s="1"/>
  <c r="F85" i="6"/>
  <c r="E85" i="6"/>
  <c r="A85" i="6"/>
  <c r="D85" i="6" s="1"/>
  <c r="E84" i="6"/>
  <c r="B84" i="6"/>
  <c r="A84" i="6"/>
  <c r="F84" i="6" s="1"/>
  <c r="C83" i="6"/>
  <c r="B83" i="6"/>
  <c r="A83" i="6"/>
  <c r="F83" i="6" s="1"/>
  <c r="A82" i="6"/>
  <c r="F82" i="6" s="1"/>
  <c r="A81" i="6"/>
  <c r="F81" i="6" s="1"/>
  <c r="F80" i="6"/>
  <c r="E80" i="6"/>
  <c r="D80" i="6"/>
  <c r="C80" i="6"/>
  <c r="A80" i="6"/>
  <c r="B80" i="6" s="1"/>
  <c r="C79" i="6"/>
  <c r="B79" i="6"/>
  <c r="A79" i="6"/>
  <c r="F79" i="6" s="1"/>
  <c r="A78" i="6"/>
  <c r="F78" i="6" s="1"/>
  <c r="F77" i="6"/>
  <c r="E77" i="6"/>
  <c r="A77" i="6"/>
  <c r="D77" i="6" s="1"/>
  <c r="E76" i="6"/>
  <c r="B76" i="6"/>
  <c r="A76" i="6"/>
  <c r="F76" i="6" s="1"/>
  <c r="C75" i="6"/>
  <c r="B75" i="6"/>
  <c r="A75" i="6"/>
  <c r="F75" i="6" s="1"/>
  <c r="A74" i="6"/>
  <c r="F74" i="6" s="1"/>
  <c r="A73" i="6"/>
  <c r="F73" i="6" s="1"/>
  <c r="F72" i="6"/>
  <c r="E72" i="6"/>
  <c r="D72" i="6"/>
  <c r="C72" i="6"/>
  <c r="A72" i="6"/>
  <c r="B72" i="6" s="1"/>
  <c r="C71" i="6"/>
  <c r="B71" i="6"/>
  <c r="A71" i="6"/>
  <c r="F71" i="6" s="1"/>
  <c r="A70" i="6"/>
  <c r="F70" i="6" s="1"/>
  <c r="F69" i="6"/>
  <c r="E69" i="6"/>
  <c r="A69" i="6"/>
  <c r="D69" i="6" s="1"/>
  <c r="E68" i="6"/>
  <c r="B68" i="6"/>
  <c r="A68" i="6"/>
  <c r="F68" i="6" s="1"/>
  <c r="C67" i="6"/>
  <c r="B67" i="6"/>
  <c r="A67" i="6"/>
  <c r="F67" i="6" s="1"/>
  <c r="A66" i="6"/>
  <c r="F66" i="6" s="1"/>
  <c r="A65" i="6"/>
  <c r="F65" i="6" s="1"/>
  <c r="F64" i="6"/>
  <c r="E64" i="6"/>
  <c r="D64" i="6"/>
  <c r="C64" i="6"/>
  <c r="A64" i="6"/>
  <c r="B64" i="6" s="1"/>
  <c r="C63" i="6"/>
  <c r="B63" i="6"/>
  <c r="A63" i="6"/>
  <c r="F63" i="6" s="1"/>
  <c r="A62" i="6"/>
  <c r="F62" i="6" s="1"/>
  <c r="F61" i="6"/>
  <c r="E61" i="6"/>
  <c r="A61" i="6"/>
  <c r="D61" i="6" s="1"/>
  <c r="E60" i="6"/>
  <c r="B60" i="6"/>
  <c r="A60" i="6"/>
  <c r="F60" i="6" s="1"/>
  <c r="C59" i="6"/>
  <c r="B59" i="6"/>
  <c r="A59" i="6"/>
  <c r="F59" i="6" s="1"/>
  <c r="A58" i="6"/>
  <c r="F58" i="6" s="1"/>
  <c r="A57" i="6"/>
  <c r="F57" i="6" s="1"/>
  <c r="F56" i="6"/>
  <c r="E56" i="6"/>
  <c r="D56" i="6"/>
  <c r="C56" i="6"/>
  <c r="A56" i="6"/>
  <c r="B56" i="6" s="1"/>
  <c r="C55" i="6"/>
  <c r="B55" i="6"/>
  <c r="A55" i="6"/>
  <c r="F55" i="6" s="1"/>
  <c r="A54" i="6"/>
  <c r="F54" i="6" s="1"/>
  <c r="F53" i="6"/>
  <c r="E53" i="6"/>
  <c r="A53" i="6"/>
  <c r="D53" i="6" s="1"/>
  <c r="E52" i="6"/>
  <c r="B52" i="6"/>
  <c r="A52" i="6"/>
  <c r="F52" i="6" s="1"/>
  <c r="C51" i="6"/>
  <c r="B51" i="6"/>
  <c r="A51" i="6"/>
  <c r="F51" i="6" s="1"/>
  <c r="A50" i="6"/>
  <c r="A49" i="6"/>
  <c r="D48" i="6"/>
  <c r="C48" i="6"/>
  <c r="A48" i="6"/>
  <c r="B48" i="6" s="1"/>
  <c r="E48" i="6" s="1"/>
  <c r="C47" i="6"/>
  <c r="B47" i="6"/>
  <c r="A47" i="6"/>
  <c r="A46" i="6"/>
  <c r="A45" i="6"/>
  <c r="D45" i="6" s="1"/>
  <c r="B44" i="6"/>
  <c r="A44" i="6"/>
  <c r="C43" i="6"/>
  <c r="B43" i="6"/>
  <c r="A43" i="6"/>
  <c r="A42" i="6"/>
  <c r="F42" i="6" s="1"/>
  <c r="A41" i="6"/>
  <c r="F41" i="6" s="1"/>
  <c r="F40" i="6"/>
  <c r="E40" i="6"/>
  <c r="D40" i="6"/>
  <c r="C40" i="6"/>
  <c r="A40" i="6"/>
  <c r="B40" i="6" s="1"/>
  <c r="C39" i="6"/>
  <c r="B39" i="6"/>
  <c r="A39" i="6"/>
  <c r="F39" i="6" s="1"/>
  <c r="A38" i="6"/>
  <c r="A37" i="6"/>
  <c r="D37" i="6" s="1"/>
  <c r="B36" i="6"/>
  <c r="A36" i="6"/>
  <c r="C35" i="6"/>
  <c r="B35" i="6"/>
  <c r="A35" i="6"/>
  <c r="A34" i="6"/>
  <c r="A33" i="6"/>
  <c r="F32" i="6"/>
  <c r="E32" i="6"/>
  <c r="D32" i="6"/>
  <c r="C32" i="6"/>
  <c r="A32" i="6"/>
  <c r="B32" i="6" s="1"/>
  <c r="C31" i="6"/>
  <c r="B31" i="6"/>
  <c r="A31" i="6"/>
  <c r="F31" i="6" s="1"/>
  <c r="A30" i="6"/>
  <c r="F30" i="6" s="1"/>
  <c r="F29" i="6"/>
  <c r="E29" i="6"/>
  <c r="A29" i="6"/>
  <c r="D29" i="6" s="1"/>
  <c r="B28" i="6"/>
  <c r="A28" i="6"/>
  <c r="C27" i="6"/>
  <c r="B27" i="6"/>
  <c r="A27" i="6"/>
  <c r="A26" i="6"/>
  <c r="A25" i="6"/>
  <c r="D24" i="6"/>
  <c r="C24" i="6"/>
  <c r="A24" i="6"/>
  <c r="B24" i="6" s="1"/>
  <c r="E24" i="6" s="1"/>
  <c r="C23" i="6"/>
  <c r="B23" i="6"/>
  <c r="A23" i="6"/>
  <c r="A22" i="6"/>
  <c r="F21" i="6"/>
  <c r="E21" i="6"/>
  <c r="A21" i="6"/>
  <c r="D21" i="6" s="1"/>
  <c r="E20" i="6"/>
  <c r="B20" i="6"/>
  <c r="A20" i="6"/>
  <c r="F20" i="6" s="1"/>
  <c r="C19" i="6"/>
  <c r="B19" i="6"/>
  <c r="A19" i="6"/>
  <c r="F19" i="6" s="1"/>
  <c r="B13" i="6"/>
  <c r="C13" i="6" s="1"/>
  <c r="F6" i="6"/>
  <c r="B10" i="6" s="1"/>
  <c r="C10" i="6" s="1"/>
  <c r="E6" i="6"/>
  <c r="D6" i="6"/>
  <c r="C6" i="6"/>
  <c r="B6" i="6"/>
  <c r="A6" i="6"/>
  <c r="K404" i="4"/>
  <c r="J404" i="4"/>
  <c r="K403" i="4"/>
  <c r="J403" i="4"/>
  <c r="K402" i="4"/>
  <c r="J402" i="4"/>
  <c r="K401" i="4"/>
  <c r="J401" i="4"/>
  <c r="K400" i="4"/>
  <c r="J400" i="4"/>
  <c r="K399" i="4"/>
  <c r="J399" i="4"/>
  <c r="K398" i="4"/>
  <c r="J398" i="4"/>
  <c r="K397" i="4"/>
  <c r="J397" i="4"/>
  <c r="K396" i="4"/>
  <c r="J396" i="4"/>
  <c r="K395" i="4"/>
  <c r="J395" i="4"/>
  <c r="K394" i="4"/>
  <c r="J394" i="4"/>
  <c r="K393" i="4"/>
  <c r="J393" i="4"/>
  <c r="K392" i="4"/>
  <c r="J392" i="4"/>
  <c r="K391" i="4"/>
  <c r="J391" i="4"/>
  <c r="K390" i="4"/>
  <c r="J390" i="4"/>
  <c r="K389" i="4"/>
  <c r="J389" i="4"/>
  <c r="K388" i="4"/>
  <c r="J388" i="4"/>
  <c r="K387" i="4"/>
  <c r="J387" i="4"/>
  <c r="K386" i="4"/>
  <c r="J386" i="4"/>
  <c r="K385" i="4"/>
  <c r="J385" i="4"/>
  <c r="K384" i="4"/>
  <c r="J384" i="4"/>
  <c r="K383" i="4"/>
  <c r="J383" i="4"/>
  <c r="K382" i="4"/>
  <c r="J382" i="4"/>
  <c r="K381" i="4"/>
  <c r="J381" i="4"/>
  <c r="K380" i="4"/>
  <c r="J380" i="4"/>
  <c r="K379" i="4"/>
  <c r="J379" i="4"/>
  <c r="K378" i="4"/>
  <c r="J378" i="4"/>
  <c r="K377" i="4"/>
  <c r="J377" i="4"/>
  <c r="K376" i="4"/>
  <c r="J376" i="4"/>
  <c r="K375" i="4"/>
  <c r="J375" i="4"/>
  <c r="K374" i="4"/>
  <c r="J374" i="4"/>
  <c r="K373" i="4"/>
  <c r="J373" i="4"/>
  <c r="K372" i="4"/>
  <c r="J372" i="4"/>
  <c r="K371" i="4"/>
  <c r="J371" i="4"/>
  <c r="K370" i="4"/>
  <c r="J370" i="4"/>
  <c r="K369" i="4"/>
  <c r="J369" i="4"/>
  <c r="K368" i="4"/>
  <c r="J368" i="4"/>
  <c r="K367" i="4"/>
  <c r="J367" i="4"/>
  <c r="K366" i="4"/>
  <c r="J366" i="4"/>
  <c r="K365" i="4"/>
  <c r="J365" i="4"/>
  <c r="K364" i="4"/>
  <c r="J364" i="4"/>
  <c r="K363" i="4"/>
  <c r="J363" i="4"/>
  <c r="K362" i="4"/>
  <c r="J362" i="4"/>
  <c r="K361" i="4"/>
  <c r="J361" i="4"/>
  <c r="K360" i="4"/>
  <c r="J360" i="4"/>
  <c r="K359" i="4"/>
  <c r="J359" i="4"/>
  <c r="K358" i="4"/>
  <c r="J358" i="4"/>
  <c r="K357" i="4"/>
  <c r="J357" i="4"/>
  <c r="K356" i="4"/>
  <c r="J356" i="4"/>
  <c r="K355" i="4"/>
  <c r="J355" i="4"/>
  <c r="K354" i="4"/>
  <c r="J354" i="4"/>
  <c r="K353" i="4"/>
  <c r="J353" i="4"/>
  <c r="K352" i="4"/>
  <c r="J352" i="4"/>
  <c r="K351" i="4"/>
  <c r="J351" i="4"/>
  <c r="K350" i="4"/>
  <c r="J350" i="4"/>
  <c r="K349" i="4"/>
  <c r="J349" i="4"/>
  <c r="K348" i="4"/>
  <c r="J348" i="4"/>
  <c r="K347" i="4"/>
  <c r="J347" i="4"/>
  <c r="K346" i="4"/>
  <c r="J346" i="4"/>
  <c r="K345" i="4"/>
  <c r="J345" i="4"/>
  <c r="K344" i="4"/>
  <c r="J344" i="4"/>
  <c r="K343" i="4"/>
  <c r="J343" i="4"/>
  <c r="K342" i="4"/>
  <c r="J342" i="4"/>
  <c r="K341" i="4"/>
  <c r="J341" i="4"/>
  <c r="K340" i="4"/>
  <c r="J340" i="4"/>
  <c r="K339" i="4"/>
  <c r="J339" i="4"/>
  <c r="K338" i="4"/>
  <c r="J338" i="4"/>
  <c r="K337" i="4"/>
  <c r="J337" i="4"/>
  <c r="K336" i="4"/>
  <c r="J336" i="4"/>
  <c r="K335" i="4"/>
  <c r="J335" i="4"/>
  <c r="K334" i="4"/>
  <c r="J334" i="4"/>
  <c r="K333" i="4"/>
  <c r="J333" i="4"/>
  <c r="K332" i="4"/>
  <c r="J332" i="4"/>
  <c r="K331" i="4"/>
  <c r="J331" i="4"/>
  <c r="K330" i="4"/>
  <c r="J330" i="4"/>
  <c r="K329" i="4"/>
  <c r="J329" i="4"/>
  <c r="K328" i="4"/>
  <c r="J328" i="4"/>
  <c r="K327" i="4"/>
  <c r="J327" i="4"/>
  <c r="K326" i="4"/>
  <c r="J326" i="4"/>
  <c r="K325" i="4"/>
  <c r="J325" i="4"/>
  <c r="K324" i="4"/>
  <c r="J324" i="4"/>
  <c r="K323" i="4"/>
  <c r="J323" i="4"/>
  <c r="K322" i="4"/>
  <c r="J322" i="4"/>
  <c r="K321" i="4"/>
  <c r="J321" i="4"/>
  <c r="K320" i="4"/>
  <c r="J320" i="4"/>
  <c r="K319" i="4"/>
  <c r="J319" i="4"/>
  <c r="K318" i="4"/>
  <c r="J318" i="4"/>
  <c r="K317" i="4"/>
  <c r="J317" i="4"/>
  <c r="K316" i="4"/>
  <c r="J316" i="4"/>
  <c r="K315" i="4"/>
  <c r="J315" i="4"/>
  <c r="K314" i="4"/>
  <c r="J314" i="4"/>
  <c r="K313" i="4"/>
  <c r="J313" i="4"/>
  <c r="K312" i="4"/>
  <c r="J312" i="4"/>
  <c r="K311" i="4"/>
  <c r="J311" i="4"/>
  <c r="K310" i="4"/>
  <c r="J310" i="4"/>
  <c r="K309" i="4"/>
  <c r="J309" i="4"/>
  <c r="K308" i="4"/>
  <c r="J308" i="4"/>
  <c r="K307" i="4"/>
  <c r="J307" i="4"/>
  <c r="K306" i="4"/>
  <c r="J306" i="4"/>
  <c r="K305" i="4"/>
  <c r="J305" i="4"/>
  <c r="K304" i="4"/>
  <c r="J304" i="4"/>
  <c r="K303" i="4"/>
  <c r="J303" i="4"/>
  <c r="K302" i="4"/>
  <c r="J302" i="4"/>
  <c r="K301" i="4"/>
  <c r="J301" i="4"/>
  <c r="K300" i="4"/>
  <c r="J300" i="4"/>
  <c r="K299" i="4"/>
  <c r="J299" i="4"/>
  <c r="K298" i="4"/>
  <c r="J298" i="4"/>
  <c r="K297" i="4"/>
  <c r="J297" i="4"/>
  <c r="K296" i="4"/>
  <c r="J296" i="4"/>
  <c r="K295" i="4"/>
  <c r="J295" i="4"/>
  <c r="K294" i="4"/>
  <c r="J294" i="4"/>
  <c r="K293" i="4"/>
  <c r="J293" i="4"/>
  <c r="K292" i="4"/>
  <c r="J292" i="4"/>
  <c r="K291" i="4"/>
  <c r="J291" i="4"/>
  <c r="K290" i="4"/>
  <c r="J290" i="4"/>
  <c r="K289" i="4"/>
  <c r="J289" i="4"/>
  <c r="K288" i="4"/>
  <c r="J288" i="4"/>
  <c r="K287" i="4"/>
  <c r="J287" i="4"/>
  <c r="K286" i="4"/>
  <c r="J286" i="4"/>
  <c r="K285" i="4"/>
  <c r="J285" i="4"/>
  <c r="K284" i="4"/>
  <c r="J284" i="4"/>
  <c r="K283" i="4"/>
  <c r="J283" i="4"/>
  <c r="K282" i="4"/>
  <c r="J282" i="4"/>
  <c r="K281" i="4"/>
  <c r="J281" i="4"/>
  <c r="K280" i="4"/>
  <c r="J280" i="4"/>
  <c r="K279" i="4"/>
  <c r="J279" i="4"/>
  <c r="K278" i="4"/>
  <c r="J278" i="4"/>
  <c r="K277" i="4"/>
  <c r="J277" i="4"/>
  <c r="K276" i="4"/>
  <c r="J276" i="4"/>
  <c r="K275" i="4"/>
  <c r="J275" i="4"/>
  <c r="K274" i="4"/>
  <c r="J274" i="4"/>
  <c r="K273" i="4"/>
  <c r="J273" i="4"/>
  <c r="K272" i="4"/>
  <c r="J272" i="4"/>
  <c r="K271" i="4"/>
  <c r="J271" i="4"/>
  <c r="K270" i="4"/>
  <c r="J270" i="4"/>
  <c r="K269" i="4"/>
  <c r="J269" i="4"/>
  <c r="K268" i="4"/>
  <c r="J268" i="4"/>
  <c r="K267" i="4"/>
  <c r="J267" i="4"/>
  <c r="K266" i="4"/>
  <c r="J266" i="4"/>
  <c r="K265" i="4"/>
  <c r="J265" i="4"/>
  <c r="K264" i="4"/>
  <c r="J264" i="4"/>
  <c r="K263" i="4"/>
  <c r="J263" i="4"/>
  <c r="K262" i="4"/>
  <c r="J262" i="4"/>
  <c r="K261" i="4"/>
  <c r="J261" i="4"/>
  <c r="K260" i="4"/>
  <c r="J260" i="4"/>
  <c r="K259" i="4"/>
  <c r="J259" i="4"/>
  <c r="K258" i="4"/>
  <c r="J258" i="4"/>
  <c r="K257" i="4"/>
  <c r="J257" i="4"/>
  <c r="K256" i="4"/>
  <c r="J256" i="4"/>
  <c r="K255" i="4"/>
  <c r="J255" i="4"/>
  <c r="K254" i="4"/>
  <c r="J254" i="4"/>
  <c r="K253" i="4"/>
  <c r="J253" i="4"/>
  <c r="K252" i="4"/>
  <c r="J252" i="4"/>
  <c r="K251" i="4"/>
  <c r="J251" i="4"/>
  <c r="K250" i="4"/>
  <c r="J250" i="4"/>
  <c r="K249" i="4"/>
  <c r="J249" i="4"/>
  <c r="K248" i="4"/>
  <c r="J248" i="4"/>
  <c r="K247" i="4"/>
  <c r="J247" i="4"/>
  <c r="K246" i="4"/>
  <c r="J246" i="4"/>
  <c r="K245" i="4"/>
  <c r="J245" i="4"/>
  <c r="K244" i="4"/>
  <c r="J244" i="4"/>
  <c r="K243" i="4"/>
  <c r="J243" i="4"/>
  <c r="K242" i="4"/>
  <c r="J242" i="4"/>
  <c r="K241" i="4"/>
  <c r="J241" i="4"/>
  <c r="K240" i="4"/>
  <c r="J240" i="4"/>
  <c r="K239" i="4"/>
  <c r="J239" i="4"/>
  <c r="K238" i="4"/>
  <c r="J238" i="4"/>
  <c r="K237" i="4"/>
  <c r="J237" i="4"/>
  <c r="K236" i="4"/>
  <c r="J236" i="4"/>
  <c r="K235" i="4"/>
  <c r="J235" i="4"/>
  <c r="K234" i="4"/>
  <c r="J234" i="4"/>
  <c r="K233" i="4"/>
  <c r="J233" i="4"/>
  <c r="K232" i="4"/>
  <c r="J232" i="4"/>
  <c r="K231" i="4"/>
  <c r="J231" i="4"/>
  <c r="K230" i="4"/>
  <c r="J230" i="4"/>
  <c r="K229" i="4"/>
  <c r="J229" i="4"/>
  <c r="K228" i="4"/>
  <c r="J228" i="4"/>
  <c r="K227" i="4"/>
  <c r="J227" i="4"/>
  <c r="K226" i="4"/>
  <c r="J226" i="4"/>
  <c r="K225" i="4"/>
  <c r="J225" i="4"/>
  <c r="K224" i="4"/>
  <c r="J224" i="4"/>
  <c r="K223" i="4"/>
  <c r="J223" i="4"/>
  <c r="K222" i="4"/>
  <c r="J222" i="4"/>
  <c r="K221" i="4"/>
  <c r="J221" i="4"/>
  <c r="K220" i="4"/>
  <c r="J220" i="4"/>
  <c r="K219" i="4"/>
  <c r="J219" i="4"/>
  <c r="K218" i="4"/>
  <c r="J218" i="4"/>
  <c r="K217" i="4"/>
  <c r="J217" i="4"/>
  <c r="K216" i="4"/>
  <c r="J216" i="4"/>
  <c r="K215" i="4"/>
  <c r="J215" i="4"/>
  <c r="K214" i="4"/>
  <c r="J214" i="4"/>
  <c r="K213" i="4"/>
  <c r="J213" i="4"/>
  <c r="K212" i="4"/>
  <c r="J212" i="4"/>
  <c r="K211" i="4"/>
  <c r="J211" i="4"/>
  <c r="K210" i="4"/>
  <c r="J210" i="4"/>
  <c r="K209" i="4"/>
  <c r="J209" i="4"/>
  <c r="K208" i="4"/>
  <c r="J208" i="4"/>
  <c r="K207" i="4"/>
  <c r="J207" i="4"/>
  <c r="K206" i="4"/>
  <c r="J206" i="4"/>
  <c r="K205" i="4"/>
  <c r="J205" i="4"/>
  <c r="K204" i="4"/>
  <c r="J204" i="4"/>
  <c r="K203" i="4"/>
  <c r="J203" i="4"/>
  <c r="K202" i="4"/>
  <c r="J202" i="4"/>
  <c r="K201" i="4"/>
  <c r="J201" i="4"/>
  <c r="K200" i="4"/>
  <c r="J200" i="4"/>
  <c r="K199" i="4"/>
  <c r="J199" i="4"/>
  <c r="K198" i="4"/>
  <c r="J198" i="4"/>
  <c r="K197" i="4"/>
  <c r="J197" i="4"/>
  <c r="K196" i="4"/>
  <c r="J196" i="4"/>
  <c r="K195" i="4"/>
  <c r="J195" i="4"/>
  <c r="K194" i="4"/>
  <c r="J194" i="4"/>
  <c r="K193" i="4"/>
  <c r="J193" i="4"/>
  <c r="K192" i="4"/>
  <c r="J192" i="4"/>
  <c r="K191" i="4"/>
  <c r="J191" i="4"/>
  <c r="K190" i="4"/>
  <c r="J190" i="4"/>
  <c r="K189" i="4"/>
  <c r="J189" i="4"/>
  <c r="K188" i="4"/>
  <c r="J188" i="4"/>
  <c r="K187" i="4"/>
  <c r="J187" i="4"/>
  <c r="K186" i="4"/>
  <c r="J186" i="4"/>
  <c r="K185" i="4"/>
  <c r="J185" i="4"/>
  <c r="K184" i="4"/>
  <c r="J184" i="4"/>
  <c r="K183" i="4"/>
  <c r="J183" i="4"/>
  <c r="K182" i="4"/>
  <c r="J182" i="4"/>
  <c r="K181" i="4"/>
  <c r="J181" i="4"/>
  <c r="K180" i="4"/>
  <c r="J180" i="4"/>
  <c r="K179" i="4"/>
  <c r="J179" i="4"/>
  <c r="K178" i="4"/>
  <c r="J178" i="4"/>
  <c r="K177" i="4"/>
  <c r="J177" i="4"/>
  <c r="K176" i="4"/>
  <c r="J176" i="4"/>
  <c r="K175" i="4"/>
  <c r="J175" i="4"/>
  <c r="K174" i="4"/>
  <c r="J174" i="4"/>
  <c r="K173" i="4"/>
  <c r="J173" i="4"/>
  <c r="K172" i="4"/>
  <c r="J172" i="4"/>
  <c r="K171" i="4"/>
  <c r="J171" i="4"/>
  <c r="K170" i="4"/>
  <c r="J170" i="4"/>
  <c r="K169" i="4"/>
  <c r="J169" i="4"/>
  <c r="K168" i="4"/>
  <c r="J168" i="4"/>
  <c r="K167" i="4"/>
  <c r="J167" i="4"/>
  <c r="K166" i="4"/>
  <c r="J166" i="4"/>
  <c r="K165" i="4"/>
  <c r="J165" i="4"/>
  <c r="K164" i="4"/>
  <c r="J164" i="4"/>
  <c r="K163" i="4"/>
  <c r="J163" i="4"/>
  <c r="K162" i="4"/>
  <c r="J162" i="4"/>
  <c r="K161" i="4"/>
  <c r="J161" i="4"/>
  <c r="K160" i="4"/>
  <c r="J160" i="4"/>
  <c r="K159" i="4"/>
  <c r="J159" i="4"/>
  <c r="K158" i="4"/>
  <c r="J158" i="4"/>
  <c r="K157" i="4"/>
  <c r="J157" i="4"/>
  <c r="K156" i="4"/>
  <c r="J156" i="4"/>
  <c r="K155" i="4"/>
  <c r="J155" i="4"/>
  <c r="K154" i="4"/>
  <c r="J154" i="4"/>
  <c r="K153" i="4"/>
  <c r="J153" i="4"/>
  <c r="K152" i="4"/>
  <c r="J152" i="4"/>
  <c r="K151" i="4"/>
  <c r="J151" i="4"/>
  <c r="K150" i="4"/>
  <c r="J150" i="4"/>
  <c r="K149" i="4"/>
  <c r="J149" i="4"/>
  <c r="K148" i="4"/>
  <c r="J148" i="4"/>
  <c r="K147" i="4"/>
  <c r="J147" i="4"/>
  <c r="K146" i="4"/>
  <c r="J146" i="4"/>
  <c r="K145" i="4"/>
  <c r="J145" i="4"/>
  <c r="K144" i="4"/>
  <c r="J144" i="4"/>
  <c r="K143" i="4"/>
  <c r="J143" i="4"/>
  <c r="K142" i="4"/>
  <c r="J142" i="4"/>
  <c r="K141" i="4"/>
  <c r="J141" i="4"/>
  <c r="K140" i="4"/>
  <c r="J140" i="4"/>
  <c r="K139" i="4"/>
  <c r="J139" i="4"/>
  <c r="K138" i="4"/>
  <c r="J138" i="4"/>
  <c r="K137" i="4"/>
  <c r="J137" i="4"/>
  <c r="K136" i="4"/>
  <c r="J136" i="4"/>
  <c r="K135" i="4"/>
  <c r="J135" i="4"/>
  <c r="K134" i="4"/>
  <c r="J134" i="4"/>
  <c r="K133" i="4"/>
  <c r="J133" i="4"/>
  <c r="K132" i="4"/>
  <c r="J132" i="4"/>
  <c r="K131" i="4"/>
  <c r="J131" i="4"/>
  <c r="K130" i="4"/>
  <c r="J130" i="4"/>
  <c r="K129" i="4"/>
  <c r="J129" i="4"/>
  <c r="K128" i="4"/>
  <c r="J128" i="4"/>
  <c r="K127" i="4"/>
  <c r="J127" i="4"/>
  <c r="K126" i="4"/>
  <c r="J126" i="4"/>
  <c r="K125" i="4"/>
  <c r="J125" i="4"/>
  <c r="K124" i="4"/>
  <c r="J124" i="4"/>
  <c r="K123" i="4"/>
  <c r="J123" i="4"/>
  <c r="K122" i="4"/>
  <c r="J122" i="4"/>
  <c r="K121" i="4"/>
  <c r="J121" i="4"/>
  <c r="K120" i="4"/>
  <c r="J120" i="4"/>
  <c r="K119" i="4"/>
  <c r="J119" i="4"/>
  <c r="K118" i="4"/>
  <c r="J118" i="4"/>
  <c r="K117" i="4"/>
  <c r="J117" i="4"/>
  <c r="K116" i="4"/>
  <c r="J116" i="4"/>
  <c r="K115" i="4"/>
  <c r="J115" i="4"/>
  <c r="K114" i="4"/>
  <c r="J114" i="4"/>
  <c r="K113" i="4"/>
  <c r="J113" i="4"/>
  <c r="K112" i="4"/>
  <c r="J112" i="4"/>
  <c r="K111" i="4"/>
  <c r="J111" i="4"/>
  <c r="K110" i="4"/>
  <c r="J110" i="4"/>
  <c r="K109" i="4"/>
  <c r="J109" i="4"/>
  <c r="K108" i="4"/>
  <c r="J108" i="4"/>
  <c r="K107" i="4"/>
  <c r="J107" i="4"/>
  <c r="K106" i="4"/>
  <c r="J106" i="4"/>
  <c r="K105" i="4"/>
  <c r="J105" i="4"/>
  <c r="K104" i="4"/>
  <c r="J104" i="4"/>
  <c r="K103" i="4"/>
  <c r="J103" i="4"/>
  <c r="K102" i="4"/>
  <c r="J102" i="4"/>
  <c r="K101" i="4"/>
  <c r="J101" i="4"/>
  <c r="K100" i="4"/>
  <c r="J100" i="4"/>
  <c r="K99" i="4"/>
  <c r="J99" i="4"/>
  <c r="K98" i="4"/>
  <c r="J98" i="4"/>
  <c r="K97" i="4"/>
  <c r="J97" i="4"/>
  <c r="K96" i="4"/>
  <c r="J96" i="4"/>
  <c r="K95" i="4"/>
  <c r="J95" i="4"/>
  <c r="K94" i="4"/>
  <c r="J94" i="4"/>
  <c r="K93" i="4"/>
  <c r="J93" i="4"/>
  <c r="K92" i="4"/>
  <c r="J92" i="4"/>
  <c r="K91" i="4"/>
  <c r="J91" i="4"/>
  <c r="K90" i="4"/>
  <c r="J90" i="4"/>
  <c r="K89" i="4"/>
  <c r="J89" i="4"/>
  <c r="K88" i="4"/>
  <c r="J88" i="4"/>
  <c r="K87" i="4"/>
  <c r="J87" i="4"/>
  <c r="K86" i="4"/>
  <c r="J86" i="4"/>
  <c r="K85" i="4"/>
  <c r="J85" i="4"/>
  <c r="K84" i="4"/>
  <c r="J84" i="4"/>
  <c r="K83" i="4"/>
  <c r="J83" i="4"/>
  <c r="K82" i="4"/>
  <c r="J82" i="4"/>
  <c r="K81" i="4"/>
  <c r="J81" i="4"/>
  <c r="K80" i="4"/>
  <c r="J80" i="4"/>
  <c r="K79" i="4"/>
  <c r="J79" i="4"/>
  <c r="K78" i="4"/>
  <c r="J78" i="4"/>
  <c r="K77" i="4"/>
  <c r="J77" i="4"/>
  <c r="K76" i="4"/>
  <c r="J76" i="4"/>
  <c r="K75" i="4"/>
  <c r="J75" i="4"/>
  <c r="K74" i="4"/>
  <c r="J74" i="4"/>
  <c r="K73" i="4"/>
  <c r="J73" i="4"/>
  <c r="K72" i="4"/>
  <c r="J72" i="4"/>
  <c r="K71" i="4"/>
  <c r="J71" i="4"/>
  <c r="K70" i="4"/>
  <c r="J70" i="4"/>
  <c r="K69" i="4"/>
  <c r="J69" i="4"/>
  <c r="K68" i="4"/>
  <c r="J68" i="4"/>
  <c r="K67" i="4"/>
  <c r="J67" i="4"/>
  <c r="K66" i="4"/>
  <c r="J66" i="4" s="1"/>
  <c r="K65" i="4"/>
  <c r="J65" i="4" s="1"/>
  <c r="K64" i="4"/>
  <c r="J64" i="4" s="1"/>
  <c r="K63" i="4"/>
  <c r="J63" i="4" s="1"/>
  <c r="K62" i="4"/>
  <c r="J62" i="4" s="1"/>
  <c r="K61" i="4"/>
  <c r="J61" i="4"/>
  <c r="K60" i="4"/>
  <c r="J60" i="4" s="1"/>
  <c r="K59" i="4"/>
  <c r="J59" i="4"/>
  <c r="K58" i="4"/>
  <c r="J58" i="4" s="1"/>
  <c r="K57" i="4"/>
  <c r="J57" i="4" s="1"/>
  <c r="K56" i="4"/>
  <c r="J56" i="4" s="1"/>
  <c r="K55" i="4"/>
  <c r="J55" i="4" s="1"/>
  <c r="K54" i="4"/>
  <c r="J54" i="4" s="1"/>
  <c r="K53" i="4"/>
  <c r="J53" i="4"/>
  <c r="K52" i="4"/>
  <c r="J52" i="4" s="1"/>
  <c r="K51" i="4"/>
  <c r="J51" i="4"/>
  <c r="K50" i="4"/>
  <c r="J50" i="4" s="1"/>
  <c r="K49" i="4"/>
  <c r="J49" i="4" s="1"/>
  <c r="K48" i="4"/>
  <c r="J48" i="4" s="1"/>
  <c r="K47" i="4"/>
  <c r="J47" i="4" s="1"/>
  <c r="K46" i="4"/>
  <c r="J46" i="4" s="1"/>
  <c r="K45" i="4"/>
  <c r="J45" i="4"/>
  <c r="K44" i="4"/>
  <c r="J44" i="4" s="1"/>
  <c r="K43" i="4"/>
  <c r="J43" i="4"/>
  <c r="K42" i="4"/>
  <c r="J42" i="4" s="1"/>
  <c r="K41" i="4"/>
  <c r="J41" i="4" s="1"/>
  <c r="K40" i="4"/>
  <c r="J40" i="4" s="1"/>
  <c r="K39" i="4"/>
  <c r="J39" i="4" s="1"/>
  <c r="K38" i="4"/>
  <c r="J38" i="4" s="1"/>
  <c r="K37" i="4"/>
  <c r="J37" i="4"/>
  <c r="K36" i="4"/>
  <c r="J36" i="4" s="1"/>
  <c r="K35" i="4"/>
  <c r="J35" i="4"/>
  <c r="K34" i="4"/>
  <c r="J34" i="4" s="1"/>
  <c r="K33" i="4"/>
  <c r="J33" i="4" s="1"/>
  <c r="K32" i="4"/>
  <c r="J32" i="4" s="1"/>
  <c r="K31" i="4"/>
  <c r="J31" i="4" s="1"/>
  <c r="K30" i="4"/>
  <c r="J30" i="4" s="1"/>
  <c r="K29" i="4"/>
  <c r="J29" i="4"/>
  <c r="K28" i="4"/>
  <c r="J28" i="4" s="1"/>
  <c r="K27" i="4"/>
  <c r="J27" i="4"/>
  <c r="K26" i="4"/>
  <c r="J26" i="4" s="1"/>
  <c r="K25" i="4"/>
  <c r="J25" i="4" s="1"/>
  <c r="K24" i="4"/>
  <c r="J24" i="4" s="1"/>
  <c r="K23" i="4"/>
  <c r="J23" i="4" s="1"/>
  <c r="K22" i="4"/>
  <c r="J22" i="4" s="1"/>
  <c r="K21" i="4"/>
  <c r="J21" i="4"/>
  <c r="K20" i="4"/>
  <c r="J20" i="4" s="1"/>
  <c r="K19" i="4"/>
  <c r="J19" i="4"/>
  <c r="K18" i="4"/>
  <c r="J18" i="4" s="1"/>
  <c r="K17" i="4"/>
  <c r="J17" i="4" s="1"/>
  <c r="K16" i="4"/>
  <c r="J16" i="4" s="1"/>
  <c r="K15" i="4"/>
  <c r="J15" i="4" s="1"/>
  <c r="K14" i="4"/>
  <c r="J14" i="4" s="1"/>
  <c r="K13" i="4"/>
  <c r="J13" i="4"/>
  <c r="K12" i="4"/>
  <c r="J12" i="4" s="1"/>
  <c r="K11" i="4"/>
  <c r="J11" i="4"/>
  <c r="K10" i="4"/>
  <c r="J10" i="4" s="1"/>
  <c r="K9" i="4"/>
  <c r="J9" i="4" s="1"/>
  <c r="K8" i="4"/>
  <c r="J8" i="4" s="1"/>
  <c r="K7" i="4"/>
  <c r="J7" i="4" s="1"/>
  <c r="K6" i="4"/>
  <c r="J6" i="4" s="1"/>
  <c r="K5" i="4"/>
  <c r="J5" i="4"/>
  <c r="N204" i="3"/>
  <c r="M204" i="3"/>
  <c r="N203" i="3"/>
  <c r="M203" i="3"/>
  <c r="N202" i="3"/>
  <c r="M202" i="3"/>
  <c r="N201" i="3"/>
  <c r="M201" i="3"/>
  <c r="N200" i="3"/>
  <c r="M200" i="3"/>
  <c r="N199" i="3"/>
  <c r="M199" i="3"/>
  <c r="N198" i="3"/>
  <c r="M198" i="3"/>
  <c r="N197" i="3"/>
  <c r="M197" i="3"/>
  <c r="N196" i="3"/>
  <c r="M196" i="3"/>
  <c r="N195" i="3"/>
  <c r="M195" i="3"/>
  <c r="N194" i="3"/>
  <c r="M194" i="3"/>
  <c r="N193" i="3"/>
  <c r="M193" i="3"/>
  <c r="N192" i="3"/>
  <c r="M192" i="3"/>
  <c r="N191" i="3"/>
  <c r="M191" i="3"/>
  <c r="N190" i="3"/>
  <c r="M190" i="3"/>
  <c r="N189" i="3"/>
  <c r="M189" i="3"/>
  <c r="N188" i="3"/>
  <c r="M188" i="3"/>
  <c r="N187" i="3"/>
  <c r="M187" i="3"/>
  <c r="N186" i="3"/>
  <c r="M186" i="3"/>
  <c r="N185" i="3"/>
  <c r="M185" i="3"/>
  <c r="N184" i="3"/>
  <c r="M184" i="3"/>
  <c r="N183" i="3"/>
  <c r="M183" i="3"/>
  <c r="N182" i="3"/>
  <c r="M182" i="3"/>
  <c r="N181" i="3"/>
  <c r="M181" i="3"/>
  <c r="N180" i="3"/>
  <c r="M180" i="3"/>
  <c r="N179" i="3"/>
  <c r="M179" i="3"/>
  <c r="N178" i="3"/>
  <c r="M178" i="3"/>
  <c r="N177" i="3"/>
  <c r="M177" i="3"/>
  <c r="N176" i="3"/>
  <c r="M176" i="3"/>
  <c r="N175" i="3"/>
  <c r="M175" i="3"/>
  <c r="N174" i="3"/>
  <c r="M174" i="3"/>
  <c r="N173" i="3"/>
  <c r="M173" i="3"/>
  <c r="N172" i="3"/>
  <c r="M172" i="3"/>
  <c r="N171" i="3"/>
  <c r="M171" i="3"/>
  <c r="N170" i="3"/>
  <c r="M170" i="3"/>
  <c r="N169" i="3"/>
  <c r="M169" i="3"/>
  <c r="N168" i="3"/>
  <c r="M168" i="3"/>
  <c r="N167" i="3"/>
  <c r="M167" i="3"/>
  <c r="N166" i="3"/>
  <c r="M166" i="3"/>
  <c r="N165" i="3"/>
  <c r="M165" i="3"/>
  <c r="N164" i="3"/>
  <c r="M164" i="3"/>
  <c r="N163" i="3"/>
  <c r="M163" i="3"/>
  <c r="N162" i="3"/>
  <c r="M162" i="3"/>
  <c r="N161" i="3"/>
  <c r="M161" i="3"/>
  <c r="N160" i="3"/>
  <c r="M160" i="3"/>
  <c r="N159" i="3"/>
  <c r="M159" i="3"/>
  <c r="N158" i="3"/>
  <c r="M158" i="3"/>
  <c r="N157" i="3"/>
  <c r="M157" i="3"/>
  <c r="N156" i="3"/>
  <c r="M156" i="3"/>
  <c r="N155" i="3"/>
  <c r="M155" i="3"/>
  <c r="N154" i="3"/>
  <c r="M154" i="3"/>
  <c r="N153" i="3"/>
  <c r="M153" i="3"/>
  <c r="N152" i="3"/>
  <c r="M152" i="3"/>
  <c r="N151" i="3"/>
  <c r="M151" i="3"/>
  <c r="N150" i="3"/>
  <c r="M150" i="3"/>
  <c r="N149" i="3"/>
  <c r="M149" i="3"/>
  <c r="N148" i="3"/>
  <c r="M148" i="3"/>
  <c r="N147" i="3"/>
  <c r="M147" i="3"/>
  <c r="N146" i="3"/>
  <c r="M146" i="3"/>
  <c r="N145" i="3"/>
  <c r="M145" i="3"/>
  <c r="N144" i="3"/>
  <c r="M144" i="3"/>
  <c r="N143" i="3"/>
  <c r="M143" i="3"/>
  <c r="N142" i="3"/>
  <c r="M142" i="3"/>
  <c r="N141" i="3"/>
  <c r="M141" i="3"/>
  <c r="N140" i="3"/>
  <c r="M140" i="3"/>
  <c r="N139" i="3"/>
  <c r="M139" i="3"/>
  <c r="N138" i="3"/>
  <c r="M138" i="3"/>
  <c r="N137" i="3"/>
  <c r="M137" i="3"/>
  <c r="N136" i="3"/>
  <c r="M136" i="3"/>
  <c r="N135" i="3"/>
  <c r="M135" i="3"/>
  <c r="N134" i="3"/>
  <c r="M134" i="3"/>
  <c r="N133" i="3"/>
  <c r="M133" i="3"/>
  <c r="N132" i="3"/>
  <c r="M132" i="3"/>
  <c r="N131" i="3"/>
  <c r="M131" i="3"/>
  <c r="N130" i="3"/>
  <c r="M130" i="3"/>
  <c r="N129" i="3"/>
  <c r="M129" i="3"/>
  <c r="N128" i="3"/>
  <c r="M128" i="3"/>
  <c r="N127" i="3"/>
  <c r="M127" i="3"/>
  <c r="N126" i="3"/>
  <c r="M126" i="3"/>
  <c r="N125" i="3"/>
  <c r="M125" i="3"/>
  <c r="N124" i="3"/>
  <c r="M124" i="3"/>
  <c r="N123" i="3"/>
  <c r="M123" i="3"/>
  <c r="N122" i="3"/>
  <c r="M122" i="3"/>
  <c r="N121" i="3"/>
  <c r="M121" i="3"/>
  <c r="N120" i="3"/>
  <c r="M120" i="3"/>
  <c r="N119" i="3"/>
  <c r="M119" i="3"/>
  <c r="N118" i="3"/>
  <c r="M118" i="3"/>
  <c r="N117" i="3"/>
  <c r="M117" i="3"/>
  <c r="N116" i="3"/>
  <c r="M116" i="3"/>
  <c r="N115" i="3"/>
  <c r="M115" i="3"/>
  <c r="N114" i="3"/>
  <c r="M114" i="3"/>
  <c r="N113" i="3"/>
  <c r="M113" i="3"/>
  <c r="N112" i="3"/>
  <c r="M112" i="3"/>
  <c r="N111" i="3"/>
  <c r="M111" i="3"/>
  <c r="N110" i="3"/>
  <c r="M110" i="3"/>
  <c r="N109" i="3"/>
  <c r="M109" i="3"/>
  <c r="N108" i="3"/>
  <c r="M108" i="3"/>
  <c r="N107" i="3"/>
  <c r="M107" i="3"/>
  <c r="N106" i="3"/>
  <c r="M106" i="3"/>
  <c r="N105" i="3"/>
  <c r="M105" i="3"/>
  <c r="N104" i="3"/>
  <c r="M104" i="3"/>
  <c r="N103" i="3"/>
  <c r="M103" i="3"/>
  <c r="N102" i="3"/>
  <c r="M102" i="3"/>
  <c r="N101" i="3"/>
  <c r="M101" i="3"/>
  <c r="N100" i="3"/>
  <c r="M100" i="3"/>
  <c r="N99" i="3"/>
  <c r="M99" i="3"/>
  <c r="N98" i="3"/>
  <c r="M98" i="3"/>
  <c r="N97" i="3"/>
  <c r="M97" i="3"/>
  <c r="N96" i="3"/>
  <c r="M96" i="3"/>
  <c r="N95" i="3"/>
  <c r="M95" i="3"/>
  <c r="N94" i="3"/>
  <c r="M94" i="3"/>
  <c r="N93" i="3"/>
  <c r="M93" i="3"/>
  <c r="N92" i="3"/>
  <c r="M92" i="3"/>
  <c r="N91" i="3"/>
  <c r="M91" i="3"/>
  <c r="N90" i="3"/>
  <c r="M90" i="3"/>
  <c r="N89" i="3"/>
  <c r="M89" i="3"/>
  <c r="N88" i="3"/>
  <c r="M88" i="3"/>
  <c r="N87" i="3"/>
  <c r="M87" i="3"/>
  <c r="N86" i="3"/>
  <c r="M86" i="3"/>
  <c r="N85" i="3"/>
  <c r="M85" i="3"/>
  <c r="N84" i="3"/>
  <c r="M84" i="3"/>
  <c r="N83" i="3"/>
  <c r="M83" i="3"/>
  <c r="N82" i="3"/>
  <c r="M82" i="3"/>
  <c r="N81" i="3"/>
  <c r="M81" i="3"/>
  <c r="N80" i="3"/>
  <c r="M80" i="3"/>
  <c r="N79" i="3"/>
  <c r="M79" i="3"/>
  <c r="N78" i="3"/>
  <c r="M78" i="3"/>
  <c r="N77" i="3"/>
  <c r="M77" i="3"/>
  <c r="N76" i="3"/>
  <c r="M76" i="3"/>
  <c r="N75" i="3"/>
  <c r="M75" i="3"/>
  <c r="N74" i="3"/>
  <c r="M74" i="3"/>
  <c r="N73" i="3"/>
  <c r="M73" i="3"/>
  <c r="N72" i="3"/>
  <c r="M72" i="3"/>
  <c r="N71" i="3"/>
  <c r="M71" i="3"/>
  <c r="N70" i="3"/>
  <c r="M70" i="3"/>
  <c r="N69" i="3"/>
  <c r="M69" i="3"/>
  <c r="N68" i="3"/>
  <c r="M68" i="3"/>
  <c r="N67" i="3"/>
  <c r="M67" i="3"/>
  <c r="N66" i="3"/>
  <c r="M66" i="3"/>
  <c r="N65" i="3"/>
  <c r="M65" i="3"/>
  <c r="N64" i="3"/>
  <c r="M64" i="3"/>
  <c r="N63" i="3"/>
  <c r="M63" i="3"/>
  <c r="N62" i="3"/>
  <c r="M62" i="3"/>
  <c r="N61" i="3"/>
  <c r="M61" i="3"/>
  <c r="N60" i="3"/>
  <c r="M60" i="3"/>
  <c r="N59" i="3"/>
  <c r="M59" i="3"/>
  <c r="N58" i="3"/>
  <c r="M58" i="3"/>
  <c r="N57" i="3"/>
  <c r="M57" i="3"/>
  <c r="N56" i="3"/>
  <c r="M56" i="3"/>
  <c r="N55" i="3"/>
  <c r="M55" i="3"/>
  <c r="N54" i="3"/>
  <c r="M54" i="3"/>
  <c r="N53" i="3"/>
  <c r="M53" i="3"/>
  <c r="N52" i="3"/>
  <c r="M52" i="3"/>
  <c r="N51" i="3"/>
  <c r="M51" i="3"/>
  <c r="N50" i="3"/>
  <c r="M50" i="3"/>
  <c r="N49" i="3"/>
  <c r="M49" i="3"/>
  <c r="N48" i="3"/>
  <c r="M48" i="3"/>
  <c r="N47" i="3"/>
  <c r="M47" i="3"/>
  <c r="N46" i="3"/>
  <c r="M46" i="3"/>
  <c r="N45" i="3"/>
  <c r="M45" i="3"/>
  <c r="N44" i="3"/>
  <c r="M44" i="3"/>
  <c r="N43" i="3"/>
  <c r="M43" i="3"/>
  <c r="N42" i="3"/>
  <c r="M42" i="3"/>
  <c r="N41" i="3"/>
  <c r="M41" i="3"/>
  <c r="N40" i="3"/>
  <c r="M40" i="3"/>
  <c r="N39" i="3"/>
  <c r="M39" i="3" s="1"/>
  <c r="N38" i="3"/>
  <c r="M38" i="3" s="1"/>
  <c r="N37" i="3"/>
  <c r="M37" i="3"/>
  <c r="N36" i="3"/>
  <c r="M36" i="3" s="1"/>
  <c r="N35" i="3"/>
  <c r="M35" i="3"/>
  <c r="N34" i="3"/>
  <c r="M34" i="3" s="1"/>
  <c r="N33" i="3"/>
  <c r="M33" i="3" s="1"/>
  <c r="N32" i="3"/>
  <c r="M32" i="3" s="1"/>
  <c r="N31" i="3"/>
  <c r="M31" i="3" s="1"/>
  <c r="N30" i="3"/>
  <c r="M30" i="3" s="1"/>
  <c r="N29" i="3"/>
  <c r="M29" i="3"/>
  <c r="N28" i="3"/>
  <c r="M28" i="3" s="1"/>
  <c r="N27" i="3"/>
  <c r="M27" i="3" s="1"/>
  <c r="N26" i="3"/>
  <c r="M26" i="3" s="1"/>
  <c r="N25" i="3"/>
  <c r="M25" i="3" s="1"/>
  <c r="N24" i="3"/>
  <c r="M24" i="3" s="1"/>
  <c r="N23" i="3"/>
  <c r="M23" i="3" s="1"/>
  <c r="N22" i="3"/>
  <c r="M22" i="3" s="1"/>
  <c r="N21" i="3"/>
  <c r="M21" i="3"/>
  <c r="N20" i="3"/>
  <c r="M20" i="3" s="1"/>
  <c r="N19" i="3"/>
  <c r="M19" i="3"/>
  <c r="N18" i="3"/>
  <c r="M18" i="3" s="1"/>
  <c r="N17" i="3"/>
  <c r="M17" i="3" s="1"/>
  <c r="N16" i="3"/>
  <c r="M16" i="3" s="1"/>
  <c r="N15" i="3"/>
  <c r="M15" i="3" s="1"/>
  <c r="N14" i="3"/>
  <c r="M14" i="3" s="1"/>
  <c r="N13" i="3"/>
  <c r="M13" i="3"/>
  <c r="N12" i="3"/>
  <c r="M12" i="3" s="1"/>
  <c r="N11" i="3"/>
  <c r="M11" i="3"/>
  <c r="N10" i="3"/>
  <c r="M10" i="3" s="1"/>
  <c r="N9" i="3"/>
  <c r="M9" i="3" s="1"/>
  <c r="N8" i="3"/>
  <c r="M8" i="3" s="1"/>
  <c r="N7" i="3"/>
  <c r="M7" i="3" s="1"/>
  <c r="N6" i="3"/>
  <c r="M6" i="3" s="1"/>
  <c r="N5" i="3"/>
  <c r="M5" i="3"/>
  <c r="B21" i="2"/>
  <c r="C21" i="2" s="1"/>
  <c r="B20" i="2"/>
  <c r="C20" i="2" s="1"/>
  <c r="F24" i="6" l="1"/>
  <c r="F48" i="6"/>
  <c r="G6" i="6"/>
  <c r="B11" i="6" s="1"/>
  <c r="C11" i="6" s="1"/>
  <c r="F35" i="6"/>
  <c r="B22" i="2"/>
  <c r="H6" i="6"/>
  <c r="B12" i="6" s="1"/>
  <c r="C12" i="6" s="1"/>
  <c r="D19" i="6"/>
  <c r="B22" i="6"/>
  <c r="D27" i="6"/>
  <c r="F27" i="6" s="1"/>
  <c r="B30" i="6"/>
  <c r="D35" i="6"/>
  <c r="E35" i="6" s="1"/>
  <c r="B38" i="6"/>
  <c r="D43" i="6"/>
  <c r="F43" i="6" s="1"/>
  <c r="B46" i="6"/>
  <c r="E46" i="6" s="1"/>
  <c r="D51" i="6"/>
  <c r="B54" i="6"/>
  <c r="D59" i="6"/>
  <c r="B62" i="6"/>
  <c r="D67" i="6"/>
  <c r="B70" i="6"/>
  <c r="D75" i="6"/>
  <c r="B78" i="6"/>
  <c r="D83" i="6"/>
  <c r="B86" i="6"/>
  <c r="D91" i="6"/>
  <c r="B94" i="6"/>
  <c r="D99" i="6"/>
  <c r="B102" i="6"/>
  <c r="D107" i="6"/>
  <c r="B110" i="6"/>
  <c r="D115" i="6"/>
  <c r="B118" i="6"/>
  <c r="D123" i="6"/>
  <c r="B126" i="6"/>
  <c r="D131" i="6"/>
  <c r="B134" i="6"/>
  <c r="D139" i="6"/>
  <c r="B142" i="6"/>
  <c r="D147" i="6"/>
  <c r="B150" i="6"/>
  <c r="D155" i="6"/>
  <c r="B158" i="6"/>
  <c r="D163" i="6"/>
  <c r="B166" i="6"/>
  <c r="D171" i="6"/>
  <c r="B174" i="6"/>
  <c r="D179" i="6"/>
  <c r="B182" i="6"/>
  <c r="D187" i="6"/>
  <c r="B190" i="6"/>
  <c r="D195" i="6"/>
  <c r="B198" i="6"/>
  <c r="D203" i="6"/>
  <c r="B206" i="6"/>
  <c r="D211" i="6"/>
  <c r="B214" i="6"/>
  <c r="E19" i="6"/>
  <c r="C22" i="6"/>
  <c r="F22" i="6" s="1"/>
  <c r="E27" i="6"/>
  <c r="C30" i="6"/>
  <c r="C38" i="6"/>
  <c r="F38" i="6" s="1"/>
  <c r="E43" i="6"/>
  <c r="C46" i="6"/>
  <c r="F46" i="6" s="1"/>
  <c r="E51" i="6"/>
  <c r="C54" i="6"/>
  <c r="E59" i="6"/>
  <c r="C62" i="6"/>
  <c r="E67" i="6"/>
  <c r="C70" i="6"/>
  <c r="E75" i="6"/>
  <c r="C78" i="6"/>
  <c r="E83" i="6"/>
  <c r="C86" i="6"/>
  <c r="E91" i="6"/>
  <c r="C94" i="6"/>
  <c r="E99" i="6"/>
  <c r="C102" i="6"/>
  <c r="E107" i="6"/>
  <c r="C110" i="6"/>
  <c r="E115" i="6"/>
  <c r="C118" i="6"/>
  <c r="E123" i="6"/>
  <c r="C126" i="6"/>
  <c r="E131" i="6"/>
  <c r="C134" i="6"/>
  <c r="E139" i="6"/>
  <c r="C142" i="6"/>
  <c r="E147" i="6"/>
  <c r="C150" i="6"/>
  <c r="E155" i="6"/>
  <c r="C158" i="6"/>
  <c r="E163" i="6"/>
  <c r="C166" i="6"/>
  <c r="E171" i="6"/>
  <c r="C174" i="6"/>
  <c r="E179" i="6"/>
  <c r="C182" i="6"/>
  <c r="E187" i="6"/>
  <c r="C190" i="6"/>
  <c r="E195" i="6"/>
  <c r="C198" i="6"/>
  <c r="E203" i="6"/>
  <c r="C206" i="6"/>
  <c r="E211" i="6"/>
  <c r="C214" i="6"/>
  <c r="D22" i="6"/>
  <c r="E22" i="6" s="1"/>
  <c r="B25" i="6"/>
  <c r="D30" i="6"/>
  <c r="B33" i="6"/>
  <c r="E33" i="6" s="1"/>
  <c r="D38" i="6"/>
  <c r="B41" i="6"/>
  <c r="D46" i="6"/>
  <c r="B49" i="6"/>
  <c r="D54" i="6"/>
  <c r="B57" i="6"/>
  <c r="D62" i="6"/>
  <c r="B65" i="6"/>
  <c r="D70" i="6"/>
  <c r="B73" i="6"/>
  <c r="D78" i="6"/>
  <c r="B81" i="6"/>
  <c r="D86" i="6"/>
  <c r="B89" i="6"/>
  <c r="D94" i="6"/>
  <c r="B97" i="6"/>
  <c r="D102" i="6"/>
  <c r="B105" i="6"/>
  <c r="D110" i="6"/>
  <c r="B113" i="6"/>
  <c r="D118" i="6"/>
  <c r="B121" i="6"/>
  <c r="D126" i="6"/>
  <c r="B129" i="6"/>
  <c r="D134" i="6"/>
  <c r="B137" i="6"/>
  <c r="D142" i="6"/>
  <c r="B145" i="6"/>
  <c r="D150" i="6"/>
  <c r="B153" i="6"/>
  <c r="D158" i="6"/>
  <c r="B161" i="6"/>
  <c r="D166" i="6"/>
  <c r="B169" i="6"/>
  <c r="D174" i="6"/>
  <c r="B177" i="6"/>
  <c r="D182" i="6"/>
  <c r="B185" i="6"/>
  <c r="D190" i="6"/>
  <c r="B193" i="6"/>
  <c r="D198" i="6"/>
  <c r="B201" i="6"/>
  <c r="D206" i="6"/>
  <c r="B209" i="6"/>
  <c r="D214" i="6"/>
  <c r="B217" i="6"/>
  <c r="C25" i="6"/>
  <c r="F25" i="6" s="1"/>
  <c r="E30" i="6"/>
  <c r="C33" i="6"/>
  <c r="F33" i="6" s="1"/>
  <c r="C41" i="6"/>
  <c r="C49" i="6"/>
  <c r="F49" i="6" s="1"/>
  <c r="E54" i="6"/>
  <c r="C57" i="6"/>
  <c r="E62" i="6"/>
  <c r="C65" i="6"/>
  <c r="E70" i="6"/>
  <c r="C73" i="6"/>
  <c r="E78" i="6"/>
  <c r="C81" i="6"/>
  <c r="E86" i="6"/>
  <c r="C89" i="6"/>
  <c r="E94" i="6"/>
  <c r="C97" i="6"/>
  <c r="E102" i="6"/>
  <c r="C105" i="6"/>
  <c r="E110" i="6"/>
  <c r="C113" i="6"/>
  <c r="E118" i="6"/>
  <c r="C121" i="6"/>
  <c r="E126" i="6"/>
  <c r="C129" i="6"/>
  <c r="E134" i="6"/>
  <c r="C137" i="6"/>
  <c r="E142" i="6"/>
  <c r="C145" i="6"/>
  <c r="E150" i="6"/>
  <c r="C153" i="6"/>
  <c r="E158" i="6"/>
  <c r="C161" i="6"/>
  <c r="E166" i="6"/>
  <c r="C169" i="6"/>
  <c r="E174" i="6"/>
  <c r="C177" i="6"/>
  <c r="E182" i="6"/>
  <c r="C185" i="6"/>
  <c r="E190" i="6"/>
  <c r="C193" i="6"/>
  <c r="E198" i="6"/>
  <c r="C201" i="6"/>
  <c r="E206" i="6"/>
  <c r="C209" i="6"/>
  <c r="E214" i="6"/>
  <c r="C217" i="6"/>
  <c r="D25" i="6"/>
  <c r="D33" i="6"/>
  <c r="D41" i="6"/>
  <c r="D49" i="6"/>
  <c r="D57" i="6"/>
  <c r="D65" i="6"/>
  <c r="D73" i="6"/>
  <c r="D81" i="6"/>
  <c r="D89" i="6"/>
  <c r="D97" i="6"/>
  <c r="D105" i="6"/>
  <c r="D113" i="6"/>
  <c r="D121" i="6"/>
  <c r="D129" i="6"/>
  <c r="D137" i="6"/>
  <c r="D145" i="6"/>
  <c r="D153" i="6"/>
  <c r="D161" i="6"/>
  <c r="D169" i="6"/>
  <c r="D177" i="6"/>
  <c r="D185" i="6"/>
  <c r="D193" i="6"/>
  <c r="D201" i="6"/>
  <c r="D209" i="6"/>
  <c r="D217" i="6"/>
  <c r="C20" i="6"/>
  <c r="C28" i="6"/>
  <c r="C36" i="6"/>
  <c r="E41" i="6"/>
  <c r="C44" i="6"/>
  <c r="E44" i="6" s="1"/>
  <c r="E49" i="6"/>
  <c r="C52" i="6"/>
  <c r="E57" i="6"/>
  <c r="C60" i="6"/>
  <c r="E65" i="6"/>
  <c r="C68" i="6"/>
  <c r="E73" i="6"/>
  <c r="C76" i="6"/>
  <c r="E81" i="6"/>
  <c r="C84" i="6"/>
  <c r="E89" i="6"/>
  <c r="C92" i="6"/>
  <c r="E97" i="6"/>
  <c r="C100" i="6"/>
  <c r="E105" i="6"/>
  <c r="C108" i="6"/>
  <c r="E113" i="6"/>
  <c r="C116" i="6"/>
  <c r="E121" i="6"/>
  <c r="C124" i="6"/>
  <c r="E129" i="6"/>
  <c r="C132" i="6"/>
  <c r="E137" i="6"/>
  <c r="C140" i="6"/>
  <c r="E145" i="6"/>
  <c r="C148" i="6"/>
  <c r="E153" i="6"/>
  <c r="C156" i="6"/>
  <c r="E161" i="6"/>
  <c r="C164" i="6"/>
  <c r="E169" i="6"/>
  <c r="C172" i="6"/>
  <c r="E177" i="6"/>
  <c r="C180" i="6"/>
  <c r="E185" i="6"/>
  <c r="C188" i="6"/>
  <c r="E193" i="6"/>
  <c r="C196" i="6"/>
  <c r="E201" i="6"/>
  <c r="C204" i="6"/>
  <c r="E209" i="6"/>
  <c r="C212" i="6"/>
  <c r="E217" i="6"/>
  <c r="D20" i="6"/>
  <c r="D28" i="6"/>
  <c r="F28" i="6" s="1"/>
  <c r="D36" i="6"/>
  <c r="D44" i="6"/>
  <c r="D52" i="6"/>
  <c r="D60" i="6"/>
  <c r="D68" i="6"/>
  <c r="D76" i="6"/>
  <c r="D84" i="6"/>
  <c r="D92" i="6"/>
  <c r="D100" i="6"/>
  <c r="D108" i="6"/>
  <c r="D116" i="6"/>
  <c r="D124" i="6"/>
  <c r="D132" i="6"/>
  <c r="D140" i="6"/>
  <c r="D148" i="6"/>
  <c r="D156" i="6"/>
  <c r="D164" i="6"/>
  <c r="D172" i="6"/>
  <c r="D180" i="6"/>
  <c r="D188" i="6"/>
  <c r="D196" i="6"/>
  <c r="D204" i="6"/>
  <c r="D212" i="6"/>
  <c r="E108" i="6"/>
  <c r="E116" i="6"/>
  <c r="E124" i="6"/>
  <c r="E132" i="6"/>
  <c r="E140" i="6"/>
  <c r="E148" i="6"/>
  <c r="E156" i="6"/>
  <c r="E164" i="6"/>
  <c r="E172" i="6"/>
  <c r="E180" i="6"/>
  <c r="E188" i="6"/>
  <c r="E196" i="6"/>
  <c r="E204" i="6"/>
  <c r="E212" i="6"/>
  <c r="D23" i="6"/>
  <c r="E23" i="6" s="1"/>
  <c r="B26" i="6"/>
  <c r="E26" i="6" s="1"/>
  <c r="D31" i="6"/>
  <c r="B34" i="6"/>
  <c r="D39" i="6"/>
  <c r="B42" i="6"/>
  <c r="D47" i="6"/>
  <c r="F47" i="6" s="1"/>
  <c r="B50" i="6"/>
  <c r="D55" i="6"/>
  <c r="B58" i="6"/>
  <c r="D63" i="6"/>
  <c r="B66" i="6"/>
  <c r="D71" i="6"/>
  <c r="B74" i="6"/>
  <c r="D79" i="6"/>
  <c r="B82" i="6"/>
  <c r="D87" i="6"/>
  <c r="B90" i="6"/>
  <c r="D95" i="6"/>
  <c r="B98" i="6"/>
  <c r="D103" i="6"/>
  <c r="B106" i="6"/>
  <c r="D111" i="6"/>
  <c r="B114" i="6"/>
  <c r="D119" i="6"/>
  <c r="B122" i="6"/>
  <c r="D127" i="6"/>
  <c r="B130" i="6"/>
  <c r="D135" i="6"/>
  <c r="B138" i="6"/>
  <c r="D143" i="6"/>
  <c r="B146" i="6"/>
  <c r="D151" i="6"/>
  <c r="B154" i="6"/>
  <c r="D159" i="6"/>
  <c r="B162" i="6"/>
  <c r="D167" i="6"/>
  <c r="B170" i="6"/>
  <c r="D175" i="6"/>
  <c r="B178" i="6"/>
  <c r="D183" i="6"/>
  <c r="B186" i="6"/>
  <c r="D191" i="6"/>
  <c r="B194" i="6"/>
  <c r="D199" i="6"/>
  <c r="B202" i="6"/>
  <c r="D207" i="6"/>
  <c r="B210" i="6"/>
  <c r="D215" i="6"/>
  <c r="B218" i="6"/>
  <c r="C26" i="6"/>
  <c r="F26" i="6" s="1"/>
  <c r="E31" i="6"/>
  <c r="C34" i="6"/>
  <c r="F34" i="6" s="1"/>
  <c r="E39" i="6"/>
  <c r="C42" i="6"/>
  <c r="E47" i="6"/>
  <c r="C50" i="6"/>
  <c r="F50" i="6" s="1"/>
  <c r="E55" i="6"/>
  <c r="C58" i="6"/>
  <c r="E63" i="6"/>
  <c r="C66" i="6"/>
  <c r="E71" i="6"/>
  <c r="C74" i="6"/>
  <c r="E79" i="6"/>
  <c r="C82" i="6"/>
  <c r="E87" i="6"/>
  <c r="C90" i="6"/>
  <c r="E95" i="6"/>
  <c r="C98" i="6"/>
  <c r="E103" i="6"/>
  <c r="C106" i="6"/>
  <c r="E111" i="6"/>
  <c r="C114" i="6"/>
  <c r="E119" i="6"/>
  <c r="C122" i="6"/>
  <c r="E127" i="6"/>
  <c r="C130" i="6"/>
  <c r="E135" i="6"/>
  <c r="C138" i="6"/>
  <c r="E143" i="6"/>
  <c r="C146" i="6"/>
  <c r="E151" i="6"/>
  <c r="C154" i="6"/>
  <c r="E159" i="6"/>
  <c r="C162" i="6"/>
  <c r="E167" i="6"/>
  <c r="C170" i="6"/>
  <c r="E175" i="6"/>
  <c r="C178" i="6"/>
  <c r="E183" i="6"/>
  <c r="C186" i="6"/>
  <c r="E191" i="6"/>
  <c r="C194" i="6"/>
  <c r="E199" i="6"/>
  <c r="C202" i="6"/>
  <c r="E207" i="6"/>
  <c r="C210" i="6"/>
  <c r="E215" i="6"/>
  <c r="C218" i="6"/>
  <c r="B21" i="6"/>
  <c r="D26" i="6"/>
  <c r="B29" i="6"/>
  <c r="D34" i="6"/>
  <c r="B37" i="6"/>
  <c r="D42" i="6"/>
  <c r="B45" i="6"/>
  <c r="D50" i="6"/>
  <c r="B53" i="6"/>
  <c r="D58" i="6"/>
  <c r="B61" i="6"/>
  <c r="D66" i="6"/>
  <c r="B69" i="6"/>
  <c r="D74" i="6"/>
  <c r="B77" i="6"/>
  <c r="D82" i="6"/>
  <c r="B85" i="6"/>
  <c r="D90" i="6"/>
  <c r="B93" i="6"/>
  <c r="D98" i="6"/>
  <c r="B101" i="6"/>
  <c r="D106" i="6"/>
  <c r="B109" i="6"/>
  <c r="D114" i="6"/>
  <c r="B117" i="6"/>
  <c r="D122" i="6"/>
  <c r="B125" i="6"/>
  <c r="D130" i="6"/>
  <c r="B133" i="6"/>
  <c r="D138" i="6"/>
  <c r="B141" i="6"/>
  <c r="D146" i="6"/>
  <c r="B149" i="6"/>
  <c r="D154" i="6"/>
  <c r="B157" i="6"/>
  <c r="D162" i="6"/>
  <c r="B165" i="6"/>
  <c r="D170" i="6"/>
  <c r="B173" i="6"/>
  <c r="D178" i="6"/>
  <c r="B181" i="6"/>
  <c r="D186" i="6"/>
  <c r="B189" i="6"/>
  <c r="D194" i="6"/>
  <c r="B197" i="6"/>
  <c r="D202" i="6"/>
  <c r="B205" i="6"/>
  <c r="D210" i="6"/>
  <c r="B213" i="6"/>
  <c r="D218" i="6"/>
  <c r="C21" i="6"/>
  <c r="C29" i="6"/>
  <c r="E34" i="6"/>
  <c r="C37" i="6"/>
  <c r="E42" i="6"/>
  <c r="C45" i="6"/>
  <c r="E50" i="6"/>
  <c r="C53" i="6"/>
  <c r="E58" i="6"/>
  <c r="C61" i="6"/>
  <c r="E66" i="6"/>
  <c r="C69" i="6"/>
  <c r="E74" i="6"/>
  <c r="C77" i="6"/>
  <c r="E82" i="6"/>
  <c r="C85" i="6"/>
  <c r="E90" i="6"/>
  <c r="C93" i="6"/>
  <c r="E98" i="6"/>
  <c r="C101" i="6"/>
  <c r="E106" i="6"/>
  <c r="C109" i="6"/>
  <c r="E114" i="6"/>
  <c r="C117" i="6"/>
  <c r="E122" i="6"/>
  <c r="C125" i="6"/>
  <c r="E130" i="6"/>
  <c r="C133" i="6"/>
  <c r="E138" i="6"/>
  <c r="C141" i="6"/>
  <c r="E146" i="6"/>
  <c r="C149" i="6"/>
  <c r="E154" i="6"/>
  <c r="C157" i="6"/>
  <c r="E162" i="6"/>
  <c r="C165" i="6"/>
  <c r="E170" i="6"/>
  <c r="C173" i="6"/>
  <c r="E178" i="6"/>
  <c r="C181" i="6"/>
  <c r="E186" i="6"/>
  <c r="C189" i="6"/>
  <c r="E194" i="6"/>
  <c r="C197" i="6"/>
  <c r="E202" i="6"/>
  <c r="C205" i="6"/>
  <c r="E210" i="6"/>
  <c r="C213" i="6"/>
  <c r="E218" i="6"/>
  <c r="E36" i="6" l="1"/>
  <c r="E28" i="6"/>
  <c r="E25" i="6"/>
  <c r="F23" i="6"/>
  <c r="F44" i="6"/>
  <c r="F37" i="6"/>
  <c r="E37" i="6"/>
  <c r="F36" i="6"/>
  <c r="E38" i="6"/>
  <c r="F45" i="6"/>
  <c r="E45" i="6"/>
  <c r="B14" i="6"/>
  <c r="C14" i="6" s="1"/>
  <c r="B15" i="6" s="1"/>
  <c r="C15" i="6" s="1"/>
  <c r="C22" i="2"/>
</calcChain>
</file>

<file path=xl/sharedStrings.xml><?xml version="1.0" encoding="utf-8"?>
<sst xmlns="http://schemas.openxmlformats.org/spreadsheetml/2006/main" count="1120" uniqueCount="569">
  <si>
    <t xml:space="preserve">MẪU NHẬP KỊCH BẢN GAME TƯƠNG TÁC </t>
  </si>
  <si>
    <t>Workbook chuẩn hóa cấu trúc từ 15-movie-template.ts. Team tài liệu nhập ô màu vàng; team dev dùng các bảng dữ liệu đã chuẩn hóa để dựng mảng script JSON/TypeScript và upsert movie.</t>
  </si>
  <si>
    <t>1. QUY TRÌNH SỬ DỤNG</t>
  </si>
  <si>
    <t>Bước</t>
  </si>
  <si>
    <t>Người thực hiện</t>
  </si>
  <si>
    <t>Thao tác</t>
  </si>
  <si>
    <t>Kết quả cần đạt</t>
  </si>
  <si>
    <t>Không được làm</t>
  </si>
  <si>
    <t>Team tài liệu</t>
  </si>
  <si>
    <t>Điền 01_THONG_TIN_Game</t>
  </si>
  <si>
    <t>Đủ mã chương, mục, tiêu đề và thông tin seed</t>
  </si>
  <si>
    <t>Không đổi tên trường kỹ thuật</t>
  </si>
  <si>
    <t>Điền 02_KICH_BAN_NODES theo NodeOrder</t>
  </si>
  <si>
    <t>Mỗi dòng là 1 scene/say/choice/act/end</t>
  </si>
  <si>
    <t>Không gộp nhiều node trong một dòng</t>
  </si>
  <si>
    <t>Điền 03_LUA_CHON theo ChoiceNodeId</t>
  </si>
  <si>
    <t>Mỗi choice có 2–4 phương án và đúng quy tắc ChoiceMode</t>
  </si>
  <si>
    <t>Không bỏ phản hồi phương án</t>
  </si>
  <si>
    <t>Reviewer</t>
  </si>
  <si>
    <t>Kiểm tra 05_KIEM_TRA_QA</t>
  </si>
  <si>
    <t>Không còn lỗi cấu trúc; checklist chuyên môn đạt</t>
  </si>
  <si>
    <t>Không bàn giao khi còn CẦN SỬA</t>
  </si>
  <si>
    <t>Team dev</t>
  </si>
  <si>
    <t>Chuyển đổi theo 06_DEV_MAPPING</t>
  </si>
  <si>
    <t>Seed chạy được và upsert theo muc</t>
  </si>
  <si>
    <t>Không tự thay đổi nội dung chuyên môn</t>
  </si>
  <si>
    <t>2. QUY ƯỚC MÀU VÀ TRẠNG THÁI</t>
  </si>
  <si>
    <t>Màu/Trạng thái</t>
  </si>
  <si>
    <t>Ý nghĩa</t>
  </si>
  <si>
    <t>Hành động</t>
  </si>
  <si>
    <t>Ô màu vàng</t>
  </si>
  <si>
    <t>Dữ liệu team tài liệu được phép nhập/sửa</t>
  </si>
  <si>
    <t>Điền nội dung, không xóa tiêu đề cột</t>
  </si>
  <si>
    <t>Ô màu xám</t>
  </si>
  <si>
    <t>Công thức hoặc thông tin kỹ thuật</t>
  </si>
  <si>
    <t>Không sửa</t>
  </si>
  <si>
    <t>HỢP LỆ</t>
  </si>
  <si>
    <t>Dòng đạt kiểm tra cấu trúc cơ bản</t>
  </si>
  <si>
    <t>Chuyển sang review chuyên môn</t>
  </si>
  <si>
    <t>CẦN SỬA</t>
  </si>
  <si>
    <t>Thiếu dữ liệu, sai liên kết hoặc sai quy tắc</t>
  </si>
  <si>
    <t>Đọc cột Lỗi cấu trúc và chỉnh lại</t>
  </si>
  <si>
    <t>3. QUY TẮC NỘI DUNG BẮT BUỘC</t>
  </si>
  <si>
    <t>Nhóm</t>
  </si>
  <si>
    <t>Quy tắc</t>
  </si>
  <si>
    <t>Mức độ</t>
  </si>
  <si>
    <t>Lý do</t>
  </si>
  <si>
    <t>Cấu trúc game</t>
  </si>
  <si>
    <t>Thông thường 2–4 màn; mỗi màn bắt đầu bằng scene, kết thúc bằng act; toàn game có đúng 1 end.</t>
  </si>
  <si>
    <t>Bắt buộc</t>
  </si>
  <si>
    <t>Khớp ScriptNode trong template.</t>
  </si>
  <si>
    <t>Choice kiến thức</t>
  </si>
  <si>
    <t>ChoiceMode = Kiến thức: 2–4 phương án và đúng 1 IsCorrect = Có.</t>
  </si>
  <si>
    <t>Dùng để kiểm tra và chấm đúng/sai.</t>
  </si>
  <si>
    <t>Choice tương tác</t>
  </si>
  <si>
    <t>ChoiceMode = Tương tác: 2–4 phương án và không đánh dấu đáp án đúng; có thể dùng dc.</t>
  </si>
  <si>
    <t>Khớp các lựa chọn thái độ/thiện cảm trong kịch bản mẫu.</t>
  </si>
  <si>
    <t>Phản hồi</t>
  </si>
  <si>
    <t>Mọi phương án phải có ReplyText; phương án sai của câu kiến thức phải giải thích vì sao sai.</t>
  </si>
  <si>
    <t>Bảo đảm giá trị học tập.</t>
  </si>
  <si>
    <t>Nhân vật</t>
  </si>
  <si>
    <t>Chỉ dùng SpeakerKey trong danh mục; nhân vật mới phải được dev bổ sung vào CHARACTERS.</t>
  </si>
  <si>
    <t>Tránh key không tồn tại.</t>
  </si>
  <si>
    <t>Cảnh nền</t>
  </si>
  <si>
    <t>Chỉ dùng Background trong danh mục; cảnh mới cần asset/SVG được dev xác nhận.</t>
  </si>
  <si>
    <t>Tránh thiếu tài nguyên giao diện.</t>
  </si>
  <si>
    <t>Văn bản</t>
  </si>
  <si>
    <t>Không dùng HTML; câu hỏi không đánh đố; lời thoại tự nhiên, phù hợp vai trò.</t>
  </si>
  <si>
    <t>Khuyến nghị cao</t>
  </si>
  <si>
    <t>Theo nguyên tắc biên soạn của template.</t>
  </si>
  <si>
    <t>Thứ tự</t>
  </si>
  <si>
    <t>NodeOrder và NodeId phải duy nhất; option sắp xếp bằng OptionOrder.</t>
  </si>
  <si>
    <t>Bảo toàn thứ tự mảng script/opts.</t>
  </si>
  <si>
    <t>4. TRƯỜNG HỢP ĐẶC BIỆT</t>
  </si>
  <si>
    <t>Tình huống</t>
  </si>
  <si>
    <t>Cách xử lý</t>
  </si>
  <si>
    <t>Lời dẫn chuyện</t>
  </si>
  <si>
    <t>NodeType = say, SpeakerKey = narr, Mood để trống.</t>
  </si>
  <si>
    <t>Choice mở đầu kiểu “Bạn sẵn sàng chứ?”</t>
  </si>
  <si>
    <t>Chọn ChoiceMode = Tương tác; IsCorrect của mọi option = Không; dùng dc nếu cần.</t>
  </si>
  <si>
    <t>Thêm nhân vật/cảnh nền</t>
  </si>
  <si>
    <t>Bổ sung tại 04_DANH_MUC, ghi rõ cần dev bổ sung và chỉ dùng sau khi được duyệt.</t>
  </si>
  <si>
    <t>Điểm thiện cảm dc</t>
  </si>
  <si>
    <t>Nhập số nguyên dương/âm khi cần; để trống để dùng cơ chế mặc định.</t>
  </si>
  <si>
    <t>Thông tin mẫu</t>
  </si>
  <si>
    <t>Giá trị</t>
  </si>
  <si>
    <t>Nguồn cấu trúc</t>
  </si>
  <si>
    <t>15-movie-template.ts</t>
  </si>
  <si>
    <t>Phiên bản workbook</t>
  </si>
  <si>
    <t>1.1.0 — 2026-07-10</t>
  </si>
  <si>
    <t>01 — THÔNG TIN game / THÔNG SỐ SEED</t>
  </si>
  <si>
    <t>Điền cột Giá trị. Trường có Bắt buộc = Có phải hoàn thành trước khi bàn giao.</t>
  </si>
  <si>
    <t>Trường kỹ thuật</t>
  </si>
  <si>
    <t>Ví dụ</t>
  </si>
  <si>
    <t>Quy tắc / Ghi chú</t>
  </si>
  <si>
    <t>chapterCode</t>
  </si>
  <si>
    <t>Có</t>
  </si>
  <si>
    <t>2</t>
  </si>
  <si>
    <t>Phải tồn tại trong bảng chapter trước khi seed.</t>
  </si>
  <si>
    <t>muc</t>
  </si>
  <si>
    <t>2.1</t>
  </si>
  <si>
    <t>Khóa nghiệp vụ dùng tìm movie hiện có để update/create.</t>
  </si>
  <si>
    <t>movieTitle</t>
  </si>
  <si>
    <t>game tương tác: Hàng hóa và tiền tệ</t>
  </si>
  <si>
    <t>Tên hiển thị của game.</t>
  </si>
  <si>
    <t>seedFunctionName</t>
  </si>
  <si>
    <t>seedMovieChuong2</t>
  </si>
  <si>
    <t>camelCase, không dấu, duy nhất.</t>
  </si>
  <si>
    <t>outputFileName</t>
  </si>
  <si>
    <t>16-movie-chuong-2.ts</t>
  </si>
  <si>
    <t>Tên file TypeScript sau chuyển đổi.</t>
  </si>
  <si>
    <t>seedLogLabel</t>
  </si>
  <si>
    <t>Interactive Movies (Chương 2)</t>
  </si>
  <si>
    <t>Nhãn dùng trong seedLog().</t>
  </si>
  <si>
    <t>author</t>
  </si>
  <si>
    <t>Nguyễn Văn A</t>
  </si>
  <si>
    <t>Người biên soạn.</t>
  </si>
  <si>
    <t>reviewer</t>
  </si>
  <si>
    <t>Trần Thị B</t>
  </si>
  <si>
    <t>Người duyệt nội dung.</t>
  </si>
  <si>
    <t>version</t>
  </si>
  <si>
    <t>1.1</t>
  </si>
  <si>
    <t>Tăng version khi chỉnh sau bàn giao.</t>
  </si>
  <si>
    <t>documentStatus</t>
  </si>
  <si>
    <t>Đã duyệt</t>
  </si>
  <si>
    <t>Chỉ bàn giao khi Đã duyệt.</t>
  </si>
  <si>
    <t>sourceReference</t>
  </si>
  <si>
    <t>Không</t>
  </si>
  <si>
    <t>Giáo trình Chương 2, trang 30–45</t>
  </si>
  <si>
    <t>Nguồn chuyên môn.</t>
  </si>
  <si>
    <t>changeSummary</t>
  </si>
  <si>
    <t>Tạo mới kịch bản Chương 2</t>
  </si>
  <si>
    <t>Tóm tắt thay đổi.</t>
  </si>
  <si>
    <t>KIỂM TRA NHANH</t>
  </si>
  <si>
    <t>Chỉ số</t>
  </si>
  <si>
    <t>Trạng thái</t>
  </si>
  <si>
    <t>Trường bắt buộc còn trống</t>
  </si>
  <si>
    <t>Trạng thái tài liệu</t>
  </si>
  <si>
    <t>Sẵn sàng bàn giao dev</t>
  </si>
  <si>
    <t>Ghi chú</t>
  </si>
  <si>
    <t>Công thức chỉ kiểm tra cấu trúc; reviewer vẫn phải kiểm tra kiến thức.</t>
  </si>
  <si>
    <t>02 — KỊCH BẢN: DANH SÁCH SCRIPT NODE</t>
  </si>
  <si>
    <t>Mỗi dòng là một ScriptNode. ChoiceMode chỉ dùng để QA/biên soạn và không cần ghi vào object TypeScript.</t>
  </si>
  <si>
    <t>NodeOrder*</t>
  </si>
  <si>
    <t>NodeId*</t>
  </si>
  <si>
    <t>ActNo</t>
  </si>
  <si>
    <t>NodeType*</t>
  </si>
  <si>
    <t>ChoiceMode</t>
  </si>
  <si>
    <t>Background</t>
  </si>
  <si>
    <t>SceneName</t>
  </si>
  <si>
    <t>SpeakerKey</t>
  </si>
  <si>
    <t>Mood</t>
  </si>
  <si>
    <t>Text / Question</t>
  </si>
  <si>
    <t>ActRoman</t>
  </si>
  <si>
    <t>Ghi chú biên soạn</t>
  </si>
  <si>
    <t>Lỗi cấu trúc</t>
  </si>
  <si>
    <t>03 — PHƯƠNG ÁN CHO CÁC NODE CHOICE</t>
  </si>
  <si>
    <t>Choice kiến thức: đúng 1 đáp án. Choice tương tác: không có đáp án đúng, có thể nhập dc để thay đổi thiện cảm.</t>
  </si>
  <si>
    <t>ChoiceNodeId*</t>
  </si>
  <si>
    <t>OptionOrder*</t>
  </si>
  <si>
    <t>OptionText*</t>
  </si>
  <si>
    <t>IsCorrect*</t>
  </si>
  <si>
    <t>dc</t>
  </si>
  <si>
    <t>ReplySpeaker*</t>
  </si>
  <si>
    <t>ReplyMood</t>
  </si>
  <si>
    <t>ReplyText*</t>
  </si>
  <si>
    <t>04 — DANH MỤC KỸ THUẬT DÙNG CHUNG</t>
  </si>
  <si>
    <t>Các vùng danh mục là nguồn dropdown. Dòng trống phía dưới dành cho tài nguyên mới đã được dev xác nhận.</t>
  </si>
  <si>
    <t>NHÂN VẬT</t>
  </si>
  <si>
    <t>CẢNH NỀN</t>
  </si>
  <si>
    <t>MOOD</t>
  </si>
  <si>
    <t>NODE TYPE</t>
  </si>
  <si>
    <t>Tên hiển thị</t>
  </si>
  <si>
    <t>Vai trò</t>
  </si>
  <si>
    <t>BackgroundKey</t>
  </si>
  <si>
    <t>Mô tả</t>
  </si>
  <si>
    <t>Tình trạng asset</t>
  </si>
  <si>
    <t>MoodKey</t>
  </si>
  <si>
    <t>Ý nghĩa gợi ý</t>
  </si>
  <si>
    <t>NodeType</t>
  </si>
  <si>
    <t>Trường bắt buộc</t>
  </si>
  <si>
    <t>Object đầu ra</t>
  </si>
  <si>
    <t>narr</t>
  </si>
  <si>
    <t>thukho</t>
  </si>
  <si>
    <t>Thư khố / tầng hầm lưu trữ, tông nâu ấm</t>
  </si>
  <si>
    <t>Có sẵn</t>
  </si>
  <si>
    <t>neutral</t>
  </si>
  <si>
    <t>Bình thường / trung lập</t>
  </si>
  <si>
    <t>scene</t>
  </si>
  <si>
    <t>ActNo, Background, SceneName</t>
  </si>
  <si>
    <t>{ t: "scene", bg, act, name }</t>
  </si>
  <si>
    <t>you</t>
  </si>
  <si>
    <t>Bạn</t>
  </si>
  <si>
    <t>Trợ lý nghiên cứu</t>
  </si>
  <si>
    <t>hoithao</t>
  </si>
  <si>
    <t>Hội trường / hội thảo, tông tím xanh</t>
  </si>
  <si>
    <t>happy</t>
  </si>
  <si>
    <t>Vui / khích lệ</t>
  </si>
  <si>
    <t>say</t>
  </si>
  <si>
    <t>SpeakerKey, Text; Mood trừ narr</t>
  </si>
  <si>
    <t>{ t: "say", who, mood?, text }</t>
  </si>
  <si>
    <t>lam</t>
  </si>
  <si>
    <t>GS. Lâm</t>
  </si>
  <si>
    <t>Người hướng dẫn</t>
  </si>
  <si>
    <t>buctham</t>
  </si>
  <si>
    <t>Bục thẩm / khán phòng, tông đỏ trầm</t>
  </si>
  <si>
    <t>concern</t>
  </si>
  <si>
    <t>Quan ngại / sửa sai nhẹ nhàng</t>
  </si>
  <si>
    <t>choice</t>
  </si>
  <si>
    <t>ChoiceMode, SpeakerKey, Mood, Question + options</t>
  </si>
  <si>
    <t>{ t: "choice", who, mood, q, opts }</t>
  </si>
  <si>
    <t>an</t>
  </si>
  <si>
    <t>Thủ thư An</t>
  </si>
  <si>
    <t>Thủ thư lưu trữ</t>
  </si>
  <si>
    <t>stern</t>
  </si>
  <si>
    <t>Nghiêm khắc / phản biện</t>
  </si>
  <si>
    <t>act</t>
  </si>
  <si>
    <t>{ t: "act", n }</t>
  </si>
  <si>
    <t>khoa</t>
  </si>
  <si>
    <t>TS. Khoa</t>
  </si>
  <si>
    <t>Phản biện viên</t>
  </si>
  <si>
    <t>end</t>
  </si>
  <si>
    <t>Không có trường phụ</t>
  </si>
  <si>
    <t>{ t: "end" }</t>
  </si>
  <si>
    <t>minh</t>
  </si>
  <si>
    <t>SV. Minh</t>
  </si>
  <si>
    <t>Sinh viên</t>
  </si>
  <si>
    <t>05 — KIỂM TRA CHẤT LƯỢNG TRƯỚC KHI BÀN GIAO</t>
  </si>
  <si>
    <t>QA tự động kiểm tra cấu trúc; reviewer vẫn cần duyệt kiến thức, chính tả và tính tự nhiên.</t>
  </si>
  <si>
    <t>TỔNG QUAN</t>
  </si>
  <si>
    <t>Tổng node</t>
  </si>
  <si>
    <t>Scene</t>
  </si>
  <si>
    <t>Say</t>
  </si>
  <si>
    <t>Choice</t>
  </si>
  <si>
    <t>Act</t>
  </si>
  <si>
    <t>End</t>
  </si>
  <si>
    <t>Lỗi node</t>
  </si>
  <si>
    <t>Lỗi option</t>
  </si>
  <si>
    <t>CÁC ĐIỀU KIỆN BẮT BUỘC</t>
  </si>
  <si>
    <t>Kiểm tra</t>
  </si>
  <si>
    <t>Kết quả</t>
  </si>
  <si>
    <t>Có đúng 1 node end</t>
  </si>
  <si>
    <t>Giữ đúng một end ở cuối phim.</t>
  </si>
  <si>
    <t>Không có lỗi node</t>
  </si>
  <si>
    <t>Xem cột Lỗi cấu trúc sheet 02.</t>
  </si>
  <si>
    <t>Không có lỗi option</t>
  </si>
  <si>
    <t>Xem cột Lỗi cấu trúc sheet 03.</t>
  </si>
  <si>
    <t>Số scene thông thường 2–4</t>
  </si>
  <si>
    <t>Ngoài khoảng cần reviewer xác nhận.</t>
  </si>
  <si>
    <t>Metadata sẵn sàng</t>
  </si>
  <si>
    <t>Hoàn tất sheet 01 và Đã duyệt.</t>
  </si>
  <si>
    <t>KẾT LUẬN BÀN GIAO</t>
  </si>
  <si>
    <t>Chỉ bàn giao khi SẴN SÀNG.</t>
  </si>
  <si>
    <t>KIỂM TRA TỪNG CHOICE NODE</t>
  </si>
  <si>
    <t>CHECKLIST REVIEWER</t>
  </si>
  <si>
    <t>ChoiceNodeId</t>
  </si>
  <si>
    <t>Số option</t>
  </si>
  <si>
    <t>Số đáp án đúng</t>
  </si>
  <si>
    <t>Lỗi</t>
  </si>
  <si>
    <t>Mục review</t>
  </si>
  <si>
    <t>Xác nhận</t>
  </si>
  <si>
    <t>Kiến thức đúng nguồn</t>
  </si>
  <si>
    <t>Chưa kiểm tra</t>
  </si>
  <si>
    <t>Câu hỏi không đánh đố</t>
  </si>
  <si>
    <t>Phản hồi sai có giải thích</t>
  </si>
  <si>
    <t>Lời thoại tự nhiên, đúng vai</t>
  </si>
  <si>
    <t>Không có HTML / lỗi chính tả</t>
  </si>
  <si>
    <t>Tên màn và chuyển cảnh hợp lý</t>
  </si>
  <si>
    <t>Đã chạy thử seed ở môi trường dev</t>
  </si>
  <si>
    <t>06 — MAPPING EXCEL → TYPESCRIPT / PRISMA SEED</t>
  </si>
  <si>
    <t>Dành cho dev. ChoiceMode là metadata biên soạn, chỉ dùng để validate và không xuất vào ScriptNode.</t>
  </si>
  <si>
    <t>1. MAPPING THÔNG TIN MOVIE</t>
  </si>
  <si>
    <t>Excel</t>
  </si>
  <si>
    <t>Biến seed</t>
  </si>
  <si>
    <t>Prisma / Mục đích</t>
  </si>
  <si>
    <t>01!chapterCode</t>
  </si>
  <si>
    <t>chapter.findUnique({ where: { code } })</t>
  </si>
  <si>
    <t>Không tìm thấy chapter thì cảnh báo và return.</t>
  </si>
  <si>
    <t>01!muc</t>
  </si>
  <si>
    <t>movie.findFirst({ where: { muc } })</t>
  </si>
  <si>
    <t>Khóa xác định update/create.</t>
  </si>
  <si>
    <t>01!movieTitle</t>
  </si>
  <si>
    <t>movie.title</t>
  </si>
  <si>
    <t>Tên hiển thị.</t>
  </si>
  <si>
    <t>01!seedFunctionName</t>
  </si>
  <si>
    <t>Tên export function</t>
  </si>
  <si>
    <t>Đăng ký vào seed/index.ts</t>
  </si>
  <si>
    <t>Phải duy nhất.</t>
  </si>
  <si>
    <t>01!seedLogLabel</t>
  </si>
  <si>
    <t>seedLog(label, 1)</t>
  </si>
  <si>
    <t>Log seed</t>
  </si>
  <si>
    <t>Đổi theo chương.</t>
  </si>
  <si>
    <t>2. MAPPING SCRIPT NODE</t>
  </si>
  <si>
    <t>Excel fields</t>
  </si>
  <si>
    <t>Bỏ qua khi rỗng</t>
  </si>
  <si>
    <t>Liên kết option</t>
  </si>
  <si>
    <t>Background, ActNo, SceneName</t>
  </si>
  <si>
    <t>{ t:"scene", bg, act, name }</t>
  </si>
  <si>
    <t>NodeOrder</t>
  </si>
  <si>
    <t>Đủ 3 trường</t>
  </si>
  <si>
    <t>Đầu màn.</t>
  </si>
  <si>
    <t>SpeakerKey, Mood, Text</t>
  </si>
  <si>
    <t>{ t:"say", who, mood?, text }</t>
  </si>
  <si>
    <t>mood</t>
  </si>
  <si>
    <t>who/text bắt buộc</t>
  </si>
  <si>
    <t>narr thường không có mood.</t>
  </si>
  <si>
    <t>SpeakerKey, Mood, Question</t>
  </si>
  <si>
    <t>{ t:"choice", who, mood, q, opts }</t>
  </si>
  <si>
    <t>Join 03 theo ChoiceNodeId</t>
  </si>
  <si>
    <t>NodeOrder + OptionOrder</t>
  </si>
  <si>
    <t>2–4 opts, theo ChoiceMode</t>
  </si>
  <si>
    <t>Không xuất ChoiceMode.</t>
  </si>
  <si>
    <t>{ t:"act", n }</t>
  </si>
  <si>
    <t>n bắt buộc</t>
  </si>
  <si>
    <t>Cuối màn.</t>
  </si>
  <si>
    <t>{ t:"end" }</t>
  </si>
  <si>
    <t>Tất cả</t>
  </si>
  <si>
    <t>Đúng 1 node</t>
  </si>
  <si>
    <t>Cuối phim.</t>
  </si>
  <si>
    <t>3. MAPPING CHOICE OPTION</t>
  </si>
  <si>
    <t>Excel field</t>
  </si>
  <si>
    <t>Output field</t>
  </si>
  <si>
    <t>Lưu ý</t>
  </si>
  <si>
    <t>OptionText</t>
  </si>
  <si>
    <t>text</t>
  </si>
  <si>
    <t>Giữ nguyên chuỗi</t>
  </si>
  <si>
    <t>Em sẵn sàng.</t>
  </si>
  <si>
    <t>Không tự thêm A/B/C nếu UI không yêu cầu.</t>
  </si>
  <si>
    <t>IsCorrect</t>
  </si>
  <si>
    <t>correct</t>
  </si>
  <si>
    <t>Chỉ xuất correct:true khi "Có"</t>
  </si>
  <si>
    <t>true</t>
  </si>
  <si>
    <t>Tương tác: tất cả = Không; không xuất false.</t>
  </si>
  <si>
    <t>Chỉ xuất khi có số</t>
  </si>
  <si>
    <t>8 hoặc -2</t>
  </si>
  <si>
    <t>Dùng cho thiện cảm.</t>
  </si>
  <si>
    <t>ReplySpeaker</t>
  </si>
  <si>
    <t>reply.who</t>
  </si>
  <si>
    <t>Key hợp lệ</t>
  </si>
  <si>
    <t>reply.t luôn là say.</t>
  </si>
  <si>
    <t>reply.mood</t>
  </si>
  <si>
    <t>Bỏ qua nếu trống</t>
  </si>
  <si>
    <t>narr thường trống.</t>
  </si>
  <si>
    <t>ReplyText</t>
  </si>
  <si>
    <t>reply.text</t>
  </si>
  <si>
    <t>Giữ nguyên</t>
  </si>
  <si>
    <t>Tinh thần tốt.</t>
  </si>
  <si>
    <t>Sai kiến thức cần giải thích.</t>
  </si>
  <si>
    <t>4. THUẬT TOÁN CHUYỂN ĐỔI ĐỀ XUẤT</t>
  </si>
  <si>
    <t>Xử lý</t>
  </si>
  <si>
    <t>Chi tiết</t>
  </si>
  <si>
    <t>Đọc metadata</t>
  </si>
  <si>
    <t>Lấy chapterCode, muc, movieTitle, tên hàm/file.</t>
  </si>
  <si>
    <t>Đọc node</t>
  </si>
  <si>
    <t>Bỏ NodeOrder trống; sort tăng dần; kiểm tra NodeId duy nhất.</t>
  </si>
  <si>
    <t>Đọc option</t>
  </si>
  <si>
    <t>Bỏ ChoiceNodeId trống; group theo ID; sort OptionOrder.</t>
  </si>
  <si>
    <t>Dựng script</t>
  </si>
  <si>
    <t>Switch NodeType; choice gắn opts đã group; bỏ ChoiceMode.</t>
  </si>
  <si>
    <t>Tạo option</t>
  </si>
  <si>
    <t>correct chỉ khi Có; dc/mood chỉ khi có giá trị; reply luôn t=say.</t>
  </si>
  <si>
    <t>Upsert movie</t>
  </si>
  <si>
    <t>Tìm chapter; tìm movie theo muc; update hoặc create.</t>
  </si>
  <si>
    <t>Đăng ký seed</t>
  </si>
  <si>
    <t>Import và gọi hàm trong services/src/seed/index.ts.</t>
  </si>
  <si>
    <t>5. MẪU OBJECT ĐẦU RA</t>
  </si>
  <si>
    <t>Loại</t>
  </si>
  <si>
    <t>Ví dụ TypeScript / JSON tương ứng</t>
  </si>
  <si>
    <t>{ t: "scene", bg: "thukho", act: 1, name: "Màn I · Nguồn gốc" }</t>
  </si>
  <si>
    <t>{ t: "say", who: "lam", mood: "neutral", text: "Chào trợ lý mới." }</t>
  </si>
  <si>
    <t>{ t: "choice", who: "lam", mood: "neutral", q: "...", opts: [ /* từ sheet 03 */ ] }</t>
  </si>
  <si>
    <t>{ t: "act", n: "I" }</t>
  </si>
  <si>
    <t>6</t>
  </si>
  <si>
    <t>6.2</t>
  </si>
  <si>
    <t>Game tương tác: Hội nhập kinh tế quốc tế của Việt Nam</t>
  </si>
  <si>
    <t>seedMovieChuong6Muc62</t>
  </si>
  <si>
    <t>19-movie-chuong-6-muc-6-2.ts</t>
  </si>
  <si>
    <t>Interactive Movies (Chương 6 - Mục 6.2)</t>
  </si>
  <si>
    <t>1.0</t>
  </si>
  <si>
    <t>Đang soạn</t>
  </si>
  <si>
    <t>Giáo trình Kinh tế chính trị Mác - Lênin, Chương 6, Mục 6.2, trang gốc 162–179.</t>
  </si>
  <si>
    <t>Bao phủ khái niệm, tính tất yếu, tác động và phương hướng nâng cao hiệu quả hội nhập.</t>
  </si>
  <si>
    <t>N001</t>
  </si>
  <si>
    <t>Màn I · Bản chất và cấp độ hội nhập</t>
  </si>
  <si>
    <t>Bắt đầu màn 1</t>
  </si>
  <si>
    <t>N002</t>
  </si>
  <si>
    <t>Bản đồ thương mại toàn cầu xuất hiện với các tuyến hàng hóa, vốn, công nghệ, dịch vụ và lao động kết nối Việt Nam với nhiều quốc gia và tổ chức kinh tế.</t>
  </si>
  <si>
    <t>N003</t>
  </si>
  <si>
    <t>Hội nhập là quá trình gắn kết nền kinh tế quốc gia với khu vực và thế giới trên cơ sở lợi ích, chuẩn mực và cam kết.</t>
  </si>
  <si>
    <t>N004</t>
  </si>
  <si>
    <t>Tương tác</t>
  </si>
  <si>
    <t>Bạn muốn mở tuyến kết nối nào trước?</t>
  </si>
  <si>
    <t>Nhập option ở sheet 03</t>
  </si>
  <si>
    <t>N005</t>
  </si>
  <si>
    <t>Kiến thức</t>
  </si>
  <si>
    <t>Hội nhập kinh tế quốc tế của một quốc gia là gì?</t>
  </si>
  <si>
    <t>N006</t>
  </si>
  <si>
    <t>Vì sao hội nhập kinh tế quốc tế trở thành tất yếu khách quan?</t>
  </si>
  <si>
    <t>N007</t>
  </si>
  <si>
    <t>Nội dung hội nhập kinh tế quốc tế được thể hiện chủ yếu ở đâu?</t>
  </si>
  <si>
    <t>N008</t>
  </si>
  <si>
    <t>Các hình thức hội nhập kinh tế quốc tế có thể diễn ra như thế nào?</t>
  </si>
  <si>
    <t>N009</t>
  </si>
  <si>
    <t>Trình tự nào phản ánh các mức độ hội nhập kinh tế khu vực từ thấp đến cao?</t>
  </si>
  <si>
    <t>N010</t>
  </si>
  <si>
    <t>Hội nhập có đồng nghĩa với hòa tan và từ bỏ lợi ích quốc gia không?</t>
  </si>
  <si>
    <t>N011</t>
  </si>
  <si>
    <t>I</t>
  </si>
  <si>
    <t>Kết thúc màn I</t>
  </si>
  <si>
    <t>N012</t>
  </si>
  <si>
    <t>Màn II · Tác động hai mặt của hội nhập</t>
  </si>
  <si>
    <t>Bắt đầu màn 2</t>
  </si>
  <si>
    <t>N013</t>
  </si>
  <si>
    <t>Hai màn hình hiển thị những kết quả khác nhau: một bên là thị trường, vốn và công nghệ; bên kia là cạnh tranh gay gắt, phụ thuộc và những cú sốc từ bên ngoài.</t>
  </si>
  <si>
    <t>N014</t>
  </si>
  <si>
    <t>Đánh giá hội nhập phải nhìn đầy đủ hai mặt; cơ hội có thể thành thách thức nếu năng lực cạnh tranh và thể chế yếu.</t>
  </si>
  <si>
    <t>N015</t>
  </si>
  <si>
    <t>Tác động tích cực nổi bật của hội nhập đối với tăng trưởng là gì?</t>
  </si>
  <si>
    <t>N016</t>
  </si>
  <si>
    <t>Hội nhập tác động như thế nào đến thể chế và năng lực cạnh tranh?</t>
  </si>
  <si>
    <t>N017</t>
  </si>
  <si>
    <t>Ngoài kinh tế, hội nhập có thể đem lại lợi ích nào?</t>
  </si>
  <si>
    <t>N018</t>
  </si>
  <si>
    <t>Đâu là nhóm tác động tiêu cực và rủi ro kinh tế cần lưu ý?</t>
  </si>
  <si>
    <t>N019</t>
  </si>
  <si>
    <t>Những thách thức xã hội, văn hóa, môi trường và an ninh nào có thể phát sinh?</t>
  </si>
  <si>
    <t>N020</t>
  </si>
  <si>
    <t>Vì sao lợi ích hội nhập có thể phân bố không đồng đều?</t>
  </si>
  <si>
    <t>N021</t>
  </si>
  <si>
    <t>II</t>
  </si>
  <si>
    <t>Kết thúc màn II</t>
  </si>
  <si>
    <t>N022</t>
  </si>
  <si>
    <t>Màn III · Nâng cao hiệu quả và giữ vững tự chủ</t>
  </si>
  <si>
    <t>Bắt đầu màn 3</t>
  </si>
  <si>
    <t>N023</t>
  </si>
  <si>
    <t>Phiên họp chiến lược yêu cầu lựa chọn lộ trình vừa tận dụng nguồn lực quốc tế vừa bảo vệ lợi ích quốc gia và năng lực tự chủ.</t>
  </si>
  <si>
    <t>N024</t>
  </si>
  <si>
    <t>Hội nhập hiệu quả là quá trình chủ động, có chiến lược, dựa trên nội lực và sự tham gia của toàn xã hội.</t>
  </si>
  <si>
    <t>N025</t>
  </si>
  <si>
    <t>Yêu cầu đầu tiên để nâng cao hiệu quả hội nhập là gì?</t>
  </si>
  <si>
    <t>N026</t>
  </si>
  <si>
    <t>Xây dựng chiến lược và lộ trình hội nhập phù hợp đòi hỏi điều gì?</t>
  </si>
  <si>
    <t>N027</t>
  </si>
  <si>
    <t>Thế nào là tích cực, chủ động tham gia các liên kết kinh tế quốc tế?</t>
  </si>
  <si>
    <t>N028</t>
  </si>
  <si>
    <t>Hoàn thiện thể chế kinh tế và luật pháp phục vụ hội nhập cần hướng tới điều gì?</t>
  </si>
  <si>
    <t>N029</t>
  </si>
  <si>
    <t>Nâng cao năng lực cạnh tranh quốc tế cần tập trung vào đâu?</t>
  </si>
  <si>
    <t>N030</t>
  </si>
  <si>
    <t>Xây dựng nền kinh tế độc lập, tự chủ trong hội nhập được hiểu như thế nào?</t>
  </si>
  <si>
    <t>N031</t>
  </si>
  <si>
    <t>Mối quan hệ giữa độc lập, tự chủ và hội nhập được xử lý như thế nào?</t>
  </si>
  <si>
    <t>N032</t>
  </si>
  <si>
    <t>Doanh nghiệp Việt Nam cần làm gì để tận dụng hội nhập?</t>
  </si>
  <si>
    <t>N033</t>
  </si>
  <si>
    <t>Bạn đã hoàn thành mục 6.2: bản chất, tác động hai mặt và các phương hướng nâng cao hiệu quả hội nhập kinh tế quốc tế.</t>
  </si>
  <si>
    <t>N034</t>
  </si>
  <si>
    <t>III</t>
  </si>
  <si>
    <t>Kết thúc màn III</t>
  </si>
  <si>
    <t>N035</t>
  </si>
  <si>
    <t>Kết thúc toàn bộ game</t>
  </si>
  <si>
    <t>Đi từ khái niệm, tính tất yếu đến các hình thức và mức độ hội nhập.</t>
  </si>
  <si>
    <t>Tốt. Ta sẽ xây dựng bản đồ hội nhập từ nền tảng đến các cấp độ liên kết.</t>
  </si>
  <si>
    <t>Phân tích cơ hội, rủi ro trước rồi quay lại cơ sở lý luận.</t>
  </si>
  <si>
    <t>Được. Cơ hội và thách thức chỉ được hiểu đúng khi nắm bản chất hội nhập.</t>
  </si>
  <si>
    <t>Quá trình quốc gia gắn kết nền kinh tế của mình với kinh tế thế giới dựa trên chia sẻ lợi ích, tuân thủ chuẩn mực chung và tham gia phân công lao động quốc tế.</t>
  </si>
  <si>
    <t>Chính xác. Hội nhập bao gồm thương mại, đầu tư, dịch vụ, tài chính, công nghệ và các quan hệ khác.</t>
  </si>
  <si>
    <t>Đáp án đúng</t>
  </si>
  <si>
    <t>Chỉ là tăng xuất khẩu hàng hóa.</t>
  </si>
  <si>
    <t>Chưa đúng. Hội nhập bao gồm thương mại, đầu tư, dịch vụ, tài chính, công nghệ và các quan hệ khác.</t>
  </si>
  <si>
    <t>Đáp án nhiễu</t>
  </si>
  <si>
    <t>Là từ bỏ hoàn toàn quyền tự chủ.</t>
  </si>
  <si>
    <t>Do toàn cầu hóa và phân công lao động quốc tế làm các nền kinh tế ngày càng liên hệ, phụ thuộc lẫn nhau; hội nhập giúp tiếp cận thị trường và nguồn lực.</t>
  </si>
  <si>
    <t>Chính xác. Đứng ngoài xu thế có thể làm mất cơ hội, nhưng hội nhập phải có chiến lược và năng lực nội tại.</t>
  </si>
  <si>
    <t>Vì mọi quốc gia phải từ bỏ lợi ích riêng.</t>
  </si>
  <si>
    <t>Chưa đúng. Đứng ngoài xu thế có thể làm mất cơ hội, nhưng hội nhập phải có chiến lược và năng lực nội tại.</t>
  </si>
  <si>
    <t>Vì hội nhập luôn đem lại lợi ích tự động và không có rủi ro.</t>
  </si>
  <si>
    <t>Chuẩn bị điều kiện trong nước; tham gia các liên kết, tổ chức kinh tế quốc tế; thực hiện cam kết và điều chỉnh thể chế.</t>
  </si>
  <si>
    <t>Chính xác. Hội nhập là quá trình vừa đối ngoại vừa cải cách bên trong nền kinh tế.</t>
  </si>
  <si>
    <t>Chỉ ký văn bản đối ngoại, không cần cải cách trong nước.</t>
  </si>
  <si>
    <t>Chưa đúng. Hội nhập là quá trình vừa đối ngoại vừa cải cách bên trong nền kinh tế.</t>
  </si>
  <si>
    <t>Chỉ mở cửa nhập khẩu.</t>
  </si>
  <si>
    <t>Song phương, khu vực và toàn cầu thông qua thương mại, đầu tư, hợp tác kinh tế, hiệp định và tổ chức quốc tế.</t>
  </si>
  <si>
    <t>Chính xác. Các hình thức hội nhập có thể tồn tại đồng thời và bổ sung cho nhau.</t>
  </si>
  <si>
    <t>Chỉ có hội nhập toàn cầu.</t>
  </si>
  <si>
    <t>Chưa đúng. Các hình thức hội nhập có thể tồn tại đồng thời và bổ sung cho nhau.</t>
  </si>
  <si>
    <t>Chỉ có quan hệ ngoại giao chính trị.</t>
  </si>
  <si>
    <t>Thỏa thuận thương mại ưu đãi → khu vực mậu dịch tự do → liên minh thuế quan → thị trường chung → liên minh kinh tế - tiền tệ.</t>
  </si>
  <si>
    <t>Chính xác. Mức độ càng cao thì tự do hóa và phối hợp chính sách càng sâu.</t>
  </si>
  <si>
    <t>Liên minh kinh tế - tiền tệ → thỏa thuận ưu đãi → khu vực mậu dịch tự do.</t>
  </si>
  <si>
    <t>Chưa đúng. Mức độ càng cao thì tự do hóa và phối hợp chính sách càng sâu.</t>
  </si>
  <si>
    <t>Các mức độ hoàn toàn giống nhau.</t>
  </si>
  <si>
    <t>Không; hội nhập phải trên cơ sở bình đẳng, cùng có lợi và gắn với bảo vệ lợi ích, chủ quyền và năng lực tự chủ quốc gia.</t>
  </si>
  <si>
    <t>Chính xác. Gắn kết quốc tế không đồng nghĩa mất tự chủ.</t>
  </si>
  <si>
    <t>Có; phải chấp nhận mọi yêu cầu của đối tác.</t>
  </si>
  <si>
    <t>Chưa đúng. Gắn kết quốc tế không đồng nghĩa mất tự chủ.</t>
  </si>
  <si>
    <t>Có; quốc gia không còn cần chính sách riêng.</t>
  </si>
  <si>
    <t>Mở rộng thị trường, thu hút vốn và công nghệ, tiếp nhận kinh nghiệm quản lý, khai thác lợi thế so sánh và tham gia sâu hơn vào phân công lao động quốc tế.</t>
  </si>
  <si>
    <t>Chính xác. Nguồn lực bên ngoài có thể bổ sung nội lực và thúc đẩy tăng trưởng, chuyển dịch cơ cấu.</t>
  </si>
  <si>
    <t>Loại bỏ hoàn toàn cạnh tranh quốc tế.</t>
  </si>
  <si>
    <t>Chưa đúng. Nguồn lực bên ngoài có thể bổ sung nội lực và thúc đẩy tăng trưởng, chuyển dịch cơ cấu.</t>
  </si>
  <si>
    <t>Bảo đảm mọi ngành và nhóm dân cư nhận lợi ích như nhau.</t>
  </si>
  <si>
    <t>Tạo áp lực cải cách thể chế, nâng chất lượng sản phẩm, đổi mới công nghệ và chuyển dịch cơ cấu theo hướng hiệu quả hơn.</t>
  </si>
  <si>
    <t>Chính xác. Áp lực cạnh tranh có thể trở thành động lực nâng năng suất nếu thích ứng tốt.</t>
  </si>
  <si>
    <t>Làm doanh nghiệp không cần đổi mới.</t>
  </si>
  <si>
    <t>Chưa đúng. Áp lực cạnh tranh có thể trở thành động lực nâng năng suất nếu thích ứng tốt.</t>
  </si>
  <si>
    <t>Chỉ làm thay đổi số lượng hàng xuất khẩu.</t>
  </si>
  <si>
    <t>Nâng cao vị thế quốc gia, mở rộng hợp tác, tiếp thu thành tựu văn hóa - khoa học và tạo điều kiện củng cố quốc phòng, an ninh.</t>
  </si>
  <si>
    <t>Chính xác. Hội nhập kinh tế có tác động lan tỏa tới đối ngoại, tri thức và vị thế quốc gia.</t>
  </si>
  <si>
    <t>Làm quốc gia không cần quan hệ ngoại giao.</t>
  </si>
  <si>
    <t>Chưa đúng. Hội nhập kinh tế có tác động lan tỏa tới đối ngoại, tri thức và vị thế quốc gia.</t>
  </si>
  <si>
    <t>Tự động xóa bỏ mọi khác biệt phát triển.</t>
  </si>
  <si>
    <t>Cạnh tranh gay gắt có thể làm doanh nghiệp yếu bị thu hẹp; nguy cơ phụ thuộc thị trường, vốn, công nghệ và bị tác động bởi khủng hoảng bên ngoài.</t>
  </si>
  <si>
    <t>Chính xác. Nền kinh tế càng mở càng cần sức chống chịu, đa dạng hóa và năng lực tự chủ.</t>
  </si>
  <si>
    <t>Chỉ có rủi ro tỷ giá ngắn hạn.</t>
  </si>
  <si>
    <t>Chưa đúng. Nền kinh tế càng mở càng cần sức chống chịu, đa dạng hóa và năng lực tự chủ.</t>
  </si>
  <si>
    <t>Không có rủi ro nếu ký nhiều hiệp định.</t>
  </si>
  <si>
    <t>Phân hóa và thất nghiệp cục bộ; nguy cơ xói mòn bản sắc, ô nhiễm, tác động xã hội và các vấn đề an ninh kinh tế, dữ liệu.</t>
  </si>
  <si>
    <t>Chính xác. Hội nhập cần đi cùng chính sách xã hội, văn hóa, môi trường và an ninh.</t>
  </si>
  <si>
    <t>Hội nhập chỉ tác động đến doanh thu doanh nghiệp.</t>
  </si>
  <si>
    <t>Chưa đúng. Hội nhập cần đi cùng chính sách xã hội, văn hóa, môi trường và an ninh.</t>
  </si>
  <si>
    <t>Mọi dòng vốn và công nghệ bên ngoài đều an toàn.</t>
  </si>
  <si>
    <t>Do ngành, doanh nghiệp, vùng và người lao động có năng lực cạnh tranh, khả năng thích ứng và vị trí trong chuỗi giá trị khác nhau.</t>
  </si>
  <si>
    <t>Chính xác. Cần chính sách hỗ trợ chuyển đổi, đào tạo lại và an sinh.</t>
  </si>
  <si>
    <t>Vì mọi chủ thể có năng lực giống nhau.</t>
  </si>
  <si>
    <t>Chưa đúng. Cần chính sách hỗ trợ chuyển đổi, đào tạo lại và an sinh.</t>
  </si>
  <si>
    <t>Vì hội nhập chỉ đem lại chi phí.</t>
  </si>
  <si>
    <t>Nhận thức sâu sắc thời cơ và thách thức, coi hội nhập là sự nghiệp của toàn dân, trong đó doanh nghiệp và người lao động là lực lượng trực tiếp.</t>
  </si>
  <si>
    <t>Chính xác. Nhận thức đầy đủ giúp tránh cả tâm lý đóng cửa lẫn mở cửa thiếu chuẩn bị.</t>
  </si>
  <si>
    <t>Chỉ cơ quan đối ngoại cần hiểu hội nhập.</t>
  </si>
  <si>
    <t>Chưa đúng. Nhận thức đầy đủ giúp tránh cả tâm lý đóng cửa lẫn mở cửa thiếu chuẩn bị.</t>
  </si>
  <si>
    <t>Chỉ nhấn mạnh cơ hội và bỏ qua rủi ro.</t>
  </si>
  <si>
    <t>Xác định mục tiêu, đối tác, lĩnh vực, mức độ và bước đi phù hợp năng lực; chuẩn bị nguồn lực, giám sát và phương án xử lý tác động.</t>
  </si>
  <si>
    <t>Chính xác. Lộ trình phải dựa trên lợi ích quốc gia và năng lực thực thi.</t>
  </si>
  <si>
    <t>Chấp nhận mọi cam kết bất kể khả năng thực hiện.</t>
  </si>
  <si>
    <t>Chưa đúng. Lộ trình phải dựa trên lợi ích quốc gia và năng lực thực thi.</t>
  </si>
  <si>
    <t>Không cần chiến lược vì thị trường thế giới sẽ tự chọn hướng.</t>
  </si>
  <si>
    <t>Chủ động đàm phán, ký kết, thực hiện cam kết; tham gia xây dựng luật chơi và nâng năng lực giải quyết tranh chấp.</t>
  </si>
  <si>
    <t>Chính xác. Chủ động còn là chuẩn bị năng lực và đóng góp vào quá trình hình thành quy tắc.</t>
  </si>
  <si>
    <t>Chỉ ký hiệp định nhưng không tổ chức thực hiện.</t>
  </si>
  <si>
    <t>Chưa đúng. Chủ động còn là chuẩn bị năng lực và đóng góp vào quá trình hình thành quy tắc.</t>
  </si>
  <si>
    <t>Để đối tác quyết định hoàn toàn nội dung cam kết.</t>
  </si>
  <si>
    <t>Nội luật hóa cam kết phù hợp, bảo đảm minh bạch và khả năng dự đoán; cải cách thủ tục, nâng năng lực quản lý và hỗ trợ chủ thể đáp ứng tiêu chuẩn.</t>
  </si>
  <si>
    <t>Chính xác. Thể chế tốt giúp chuyển cam kết thành cơ hội và giảm rủi ro.</t>
  </si>
  <si>
    <t>Giữ quy định chồng chéo để tùy nghi xử lý.</t>
  </si>
  <si>
    <t>Chưa đúng. Thể chế tốt giúp chuyển cam kết thành cơ hội và giảm rủi ro.</t>
  </si>
  <si>
    <t>Chỉ sửa luật trên giấy, không nâng năng lực thực thi.</t>
  </si>
  <si>
    <t>Ổn định kinh tế vĩ mô, cải thiện môi trường kinh doanh, phát triển hạ tầng và nhân lực, đổi mới công nghệ, nâng chất lượng doanh nghiệp và sản phẩm.</t>
  </si>
  <si>
    <t>Chính xác. Năng lực cạnh tranh là nền tảng để biến mở cửa thành tăng trưởng bền vững.</t>
  </si>
  <si>
    <t>Dựa chủ yếu vào tài nguyên thô và lao động giá rẻ.</t>
  </si>
  <si>
    <t>Chưa đúng. Năng lực cạnh tranh là nền tảng để biến mở cửa thành tăng trưởng bền vững.</t>
  </si>
  <si>
    <t>Bảo hộ vô thời hạn mọi doanh nghiệp.</t>
  </si>
  <si>
    <t>Nâng cao nội lực, đa dạng hóa thị trường và đối tác, bảo đảm các cân đối lớn và ngành thiết yếu, tăng khả năng chống chịu nhưng không đóng cửa.</t>
  </si>
  <si>
    <t>Chính xác. Độc lập, tự chủ là khả năng tự quyết và chống chịu, không phải tự cô lập.</t>
  </si>
  <si>
    <t>Cắt đứt quan hệ kinh tế quốc tế.</t>
  </si>
  <si>
    <t>Chưa đúng. Độc lập, tự chủ là khả năng tự quyết và chống chịu, không phải tự cô lập.</t>
  </si>
  <si>
    <t>Phụ thuộc vào một nguồn vốn, công nghệ và thị trường duy nhất.</t>
  </si>
  <si>
    <t>Độc lập, tự chủ là nền tảng để hội nhập hiệu quả; hội nhập hiệu quả lại bổ sung nguồn lực và vị thế để củng cố tự chủ.</t>
  </si>
  <si>
    <t>Chính xác. Hai mặt có quan hệ biện chứng và hỗ trợ lẫn nhau.</t>
  </si>
  <si>
    <t>Hai mục tiêu hoàn toàn đối lập.</t>
  </si>
  <si>
    <t>Chưa đúng. Hai mặt có quan hệ biện chứng và hỗ trợ lẫn nhau.</t>
  </si>
  <si>
    <t>Hội nhập càng sâu thì không còn cần tự chủ.</t>
  </si>
  <si>
    <t>Nâng chất lượng quản trị, công nghệ, nhân lực, tiêu chuẩn sản phẩm, hiểu cam kết và chủ động tham gia chuỗi giá trị.</t>
  </si>
  <si>
    <t>Chính xác. Doanh nghiệp là lực lượng trực tiếp biến cơ hội thị trường thành giá trị gia tăng.</t>
  </si>
  <si>
    <t>Chỉ chờ ưu đãi và bảo hộ.</t>
  </si>
  <si>
    <t>Chưa đúng. Doanh nghiệp là lực lượng trực tiếp biến cơ hội thị trường thành giá trị gia tăng.</t>
  </si>
  <si>
    <t>Cạnh tranh chủ yếu bằng giảm lương, bỏ qua chất lượng và môi trường.</t>
  </si>
  <si>
    <t>Lê Ngọc</t>
  </si>
  <si>
    <t>Lê Đặng Nhật Huy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</si>
</sst>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6"/>
      <color rgb="FFFFFFFF"/>
      <name val="Carlito"/>
    </font>
    <font>
      <i/>
      <sz val="10"/>
      <color rgb="FF17365D"/>
      <name val="Carlito"/>
    </font>
    <font>
      <b/>
      <sz val="11"/>
      <color rgb="FFFFFFFF"/>
      <name val="Carlito"/>
    </font>
    <font>
      <b/>
      <sz val="10"/>
      <color rgb="FFFFFFFF"/>
      <name val="Carlito"/>
    </font>
    <font>
      <b/>
      <sz val="14"/>
      <color rgb="FF17365D"/>
      <name val="Carlito"/>
    </font>
    <font>
      <sz val="11"/>
      <name val="Carlito"/>
    </font>
  </fonts>
  <fills count="11">
    <fill>
      <patternFill patternType="none"/>
    </fill>
    <fill>
      <patternFill patternType="gray125"/>
    </fill>
    <fill>
      <patternFill patternType="solid">
        <fgColor rgb="FF17365D"/>
      </patternFill>
    </fill>
    <fill>
      <patternFill patternType="solid">
        <fgColor rgb="FFD9EAF7"/>
      </patternFill>
    </fill>
    <fill>
      <patternFill patternType="solid">
        <fgColor rgb="FF0F6B78"/>
      </patternFill>
    </fill>
    <fill>
      <patternFill patternType="solid">
        <fgColor rgb="FF1F4E78"/>
      </patternFill>
    </fill>
    <fill>
      <patternFill patternType="solid">
        <fgColor rgb="FFFFF2CC"/>
      </patternFill>
    </fill>
    <fill>
      <patternFill patternType="solid">
        <fgColor rgb="FFE7E6E6"/>
      </patternFill>
    </fill>
    <fill>
      <patternFill patternType="solid">
        <fgColor rgb="FFE2F0D9"/>
      </patternFill>
    </fill>
    <fill>
      <patternFill patternType="solid">
        <fgColor rgb="FFFCE4D6"/>
      </patternFill>
    </fill>
    <fill>
      <patternFill patternType="solid">
        <fgColor rgb="FFFFF9E6"/>
      </patternFill>
    </fill>
  </fills>
  <borders count="1">
    <border>
      <left/>
      <right/>
      <top/>
      <bottom/>
      <diagonal/>
    </border>
  </borders>
  <cellStyleXfs count="3">
    <xf numFmtId="0" fontId="0" fillId="0" borderId="0"/>
    <xf numFmtId="0" fontId="6" fillId="0" borderId="0"/>
    <xf numFmtId="0" fontId="6" fillId="0" borderId="0"/>
  </cellStyleXfs>
  <cellXfs count="21">
    <xf numFmtId="0" fontId="0" fillId="0" borderId="0" xfId="0"/>
    <xf numFmtId="0" fontId="4" fillId="5" borderId="0" xfId="1" applyFont="1" applyFill="1" applyAlignment="1">
      <alignment horizontal="center" vertical="center" wrapText="1"/>
    </xf>
    <xf numFmtId="0" fontId="0" fillId="0" borderId="0" xfId="1" applyFont="1" applyAlignment="1">
      <alignment wrapText="1"/>
    </xf>
    <xf numFmtId="0" fontId="0" fillId="0" borderId="0" xfId="1" applyFont="1" applyAlignment="1">
      <alignment vertical="top" wrapText="1"/>
    </xf>
    <xf numFmtId="0" fontId="0" fillId="0" borderId="0" xfId="1" applyFont="1" applyAlignment="1">
      <alignment horizontal="center" vertical="top" wrapText="1"/>
    </xf>
    <xf numFmtId="0" fontId="0" fillId="6" borderId="0" xfId="1" applyFont="1" applyFill="1" applyAlignment="1">
      <alignment wrapText="1"/>
    </xf>
    <xf numFmtId="0" fontId="0" fillId="7" borderId="0" xfId="1" applyFont="1" applyFill="1" applyAlignment="1">
      <alignment wrapText="1"/>
    </xf>
    <xf numFmtId="0" fontId="0" fillId="8" borderId="0" xfId="1" applyFont="1" applyFill="1" applyAlignment="1">
      <alignment wrapText="1"/>
    </xf>
    <xf numFmtId="0" fontId="0" fillId="9" borderId="0" xfId="1" applyFont="1" applyFill="1" applyAlignment="1">
      <alignment wrapText="1"/>
    </xf>
    <xf numFmtId="0" fontId="0" fillId="0" borderId="0" xfId="1" applyFont="1" applyAlignment="1">
      <alignment horizontal="center" wrapText="1"/>
    </xf>
    <xf numFmtId="0" fontId="0" fillId="3" borderId="0" xfId="1" applyFont="1" applyFill="1" applyAlignment="1">
      <alignment wrapText="1"/>
    </xf>
    <xf numFmtId="0" fontId="0" fillId="10" borderId="0" xfId="1" applyFont="1" applyFill="1" applyAlignment="1">
      <alignment wrapText="1"/>
    </xf>
    <xf numFmtId="0" fontId="0" fillId="3" borderId="0" xfId="1" applyFont="1" applyFill="1" applyAlignment="1">
      <alignment horizontal="center" wrapText="1"/>
    </xf>
    <xf numFmtId="0" fontId="0" fillId="6" borderId="0" xfId="1" applyFont="1" applyFill="1" applyAlignment="1">
      <alignment horizontal="center" wrapText="1"/>
    </xf>
    <xf numFmtId="0" fontId="5" fillId="3" borderId="0" xfId="1" applyFont="1" applyFill="1" applyAlignment="1">
      <alignment horizontal="center"/>
    </xf>
    <xf numFmtId="0" fontId="0" fillId="6" borderId="0" xfId="2" applyFont="1" applyFill="1" applyAlignment="1">
      <alignment wrapText="1"/>
    </xf>
    <xf numFmtId="0" fontId="0" fillId="6" borderId="0" xfId="2" applyFont="1" applyFill="1" applyAlignment="1">
      <alignment horizontal="center" wrapText="1"/>
    </xf>
    <xf numFmtId="0" fontId="0" fillId="7" borderId="0" xfId="2" applyFont="1" applyFill="1" applyAlignment="1">
      <alignment wrapText="1"/>
    </xf>
    <xf numFmtId="0" fontId="3" fillId="4" borderId="0" xfId="1" applyFont="1" applyFill="1" applyAlignment="1">
      <alignment vertical="center"/>
    </xf>
    <xf numFmtId="0" fontId="1" fillId="2" borderId="0" xfId="1" applyFont="1" applyFill="1" applyAlignment="1">
      <alignment horizontal="center" vertical="center"/>
    </xf>
    <xf numFmtId="0" fontId="2" fillId="3" borderId="0" xfId="1" applyFont="1" applyFill="1" applyAlignment="1">
      <alignment vertical="center" wrapText="1"/>
    </xf>
  </cellXfs>
  <cellStyles count="3">
    <cellStyle name="Bình thường" xfId="2" xr:uid="{00000000-0005-0000-0000-000000000000}"/>
    <cellStyle name="Normal" xfId="0" builtinId="0"/>
    <cellStyle name="Normal 2" xfId="1" xr:uid="{00000000-0005-0000-0000-000001000000}"/>
  </cellStyles>
  <dxfs count="22">
    <dxf>
      <font>
        <b/>
        <color rgb="FFC00000"/>
      </font>
      <fill>
        <patternFill>
          <bgColor rgb="FFFCE4D6"/>
        </patternFill>
      </fill>
    </dxf>
    <dxf>
      <font>
        <b/>
        <color rgb="FF548235"/>
      </font>
      <fill>
        <patternFill>
          <bgColor rgb="FFE2F0D9"/>
        </patternFill>
      </fill>
    </dxf>
    <dxf>
      <font>
        <b/>
        <color rgb="FFC00000"/>
      </font>
      <fill>
        <patternFill>
          <bgColor rgb="FFFCE4D6"/>
        </patternFill>
      </fill>
    </dxf>
    <dxf>
      <font>
        <b/>
        <color rgb="FF548235"/>
      </font>
      <fill>
        <patternFill>
          <bgColor rgb="FFE2F0D9"/>
        </patternFill>
      </fill>
    </dxf>
    <dxf>
      <font>
        <b/>
        <color rgb="FF9C6500"/>
      </font>
      <fill>
        <patternFill>
          <bgColor rgb="FFFFF2CC"/>
        </patternFill>
      </fill>
    </dxf>
    <dxf>
      <font>
        <b/>
        <color rgb="FFC00000"/>
      </font>
      <fill>
        <patternFill>
          <bgColor rgb="FFFCE4D6"/>
        </patternFill>
      </fill>
    </dxf>
    <dxf>
      <font>
        <b/>
        <color rgb="FF548235"/>
      </font>
      <fill>
        <patternFill>
          <bgColor rgb="FFE2F0D9"/>
        </patternFill>
      </fill>
    </dxf>
    <dxf>
      <font>
        <b/>
        <color rgb="FF548235"/>
      </font>
      <fill>
        <patternFill>
          <bgColor rgb="FFE2F0D9"/>
        </patternFill>
      </fill>
    </dxf>
    <dxf>
      <font>
        <color rgb="FFC00000"/>
      </font>
      <fill>
        <patternFill>
          <bgColor rgb="FFFCE4D6"/>
        </patternFill>
      </fill>
    </dxf>
    <dxf>
      <font>
        <b/>
        <color rgb="FFC00000"/>
      </font>
      <fill>
        <patternFill>
          <bgColor rgb="FFFCE4D6"/>
        </patternFill>
      </fill>
    </dxf>
    <dxf>
      <font>
        <b/>
        <color rgb="FF548235"/>
      </font>
      <fill>
        <patternFill>
          <bgColor rgb="FFE2F0D9"/>
        </patternFill>
      </fill>
    </dxf>
    <dxf>
      <fill>
        <patternFill>
          <bgColor rgb="FFFFF9E6"/>
        </patternFill>
      </fill>
    </dxf>
    <dxf>
      <font>
        <b/>
      </font>
      <fill>
        <patternFill>
          <bgColor rgb="FFE2F0D9"/>
        </patternFill>
      </fill>
    </dxf>
    <dxf>
      <font>
        <color rgb="FFC00000"/>
      </font>
      <fill>
        <patternFill>
          <bgColor rgb="FFFCE4D6"/>
        </patternFill>
      </fill>
    </dxf>
    <dxf>
      <font>
        <b/>
        <color rgb="FFC00000"/>
      </font>
      <fill>
        <patternFill>
          <bgColor rgb="FFFCE4D6"/>
        </patternFill>
      </fill>
    </dxf>
    <dxf>
      <font>
        <b/>
        <color rgb="FF548235"/>
      </font>
      <fill>
        <patternFill>
          <bgColor rgb="FFE2F0D9"/>
        </patternFill>
      </fill>
    </dxf>
    <dxf>
      <fill>
        <patternFill>
          <bgColor rgb="FFFFF9E6"/>
        </patternFill>
      </fill>
    </dxf>
    <dxf>
      <fill>
        <patternFill>
          <bgColor rgb="FFE2F0D9"/>
        </patternFill>
      </fill>
    </dxf>
    <dxf>
      <fill>
        <patternFill>
          <bgColor rgb="FFE4DFEC"/>
        </patternFill>
      </fill>
    </dxf>
    <dxf>
      <fill>
        <patternFill>
          <bgColor rgb="FFD9EAF7"/>
        </patternFill>
      </fill>
    </dxf>
    <dxf>
      <font>
        <b/>
        <color rgb="FFC00000"/>
      </font>
      <fill>
        <patternFill>
          <bgColor rgb="FFFCE4D6"/>
        </patternFill>
      </fill>
    </dxf>
    <dxf>
      <font>
        <b/>
        <color rgb="FF548235"/>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vieMetadataTable" displayName="MovieMetadataTable" ref="A4:E16">
  <tableColumns count="5">
    <tableColumn id="1" xr3:uid="{00000000-0010-0000-0000-000001000000}" name="Trường kỹ thuật"/>
    <tableColumn id="2" xr3:uid="{00000000-0010-0000-0000-000002000000}" name="Bắt buộc"/>
    <tableColumn id="3" xr3:uid="{00000000-0010-0000-0000-000003000000}" name="Giá trị"/>
    <tableColumn id="4" xr3:uid="{00000000-0010-0000-0000-000004000000}" name="Ví dụ"/>
    <tableColumn id="5" xr3:uid="{00000000-0010-0000-0000-000005000000}" name="Quy tắc / Ghi chú"/>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riptNodesTable" displayName="ScriptNodesTable" ref="A4:N204">
  <tableColumns count="14">
    <tableColumn id="1" xr3:uid="{00000000-0010-0000-0100-000001000000}" name="NodeOrder*"/>
    <tableColumn id="2" xr3:uid="{00000000-0010-0000-0100-000002000000}" name="NodeId*"/>
    <tableColumn id="3" xr3:uid="{00000000-0010-0000-0100-000003000000}" name="ActNo"/>
    <tableColumn id="4" xr3:uid="{00000000-0010-0000-0100-000004000000}" name="NodeType*"/>
    <tableColumn id="5" xr3:uid="{00000000-0010-0000-0100-000005000000}" name="ChoiceMode"/>
    <tableColumn id="6" xr3:uid="{00000000-0010-0000-0100-000006000000}" name="Background"/>
    <tableColumn id="7" xr3:uid="{00000000-0010-0000-0100-000007000000}" name="SceneName"/>
    <tableColumn id="8" xr3:uid="{00000000-0010-0000-0100-000008000000}" name="SpeakerKey"/>
    <tableColumn id="9" xr3:uid="{00000000-0010-0000-0100-000009000000}" name="Mood"/>
    <tableColumn id="10" xr3:uid="{00000000-0010-0000-0100-00000A000000}" name="Text / Question"/>
    <tableColumn id="11" xr3:uid="{00000000-0010-0000-0100-00000B000000}" name="ActRoman"/>
    <tableColumn id="12" xr3:uid="{00000000-0010-0000-0100-00000C000000}" name="Ghi chú biên soạn"/>
    <tableColumn id="13" xr3:uid="{00000000-0010-0000-0100-00000D000000}" name="Trạng thái"/>
    <tableColumn id="14" xr3:uid="{00000000-0010-0000-0100-00000E000000}" name="Lỗi cấu trú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hoiceOptionsTable" displayName="ChoiceOptionsTable" ref="A4:K404">
  <tableColumns count="11">
    <tableColumn id="1" xr3:uid="{00000000-0010-0000-0200-000001000000}" name="ChoiceNodeId*"/>
    <tableColumn id="2" xr3:uid="{00000000-0010-0000-0200-000002000000}" name="OptionOrder*"/>
    <tableColumn id="3" xr3:uid="{00000000-0010-0000-0200-000003000000}" name="OptionText*"/>
    <tableColumn id="4" xr3:uid="{00000000-0010-0000-0200-000004000000}" name="IsCorrect*"/>
    <tableColumn id="5" xr3:uid="{00000000-0010-0000-0200-000005000000}" name="dc"/>
    <tableColumn id="6" xr3:uid="{00000000-0010-0000-0200-000006000000}" name="ReplySpeaker*"/>
    <tableColumn id="7" xr3:uid="{00000000-0010-0000-0200-000007000000}" name="ReplyMood"/>
    <tableColumn id="8" xr3:uid="{00000000-0010-0000-0200-000008000000}" name="ReplyText*"/>
    <tableColumn id="9" xr3:uid="{00000000-0010-0000-0200-000009000000}" name="Ghi chú"/>
    <tableColumn id="10" xr3:uid="{00000000-0010-0000-0200-00000A000000}" name="Trạng thái"/>
    <tableColumn id="11" xr3:uid="{00000000-0010-0000-0200-00000B000000}" name="Lỗi cấu trúc"/>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racterCatalogTable" displayName="CharacterCatalogTable" ref="A5:C20">
  <tableColumns count="3">
    <tableColumn id="1" xr3:uid="{00000000-0010-0000-0300-000001000000}" name="SpeakerKey"/>
    <tableColumn id="2" xr3:uid="{00000000-0010-0000-0300-000002000000}" name="Tên hiển thị"/>
    <tableColumn id="3" xr3:uid="{00000000-0010-0000-0300-000003000000}" name="Vai trò"/>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ceneCatalogTable" displayName="SceneCatalogTable" ref="D5:F20">
  <tableColumns count="3">
    <tableColumn id="1" xr3:uid="{00000000-0010-0000-0400-000001000000}" name="BackgroundKey"/>
    <tableColumn id="2" xr3:uid="{00000000-0010-0000-0400-000002000000}" name="Mô tả"/>
    <tableColumn id="3" xr3:uid="{00000000-0010-0000-0400-000003000000}" name="Tình trạng asse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oodCatalogTable" displayName="MoodCatalogTable" ref="G5:H9">
  <tableColumns count="2">
    <tableColumn id="1" xr3:uid="{00000000-0010-0000-0500-000001000000}" name="MoodKey"/>
    <tableColumn id="2" xr3:uid="{00000000-0010-0000-0500-000002000000}" name="Ý nghĩa gợi ý"/>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NodeTypeCatalogTable" displayName="NodeTypeCatalogTable" ref="J5:L10">
  <tableColumns count="3">
    <tableColumn id="1" xr3:uid="{00000000-0010-0000-0600-000001000000}" name="NodeType"/>
    <tableColumn id="2" xr3:uid="{00000000-0010-0000-0600-000002000000}" name="Trường bắt buộc"/>
    <tableColumn id="3" xr3:uid="{00000000-0010-0000-0600-000003000000}" name="Object đầu r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workbookViewId="0">
      <selection sqref="A1:H1"/>
    </sheetView>
  </sheetViews>
  <sheetFormatPr defaultRowHeight="14.25"/>
  <cols>
    <col min="1" max="1" width="18" customWidth="1"/>
    <col min="2" max="2" width="26" customWidth="1"/>
    <col min="3" max="3" width="40" customWidth="1"/>
    <col min="4" max="4" width="38" customWidth="1"/>
    <col min="5" max="5" width="24" customWidth="1"/>
    <col min="6" max="8" width="4" customWidth="1"/>
  </cols>
  <sheetData>
    <row r="1" spans="1:8" ht="30" customHeight="1">
      <c r="A1" s="19" t="s">
        <v>0</v>
      </c>
      <c r="B1" s="19"/>
      <c r="C1" s="19"/>
      <c r="D1" s="19"/>
      <c r="E1" s="19"/>
      <c r="F1" s="19"/>
      <c r="G1" s="19"/>
      <c r="H1" s="19"/>
    </row>
    <row r="2" spans="1:8" ht="36" customHeight="1">
      <c r="A2" s="20" t="s">
        <v>1</v>
      </c>
      <c r="B2" s="20"/>
      <c r="C2" s="20"/>
      <c r="D2" s="20"/>
      <c r="E2" s="20"/>
      <c r="F2" s="20"/>
      <c r="G2" s="20"/>
      <c r="H2" s="20"/>
    </row>
    <row r="4" spans="1:8" ht="24" customHeight="1">
      <c r="A4" s="18" t="s">
        <v>2</v>
      </c>
      <c r="B4" s="18"/>
      <c r="C4" s="18"/>
      <c r="D4" s="18"/>
      <c r="E4" s="18"/>
      <c r="F4" s="18"/>
      <c r="G4" s="18"/>
      <c r="H4" s="18"/>
    </row>
    <row r="5" spans="1:8" ht="39.950000000000003" customHeight="1">
      <c r="A5" s="1" t="s">
        <v>3</v>
      </c>
      <c r="B5" s="1" t="s">
        <v>4</v>
      </c>
      <c r="C5" s="1" t="s">
        <v>5</v>
      </c>
      <c r="D5" s="1" t="s">
        <v>6</v>
      </c>
      <c r="E5" s="1" t="s">
        <v>7</v>
      </c>
      <c r="F5" s="1"/>
      <c r="G5" s="1"/>
      <c r="H5" s="1"/>
    </row>
    <row r="6" spans="1:8" ht="28.5">
      <c r="A6" s="4">
        <v>1</v>
      </c>
      <c r="B6" s="3" t="s">
        <v>8</v>
      </c>
      <c r="C6" s="3" t="s">
        <v>9</v>
      </c>
      <c r="D6" s="3" t="s">
        <v>10</v>
      </c>
      <c r="E6" s="3" t="s">
        <v>11</v>
      </c>
      <c r="F6" s="3"/>
      <c r="G6" s="3"/>
      <c r="H6" s="3"/>
    </row>
    <row r="7" spans="1:8" ht="28.5">
      <c r="A7" s="4">
        <v>2</v>
      </c>
      <c r="B7" s="3" t="s">
        <v>8</v>
      </c>
      <c r="C7" s="3" t="s">
        <v>12</v>
      </c>
      <c r="D7" s="3" t="s">
        <v>13</v>
      </c>
      <c r="E7" s="3" t="s">
        <v>14</v>
      </c>
      <c r="F7" s="3"/>
      <c r="G7" s="3"/>
      <c r="H7" s="3"/>
    </row>
    <row r="8" spans="1:8" ht="28.5">
      <c r="A8" s="4">
        <v>3</v>
      </c>
      <c r="B8" s="3" t="s">
        <v>8</v>
      </c>
      <c r="C8" s="3" t="s">
        <v>15</v>
      </c>
      <c r="D8" s="3" t="s">
        <v>16</v>
      </c>
      <c r="E8" s="3" t="s">
        <v>17</v>
      </c>
      <c r="F8" s="3"/>
      <c r="G8" s="3"/>
      <c r="H8" s="3"/>
    </row>
    <row r="9" spans="1:8" ht="28.5">
      <c r="A9" s="4">
        <v>4</v>
      </c>
      <c r="B9" s="3" t="s">
        <v>18</v>
      </c>
      <c r="C9" s="3" t="s">
        <v>19</v>
      </c>
      <c r="D9" s="3" t="s">
        <v>20</v>
      </c>
      <c r="E9" s="3" t="s">
        <v>21</v>
      </c>
      <c r="F9" s="3"/>
      <c r="G9" s="3"/>
      <c r="H9" s="3"/>
    </row>
    <row r="10" spans="1:8" ht="28.5">
      <c r="A10" s="4">
        <v>5</v>
      </c>
      <c r="B10" s="3" t="s">
        <v>22</v>
      </c>
      <c r="C10" s="3" t="s">
        <v>23</v>
      </c>
      <c r="D10" s="3" t="s">
        <v>24</v>
      </c>
      <c r="E10" s="3" t="s">
        <v>25</v>
      </c>
      <c r="F10" s="3"/>
      <c r="G10" s="3"/>
      <c r="H10" s="3"/>
    </row>
    <row r="12" spans="1:8" ht="24" customHeight="1">
      <c r="A12" s="18" t="s">
        <v>26</v>
      </c>
      <c r="B12" s="18"/>
      <c r="C12" s="18"/>
      <c r="D12" s="18"/>
      <c r="E12" s="18"/>
      <c r="F12" s="18"/>
      <c r="G12" s="18"/>
      <c r="H12" s="18"/>
    </row>
    <row r="13" spans="1:8" ht="39.950000000000003" customHeight="1">
      <c r="A13" s="1" t="s">
        <v>27</v>
      </c>
      <c r="B13" s="1" t="s">
        <v>28</v>
      </c>
      <c r="C13" s="1" t="s">
        <v>29</v>
      </c>
      <c r="D13" s="1"/>
      <c r="E13" s="1"/>
      <c r="F13" s="1"/>
      <c r="G13" s="1"/>
      <c r="H13" s="1"/>
    </row>
    <row r="14" spans="1:8" ht="28.5">
      <c r="A14" s="5" t="s">
        <v>30</v>
      </c>
      <c r="B14" s="2" t="s">
        <v>31</v>
      </c>
      <c r="C14" s="2" t="s">
        <v>32</v>
      </c>
      <c r="D14" s="2"/>
      <c r="E14" s="2"/>
      <c r="F14" s="2"/>
      <c r="G14" s="2"/>
      <c r="H14" s="2"/>
    </row>
    <row r="15" spans="1:8" ht="28.5">
      <c r="A15" s="6" t="s">
        <v>33</v>
      </c>
      <c r="B15" s="2" t="s">
        <v>34</v>
      </c>
      <c r="C15" s="2" t="s">
        <v>35</v>
      </c>
      <c r="D15" s="2"/>
      <c r="E15" s="2"/>
      <c r="F15" s="2"/>
      <c r="G15" s="2"/>
      <c r="H15" s="2"/>
    </row>
    <row r="16" spans="1:8" ht="28.5">
      <c r="A16" s="7" t="s">
        <v>36</v>
      </c>
      <c r="B16" s="2" t="s">
        <v>37</v>
      </c>
      <c r="C16" s="2" t="s">
        <v>38</v>
      </c>
      <c r="D16" s="2"/>
      <c r="E16" s="2"/>
      <c r="F16" s="2"/>
      <c r="G16" s="2"/>
      <c r="H16" s="2"/>
    </row>
    <row r="17" spans="1:8" ht="28.5">
      <c r="A17" s="8" t="s">
        <v>39</v>
      </c>
      <c r="B17" s="2" t="s">
        <v>40</v>
      </c>
      <c r="C17" s="2" t="s">
        <v>41</v>
      </c>
      <c r="D17" s="2"/>
      <c r="E17" s="2"/>
      <c r="F17" s="2"/>
      <c r="G17" s="2"/>
      <c r="H17" s="2"/>
    </row>
    <row r="19" spans="1:8" ht="24" customHeight="1">
      <c r="A19" s="18" t="s">
        <v>42</v>
      </c>
      <c r="B19" s="18"/>
      <c r="C19" s="18"/>
      <c r="D19" s="18"/>
      <c r="E19" s="18"/>
      <c r="F19" s="18"/>
      <c r="G19" s="18"/>
      <c r="H19" s="18"/>
    </row>
    <row r="20" spans="1:8" ht="39.950000000000003" customHeight="1">
      <c r="A20" s="1" t="s">
        <v>43</v>
      </c>
      <c r="B20" s="1" t="s">
        <v>44</v>
      </c>
      <c r="C20" s="1" t="s">
        <v>45</v>
      </c>
      <c r="D20" s="1" t="s">
        <v>46</v>
      </c>
      <c r="E20" s="1"/>
      <c r="F20" s="1"/>
      <c r="G20" s="1"/>
      <c r="H20" s="1"/>
    </row>
    <row r="21" spans="1:8" ht="57">
      <c r="A21" s="2" t="s">
        <v>47</v>
      </c>
      <c r="B21" s="2" t="s">
        <v>48</v>
      </c>
      <c r="C21" s="9" t="s">
        <v>49</v>
      </c>
      <c r="D21" s="2" t="s">
        <v>50</v>
      </c>
      <c r="E21" s="2"/>
      <c r="F21" s="2"/>
      <c r="G21" s="2"/>
      <c r="H21" s="2"/>
    </row>
    <row r="22" spans="1:8" ht="42.75">
      <c r="A22" s="2" t="s">
        <v>51</v>
      </c>
      <c r="B22" s="2" t="s">
        <v>52</v>
      </c>
      <c r="C22" s="9" t="s">
        <v>49</v>
      </c>
      <c r="D22" s="2" t="s">
        <v>53</v>
      </c>
      <c r="E22" s="2"/>
      <c r="F22" s="2"/>
      <c r="G22" s="2"/>
      <c r="H22" s="2"/>
    </row>
    <row r="23" spans="1:8" ht="57">
      <c r="A23" s="2" t="s">
        <v>54</v>
      </c>
      <c r="B23" s="2" t="s">
        <v>55</v>
      </c>
      <c r="C23" s="9" t="s">
        <v>49</v>
      </c>
      <c r="D23" s="2" t="s">
        <v>56</v>
      </c>
      <c r="E23" s="2"/>
      <c r="F23" s="2"/>
      <c r="G23" s="2"/>
      <c r="H23" s="2"/>
    </row>
    <row r="24" spans="1:8" ht="57">
      <c r="A24" s="2" t="s">
        <v>57</v>
      </c>
      <c r="B24" s="2" t="s">
        <v>58</v>
      </c>
      <c r="C24" s="9" t="s">
        <v>49</v>
      </c>
      <c r="D24" s="2" t="s">
        <v>59</v>
      </c>
      <c r="E24" s="2"/>
      <c r="F24" s="2"/>
      <c r="G24" s="2"/>
      <c r="H24" s="2"/>
    </row>
    <row r="25" spans="1:8" ht="57">
      <c r="A25" s="2" t="s">
        <v>60</v>
      </c>
      <c r="B25" s="2" t="s">
        <v>61</v>
      </c>
      <c r="C25" s="9" t="s">
        <v>49</v>
      </c>
      <c r="D25" s="2" t="s">
        <v>62</v>
      </c>
      <c r="E25" s="2"/>
      <c r="F25" s="2"/>
      <c r="G25" s="2"/>
      <c r="H25" s="2"/>
    </row>
    <row r="26" spans="1:8" ht="57">
      <c r="A26" s="2" t="s">
        <v>63</v>
      </c>
      <c r="B26" s="2" t="s">
        <v>64</v>
      </c>
      <c r="C26" s="9" t="s">
        <v>49</v>
      </c>
      <c r="D26" s="2" t="s">
        <v>65</v>
      </c>
      <c r="E26" s="2"/>
      <c r="F26" s="2"/>
      <c r="G26" s="2"/>
      <c r="H26" s="2"/>
    </row>
    <row r="27" spans="1:8" ht="42.75">
      <c r="A27" s="2" t="s">
        <v>66</v>
      </c>
      <c r="B27" s="2" t="s">
        <v>67</v>
      </c>
      <c r="C27" s="9" t="s">
        <v>68</v>
      </c>
      <c r="D27" s="2" t="s">
        <v>69</v>
      </c>
      <c r="E27" s="2"/>
      <c r="F27" s="2"/>
      <c r="G27" s="2"/>
      <c r="H27" s="2"/>
    </row>
    <row r="28" spans="1:8" ht="42.75">
      <c r="A28" s="2" t="s">
        <v>70</v>
      </c>
      <c r="B28" s="2" t="s">
        <v>71</v>
      </c>
      <c r="C28" s="9" t="s">
        <v>49</v>
      </c>
      <c r="D28" s="2" t="s">
        <v>72</v>
      </c>
      <c r="E28" s="2"/>
      <c r="F28" s="2"/>
      <c r="G28" s="2"/>
      <c r="H28" s="2"/>
    </row>
    <row r="30" spans="1:8" ht="24" customHeight="1">
      <c r="A30" s="18" t="s">
        <v>73</v>
      </c>
      <c r="B30" s="18"/>
      <c r="C30" s="18"/>
      <c r="D30" s="18"/>
      <c r="E30" s="18"/>
      <c r="F30" s="18"/>
      <c r="G30" s="18"/>
      <c r="H30" s="18"/>
    </row>
    <row r="31" spans="1:8" ht="39.950000000000003" customHeight="1">
      <c r="A31" s="1" t="s">
        <v>74</v>
      </c>
      <c r="B31" s="1" t="s">
        <v>75</v>
      </c>
      <c r="C31" s="1"/>
      <c r="D31" s="1"/>
      <c r="E31" s="1"/>
      <c r="F31" s="1"/>
      <c r="G31" s="1"/>
      <c r="H31" s="1"/>
    </row>
    <row r="32" spans="1:8" ht="28.5">
      <c r="A32" s="2" t="s">
        <v>76</v>
      </c>
      <c r="B32" s="2" t="s">
        <v>77</v>
      </c>
      <c r="C32" s="2"/>
      <c r="D32" s="2"/>
      <c r="E32" s="2"/>
      <c r="F32" s="2"/>
      <c r="G32" s="2"/>
      <c r="H32" s="2"/>
    </row>
    <row r="33" spans="1:8" ht="42.75">
      <c r="A33" s="2" t="s">
        <v>78</v>
      </c>
      <c r="B33" s="2" t="s">
        <v>79</v>
      </c>
      <c r="C33" s="2"/>
      <c r="D33" s="2"/>
      <c r="E33" s="2"/>
      <c r="F33" s="2"/>
      <c r="G33" s="2"/>
      <c r="H33" s="2"/>
    </row>
    <row r="34" spans="1:8" ht="42.75">
      <c r="A34" s="2" t="s">
        <v>80</v>
      </c>
      <c r="B34" s="2" t="s">
        <v>81</v>
      </c>
      <c r="C34" s="2"/>
      <c r="D34" s="2"/>
      <c r="E34" s="2"/>
      <c r="F34" s="2"/>
      <c r="G34" s="2"/>
      <c r="H34" s="2"/>
    </row>
    <row r="35" spans="1:8" ht="42.75">
      <c r="A35" s="2" t="s">
        <v>82</v>
      </c>
      <c r="B35" s="2" t="s">
        <v>83</v>
      </c>
      <c r="C35" s="2"/>
      <c r="D35" s="2"/>
      <c r="E35" s="2"/>
      <c r="F35" s="2"/>
      <c r="G35" s="2"/>
      <c r="H35" s="2"/>
    </row>
    <row r="37" spans="1:8" ht="39.950000000000003" customHeight="1">
      <c r="A37" s="1" t="s">
        <v>84</v>
      </c>
      <c r="B37" s="1" t="s">
        <v>85</v>
      </c>
      <c r="C37" s="1"/>
      <c r="D37" s="1"/>
      <c r="E37" s="1"/>
      <c r="F37" s="1"/>
      <c r="G37" s="1"/>
      <c r="H37" s="1"/>
    </row>
    <row r="38" spans="1:8">
      <c r="A38" t="s">
        <v>86</v>
      </c>
      <c r="B38" t="s">
        <v>87</v>
      </c>
    </row>
    <row r="39" spans="1:8">
      <c r="A39" t="s">
        <v>88</v>
      </c>
      <c r="B39" t="s">
        <v>89</v>
      </c>
    </row>
  </sheetData>
  <mergeCells count="6">
    <mergeCell ref="A30:H30"/>
    <mergeCell ref="A1:H1"/>
    <mergeCell ref="A2:H2"/>
    <mergeCell ref="A4:H4"/>
    <mergeCell ref="A12:H12"/>
    <mergeCell ref="A19: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tabSelected="1" workbookViewId="0">
      <selection activeCell="C13" sqref="C13"/>
    </sheetView>
  </sheetViews>
  <sheetFormatPr defaultRowHeight="14.25"/>
  <cols>
    <col min="1" max="1" width="24" customWidth="1"/>
    <col min="2" max="2" width="12" customWidth="1"/>
    <col min="3" max="3" width="55" customWidth="1"/>
    <col min="4" max="4" width="34" customWidth="1"/>
    <col min="5" max="5" width="48" customWidth="1"/>
  </cols>
  <sheetData>
    <row r="1" spans="1:5" ht="19.149999999999999" customHeight="1">
      <c r="A1" s="19" t="s">
        <v>90</v>
      </c>
      <c r="B1" s="19"/>
      <c r="C1" s="19"/>
      <c r="D1" s="19"/>
      <c r="E1" s="19"/>
    </row>
    <row r="2" spans="1:5" ht="36" customHeight="1">
      <c r="A2" s="20" t="s">
        <v>91</v>
      </c>
      <c r="B2" s="20"/>
      <c r="C2" s="20"/>
      <c r="D2" s="20"/>
      <c r="E2" s="20"/>
    </row>
    <row r="4" spans="1:5" ht="15" customHeight="1">
      <c r="A4" s="1" t="s">
        <v>92</v>
      </c>
      <c r="B4" s="1" t="s">
        <v>49</v>
      </c>
      <c r="C4" s="1" t="s">
        <v>85</v>
      </c>
      <c r="D4" s="1" t="s">
        <v>93</v>
      </c>
      <c r="E4" s="1" t="s">
        <v>94</v>
      </c>
    </row>
    <row r="5" spans="1:5" ht="15" customHeight="1">
      <c r="A5" s="10" t="s">
        <v>95</v>
      </c>
      <c r="B5" s="12" t="s">
        <v>96</v>
      </c>
      <c r="C5" s="15" t="s">
        <v>372</v>
      </c>
      <c r="D5" s="11" t="s">
        <v>97</v>
      </c>
      <c r="E5" s="11" t="s">
        <v>98</v>
      </c>
    </row>
    <row r="6" spans="1:5" ht="15" customHeight="1">
      <c r="A6" s="10" t="s">
        <v>99</v>
      </c>
      <c r="B6" s="12" t="s">
        <v>96</v>
      </c>
      <c r="C6" s="15" t="s">
        <v>373</v>
      </c>
      <c r="D6" s="11" t="s">
        <v>100</v>
      </c>
      <c r="E6" s="11" t="s">
        <v>101</v>
      </c>
    </row>
    <row r="7" spans="1:5" ht="15" customHeight="1">
      <c r="A7" s="10" t="s">
        <v>102</v>
      </c>
      <c r="B7" s="12" t="s">
        <v>96</v>
      </c>
      <c r="C7" s="15" t="s">
        <v>374</v>
      </c>
      <c r="D7" s="11" t="s">
        <v>103</v>
      </c>
      <c r="E7" s="11" t="s">
        <v>104</v>
      </c>
    </row>
    <row r="8" spans="1:5" ht="15" customHeight="1">
      <c r="A8" s="10" t="s">
        <v>105</v>
      </c>
      <c r="B8" s="12" t="s">
        <v>96</v>
      </c>
      <c r="C8" s="15" t="s">
        <v>375</v>
      </c>
      <c r="D8" s="11" t="s">
        <v>106</v>
      </c>
      <c r="E8" s="11" t="s">
        <v>107</v>
      </c>
    </row>
    <row r="9" spans="1:5" ht="15" customHeight="1">
      <c r="A9" s="10" t="s">
        <v>108</v>
      </c>
      <c r="B9" s="12" t="s">
        <v>96</v>
      </c>
      <c r="C9" s="15" t="s">
        <v>376</v>
      </c>
      <c r="D9" s="11" t="s">
        <v>109</v>
      </c>
      <c r="E9" s="11" t="s">
        <v>110</v>
      </c>
    </row>
    <row r="10" spans="1:5" ht="15" customHeight="1">
      <c r="A10" s="10" t="s">
        <v>111</v>
      </c>
      <c r="B10" s="12" t="s">
        <v>96</v>
      </c>
      <c r="C10" s="15" t="s">
        <v>377</v>
      </c>
      <c r="D10" s="11" t="s">
        <v>112</v>
      </c>
      <c r="E10" s="11" t="s">
        <v>113</v>
      </c>
    </row>
    <row r="11" spans="1:5" ht="15" customHeight="1">
      <c r="A11" s="10" t="s">
        <v>114</v>
      </c>
      <c r="B11" s="12" t="s">
        <v>96</v>
      </c>
      <c r="C11" s="15" t="s">
        <v>567</v>
      </c>
      <c r="D11" s="11" t="s">
        <v>115</v>
      </c>
      <c r="E11" s="11" t="s">
        <v>116</v>
      </c>
    </row>
    <row r="12" spans="1:5" ht="15" customHeight="1">
      <c r="A12" s="10" t="s">
        <v>117</v>
      </c>
      <c r="B12" s="12" t="s">
        <v>96</v>
      </c>
      <c r="C12" s="15" t="s">
        <v>568</v>
      </c>
      <c r="D12" s="11" t="s">
        <v>118</v>
      </c>
      <c r="E12" s="11" t="s">
        <v>119</v>
      </c>
    </row>
    <row r="13" spans="1:5" ht="15" customHeight="1">
      <c r="A13" s="10" t="s">
        <v>120</v>
      </c>
      <c r="B13" s="12" t="s">
        <v>96</v>
      </c>
      <c r="C13" s="15" t="s">
        <v>378</v>
      </c>
      <c r="D13" s="11" t="s">
        <v>121</v>
      </c>
      <c r="E13" s="11" t="s">
        <v>122</v>
      </c>
    </row>
    <row r="14" spans="1:5" ht="15" customHeight="1">
      <c r="A14" s="10" t="s">
        <v>123</v>
      </c>
      <c r="B14" s="12" t="s">
        <v>96</v>
      </c>
      <c r="C14" s="15" t="s">
        <v>379</v>
      </c>
      <c r="D14" s="11" t="s">
        <v>124</v>
      </c>
      <c r="E14" s="11" t="s">
        <v>125</v>
      </c>
    </row>
    <row r="15" spans="1:5" ht="26.45" customHeight="1">
      <c r="A15" s="10" t="s">
        <v>126</v>
      </c>
      <c r="B15" s="12" t="s">
        <v>127</v>
      </c>
      <c r="C15" s="15" t="s">
        <v>380</v>
      </c>
      <c r="D15" s="11" t="s">
        <v>128</v>
      </c>
      <c r="E15" s="11" t="s">
        <v>129</v>
      </c>
    </row>
    <row r="16" spans="1:5" ht="26.45" customHeight="1">
      <c r="A16" s="10" t="s">
        <v>130</v>
      </c>
      <c r="B16" s="12" t="s">
        <v>127</v>
      </c>
      <c r="C16" s="15" t="s">
        <v>381</v>
      </c>
      <c r="D16" s="11" t="s">
        <v>131</v>
      </c>
      <c r="E16" s="11" t="s">
        <v>132</v>
      </c>
    </row>
    <row r="18" spans="1:5" ht="15" customHeight="1">
      <c r="A18" s="18" t="s">
        <v>133</v>
      </c>
      <c r="B18" s="18"/>
      <c r="C18" s="18"/>
      <c r="D18" s="18"/>
      <c r="E18" s="18"/>
    </row>
    <row r="19" spans="1:5" ht="15" customHeight="1">
      <c r="A19" s="1" t="s">
        <v>134</v>
      </c>
      <c r="B19" s="1" t="s">
        <v>85</v>
      </c>
      <c r="C19" s="1" t="s">
        <v>135</v>
      </c>
    </row>
    <row r="20" spans="1:5" ht="15" customHeight="1">
      <c r="A20" s="2" t="s">
        <v>136</v>
      </c>
      <c r="B20" s="6">
        <f>COUNTBLANK(C5:C14)</f>
        <v>0</v>
      </c>
      <c r="C20" s="6" t="str">
        <f>IF(B20=0,"HỢP LỆ","CẦN SỬA")</f>
        <v>HỢP LỆ</v>
      </c>
    </row>
    <row r="21" spans="1:5" ht="15" customHeight="1">
      <c r="A21" s="2" t="s">
        <v>137</v>
      </c>
      <c r="B21" s="6" t="str">
        <f>C14</f>
        <v>Đang soạn</v>
      </c>
      <c r="C21" s="6" t="str">
        <f>IF(B21="Đã duyệt","HỢP LỆ","CHƯA DUYỆT")</f>
        <v>CHƯA DUYỆT</v>
      </c>
    </row>
    <row r="22" spans="1:5" ht="15" customHeight="1">
      <c r="A22" s="2" t="s">
        <v>138</v>
      </c>
      <c r="B22" s="6" t="str">
        <f>IF(AND(C20="HỢP LỆ",C21="HỢP LỆ"),"CÓ","KHÔNG")</f>
        <v>KHÔNG</v>
      </c>
      <c r="C22" s="6" t="str">
        <f>IF(B22="CÓ","HỢP LỆ","CẦN SỬA")</f>
        <v>CẦN SỬA</v>
      </c>
    </row>
    <row r="23" spans="1:5" ht="66" customHeight="1">
      <c r="A23" s="2" t="s">
        <v>139</v>
      </c>
      <c r="B23" s="2" t="s">
        <v>140</v>
      </c>
      <c r="C23" s="2"/>
    </row>
  </sheetData>
  <mergeCells count="3">
    <mergeCell ref="A1:E1"/>
    <mergeCell ref="A2:E2"/>
    <mergeCell ref="A18:E18"/>
  </mergeCells>
  <conditionalFormatting sqref="C20:C22">
    <cfRule type="expression" dxfId="21" priority="1">
      <formula>C20="HỢP LỆ"</formula>
    </cfRule>
    <cfRule type="expression" dxfId="20" priority="2">
      <formula>OR(C20="CẦN SỬA",C20="CHƯA DUYỆT")</formula>
    </cfRule>
  </conditionalFormatting>
  <dataValidations count="1">
    <dataValidation type="list" sqref="C14" xr:uid="{00000000-0002-0000-0100-000000000000}">
      <formula1>"Đang soạn,Chờ review,Cần chỉnh sửa,Đã duyệt"</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04"/>
  <sheetViews>
    <sheetView workbookViewId="0"/>
  </sheetViews>
  <sheetFormatPr defaultRowHeight="14.25"/>
  <cols>
    <col min="1" max="1" width="11" customWidth="1"/>
    <col min="2" max="2" width="12" customWidth="1"/>
    <col min="3" max="3" width="8" customWidth="1"/>
    <col min="4" max="4" width="12" customWidth="1"/>
    <col min="5" max="6" width="14" customWidth="1"/>
    <col min="7" max="7" width="29" customWidth="1"/>
    <col min="8" max="8" width="13" customWidth="1"/>
    <col min="9" max="9" width="12" customWidth="1"/>
    <col min="10" max="10" width="64" customWidth="1"/>
    <col min="11" max="11" width="11" customWidth="1"/>
    <col min="12" max="12" width="23" customWidth="1"/>
    <col min="13" max="13" width="13" customWidth="1"/>
    <col min="14" max="14" width="31" customWidth="1"/>
  </cols>
  <sheetData>
    <row r="1" spans="1:14" ht="30" customHeight="1">
      <c r="A1" s="19" t="s">
        <v>141</v>
      </c>
      <c r="B1" s="19"/>
      <c r="C1" s="19"/>
      <c r="D1" s="19"/>
      <c r="E1" s="19"/>
      <c r="F1" s="19"/>
      <c r="G1" s="19"/>
      <c r="H1" s="19"/>
      <c r="I1" s="19"/>
      <c r="J1" s="19"/>
      <c r="K1" s="19"/>
      <c r="L1" s="19"/>
      <c r="M1" s="19"/>
      <c r="N1" s="19"/>
    </row>
    <row r="2" spans="1:14" ht="36" customHeight="1">
      <c r="A2" s="20" t="s">
        <v>142</v>
      </c>
      <c r="B2" s="20"/>
      <c r="C2" s="20"/>
      <c r="D2" s="20"/>
      <c r="E2" s="20"/>
      <c r="F2" s="20"/>
      <c r="G2" s="20"/>
      <c r="H2" s="20"/>
      <c r="I2" s="20"/>
      <c r="J2" s="20"/>
      <c r="K2" s="20"/>
      <c r="L2" s="20"/>
      <c r="M2" s="20"/>
      <c r="N2" s="20"/>
    </row>
    <row r="4" spans="1:14" ht="39.950000000000003" customHeight="1">
      <c r="A4" s="1" t="s">
        <v>143</v>
      </c>
      <c r="B4" s="1" t="s">
        <v>144</v>
      </c>
      <c r="C4" s="1" t="s">
        <v>145</v>
      </c>
      <c r="D4" s="1" t="s">
        <v>146</v>
      </c>
      <c r="E4" s="1" t="s">
        <v>147</v>
      </c>
      <c r="F4" s="1" t="s">
        <v>148</v>
      </c>
      <c r="G4" s="1" t="s">
        <v>149</v>
      </c>
      <c r="H4" s="1" t="s">
        <v>150</v>
      </c>
      <c r="I4" s="1" t="s">
        <v>151</v>
      </c>
      <c r="J4" s="1" t="s">
        <v>152</v>
      </c>
      <c r="K4" s="1" t="s">
        <v>153</v>
      </c>
      <c r="L4" s="1" t="s">
        <v>154</v>
      </c>
      <c r="M4" s="1" t="s">
        <v>135</v>
      </c>
      <c r="N4" s="1" t="s">
        <v>155</v>
      </c>
    </row>
    <row r="5" spans="1:14" ht="15" customHeight="1">
      <c r="A5" s="16">
        <v>1</v>
      </c>
      <c r="B5" s="16" t="s">
        <v>382</v>
      </c>
      <c r="C5" s="16">
        <v>1</v>
      </c>
      <c r="D5" s="16" t="s">
        <v>188</v>
      </c>
      <c r="E5" s="16"/>
      <c r="F5" s="15" t="s">
        <v>183</v>
      </c>
      <c r="G5" s="15" t="s">
        <v>383</v>
      </c>
      <c r="H5" s="15"/>
      <c r="I5" s="15"/>
      <c r="J5" s="15"/>
      <c r="K5" s="15"/>
      <c r="L5" s="15" t="s">
        <v>384</v>
      </c>
      <c r="M5" s="17" t="str">
        <f t="shared" ref="M5:M36" si="0">IF(A5="","",IF(N5="","HỢP LỆ","CẦN SỬA"))</f>
        <v>HỢP LỆ</v>
      </c>
      <c r="N5" s="17" t="str">
        <f t="shared" ref="N5:N36" si="1">IF(A5="","",IF(B5="","Thiếu NodeId",IF(D5="","Thiếu NodeType",IF(COUNTIF($B$5:$B$204,B5)&gt;1,"NodeId bị trùng",IF(COUNTIF($A$5:$A$204,A5)&gt;1,"NodeOrder bị trùng",IF(AND(D5="scene",OR(C5="",F5="",G5="")),"scene cần ActNo, Background, SceneName",IF(AND(D5="say",OR(H5="",J5="")),"say cần SpeakerKey và Text",IF(AND(D5="choice",OR(E5="",H5="",I5="",J5="")),"choice cần ChoiceMode, SpeakerKey, Mood, Question",IF(AND(D5="act",K5=""),"act cần số La Mã",IF(AND(D5="end",COUNTIF($D$5:$D$204,"end")&lt;&gt;1),"Phải có đúng 1 node end",""))))))))))</f>
        <v/>
      </c>
    </row>
    <row r="6" spans="1:14" ht="26.45" customHeight="1">
      <c r="A6" s="16">
        <v>2</v>
      </c>
      <c r="B6" s="16" t="s">
        <v>385</v>
      </c>
      <c r="C6" s="16">
        <v>1</v>
      </c>
      <c r="D6" s="16" t="s">
        <v>198</v>
      </c>
      <c r="E6" s="16"/>
      <c r="F6" s="15"/>
      <c r="G6" s="15"/>
      <c r="H6" s="15" t="s">
        <v>182</v>
      </c>
      <c r="I6" s="15"/>
      <c r="J6" s="15" t="s">
        <v>386</v>
      </c>
      <c r="K6" s="15"/>
      <c r="L6" s="15"/>
      <c r="M6" s="17" t="str">
        <f t="shared" si="0"/>
        <v>HỢP LỆ</v>
      </c>
      <c r="N6" s="17" t="str">
        <f t="shared" si="1"/>
        <v/>
      </c>
    </row>
    <row r="7" spans="1:14" ht="26.45" customHeight="1">
      <c r="A7" s="16">
        <v>3</v>
      </c>
      <c r="B7" s="16" t="s">
        <v>387</v>
      </c>
      <c r="C7" s="16">
        <v>1</v>
      </c>
      <c r="D7" s="16" t="s">
        <v>198</v>
      </c>
      <c r="E7" s="16"/>
      <c r="F7" s="15"/>
      <c r="G7" s="15"/>
      <c r="H7" s="15" t="s">
        <v>201</v>
      </c>
      <c r="I7" s="15" t="s">
        <v>186</v>
      </c>
      <c r="J7" s="15" t="s">
        <v>388</v>
      </c>
      <c r="K7" s="15"/>
      <c r="L7" s="15"/>
      <c r="M7" s="17" t="str">
        <f t="shared" si="0"/>
        <v>HỢP LỆ</v>
      </c>
      <c r="N7" s="17" t="str">
        <f t="shared" si="1"/>
        <v/>
      </c>
    </row>
    <row r="8" spans="1:14" ht="15" customHeight="1">
      <c r="A8" s="16">
        <v>4</v>
      </c>
      <c r="B8" s="16" t="s">
        <v>389</v>
      </c>
      <c r="C8" s="16">
        <v>1</v>
      </c>
      <c r="D8" s="16" t="s">
        <v>208</v>
      </c>
      <c r="E8" s="16" t="s">
        <v>390</v>
      </c>
      <c r="F8" s="15"/>
      <c r="G8" s="15"/>
      <c r="H8" s="15" t="s">
        <v>201</v>
      </c>
      <c r="I8" s="15" t="s">
        <v>186</v>
      </c>
      <c r="J8" s="15" t="s">
        <v>391</v>
      </c>
      <c r="K8" s="15"/>
      <c r="L8" s="15" t="s">
        <v>392</v>
      </c>
      <c r="M8" s="17" t="str">
        <f t="shared" si="0"/>
        <v>HỢP LỆ</v>
      </c>
      <c r="N8" s="17" t="str">
        <f t="shared" si="1"/>
        <v/>
      </c>
    </row>
    <row r="9" spans="1:14" ht="15" customHeight="1">
      <c r="A9" s="16">
        <v>5</v>
      </c>
      <c r="B9" s="16" t="s">
        <v>393</v>
      </c>
      <c r="C9" s="16">
        <v>1</v>
      </c>
      <c r="D9" s="16" t="s">
        <v>208</v>
      </c>
      <c r="E9" s="16" t="s">
        <v>394</v>
      </c>
      <c r="F9" s="15"/>
      <c r="G9" s="15"/>
      <c r="H9" s="15" t="s">
        <v>211</v>
      </c>
      <c r="I9" s="15" t="s">
        <v>186</v>
      </c>
      <c r="J9" s="15" t="s">
        <v>395</v>
      </c>
      <c r="K9" s="15"/>
      <c r="L9" s="15" t="s">
        <v>392</v>
      </c>
      <c r="M9" s="17" t="str">
        <f t="shared" si="0"/>
        <v>HỢP LỆ</v>
      </c>
      <c r="N9" s="17" t="str">
        <f t="shared" si="1"/>
        <v/>
      </c>
    </row>
    <row r="10" spans="1:14" ht="15" customHeight="1">
      <c r="A10" s="16">
        <v>6</v>
      </c>
      <c r="B10" s="16" t="s">
        <v>396</v>
      </c>
      <c r="C10" s="16">
        <v>1</v>
      </c>
      <c r="D10" s="16" t="s">
        <v>208</v>
      </c>
      <c r="E10" s="16" t="s">
        <v>394</v>
      </c>
      <c r="F10" s="15"/>
      <c r="G10" s="15"/>
      <c r="H10" s="15" t="s">
        <v>201</v>
      </c>
      <c r="I10" s="15" t="s">
        <v>186</v>
      </c>
      <c r="J10" s="15" t="s">
        <v>397</v>
      </c>
      <c r="K10" s="15"/>
      <c r="L10" s="15" t="s">
        <v>392</v>
      </c>
      <c r="M10" s="17" t="str">
        <f t="shared" si="0"/>
        <v>HỢP LỆ</v>
      </c>
      <c r="N10" s="17" t="str">
        <f t="shared" si="1"/>
        <v/>
      </c>
    </row>
    <row r="11" spans="1:14" ht="15" customHeight="1">
      <c r="A11" s="16">
        <v>7</v>
      </c>
      <c r="B11" s="16" t="s">
        <v>398</v>
      </c>
      <c r="C11" s="16">
        <v>1</v>
      </c>
      <c r="D11" s="16" t="s">
        <v>208</v>
      </c>
      <c r="E11" s="16" t="s">
        <v>394</v>
      </c>
      <c r="F11" s="15"/>
      <c r="G11" s="15"/>
      <c r="H11" s="15" t="s">
        <v>218</v>
      </c>
      <c r="I11" s="15" t="s">
        <v>186</v>
      </c>
      <c r="J11" s="15" t="s">
        <v>399</v>
      </c>
      <c r="K11" s="15"/>
      <c r="L11" s="15" t="s">
        <v>392</v>
      </c>
      <c r="M11" s="17" t="str">
        <f t="shared" si="0"/>
        <v>HỢP LỆ</v>
      </c>
      <c r="N11" s="17" t="str">
        <f t="shared" si="1"/>
        <v/>
      </c>
    </row>
    <row r="12" spans="1:14" ht="15" customHeight="1">
      <c r="A12" s="16">
        <v>8</v>
      </c>
      <c r="B12" s="16" t="s">
        <v>400</v>
      </c>
      <c r="C12" s="16">
        <v>1</v>
      </c>
      <c r="D12" s="16" t="s">
        <v>208</v>
      </c>
      <c r="E12" s="16" t="s">
        <v>394</v>
      </c>
      <c r="F12" s="15"/>
      <c r="G12" s="15"/>
      <c r="H12" s="15" t="s">
        <v>211</v>
      </c>
      <c r="I12" s="15" t="s">
        <v>186</v>
      </c>
      <c r="J12" s="15" t="s">
        <v>401</v>
      </c>
      <c r="K12" s="15"/>
      <c r="L12" s="15" t="s">
        <v>392</v>
      </c>
      <c r="M12" s="17" t="str">
        <f t="shared" si="0"/>
        <v>HỢP LỆ</v>
      </c>
      <c r="N12" s="17" t="str">
        <f t="shared" si="1"/>
        <v/>
      </c>
    </row>
    <row r="13" spans="1:14" ht="15" customHeight="1">
      <c r="A13" s="16">
        <v>9</v>
      </c>
      <c r="B13" s="16" t="s">
        <v>402</v>
      </c>
      <c r="C13" s="16">
        <v>1</v>
      </c>
      <c r="D13" s="16" t="s">
        <v>208</v>
      </c>
      <c r="E13" s="16" t="s">
        <v>394</v>
      </c>
      <c r="F13" s="15"/>
      <c r="G13" s="15"/>
      <c r="H13" s="15" t="s">
        <v>201</v>
      </c>
      <c r="I13" s="15" t="s">
        <v>186</v>
      </c>
      <c r="J13" s="15" t="s">
        <v>403</v>
      </c>
      <c r="K13" s="15"/>
      <c r="L13" s="15" t="s">
        <v>392</v>
      </c>
      <c r="M13" s="17" t="str">
        <f t="shared" si="0"/>
        <v>HỢP LỆ</v>
      </c>
      <c r="N13" s="17" t="str">
        <f t="shared" si="1"/>
        <v/>
      </c>
    </row>
    <row r="14" spans="1:14" ht="15" customHeight="1">
      <c r="A14" s="16">
        <v>10</v>
      </c>
      <c r="B14" s="16" t="s">
        <v>404</v>
      </c>
      <c r="C14" s="16">
        <v>1</v>
      </c>
      <c r="D14" s="16" t="s">
        <v>208</v>
      </c>
      <c r="E14" s="16" t="s">
        <v>394</v>
      </c>
      <c r="F14" s="15"/>
      <c r="G14" s="15"/>
      <c r="H14" s="15" t="s">
        <v>218</v>
      </c>
      <c r="I14" s="15" t="s">
        <v>186</v>
      </c>
      <c r="J14" s="15" t="s">
        <v>405</v>
      </c>
      <c r="K14" s="15"/>
      <c r="L14" s="15" t="s">
        <v>392</v>
      </c>
      <c r="M14" s="17" t="str">
        <f t="shared" si="0"/>
        <v>HỢP LỆ</v>
      </c>
      <c r="N14" s="17" t="str">
        <f t="shared" si="1"/>
        <v/>
      </c>
    </row>
    <row r="15" spans="1:14" ht="15" customHeight="1">
      <c r="A15" s="16">
        <v>11</v>
      </c>
      <c r="B15" s="16" t="s">
        <v>406</v>
      </c>
      <c r="C15" s="16">
        <v>1</v>
      </c>
      <c r="D15" s="16" t="s">
        <v>216</v>
      </c>
      <c r="E15" s="16"/>
      <c r="F15" s="15"/>
      <c r="G15" s="15"/>
      <c r="H15" s="15"/>
      <c r="I15" s="15"/>
      <c r="J15" s="15"/>
      <c r="K15" s="15" t="s">
        <v>407</v>
      </c>
      <c r="L15" s="15" t="s">
        <v>408</v>
      </c>
      <c r="M15" s="17" t="str">
        <f t="shared" si="0"/>
        <v>HỢP LỆ</v>
      </c>
      <c r="N15" s="17" t="str">
        <f t="shared" si="1"/>
        <v/>
      </c>
    </row>
    <row r="16" spans="1:14" ht="26.45" customHeight="1">
      <c r="A16" s="16">
        <v>12</v>
      </c>
      <c r="B16" s="16" t="s">
        <v>409</v>
      </c>
      <c r="C16" s="16">
        <v>2</v>
      </c>
      <c r="D16" s="16" t="s">
        <v>188</v>
      </c>
      <c r="E16" s="16"/>
      <c r="F16" s="15" t="s">
        <v>194</v>
      </c>
      <c r="G16" s="15" t="s">
        <v>410</v>
      </c>
      <c r="H16" s="15"/>
      <c r="I16" s="15"/>
      <c r="J16" s="15"/>
      <c r="K16" s="15"/>
      <c r="L16" s="15" t="s">
        <v>411</v>
      </c>
      <c r="M16" s="17" t="str">
        <f t="shared" si="0"/>
        <v>HỢP LỆ</v>
      </c>
      <c r="N16" s="17" t="str">
        <f t="shared" si="1"/>
        <v/>
      </c>
    </row>
    <row r="17" spans="1:14" ht="26.45" customHeight="1">
      <c r="A17" s="16">
        <v>13</v>
      </c>
      <c r="B17" s="16" t="s">
        <v>412</v>
      </c>
      <c r="C17" s="16">
        <v>2</v>
      </c>
      <c r="D17" s="16" t="s">
        <v>198</v>
      </c>
      <c r="E17" s="16"/>
      <c r="F17" s="15"/>
      <c r="G17" s="15"/>
      <c r="H17" s="15" t="s">
        <v>182</v>
      </c>
      <c r="I17" s="15"/>
      <c r="J17" s="15" t="s">
        <v>413</v>
      </c>
      <c r="K17" s="15"/>
      <c r="L17" s="15"/>
      <c r="M17" s="17" t="str">
        <f t="shared" si="0"/>
        <v>HỢP LỆ</v>
      </c>
      <c r="N17" s="17" t="str">
        <f t="shared" si="1"/>
        <v/>
      </c>
    </row>
    <row r="18" spans="1:14" ht="26.45" customHeight="1">
      <c r="A18" s="16">
        <v>14</v>
      </c>
      <c r="B18" s="16" t="s">
        <v>414</v>
      </c>
      <c r="C18" s="16">
        <v>2</v>
      </c>
      <c r="D18" s="16" t="s">
        <v>198</v>
      </c>
      <c r="E18" s="16"/>
      <c r="F18" s="15"/>
      <c r="G18" s="15"/>
      <c r="H18" s="15" t="s">
        <v>218</v>
      </c>
      <c r="I18" s="15" t="s">
        <v>214</v>
      </c>
      <c r="J18" s="15" t="s">
        <v>415</v>
      </c>
      <c r="K18" s="15"/>
      <c r="L18" s="15"/>
      <c r="M18" s="17" t="str">
        <f t="shared" si="0"/>
        <v>HỢP LỆ</v>
      </c>
      <c r="N18" s="17" t="str">
        <f t="shared" si="1"/>
        <v/>
      </c>
    </row>
    <row r="19" spans="1:14" ht="15" customHeight="1">
      <c r="A19" s="16">
        <v>15</v>
      </c>
      <c r="B19" s="16" t="s">
        <v>416</v>
      </c>
      <c r="C19" s="16">
        <v>2</v>
      </c>
      <c r="D19" s="16" t="s">
        <v>208</v>
      </c>
      <c r="E19" s="16" t="s">
        <v>394</v>
      </c>
      <c r="F19" s="15"/>
      <c r="G19" s="15"/>
      <c r="H19" s="15" t="s">
        <v>218</v>
      </c>
      <c r="I19" s="15" t="s">
        <v>186</v>
      </c>
      <c r="J19" s="15" t="s">
        <v>417</v>
      </c>
      <c r="K19" s="15"/>
      <c r="L19" s="15" t="s">
        <v>392</v>
      </c>
      <c r="M19" s="17" t="str">
        <f t="shared" si="0"/>
        <v>HỢP LỆ</v>
      </c>
      <c r="N19" s="17" t="str">
        <f t="shared" si="1"/>
        <v/>
      </c>
    </row>
    <row r="20" spans="1:14" ht="15" customHeight="1">
      <c r="A20" s="16">
        <v>16</v>
      </c>
      <c r="B20" s="16" t="s">
        <v>418</v>
      </c>
      <c r="C20" s="16">
        <v>2</v>
      </c>
      <c r="D20" s="16" t="s">
        <v>208</v>
      </c>
      <c r="E20" s="16" t="s">
        <v>394</v>
      </c>
      <c r="F20" s="15"/>
      <c r="G20" s="15"/>
      <c r="H20" s="15" t="s">
        <v>201</v>
      </c>
      <c r="I20" s="15" t="s">
        <v>186</v>
      </c>
      <c r="J20" s="15" t="s">
        <v>419</v>
      </c>
      <c r="K20" s="15"/>
      <c r="L20" s="15" t="s">
        <v>392</v>
      </c>
      <c r="M20" s="17" t="str">
        <f t="shared" si="0"/>
        <v>HỢP LỆ</v>
      </c>
      <c r="N20" s="17" t="str">
        <f t="shared" si="1"/>
        <v/>
      </c>
    </row>
    <row r="21" spans="1:14" ht="15" customHeight="1">
      <c r="A21" s="16">
        <v>17</v>
      </c>
      <c r="B21" s="16" t="s">
        <v>420</v>
      </c>
      <c r="C21" s="16">
        <v>2</v>
      </c>
      <c r="D21" s="16" t="s">
        <v>208</v>
      </c>
      <c r="E21" s="16" t="s">
        <v>394</v>
      </c>
      <c r="F21" s="15"/>
      <c r="G21" s="15"/>
      <c r="H21" s="15" t="s">
        <v>211</v>
      </c>
      <c r="I21" s="15" t="s">
        <v>186</v>
      </c>
      <c r="J21" s="15" t="s">
        <v>421</v>
      </c>
      <c r="K21" s="15"/>
      <c r="L21" s="15" t="s">
        <v>392</v>
      </c>
      <c r="M21" s="17" t="str">
        <f t="shared" si="0"/>
        <v>HỢP LỆ</v>
      </c>
      <c r="N21" s="17" t="str">
        <f t="shared" si="1"/>
        <v/>
      </c>
    </row>
    <row r="22" spans="1:14" ht="15" customHeight="1">
      <c r="A22" s="16">
        <v>18</v>
      </c>
      <c r="B22" s="16" t="s">
        <v>422</v>
      </c>
      <c r="C22" s="16">
        <v>2</v>
      </c>
      <c r="D22" s="16" t="s">
        <v>208</v>
      </c>
      <c r="E22" s="16" t="s">
        <v>394</v>
      </c>
      <c r="F22" s="15"/>
      <c r="G22" s="15"/>
      <c r="H22" s="15" t="s">
        <v>218</v>
      </c>
      <c r="I22" s="15" t="s">
        <v>186</v>
      </c>
      <c r="J22" s="15" t="s">
        <v>423</v>
      </c>
      <c r="K22" s="15"/>
      <c r="L22" s="15" t="s">
        <v>392</v>
      </c>
      <c r="M22" s="17" t="str">
        <f t="shared" si="0"/>
        <v>HỢP LỆ</v>
      </c>
      <c r="N22" s="17" t="str">
        <f t="shared" si="1"/>
        <v/>
      </c>
    </row>
    <row r="23" spans="1:14" ht="15" customHeight="1">
      <c r="A23" s="16">
        <v>19</v>
      </c>
      <c r="B23" s="16" t="s">
        <v>424</v>
      </c>
      <c r="C23" s="16">
        <v>2</v>
      </c>
      <c r="D23" s="16" t="s">
        <v>208</v>
      </c>
      <c r="E23" s="16" t="s">
        <v>394</v>
      </c>
      <c r="F23" s="15"/>
      <c r="G23" s="15"/>
      <c r="H23" s="15" t="s">
        <v>201</v>
      </c>
      <c r="I23" s="15" t="s">
        <v>186</v>
      </c>
      <c r="J23" s="15" t="s">
        <v>425</v>
      </c>
      <c r="K23" s="15"/>
      <c r="L23" s="15" t="s">
        <v>392</v>
      </c>
      <c r="M23" s="17" t="str">
        <f t="shared" si="0"/>
        <v>HỢP LỆ</v>
      </c>
      <c r="N23" s="17" t="str">
        <f t="shared" si="1"/>
        <v/>
      </c>
    </row>
    <row r="24" spans="1:14" ht="15" customHeight="1">
      <c r="A24" s="16">
        <v>20</v>
      </c>
      <c r="B24" s="16" t="s">
        <v>426</v>
      </c>
      <c r="C24" s="16">
        <v>2</v>
      </c>
      <c r="D24" s="16" t="s">
        <v>208</v>
      </c>
      <c r="E24" s="16" t="s">
        <v>394</v>
      </c>
      <c r="F24" s="15"/>
      <c r="G24" s="15"/>
      <c r="H24" s="15" t="s">
        <v>224</v>
      </c>
      <c r="I24" s="15" t="s">
        <v>186</v>
      </c>
      <c r="J24" s="15" t="s">
        <v>427</v>
      </c>
      <c r="K24" s="15"/>
      <c r="L24" s="15" t="s">
        <v>392</v>
      </c>
      <c r="M24" s="17" t="str">
        <f t="shared" si="0"/>
        <v>HỢP LỆ</v>
      </c>
      <c r="N24" s="17" t="str">
        <f t="shared" si="1"/>
        <v/>
      </c>
    </row>
    <row r="25" spans="1:14" ht="15" customHeight="1">
      <c r="A25" s="16">
        <v>21</v>
      </c>
      <c r="B25" s="16" t="s">
        <v>428</v>
      </c>
      <c r="C25" s="16">
        <v>2</v>
      </c>
      <c r="D25" s="16" t="s">
        <v>216</v>
      </c>
      <c r="E25" s="16"/>
      <c r="F25" s="15"/>
      <c r="G25" s="15"/>
      <c r="H25" s="15"/>
      <c r="I25" s="15"/>
      <c r="J25" s="15"/>
      <c r="K25" s="15" t="s">
        <v>429</v>
      </c>
      <c r="L25" s="15" t="s">
        <v>430</v>
      </c>
      <c r="M25" s="17" t="str">
        <f t="shared" si="0"/>
        <v>HỢP LỆ</v>
      </c>
      <c r="N25" s="17" t="str">
        <f t="shared" si="1"/>
        <v/>
      </c>
    </row>
    <row r="26" spans="1:14" ht="26.45" customHeight="1">
      <c r="A26" s="16">
        <v>22</v>
      </c>
      <c r="B26" s="16" t="s">
        <v>431</v>
      </c>
      <c r="C26" s="16">
        <v>3</v>
      </c>
      <c r="D26" s="16" t="s">
        <v>188</v>
      </c>
      <c r="E26" s="16"/>
      <c r="F26" s="15" t="s">
        <v>204</v>
      </c>
      <c r="G26" s="15" t="s">
        <v>432</v>
      </c>
      <c r="H26" s="15"/>
      <c r="I26" s="15"/>
      <c r="J26" s="15"/>
      <c r="K26" s="15"/>
      <c r="L26" s="15" t="s">
        <v>433</v>
      </c>
      <c r="M26" s="17" t="str">
        <f t="shared" si="0"/>
        <v>HỢP LỆ</v>
      </c>
      <c r="N26" s="17" t="str">
        <f t="shared" si="1"/>
        <v/>
      </c>
    </row>
    <row r="27" spans="1:14" ht="26.45" customHeight="1">
      <c r="A27" s="16">
        <v>23</v>
      </c>
      <c r="B27" s="16" t="s">
        <v>434</v>
      </c>
      <c r="C27" s="16">
        <v>3</v>
      </c>
      <c r="D27" s="16" t="s">
        <v>198</v>
      </c>
      <c r="E27" s="16"/>
      <c r="F27" s="15"/>
      <c r="G27" s="15"/>
      <c r="H27" s="15" t="s">
        <v>182</v>
      </c>
      <c r="I27" s="15"/>
      <c r="J27" s="15" t="s">
        <v>435</v>
      </c>
      <c r="K27" s="15"/>
      <c r="L27" s="15"/>
      <c r="M27" s="17" t="str">
        <f t="shared" si="0"/>
        <v>HỢP LỆ</v>
      </c>
      <c r="N27" s="17" t="str">
        <f t="shared" si="1"/>
        <v/>
      </c>
    </row>
    <row r="28" spans="1:14" ht="26.45" customHeight="1">
      <c r="A28" s="16">
        <v>24</v>
      </c>
      <c r="B28" s="16" t="s">
        <v>436</v>
      </c>
      <c r="C28" s="16">
        <v>3</v>
      </c>
      <c r="D28" s="16" t="s">
        <v>198</v>
      </c>
      <c r="E28" s="16"/>
      <c r="F28" s="15"/>
      <c r="G28" s="15"/>
      <c r="H28" s="15" t="s">
        <v>201</v>
      </c>
      <c r="I28" s="15" t="s">
        <v>186</v>
      </c>
      <c r="J28" s="15" t="s">
        <v>437</v>
      </c>
      <c r="K28" s="15"/>
      <c r="L28" s="15"/>
      <c r="M28" s="17" t="str">
        <f t="shared" si="0"/>
        <v>HỢP LỆ</v>
      </c>
      <c r="N28" s="17" t="str">
        <f t="shared" si="1"/>
        <v/>
      </c>
    </row>
    <row r="29" spans="1:14" ht="15" customHeight="1">
      <c r="A29" s="16">
        <v>25</v>
      </c>
      <c r="B29" s="16" t="s">
        <v>438</v>
      </c>
      <c r="C29" s="16">
        <v>3</v>
      </c>
      <c r="D29" s="16" t="s">
        <v>208</v>
      </c>
      <c r="E29" s="16" t="s">
        <v>394</v>
      </c>
      <c r="F29" s="15"/>
      <c r="G29" s="15"/>
      <c r="H29" s="15" t="s">
        <v>201</v>
      </c>
      <c r="I29" s="15" t="s">
        <v>186</v>
      </c>
      <c r="J29" s="15" t="s">
        <v>439</v>
      </c>
      <c r="K29" s="15"/>
      <c r="L29" s="15" t="s">
        <v>392</v>
      </c>
      <c r="M29" s="17" t="str">
        <f t="shared" si="0"/>
        <v>HỢP LỆ</v>
      </c>
      <c r="N29" s="17" t="str">
        <f t="shared" si="1"/>
        <v/>
      </c>
    </row>
    <row r="30" spans="1:14" ht="15" customHeight="1">
      <c r="A30" s="16">
        <v>26</v>
      </c>
      <c r="B30" s="16" t="s">
        <v>440</v>
      </c>
      <c r="C30" s="16">
        <v>3</v>
      </c>
      <c r="D30" s="16" t="s">
        <v>208</v>
      </c>
      <c r="E30" s="16" t="s">
        <v>394</v>
      </c>
      <c r="F30" s="15"/>
      <c r="G30" s="15"/>
      <c r="H30" s="15" t="s">
        <v>218</v>
      </c>
      <c r="I30" s="15" t="s">
        <v>186</v>
      </c>
      <c r="J30" s="15" t="s">
        <v>441</v>
      </c>
      <c r="K30" s="15"/>
      <c r="L30" s="15" t="s">
        <v>392</v>
      </c>
      <c r="M30" s="17" t="str">
        <f t="shared" si="0"/>
        <v>HỢP LỆ</v>
      </c>
      <c r="N30" s="17" t="str">
        <f t="shared" si="1"/>
        <v/>
      </c>
    </row>
    <row r="31" spans="1:14" ht="15" customHeight="1">
      <c r="A31" s="16">
        <v>27</v>
      </c>
      <c r="B31" s="16" t="s">
        <v>442</v>
      </c>
      <c r="C31" s="16">
        <v>3</v>
      </c>
      <c r="D31" s="16" t="s">
        <v>208</v>
      </c>
      <c r="E31" s="16" t="s">
        <v>394</v>
      </c>
      <c r="F31" s="15"/>
      <c r="G31" s="15"/>
      <c r="H31" s="15" t="s">
        <v>211</v>
      </c>
      <c r="I31" s="15" t="s">
        <v>186</v>
      </c>
      <c r="J31" s="15" t="s">
        <v>443</v>
      </c>
      <c r="K31" s="15"/>
      <c r="L31" s="15" t="s">
        <v>392</v>
      </c>
      <c r="M31" s="17" t="str">
        <f t="shared" si="0"/>
        <v>HỢP LỆ</v>
      </c>
      <c r="N31" s="17" t="str">
        <f t="shared" si="1"/>
        <v/>
      </c>
    </row>
    <row r="32" spans="1:14" ht="15" customHeight="1">
      <c r="A32" s="16">
        <v>28</v>
      </c>
      <c r="B32" s="16" t="s">
        <v>444</v>
      </c>
      <c r="C32" s="16">
        <v>3</v>
      </c>
      <c r="D32" s="16" t="s">
        <v>208</v>
      </c>
      <c r="E32" s="16" t="s">
        <v>394</v>
      </c>
      <c r="F32" s="15"/>
      <c r="G32" s="15"/>
      <c r="H32" s="15" t="s">
        <v>201</v>
      </c>
      <c r="I32" s="15" t="s">
        <v>186</v>
      </c>
      <c r="J32" s="15" t="s">
        <v>445</v>
      </c>
      <c r="K32" s="15"/>
      <c r="L32" s="15" t="s">
        <v>392</v>
      </c>
      <c r="M32" s="17" t="str">
        <f t="shared" si="0"/>
        <v>HỢP LỆ</v>
      </c>
      <c r="N32" s="17" t="str">
        <f t="shared" si="1"/>
        <v/>
      </c>
    </row>
    <row r="33" spans="1:14" ht="15" customHeight="1">
      <c r="A33" s="16">
        <v>29</v>
      </c>
      <c r="B33" s="16" t="s">
        <v>446</v>
      </c>
      <c r="C33" s="16">
        <v>3</v>
      </c>
      <c r="D33" s="16" t="s">
        <v>208</v>
      </c>
      <c r="E33" s="16" t="s">
        <v>394</v>
      </c>
      <c r="F33" s="15"/>
      <c r="G33" s="15"/>
      <c r="H33" s="15" t="s">
        <v>218</v>
      </c>
      <c r="I33" s="15" t="s">
        <v>186</v>
      </c>
      <c r="J33" s="15" t="s">
        <v>447</v>
      </c>
      <c r="K33" s="15"/>
      <c r="L33" s="15" t="s">
        <v>392</v>
      </c>
      <c r="M33" s="17" t="str">
        <f t="shared" si="0"/>
        <v>HỢP LỆ</v>
      </c>
      <c r="N33" s="17" t="str">
        <f t="shared" si="1"/>
        <v/>
      </c>
    </row>
    <row r="34" spans="1:14" ht="15" customHeight="1">
      <c r="A34" s="16">
        <v>30</v>
      </c>
      <c r="B34" s="16" t="s">
        <v>448</v>
      </c>
      <c r="C34" s="16">
        <v>3</v>
      </c>
      <c r="D34" s="16" t="s">
        <v>208</v>
      </c>
      <c r="E34" s="16" t="s">
        <v>394</v>
      </c>
      <c r="F34" s="15"/>
      <c r="G34" s="15"/>
      <c r="H34" s="15" t="s">
        <v>211</v>
      </c>
      <c r="I34" s="15" t="s">
        <v>186</v>
      </c>
      <c r="J34" s="15" t="s">
        <v>449</v>
      </c>
      <c r="K34" s="15"/>
      <c r="L34" s="15" t="s">
        <v>392</v>
      </c>
      <c r="M34" s="17" t="str">
        <f t="shared" si="0"/>
        <v>HỢP LỆ</v>
      </c>
      <c r="N34" s="17" t="str">
        <f t="shared" si="1"/>
        <v/>
      </c>
    </row>
    <row r="35" spans="1:14" ht="15" customHeight="1">
      <c r="A35" s="16">
        <v>31</v>
      </c>
      <c r="B35" s="16" t="s">
        <v>450</v>
      </c>
      <c r="C35" s="16">
        <v>3</v>
      </c>
      <c r="D35" s="16" t="s">
        <v>208</v>
      </c>
      <c r="E35" s="16" t="s">
        <v>394</v>
      </c>
      <c r="F35" s="15"/>
      <c r="G35" s="15"/>
      <c r="H35" s="15" t="s">
        <v>201</v>
      </c>
      <c r="I35" s="15" t="s">
        <v>186</v>
      </c>
      <c r="J35" s="15" t="s">
        <v>451</v>
      </c>
      <c r="K35" s="15"/>
      <c r="L35" s="15" t="s">
        <v>392</v>
      </c>
      <c r="M35" s="17" t="str">
        <f t="shared" si="0"/>
        <v>HỢP LỆ</v>
      </c>
      <c r="N35" s="17" t="str">
        <f t="shared" si="1"/>
        <v/>
      </c>
    </row>
    <row r="36" spans="1:14" ht="15" customHeight="1">
      <c r="A36" s="16">
        <v>32</v>
      </c>
      <c r="B36" s="16" t="s">
        <v>452</v>
      </c>
      <c r="C36" s="16">
        <v>3</v>
      </c>
      <c r="D36" s="16" t="s">
        <v>208</v>
      </c>
      <c r="E36" s="16" t="s">
        <v>394</v>
      </c>
      <c r="F36" s="15"/>
      <c r="G36" s="15"/>
      <c r="H36" s="15" t="s">
        <v>224</v>
      </c>
      <c r="I36" s="15" t="s">
        <v>186</v>
      </c>
      <c r="J36" s="15" t="s">
        <v>453</v>
      </c>
      <c r="K36" s="15"/>
      <c r="L36" s="15" t="s">
        <v>392</v>
      </c>
      <c r="M36" s="17" t="str">
        <f t="shared" si="0"/>
        <v>HỢP LỆ</v>
      </c>
      <c r="N36" s="17" t="str">
        <f t="shared" si="1"/>
        <v/>
      </c>
    </row>
    <row r="37" spans="1:14" ht="26.45" customHeight="1">
      <c r="A37" s="16">
        <v>33</v>
      </c>
      <c r="B37" s="16" t="s">
        <v>454</v>
      </c>
      <c r="C37" s="16">
        <v>3</v>
      </c>
      <c r="D37" s="16" t="s">
        <v>198</v>
      </c>
      <c r="E37" s="16"/>
      <c r="F37" s="15"/>
      <c r="G37" s="15"/>
      <c r="H37" s="15" t="s">
        <v>201</v>
      </c>
      <c r="I37" s="15" t="s">
        <v>196</v>
      </c>
      <c r="J37" s="15" t="s">
        <v>455</v>
      </c>
      <c r="K37" s="15"/>
      <c r="L37" s="15"/>
      <c r="M37" s="17" t="str">
        <f t="shared" ref="M37:M68" si="2">IF(A37="","",IF(N37="","HỢP LỆ","CẦN SỬA"))</f>
        <v>HỢP LỆ</v>
      </c>
      <c r="N37" s="17" t="str">
        <f t="shared" ref="N37:N68" si="3">IF(A37="","",IF(B37="","Thiếu NodeId",IF(D37="","Thiếu NodeType",IF(COUNTIF($B$5:$B$204,B37)&gt;1,"NodeId bị trùng",IF(COUNTIF($A$5:$A$204,A37)&gt;1,"NodeOrder bị trùng",IF(AND(D37="scene",OR(C37="",F37="",G37="")),"scene cần ActNo, Background, SceneName",IF(AND(D37="say",OR(H37="",J37="")),"say cần SpeakerKey và Text",IF(AND(D37="choice",OR(E37="",H37="",I37="",J37="")),"choice cần ChoiceMode, SpeakerKey, Mood, Question",IF(AND(D37="act",K37=""),"act cần số La Mã",IF(AND(D37="end",COUNTIF($D$5:$D$204,"end")&lt;&gt;1),"Phải có đúng 1 node end",""))))))))))</f>
        <v/>
      </c>
    </row>
    <row r="38" spans="1:14" ht="15" customHeight="1">
      <c r="A38" s="16">
        <v>34</v>
      </c>
      <c r="B38" s="16" t="s">
        <v>456</v>
      </c>
      <c r="C38" s="16">
        <v>3</v>
      </c>
      <c r="D38" s="16" t="s">
        <v>216</v>
      </c>
      <c r="E38" s="16"/>
      <c r="F38" s="15"/>
      <c r="G38" s="15"/>
      <c r="H38" s="15"/>
      <c r="I38" s="15"/>
      <c r="J38" s="15"/>
      <c r="K38" s="15" t="s">
        <v>457</v>
      </c>
      <c r="L38" s="15" t="s">
        <v>458</v>
      </c>
      <c r="M38" s="17" t="str">
        <f t="shared" si="2"/>
        <v>HỢP LỆ</v>
      </c>
      <c r="N38" s="17" t="str">
        <f t="shared" si="3"/>
        <v/>
      </c>
    </row>
    <row r="39" spans="1:14" ht="15" customHeight="1">
      <c r="A39" s="16">
        <v>35</v>
      </c>
      <c r="B39" s="16" t="s">
        <v>459</v>
      </c>
      <c r="C39" s="16"/>
      <c r="D39" s="16" t="s">
        <v>221</v>
      </c>
      <c r="E39" s="16"/>
      <c r="F39" s="15"/>
      <c r="G39" s="15"/>
      <c r="H39" s="15"/>
      <c r="I39" s="15"/>
      <c r="J39" s="15"/>
      <c r="K39" s="15"/>
      <c r="L39" s="15" t="s">
        <v>460</v>
      </c>
      <c r="M39" s="17" t="str">
        <f t="shared" si="2"/>
        <v>HỢP LỆ</v>
      </c>
      <c r="N39" s="17" t="str">
        <f t="shared" si="3"/>
        <v/>
      </c>
    </row>
    <row r="40" spans="1:14">
      <c r="A40" s="13"/>
      <c r="B40" s="13"/>
      <c r="C40" s="13"/>
      <c r="D40" s="13"/>
      <c r="E40" s="13"/>
      <c r="F40" s="5"/>
      <c r="G40" s="5"/>
      <c r="H40" s="5"/>
      <c r="I40" s="5"/>
      <c r="J40" s="5"/>
      <c r="K40" s="5"/>
      <c r="L40" s="5"/>
      <c r="M40" s="6" t="str">
        <f t="shared" si="2"/>
        <v/>
      </c>
      <c r="N40" s="6" t="str">
        <f t="shared" si="3"/>
        <v/>
      </c>
    </row>
    <row r="41" spans="1:14">
      <c r="A41" s="13"/>
      <c r="B41" s="13"/>
      <c r="C41" s="13"/>
      <c r="D41" s="13"/>
      <c r="E41" s="13"/>
      <c r="F41" s="5"/>
      <c r="G41" s="5"/>
      <c r="H41" s="5"/>
      <c r="I41" s="5"/>
      <c r="J41" s="5"/>
      <c r="K41" s="5"/>
      <c r="L41" s="5"/>
      <c r="M41" s="6" t="str">
        <f t="shared" si="2"/>
        <v/>
      </c>
      <c r="N41" s="6" t="str">
        <f t="shared" si="3"/>
        <v/>
      </c>
    </row>
    <row r="42" spans="1:14">
      <c r="A42" s="13"/>
      <c r="B42" s="13"/>
      <c r="C42" s="13"/>
      <c r="D42" s="13"/>
      <c r="E42" s="13"/>
      <c r="F42" s="5"/>
      <c r="G42" s="5"/>
      <c r="H42" s="5"/>
      <c r="I42" s="5"/>
      <c r="J42" s="5"/>
      <c r="K42" s="5"/>
      <c r="L42" s="5"/>
      <c r="M42" s="6" t="str">
        <f t="shared" si="2"/>
        <v/>
      </c>
      <c r="N42" s="6" t="str">
        <f t="shared" si="3"/>
        <v/>
      </c>
    </row>
    <row r="43" spans="1:14">
      <c r="A43" s="13"/>
      <c r="B43" s="13"/>
      <c r="C43" s="13"/>
      <c r="D43" s="13"/>
      <c r="E43" s="13"/>
      <c r="F43" s="5"/>
      <c r="G43" s="5"/>
      <c r="H43" s="5"/>
      <c r="I43" s="5"/>
      <c r="J43" s="5"/>
      <c r="K43" s="5"/>
      <c r="L43" s="5"/>
      <c r="M43" s="6" t="str">
        <f t="shared" si="2"/>
        <v/>
      </c>
      <c r="N43" s="6" t="str">
        <f t="shared" si="3"/>
        <v/>
      </c>
    </row>
    <row r="44" spans="1:14">
      <c r="A44" s="13"/>
      <c r="B44" s="13"/>
      <c r="C44" s="13"/>
      <c r="D44" s="13"/>
      <c r="E44" s="13"/>
      <c r="F44" s="5"/>
      <c r="G44" s="5"/>
      <c r="H44" s="5"/>
      <c r="I44" s="5"/>
      <c r="J44" s="5"/>
      <c r="K44" s="5"/>
      <c r="L44" s="5"/>
      <c r="M44" s="6" t="str">
        <f t="shared" si="2"/>
        <v/>
      </c>
      <c r="N44" s="6" t="str">
        <f t="shared" si="3"/>
        <v/>
      </c>
    </row>
    <row r="45" spans="1:14">
      <c r="A45" s="13"/>
      <c r="B45" s="13"/>
      <c r="C45" s="13"/>
      <c r="D45" s="13"/>
      <c r="E45" s="13"/>
      <c r="F45" s="5"/>
      <c r="G45" s="5"/>
      <c r="H45" s="5"/>
      <c r="I45" s="5"/>
      <c r="J45" s="5"/>
      <c r="K45" s="5"/>
      <c r="L45" s="5"/>
      <c r="M45" s="6" t="str">
        <f t="shared" si="2"/>
        <v/>
      </c>
      <c r="N45" s="6" t="str">
        <f t="shared" si="3"/>
        <v/>
      </c>
    </row>
    <row r="46" spans="1:14">
      <c r="A46" s="13"/>
      <c r="B46" s="13"/>
      <c r="C46" s="13"/>
      <c r="D46" s="13"/>
      <c r="E46" s="13"/>
      <c r="F46" s="5"/>
      <c r="G46" s="5"/>
      <c r="H46" s="5"/>
      <c r="I46" s="5"/>
      <c r="J46" s="5"/>
      <c r="K46" s="5"/>
      <c r="L46" s="5"/>
      <c r="M46" s="6" t="str">
        <f t="shared" si="2"/>
        <v/>
      </c>
      <c r="N46" s="6" t="str">
        <f t="shared" si="3"/>
        <v/>
      </c>
    </row>
    <row r="47" spans="1:14">
      <c r="A47" s="13"/>
      <c r="B47" s="13"/>
      <c r="C47" s="13"/>
      <c r="D47" s="13"/>
      <c r="E47" s="13"/>
      <c r="F47" s="5"/>
      <c r="G47" s="5"/>
      <c r="H47" s="5"/>
      <c r="I47" s="5"/>
      <c r="J47" s="5"/>
      <c r="K47" s="5"/>
      <c r="L47" s="5"/>
      <c r="M47" s="6" t="str">
        <f t="shared" si="2"/>
        <v/>
      </c>
      <c r="N47" s="6" t="str">
        <f t="shared" si="3"/>
        <v/>
      </c>
    </row>
    <row r="48" spans="1:14">
      <c r="A48" s="13"/>
      <c r="B48" s="13"/>
      <c r="C48" s="13"/>
      <c r="D48" s="13"/>
      <c r="E48" s="13"/>
      <c r="F48" s="5"/>
      <c r="G48" s="5"/>
      <c r="H48" s="5"/>
      <c r="I48" s="5"/>
      <c r="J48" s="5"/>
      <c r="K48" s="5"/>
      <c r="L48" s="5"/>
      <c r="M48" s="6" t="str">
        <f t="shared" si="2"/>
        <v/>
      </c>
      <c r="N48" s="6" t="str">
        <f t="shared" si="3"/>
        <v/>
      </c>
    </row>
    <row r="49" spans="1:14">
      <c r="A49" s="13"/>
      <c r="B49" s="13"/>
      <c r="C49" s="13"/>
      <c r="D49" s="13"/>
      <c r="E49" s="13"/>
      <c r="F49" s="5"/>
      <c r="G49" s="5"/>
      <c r="H49" s="5"/>
      <c r="I49" s="5"/>
      <c r="J49" s="5"/>
      <c r="K49" s="5"/>
      <c r="L49" s="5"/>
      <c r="M49" s="6" t="str">
        <f t="shared" si="2"/>
        <v/>
      </c>
      <c r="N49" s="6" t="str">
        <f t="shared" si="3"/>
        <v/>
      </c>
    </row>
    <row r="50" spans="1:14">
      <c r="A50" s="13"/>
      <c r="B50" s="13"/>
      <c r="C50" s="13"/>
      <c r="D50" s="13"/>
      <c r="E50" s="13"/>
      <c r="F50" s="5"/>
      <c r="G50" s="5"/>
      <c r="H50" s="5"/>
      <c r="I50" s="5"/>
      <c r="J50" s="5"/>
      <c r="K50" s="5"/>
      <c r="L50" s="5"/>
      <c r="M50" s="6" t="str">
        <f t="shared" si="2"/>
        <v/>
      </c>
      <c r="N50" s="6" t="str">
        <f t="shared" si="3"/>
        <v/>
      </c>
    </row>
    <row r="51" spans="1:14">
      <c r="A51" s="13"/>
      <c r="B51" s="13"/>
      <c r="C51" s="13"/>
      <c r="D51" s="13"/>
      <c r="E51" s="13"/>
      <c r="F51" s="5"/>
      <c r="G51" s="5"/>
      <c r="H51" s="5"/>
      <c r="I51" s="5"/>
      <c r="J51" s="5"/>
      <c r="K51" s="5"/>
      <c r="L51" s="5"/>
      <c r="M51" s="6" t="str">
        <f t="shared" si="2"/>
        <v/>
      </c>
      <c r="N51" s="6" t="str">
        <f t="shared" si="3"/>
        <v/>
      </c>
    </row>
    <row r="52" spans="1:14">
      <c r="A52" s="13"/>
      <c r="B52" s="13"/>
      <c r="C52" s="13"/>
      <c r="D52" s="13"/>
      <c r="E52" s="13"/>
      <c r="F52" s="5"/>
      <c r="G52" s="5"/>
      <c r="H52" s="5"/>
      <c r="I52" s="5"/>
      <c r="J52" s="5"/>
      <c r="K52" s="5"/>
      <c r="L52" s="5"/>
      <c r="M52" s="6" t="str">
        <f t="shared" si="2"/>
        <v/>
      </c>
      <c r="N52" s="6" t="str">
        <f t="shared" si="3"/>
        <v/>
      </c>
    </row>
    <row r="53" spans="1:14">
      <c r="A53" s="13"/>
      <c r="B53" s="13"/>
      <c r="C53" s="13"/>
      <c r="D53" s="13"/>
      <c r="E53" s="13"/>
      <c r="F53" s="5"/>
      <c r="G53" s="5"/>
      <c r="H53" s="5"/>
      <c r="I53" s="5"/>
      <c r="J53" s="5"/>
      <c r="K53" s="5"/>
      <c r="L53" s="5"/>
      <c r="M53" s="6" t="str">
        <f t="shared" si="2"/>
        <v/>
      </c>
      <c r="N53" s="6" t="str">
        <f t="shared" si="3"/>
        <v/>
      </c>
    </row>
    <row r="54" spans="1:14">
      <c r="A54" s="13"/>
      <c r="B54" s="13"/>
      <c r="C54" s="13"/>
      <c r="D54" s="13"/>
      <c r="E54" s="13"/>
      <c r="F54" s="5"/>
      <c r="G54" s="5"/>
      <c r="H54" s="5"/>
      <c r="I54" s="5"/>
      <c r="J54" s="5"/>
      <c r="K54" s="5"/>
      <c r="L54" s="5"/>
      <c r="M54" s="6" t="str">
        <f t="shared" si="2"/>
        <v/>
      </c>
      <c r="N54" s="6" t="str">
        <f t="shared" si="3"/>
        <v/>
      </c>
    </row>
    <row r="55" spans="1:14">
      <c r="A55" s="13"/>
      <c r="B55" s="13"/>
      <c r="C55" s="13"/>
      <c r="D55" s="13"/>
      <c r="E55" s="13"/>
      <c r="F55" s="5"/>
      <c r="G55" s="5"/>
      <c r="H55" s="5"/>
      <c r="I55" s="5"/>
      <c r="J55" s="5"/>
      <c r="K55" s="5"/>
      <c r="L55" s="5"/>
      <c r="M55" s="6" t="str">
        <f t="shared" si="2"/>
        <v/>
      </c>
      <c r="N55" s="6" t="str">
        <f t="shared" si="3"/>
        <v/>
      </c>
    </row>
    <row r="56" spans="1:14">
      <c r="A56" s="13"/>
      <c r="B56" s="13"/>
      <c r="C56" s="13"/>
      <c r="D56" s="13"/>
      <c r="E56" s="13"/>
      <c r="F56" s="5"/>
      <c r="G56" s="5"/>
      <c r="H56" s="5"/>
      <c r="I56" s="5"/>
      <c r="J56" s="5"/>
      <c r="K56" s="5"/>
      <c r="L56" s="5"/>
      <c r="M56" s="6" t="str">
        <f t="shared" si="2"/>
        <v/>
      </c>
      <c r="N56" s="6" t="str">
        <f t="shared" si="3"/>
        <v/>
      </c>
    </row>
    <row r="57" spans="1:14">
      <c r="A57" s="13"/>
      <c r="B57" s="13"/>
      <c r="C57" s="13"/>
      <c r="D57" s="13"/>
      <c r="E57" s="13"/>
      <c r="F57" s="5"/>
      <c r="G57" s="5"/>
      <c r="H57" s="5"/>
      <c r="I57" s="5"/>
      <c r="J57" s="5"/>
      <c r="K57" s="5"/>
      <c r="L57" s="5"/>
      <c r="M57" s="6" t="str">
        <f t="shared" si="2"/>
        <v/>
      </c>
      <c r="N57" s="6" t="str">
        <f t="shared" si="3"/>
        <v/>
      </c>
    </row>
    <row r="58" spans="1:14">
      <c r="A58" s="13"/>
      <c r="B58" s="13"/>
      <c r="C58" s="13"/>
      <c r="D58" s="13"/>
      <c r="E58" s="13"/>
      <c r="F58" s="5"/>
      <c r="G58" s="5"/>
      <c r="H58" s="5"/>
      <c r="I58" s="5"/>
      <c r="J58" s="5"/>
      <c r="K58" s="5"/>
      <c r="L58" s="5"/>
      <c r="M58" s="6" t="str">
        <f t="shared" si="2"/>
        <v/>
      </c>
      <c r="N58" s="6" t="str">
        <f t="shared" si="3"/>
        <v/>
      </c>
    </row>
    <row r="59" spans="1:14">
      <c r="A59" s="13"/>
      <c r="B59" s="13"/>
      <c r="C59" s="13"/>
      <c r="D59" s="13"/>
      <c r="E59" s="13"/>
      <c r="F59" s="5"/>
      <c r="G59" s="5"/>
      <c r="H59" s="5"/>
      <c r="I59" s="5"/>
      <c r="J59" s="5"/>
      <c r="K59" s="5"/>
      <c r="L59" s="5"/>
      <c r="M59" s="6" t="str">
        <f t="shared" si="2"/>
        <v/>
      </c>
      <c r="N59" s="6" t="str">
        <f t="shared" si="3"/>
        <v/>
      </c>
    </row>
    <row r="60" spans="1:14">
      <c r="A60" s="13"/>
      <c r="B60" s="13"/>
      <c r="C60" s="13"/>
      <c r="D60" s="13"/>
      <c r="E60" s="13"/>
      <c r="F60" s="5"/>
      <c r="G60" s="5"/>
      <c r="H60" s="5"/>
      <c r="I60" s="5"/>
      <c r="J60" s="5"/>
      <c r="K60" s="5"/>
      <c r="L60" s="5"/>
      <c r="M60" s="6" t="str">
        <f t="shared" si="2"/>
        <v/>
      </c>
      <c r="N60" s="6" t="str">
        <f t="shared" si="3"/>
        <v/>
      </c>
    </row>
    <row r="61" spans="1:14">
      <c r="A61" s="13"/>
      <c r="B61" s="13"/>
      <c r="C61" s="13"/>
      <c r="D61" s="13"/>
      <c r="E61" s="13"/>
      <c r="F61" s="5"/>
      <c r="G61" s="5"/>
      <c r="H61" s="5"/>
      <c r="I61" s="5"/>
      <c r="J61" s="5"/>
      <c r="K61" s="5"/>
      <c r="L61" s="5"/>
      <c r="M61" s="6" t="str">
        <f t="shared" si="2"/>
        <v/>
      </c>
      <c r="N61" s="6" t="str">
        <f t="shared" si="3"/>
        <v/>
      </c>
    </row>
    <row r="62" spans="1:14">
      <c r="A62" s="13"/>
      <c r="B62" s="13"/>
      <c r="C62" s="13"/>
      <c r="D62" s="13"/>
      <c r="E62" s="13"/>
      <c r="F62" s="5"/>
      <c r="G62" s="5"/>
      <c r="H62" s="5"/>
      <c r="I62" s="5"/>
      <c r="J62" s="5"/>
      <c r="K62" s="5"/>
      <c r="L62" s="5"/>
      <c r="M62" s="6" t="str">
        <f t="shared" si="2"/>
        <v/>
      </c>
      <c r="N62" s="6" t="str">
        <f t="shared" si="3"/>
        <v/>
      </c>
    </row>
    <row r="63" spans="1:14">
      <c r="A63" s="13"/>
      <c r="B63" s="13"/>
      <c r="C63" s="13"/>
      <c r="D63" s="13"/>
      <c r="E63" s="13"/>
      <c r="F63" s="5"/>
      <c r="G63" s="5"/>
      <c r="H63" s="5"/>
      <c r="I63" s="5"/>
      <c r="J63" s="5"/>
      <c r="K63" s="5"/>
      <c r="L63" s="5"/>
      <c r="M63" s="6" t="str">
        <f t="shared" si="2"/>
        <v/>
      </c>
      <c r="N63" s="6" t="str">
        <f t="shared" si="3"/>
        <v/>
      </c>
    </row>
    <row r="64" spans="1:14">
      <c r="A64" s="13"/>
      <c r="B64" s="13"/>
      <c r="C64" s="13"/>
      <c r="D64" s="13"/>
      <c r="E64" s="13"/>
      <c r="F64" s="5"/>
      <c r="G64" s="5"/>
      <c r="H64" s="5"/>
      <c r="I64" s="5"/>
      <c r="J64" s="5"/>
      <c r="K64" s="5"/>
      <c r="L64" s="5"/>
      <c r="M64" s="6" t="str">
        <f t="shared" si="2"/>
        <v/>
      </c>
      <c r="N64" s="6" t="str">
        <f t="shared" si="3"/>
        <v/>
      </c>
    </row>
    <row r="65" spans="1:14">
      <c r="A65" s="13"/>
      <c r="B65" s="13"/>
      <c r="C65" s="13"/>
      <c r="D65" s="13"/>
      <c r="E65" s="13"/>
      <c r="F65" s="5"/>
      <c r="G65" s="5"/>
      <c r="H65" s="5"/>
      <c r="I65" s="5"/>
      <c r="J65" s="5"/>
      <c r="K65" s="5"/>
      <c r="L65" s="5"/>
      <c r="M65" s="6" t="str">
        <f t="shared" si="2"/>
        <v/>
      </c>
      <c r="N65" s="6" t="str">
        <f t="shared" si="3"/>
        <v/>
      </c>
    </row>
    <row r="66" spans="1:14">
      <c r="A66" s="13"/>
      <c r="B66" s="13"/>
      <c r="C66" s="13"/>
      <c r="D66" s="13"/>
      <c r="E66" s="13"/>
      <c r="F66" s="5"/>
      <c r="G66" s="5"/>
      <c r="H66" s="5"/>
      <c r="I66" s="5"/>
      <c r="J66" s="5"/>
      <c r="K66" s="5"/>
      <c r="L66" s="5"/>
      <c r="M66" s="6" t="str">
        <f t="shared" si="2"/>
        <v/>
      </c>
      <c r="N66" s="6" t="str">
        <f t="shared" si="3"/>
        <v/>
      </c>
    </row>
    <row r="67" spans="1:14">
      <c r="A67" s="13"/>
      <c r="B67" s="13"/>
      <c r="C67" s="13"/>
      <c r="D67" s="13"/>
      <c r="E67" s="13"/>
      <c r="F67" s="5"/>
      <c r="G67" s="5"/>
      <c r="H67" s="5"/>
      <c r="I67" s="5"/>
      <c r="J67" s="5"/>
      <c r="K67" s="5"/>
      <c r="L67" s="5"/>
      <c r="M67" s="6" t="str">
        <f t="shared" si="2"/>
        <v/>
      </c>
      <c r="N67" s="6" t="str">
        <f t="shared" si="3"/>
        <v/>
      </c>
    </row>
    <row r="68" spans="1:14">
      <c r="A68" s="13"/>
      <c r="B68" s="13"/>
      <c r="C68" s="13"/>
      <c r="D68" s="13"/>
      <c r="E68" s="13"/>
      <c r="F68" s="5"/>
      <c r="G68" s="5"/>
      <c r="H68" s="5"/>
      <c r="I68" s="5"/>
      <c r="J68" s="5"/>
      <c r="K68" s="5"/>
      <c r="L68" s="5"/>
      <c r="M68" s="6" t="str">
        <f t="shared" si="2"/>
        <v/>
      </c>
      <c r="N68" s="6" t="str">
        <f t="shared" si="3"/>
        <v/>
      </c>
    </row>
    <row r="69" spans="1:14">
      <c r="A69" s="13"/>
      <c r="B69" s="13"/>
      <c r="C69" s="13"/>
      <c r="D69" s="13"/>
      <c r="E69" s="13"/>
      <c r="F69" s="5"/>
      <c r="G69" s="5"/>
      <c r="H69" s="5"/>
      <c r="I69" s="5"/>
      <c r="J69" s="5"/>
      <c r="K69" s="5"/>
      <c r="L69" s="5"/>
      <c r="M69" s="6" t="str">
        <f t="shared" ref="M69:M100" si="4">IF(A69="","",IF(N69="","HỢP LỆ","CẦN SỬA"))</f>
        <v/>
      </c>
      <c r="N69" s="6" t="str">
        <f t="shared" ref="N69:N100" si="5">IF(A69="","",IF(B69="","Thiếu NodeId",IF(D69="","Thiếu NodeType",IF(COUNTIF($B$5:$B$204,B69)&gt;1,"NodeId bị trùng",IF(COUNTIF($A$5:$A$204,A69)&gt;1,"NodeOrder bị trùng",IF(AND(D69="scene",OR(C69="",F69="",G69="")),"scene cần ActNo, Background, SceneName",IF(AND(D69="say",OR(H69="",J69="")),"say cần SpeakerKey và Text",IF(AND(D69="choice",OR(E69="",H69="",I69="",J69="")),"choice cần ChoiceMode, SpeakerKey, Mood, Question",IF(AND(D69="act",K69=""),"act cần số La Mã",IF(AND(D69="end",COUNTIF($D$5:$D$204,"end")&lt;&gt;1),"Phải có đúng 1 node end",""))))))))))</f>
        <v/>
      </c>
    </row>
    <row r="70" spans="1:14">
      <c r="A70" s="13"/>
      <c r="B70" s="13"/>
      <c r="C70" s="13"/>
      <c r="D70" s="13"/>
      <c r="E70" s="13"/>
      <c r="F70" s="5"/>
      <c r="G70" s="5"/>
      <c r="H70" s="5"/>
      <c r="I70" s="5"/>
      <c r="J70" s="5"/>
      <c r="K70" s="5"/>
      <c r="L70" s="5"/>
      <c r="M70" s="6" t="str">
        <f t="shared" si="4"/>
        <v/>
      </c>
      <c r="N70" s="6" t="str">
        <f t="shared" si="5"/>
        <v/>
      </c>
    </row>
    <row r="71" spans="1:14">
      <c r="A71" s="13"/>
      <c r="B71" s="13"/>
      <c r="C71" s="13"/>
      <c r="D71" s="13"/>
      <c r="E71" s="13"/>
      <c r="F71" s="5"/>
      <c r="G71" s="5"/>
      <c r="H71" s="5"/>
      <c r="I71" s="5"/>
      <c r="J71" s="5"/>
      <c r="K71" s="5"/>
      <c r="L71" s="5"/>
      <c r="M71" s="6" t="str">
        <f t="shared" si="4"/>
        <v/>
      </c>
      <c r="N71" s="6" t="str">
        <f t="shared" si="5"/>
        <v/>
      </c>
    </row>
    <row r="72" spans="1:14">
      <c r="A72" s="13"/>
      <c r="B72" s="13"/>
      <c r="C72" s="13"/>
      <c r="D72" s="13"/>
      <c r="E72" s="13"/>
      <c r="F72" s="5"/>
      <c r="G72" s="5"/>
      <c r="H72" s="5"/>
      <c r="I72" s="5"/>
      <c r="J72" s="5"/>
      <c r="K72" s="5"/>
      <c r="L72" s="5"/>
      <c r="M72" s="6" t="str">
        <f t="shared" si="4"/>
        <v/>
      </c>
      <c r="N72" s="6" t="str">
        <f t="shared" si="5"/>
        <v/>
      </c>
    </row>
    <row r="73" spans="1:14">
      <c r="A73" s="13"/>
      <c r="B73" s="13"/>
      <c r="C73" s="13"/>
      <c r="D73" s="13"/>
      <c r="E73" s="13"/>
      <c r="F73" s="5"/>
      <c r="G73" s="5"/>
      <c r="H73" s="5"/>
      <c r="I73" s="5"/>
      <c r="J73" s="5"/>
      <c r="K73" s="5"/>
      <c r="L73" s="5"/>
      <c r="M73" s="6" t="str">
        <f t="shared" si="4"/>
        <v/>
      </c>
      <c r="N73" s="6" t="str">
        <f t="shared" si="5"/>
        <v/>
      </c>
    </row>
    <row r="74" spans="1:14">
      <c r="A74" s="13"/>
      <c r="B74" s="13"/>
      <c r="C74" s="13"/>
      <c r="D74" s="13"/>
      <c r="E74" s="13"/>
      <c r="F74" s="5"/>
      <c r="G74" s="5"/>
      <c r="H74" s="5"/>
      <c r="I74" s="5"/>
      <c r="J74" s="5"/>
      <c r="K74" s="5"/>
      <c r="L74" s="5"/>
      <c r="M74" s="6" t="str">
        <f t="shared" si="4"/>
        <v/>
      </c>
      <c r="N74" s="6" t="str">
        <f t="shared" si="5"/>
        <v/>
      </c>
    </row>
    <row r="75" spans="1:14">
      <c r="A75" s="13"/>
      <c r="B75" s="13"/>
      <c r="C75" s="13"/>
      <c r="D75" s="13"/>
      <c r="E75" s="13"/>
      <c r="F75" s="5"/>
      <c r="G75" s="5"/>
      <c r="H75" s="5"/>
      <c r="I75" s="5"/>
      <c r="J75" s="5"/>
      <c r="K75" s="5"/>
      <c r="L75" s="5"/>
      <c r="M75" s="6" t="str">
        <f t="shared" si="4"/>
        <v/>
      </c>
      <c r="N75" s="6" t="str">
        <f t="shared" si="5"/>
        <v/>
      </c>
    </row>
    <row r="76" spans="1:14">
      <c r="A76" s="13"/>
      <c r="B76" s="13"/>
      <c r="C76" s="13"/>
      <c r="D76" s="13"/>
      <c r="E76" s="13"/>
      <c r="F76" s="5"/>
      <c r="G76" s="5"/>
      <c r="H76" s="5"/>
      <c r="I76" s="5"/>
      <c r="J76" s="5"/>
      <c r="K76" s="5"/>
      <c r="L76" s="5"/>
      <c r="M76" s="6" t="str">
        <f t="shared" si="4"/>
        <v/>
      </c>
      <c r="N76" s="6" t="str">
        <f t="shared" si="5"/>
        <v/>
      </c>
    </row>
    <row r="77" spans="1:14">
      <c r="A77" s="13"/>
      <c r="B77" s="13"/>
      <c r="C77" s="13"/>
      <c r="D77" s="13"/>
      <c r="E77" s="13"/>
      <c r="F77" s="5"/>
      <c r="G77" s="5"/>
      <c r="H77" s="5"/>
      <c r="I77" s="5"/>
      <c r="J77" s="5"/>
      <c r="K77" s="5"/>
      <c r="L77" s="5"/>
      <c r="M77" s="6" t="str">
        <f t="shared" si="4"/>
        <v/>
      </c>
      <c r="N77" s="6" t="str">
        <f t="shared" si="5"/>
        <v/>
      </c>
    </row>
    <row r="78" spans="1:14">
      <c r="A78" s="13"/>
      <c r="B78" s="13"/>
      <c r="C78" s="13"/>
      <c r="D78" s="13"/>
      <c r="E78" s="13"/>
      <c r="F78" s="5"/>
      <c r="G78" s="5"/>
      <c r="H78" s="5"/>
      <c r="I78" s="5"/>
      <c r="J78" s="5"/>
      <c r="K78" s="5"/>
      <c r="L78" s="5"/>
      <c r="M78" s="6" t="str">
        <f t="shared" si="4"/>
        <v/>
      </c>
      <c r="N78" s="6" t="str">
        <f t="shared" si="5"/>
        <v/>
      </c>
    </row>
    <row r="79" spans="1:14">
      <c r="A79" s="13"/>
      <c r="B79" s="13"/>
      <c r="C79" s="13"/>
      <c r="D79" s="13"/>
      <c r="E79" s="13"/>
      <c r="F79" s="5"/>
      <c r="G79" s="5"/>
      <c r="H79" s="5"/>
      <c r="I79" s="5"/>
      <c r="J79" s="5"/>
      <c r="K79" s="5"/>
      <c r="L79" s="5"/>
      <c r="M79" s="6" t="str">
        <f t="shared" si="4"/>
        <v/>
      </c>
      <c r="N79" s="6" t="str">
        <f t="shared" si="5"/>
        <v/>
      </c>
    </row>
    <row r="80" spans="1:14">
      <c r="A80" s="13"/>
      <c r="B80" s="13"/>
      <c r="C80" s="13"/>
      <c r="D80" s="13"/>
      <c r="E80" s="13"/>
      <c r="F80" s="5"/>
      <c r="G80" s="5"/>
      <c r="H80" s="5"/>
      <c r="I80" s="5"/>
      <c r="J80" s="5"/>
      <c r="K80" s="5"/>
      <c r="L80" s="5"/>
      <c r="M80" s="6" t="str">
        <f t="shared" si="4"/>
        <v/>
      </c>
      <c r="N80" s="6" t="str">
        <f t="shared" si="5"/>
        <v/>
      </c>
    </row>
    <row r="81" spans="1:14">
      <c r="A81" s="13"/>
      <c r="B81" s="13"/>
      <c r="C81" s="13"/>
      <c r="D81" s="13"/>
      <c r="E81" s="13"/>
      <c r="F81" s="5"/>
      <c r="G81" s="5"/>
      <c r="H81" s="5"/>
      <c r="I81" s="5"/>
      <c r="J81" s="5"/>
      <c r="K81" s="5"/>
      <c r="L81" s="5"/>
      <c r="M81" s="6" t="str">
        <f t="shared" si="4"/>
        <v/>
      </c>
      <c r="N81" s="6" t="str">
        <f t="shared" si="5"/>
        <v/>
      </c>
    </row>
    <row r="82" spans="1:14">
      <c r="A82" s="13"/>
      <c r="B82" s="13"/>
      <c r="C82" s="13"/>
      <c r="D82" s="13"/>
      <c r="E82" s="13"/>
      <c r="F82" s="5"/>
      <c r="G82" s="5"/>
      <c r="H82" s="5"/>
      <c r="I82" s="5"/>
      <c r="J82" s="5"/>
      <c r="K82" s="5"/>
      <c r="L82" s="5"/>
      <c r="M82" s="6" t="str">
        <f t="shared" si="4"/>
        <v/>
      </c>
      <c r="N82" s="6" t="str">
        <f t="shared" si="5"/>
        <v/>
      </c>
    </row>
    <row r="83" spans="1:14">
      <c r="A83" s="13"/>
      <c r="B83" s="13"/>
      <c r="C83" s="13"/>
      <c r="D83" s="13"/>
      <c r="E83" s="13"/>
      <c r="F83" s="5"/>
      <c r="G83" s="5"/>
      <c r="H83" s="5"/>
      <c r="I83" s="5"/>
      <c r="J83" s="5"/>
      <c r="K83" s="5"/>
      <c r="L83" s="5"/>
      <c r="M83" s="6" t="str">
        <f t="shared" si="4"/>
        <v/>
      </c>
      <c r="N83" s="6" t="str">
        <f t="shared" si="5"/>
        <v/>
      </c>
    </row>
    <row r="84" spans="1:14">
      <c r="A84" s="13"/>
      <c r="B84" s="13"/>
      <c r="C84" s="13"/>
      <c r="D84" s="13"/>
      <c r="E84" s="13"/>
      <c r="F84" s="5"/>
      <c r="G84" s="5"/>
      <c r="H84" s="5"/>
      <c r="I84" s="5"/>
      <c r="J84" s="5"/>
      <c r="K84" s="5"/>
      <c r="L84" s="5"/>
      <c r="M84" s="6" t="str">
        <f t="shared" si="4"/>
        <v/>
      </c>
      <c r="N84" s="6" t="str">
        <f t="shared" si="5"/>
        <v/>
      </c>
    </row>
    <row r="85" spans="1:14">
      <c r="A85" s="13"/>
      <c r="B85" s="13"/>
      <c r="C85" s="13"/>
      <c r="D85" s="13"/>
      <c r="E85" s="13"/>
      <c r="F85" s="5"/>
      <c r="G85" s="5"/>
      <c r="H85" s="5"/>
      <c r="I85" s="5"/>
      <c r="J85" s="5"/>
      <c r="K85" s="5"/>
      <c r="L85" s="5"/>
      <c r="M85" s="6" t="str">
        <f t="shared" si="4"/>
        <v/>
      </c>
      <c r="N85" s="6" t="str">
        <f t="shared" si="5"/>
        <v/>
      </c>
    </row>
    <row r="86" spans="1:14">
      <c r="A86" s="13"/>
      <c r="B86" s="13"/>
      <c r="C86" s="13"/>
      <c r="D86" s="13"/>
      <c r="E86" s="13"/>
      <c r="F86" s="5"/>
      <c r="G86" s="5"/>
      <c r="H86" s="5"/>
      <c r="I86" s="5"/>
      <c r="J86" s="5"/>
      <c r="K86" s="5"/>
      <c r="L86" s="5"/>
      <c r="M86" s="6" t="str">
        <f t="shared" si="4"/>
        <v/>
      </c>
      <c r="N86" s="6" t="str">
        <f t="shared" si="5"/>
        <v/>
      </c>
    </row>
    <row r="87" spans="1:14">
      <c r="A87" s="13"/>
      <c r="B87" s="13"/>
      <c r="C87" s="13"/>
      <c r="D87" s="13"/>
      <c r="E87" s="13"/>
      <c r="F87" s="5"/>
      <c r="G87" s="5"/>
      <c r="H87" s="5"/>
      <c r="I87" s="5"/>
      <c r="J87" s="5"/>
      <c r="K87" s="5"/>
      <c r="L87" s="5"/>
      <c r="M87" s="6" t="str">
        <f t="shared" si="4"/>
        <v/>
      </c>
      <c r="N87" s="6" t="str">
        <f t="shared" si="5"/>
        <v/>
      </c>
    </row>
    <row r="88" spans="1:14">
      <c r="A88" s="13"/>
      <c r="B88" s="13"/>
      <c r="C88" s="13"/>
      <c r="D88" s="13"/>
      <c r="E88" s="13"/>
      <c r="F88" s="5"/>
      <c r="G88" s="5"/>
      <c r="H88" s="5"/>
      <c r="I88" s="5"/>
      <c r="J88" s="5"/>
      <c r="K88" s="5"/>
      <c r="L88" s="5"/>
      <c r="M88" s="6" t="str">
        <f t="shared" si="4"/>
        <v/>
      </c>
      <c r="N88" s="6" t="str">
        <f t="shared" si="5"/>
        <v/>
      </c>
    </row>
    <row r="89" spans="1:14">
      <c r="A89" s="13"/>
      <c r="B89" s="13"/>
      <c r="C89" s="13"/>
      <c r="D89" s="13"/>
      <c r="E89" s="13"/>
      <c r="F89" s="5"/>
      <c r="G89" s="5"/>
      <c r="H89" s="5"/>
      <c r="I89" s="5"/>
      <c r="J89" s="5"/>
      <c r="K89" s="5"/>
      <c r="L89" s="5"/>
      <c r="M89" s="6" t="str">
        <f t="shared" si="4"/>
        <v/>
      </c>
      <c r="N89" s="6" t="str">
        <f t="shared" si="5"/>
        <v/>
      </c>
    </row>
    <row r="90" spans="1:14">
      <c r="A90" s="13"/>
      <c r="B90" s="13"/>
      <c r="C90" s="13"/>
      <c r="D90" s="13"/>
      <c r="E90" s="13"/>
      <c r="F90" s="5"/>
      <c r="G90" s="5"/>
      <c r="H90" s="5"/>
      <c r="I90" s="5"/>
      <c r="J90" s="5"/>
      <c r="K90" s="5"/>
      <c r="L90" s="5"/>
      <c r="M90" s="6" t="str">
        <f t="shared" si="4"/>
        <v/>
      </c>
      <c r="N90" s="6" t="str">
        <f t="shared" si="5"/>
        <v/>
      </c>
    </row>
    <row r="91" spans="1:14">
      <c r="A91" s="13"/>
      <c r="B91" s="13"/>
      <c r="C91" s="13"/>
      <c r="D91" s="13"/>
      <c r="E91" s="13"/>
      <c r="F91" s="5"/>
      <c r="G91" s="5"/>
      <c r="H91" s="5"/>
      <c r="I91" s="5"/>
      <c r="J91" s="5"/>
      <c r="K91" s="5"/>
      <c r="L91" s="5"/>
      <c r="M91" s="6" t="str">
        <f t="shared" si="4"/>
        <v/>
      </c>
      <c r="N91" s="6" t="str">
        <f t="shared" si="5"/>
        <v/>
      </c>
    </row>
    <row r="92" spans="1:14">
      <c r="A92" s="13"/>
      <c r="B92" s="13"/>
      <c r="C92" s="13"/>
      <c r="D92" s="13"/>
      <c r="E92" s="13"/>
      <c r="F92" s="5"/>
      <c r="G92" s="5"/>
      <c r="H92" s="5"/>
      <c r="I92" s="5"/>
      <c r="J92" s="5"/>
      <c r="K92" s="5"/>
      <c r="L92" s="5"/>
      <c r="M92" s="6" t="str">
        <f t="shared" si="4"/>
        <v/>
      </c>
      <c r="N92" s="6" t="str">
        <f t="shared" si="5"/>
        <v/>
      </c>
    </row>
    <row r="93" spans="1:14">
      <c r="A93" s="13"/>
      <c r="B93" s="13"/>
      <c r="C93" s="13"/>
      <c r="D93" s="13"/>
      <c r="E93" s="13"/>
      <c r="F93" s="5"/>
      <c r="G93" s="5"/>
      <c r="H93" s="5"/>
      <c r="I93" s="5"/>
      <c r="J93" s="5"/>
      <c r="K93" s="5"/>
      <c r="L93" s="5"/>
      <c r="M93" s="6" t="str">
        <f t="shared" si="4"/>
        <v/>
      </c>
      <c r="N93" s="6" t="str">
        <f t="shared" si="5"/>
        <v/>
      </c>
    </row>
    <row r="94" spans="1:14">
      <c r="A94" s="13"/>
      <c r="B94" s="13"/>
      <c r="C94" s="13"/>
      <c r="D94" s="13"/>
      <c r="E94" s="13"/>
      <c r="F94" s="5"/>
      <c r="G94" s="5"/>
      <c r="H94" s="5"/>
      <c r="I94" s="5"/>
      <c r="J94" s="5"/>
      <c r="K94" s="5"/>
      <c r="L94" s="5"/>
      <c r="M94" s="6" t="str">
        <f t="shared" si="4"/>
        <v/>
      </c>
      <c r="N94" s="6" t="str">
        <f t="shared" si="5"/>
        <v/>
      </c>
    </row>
    <row r="95" spans="1:14">
      <c r="A95" s="13"/>
      <c r="B95" s="13"/>
      <c r="C95" s="13"/>
      <c r="D95" s="13"/>
      <c r="E95" s="13"/>
      <c r="F95" s="5"/>
      <c r="G95" s="5"/>
      <c r="H95" s="5"/>
      <c r="I95" s="5"/>
      <c r="J95" s="5"/>
      <c r="K95" s="5"/>
      <c r="L95" s="5"/>
      <c r="M95" s="6" t="str">
        <f t="shared" si="4"/>
        <v/>
      </c>
      <c r="N95" s="6" t="str">
        <f t="shared" si="5"/>
        <v/>
      </c>
    </row>
    <row r="96" spans="1:14">
      <c r="A96" s="13"/>
      <c r="B96" s="13"/>
      <c r="C96" s="13"/>
      <c r="D96" s="13"/>
      <c r="E96" s="13"/>
      <c r="F96" s="5"/>
      <c r="G96" s="5"/>
      <c r="H96" s="5"/>
      <c r="I96" s="5"/>
      <c r="J96" s="5"/>
      <c r="K96" s="5"/>
      <c r="L96" s="5"/>
      <c r="M96" s="6" t="str">
        <f t="shared" si="4"/>
        <v/>
      </c>
      <c r="N96" s="6" t="str">
        <f t="shared" si="5"/>
        <v/>
      </c>
    </row>
    <row r="97" spans="1:14">
      <c r="A97" s="13"/>
      <c r="B97" s="13"/>
      <c r="C97" s="13"/>
      <c r="D97" s="13"/>
      <c r="E97" s="13"/>
      <c r="F97" s="5"/>
      <c r="G97" s="5"/>
      <c r="H97" s="5"/>
      <c r="I97" s="5"/>
      <c r="J97" s="5"/>
      <c r="K97" s="5"/>
      <c r="L97" s="5"/>
      <c r="M97" s="6" t="str">
        <f t="shared" si="4"/>
        <v/>
      </c>
      <c r="N97" s="6" t="str">
        <f t="shared" si="5"/>
        <v/>
      </c>
    </row>
    <row r="98" spans="1:14">
      <c r="A98" s="13"/>
      <c r="B98" s="13"/>
      <c r="C98" s="13"/>
      <c r="D98" s="13"/>
      <c r="E98" s="13"/>
      <c r="F98" s="5"/>
      <c r="G98" s="5"/>
      <c r="H98" s="5"/>
      <c r="I98" s="5"/>
      <c r="J98" s="5"/>
      <c r="K98" s="5"/>
      <c r="L98" s="5"/>
      <c r="M98" s="6" t="str">
        <f t="shared" si="4"/>
        <v/>
      </c>
      <c r="N98" s="6" t="str">
        <f t="shared" si="5"/>
        <v/>
      </c>
    </row>
    <row r="99" spans="1:14">
      <c r="A99" s="13"/>
      <c r="B99" s="13"/>
      <c r="C99" s="13"/>
      <c r="D99" s="13"/>
      <c r="E99" s="13"/>
      <c r="F99" s="5"/>
      <c r="G99" s="5"/>
      <c r="H99" s="5"/>
      <c r="I99" s="5"/>
      <c r="J99" s="5"/>
      <c r="K99" s="5"/>
      <c r="L99" s="5"/>
      <c r="M99" s="6" t="str">
        <f t="shared" si="4"/>
        <v/>
      </c>
      <c r="N99" s="6" t="str">
        <f t="shared" si="5"/>
        <v/>
      </c>
    </row>
    <row r="100" spans="1:14">
      <c r="A100" s="13"/>
      <c r="B100" s="13"/>
      <c r="C100" s="13"/>
      <c r="D100" s="13"/>
      <c r="E100" s="13"/>
      <c r="F100" s="5"/>
      <c r="G100" s="5"/>
      <c r="H100" s="5"/>
      <c r="I100" s="5"/>
      <c r="J100" s="5"/>
      <c r="K100" s="5"/>
      <c r="L100" s="5"/>
      <c r="M100" s="6" t="str">
        <f t="shared" si="4"/>
        <v/>
      </c>
      <c r="N100" s="6" t="str">
        <f t="shared" si="5"/>
        <v/>
      </c>
    </row>
    <row r="101" spans="1:14">
      <c r="A101" s="13"/>
      <c r="B101" s="13"/>
      <c r="C101" s="13"/>
      <c r="D101" s="13"/>
      <c r="E101" s="13"/>
      <c r="F101" s="5"/>
      <c r="G101" s="5"/>
      <c r="H101" s="5"/>
      <c r="I101" s="5"/>
      <c r="J101" s="5"/>
      <c r="K101" s="5"/>
      <c r="L101" s="5"/>
      <c r="M101" s="6" t="str">
        <f t="shared" ref="M101:M132" si="6">IF(A101="","",IF(N101="","HỢP LỆ","CẦN SỬA"))</f>
        <v/>
      </c>
      <c r="N101" s="6" t="str">
        <f t="shared" ref="N101:N132" si="7">IF(A101="","",IF(B101="","Thiếu NodeId",IF(D101="","Thiếu NodeType",IF(COUNTIF($B$5:$B$204,B101)&gt;1,"NodeId bị trùng",IF(COUNTIF($A$5:$A$204,A101)&gt;1,"NodeOrder bị trùng",IF(AND(D101="scene",OR(C101="",F101="",G101="")),"scene cần ActNo, Background, SceneName",IF(AND(D101="say",OR(H101="",J101="")),"say cần SpeakerKey và Text",IF(AND(D101="choice",OR(E101="",H101="",I101="",J101="")),"choice cần ChoiceMode, SpeakerKey, Mood, Question",IF(AND(D101="act",K101=""),"act cần số La Mã",IF(AND(D101="end",COUNTIF($D$5:$D$204,"end")&lt;&gt;1),"Phải có đúng 1 node end",""))))))))))</f>
        <v/>
      </c>
    </row>
    <row r="102" spans="1:14">
      <c r="A102" s="13"/>
      <c r="B102" s="13"/>
      <c r="C102" s="13"/>
      <c r="D102" s="13"/>
      <c r="E102" s="13"/>
      <c r="F102" s="5"/>
      <c r="G102" s="5"/>
      <c r="H102" s="5"/>
      <c r="I102" s="5"/>
      <c r="J102" s="5"/>
      <c r="K102" s="5"/>
      <c r="L102" s="5"/>
      <c r="M102" s="6" t="str">
        <f t="shared" si="6"/>
        <v/>
      </c>
      <c r="N102" s="6" t="str">
        <f t="shared" si="7"/>
        <v/>
      </c>
    </row>
    <row r="103" spans="1:14">
      <c r="A103" s="13"/>
      <c r="B103" s="13"/>
      <c r="C103" s="13"/>
      <c r="D103" s="13"/>
      <c r="E103" s="13"/>
      <c r="F103" s="5"/>
      <c r="G103" s="5"/>
      <c r="H103" s="5"/>
      <c r="I103" s="5"/>
      <c r="J103" s="5"/>
      <c r="K103" s="5"/>
      <c r="L103" s="5"/>
      <c r="M103" s="6" t="str">
        <f t="shared" si="6"/>
        <v/>
      </c>
      <c r="N103" s="6" t="str">
        <f t="shared" si="7"/>
        <v/>
      </c>
    </row>
    <row r="104" spans="1:14">
      <c r="A104" s="13"/>
      <c r="B104" s="13"/>
      <c r="C104" s="13"/>
      <c r="D104" s="13"/>
      <c r="E104" s="13"/>
      <c r="F104" s="5"/>
      <c r="G104" s="5"/>
      <c r="H104" s="5"/>
      <c r="I104" s="5"/>
      <c r="J104" s="5"/>
      <c r="K104" s="5"/>
      <c r="L104" s="5"/>
      <c r="M104" s="6" t="str">
        <f t="shared" si="6"/>
        <v/>
      </c>
      <c r="N104" s="6" t="str">
        <f t="shared" si="7"/>
        <v/>
      </c>
    </row>
    <row r="105" spans="1:14">
      <c r="A105" s="13"/>
      <c r="B105" s="13"/>
      <c r="C105" s="13"/>
      <c r="D105" s="13"/>
      <c r="E105" s="13"/>
      <c r="F105" s="5"/>
      <c r="G105" s="5"/>
      <c r="H105" s="5"/>
      <c r="I105" s="5"/>
      <c r="J105" s="5"/>
      <c r="K105" s="5"/>
      <c r="L105" s="5"/>
      <c r="M105" s="6" t="str">
        <f t="shared" si="6"/>
        <v/>
      </c>
      <c r="N105" s="6" t="str">
        <f t="shared" si="7"/>
        <v/>
      </c>
    </row>
    <row r="106" spans="1:14">
      <c r="A106" s="13"/>
      <c r="B106" s="13"/>
      <c r="C106" s="13"/>
      <c r="D106" s="13"/>
      <c r="E106" s="13"/>
      <c r="F106" s="5"/>
      <c r="G106" s="5"/>
      <c r="H106" s="5"/>
      <c r="I106" s="5"/>
      <c r="J106" s="5"/>
      <c r="K106" s="5"/>
      <c r="L106" s="5"/>
      <c r="M106" s="6" t="str">
        <f t="shared" si="6"/>
        <v/>
      </c>
      <c r="N106" s="6" t="str">
        <f t="shared" si="7"/>
        <v/>
      </c>
    </row>
    <row r="107" spans="1:14">
      <c r="A107" s="13"/>
      <c r="B107" s="13"/>
      <c r="C107" s="13"/>
      <c r="D107" s="13"/>
      <c r="E107" s="13"/>
      <c r="F107" s="5"/>
      <c r="G107" s="5"/>
      <c r="H107" s="5"/>
      <c r="I107" s="5"/>
      <c r="J107" s="5"/>
      <c r="K107" s="5"/>
      <c r="L107" s="5"/>
      <c r="M107" s="6" t="str">
        <f t="shared" si="6"/>
        <v/>
      </c>
      <c r="N107" s="6" t="str">
        <f t="shared" si="7"/>
        <v/>
      </c>
    </row>
    <row r="108" spans="1:14">
      <c r="A108" s="13"/>
      <c r="B108" s="13"/>
      <c r="C108" s="13"/>
      <c r="D108" s="13"/>
      <c r="E108" s="13"/>
      <c r="F108" s="5"/>
      <c r="G108" s="5"/>
      <c r="H108" s="5"/>
      <c r="I108" s="5"/>
      <c r="J108" s="5"/>
      <c r="K108" s="5"/>
      <c r="L108" s="5"/>
      <c r="M108" s="6" t="str">
        <f t="shared" si="6"/>
        <v/>
      </c>
      <c r="N108" s="6" t="str">
        <f t="shared" si="7"/>
        <v/>
      </c>
    </row>
    <row r="109" spans="1:14">
      <c r="A109" s="13"/>
      <c r="B109" s="13"/>
      <c r="C109" s="13"/>
      <c r="D109" s="13"/>
      <c r="E109" s="13"/>
      <c r="F109" s="5"/>
      <c r="G109" s="5"/>
      <c r="H109" s="5"/>
      <c r="I109" s="5"/>
      <c r="J109" s="5"/>
      <c r="K109" s="5"/>
      <c r="L109" s="5"/>
      <c r="M109" s="6" t="str">
        <f t="shared" si="6"/>
        <v/>
      </c>
      <c r="N109" s="6" t="str">
        <f t="shared" si="7"/>
        <v/>
      </c>
    </row>
    <row r="110" spans="1:14">
      <c r="A110" s="13"/>
      <c r="B110" s="13"/>
      <c r="C110" s="13"/>
      <c r="D110" s="13"/>
      <c r="E110" s="13"/>
      <c r="F110" s="5"/>
      <c r="G110" s="5"/>
      <c r="H110" s="5"/>
      <c r="I110" s="5"/>
      <c r="J110" s="5"/>
      <c r="K110" s="5"/>
      <c r="L110" s="5"/>
      <c r="M110" s="6" t="str">
        <f t="shared" si="6"/>
        <v/>
      </c>
      <c r="N110" s="6" t="str">
        <f t="shared" si="7"/>
        <v/>
      </c>
    </row>
    <row r="111" spans="1:14">
      <c r="A111" s="13"/>
      <c r="B111" s="13"/>
      <c r="C111" s="13"/>
      <c r="D111" s="13"/>
      <c r="E111" s="13"/>
      <c r="F111" s="5"/>
      <c r="G111" s="5"/>
      <c r="H111" s="5"/>
      <c r="I111" s="5"/>
      <c r="J111" s="5"/>
      <c r="K111" s="5"/>
      <c r="L111" s="5"/>
      <c r="M111" s="6" t="str">
        <f t="shared" si="6"/>
        <v/>
      </c>
      <c r="N111" s="6" t="str">
        <f t="shared" si="7"/>
        <v/>
      </c>
    </row>
    <row r="112" spans="1:14">
      <c r="A112" s="13"/>
      <c r="B112" s="13"/>
      <c r="C112" s="13"/>
      <c r="D112" s="13"/>
      <c r="E112" s="13"/>
      <c r="F112" s="5"/>
      <c r="G112" s="5"/>
      <c r="H112" s="5"/>
      <c r="I112" s="5"/>
      <c r="J112" s="5"/>
      <c r="K112" s="5"/>
      <c r="L112" s="5"/>
      <c r="M112" s="6" t="str">
        <f t="shared" si="6"/>
        <v/>
      </c>
      <c r="N112" s="6" t="str">
        <f t="shared" si="7"/>
        <v/>
      </c>
    </row>
    <row r="113" spans="1:14">
      <c r="A113" s="13"/>
      <c r="B113" s="13"/>
      <c r="C113" s="13"/>
      <c r="D113" s="13"/>
      <c r="E113" s="13"/>
      <c r="F113" s="5"/>
      <c r="G113" s="5"/>
      <c r="H113" s="5"/>
      <c r="I113" s="5"/>
      <c r="J113" s="5"/>
      <c r="K113" s="5"/>
      <c r="L113" s="5"/>
      <c r="M113" s="6" t="str">
        <f t="shared" si="6"/>
        <v/>
      </c>
      <c r="N113" s="6" t="str">
        <f t="shared" si="7"/>
        <v/>
      </c>
    </row>
    <row r="114" spans="1:14">
      <c r="A114" s="13"/>
      <c r="B114" s="13"/>
      <c r="C114" s="13"/>
      <c r="D114" s="13"/>
      <c r="E114" s="13"/>
      <c r="F114" s="5"/>
      <c r="G114" s="5"/>
      <c r="H114" s="5"/>
      <c r="I114" s="5"/>
      <c r="J114" s="5"/>
      <c r="K114" s="5"/>
      <c r="L114" s="5"/>
      <c r="M114" s="6" t="str">
        <f t="shared" si="6"/>
        <v/>
      </c>
      <c r="N114" s="6" t="str">
        <f t="shared" si="7"/>
        <v/>
      </c>
    </row>
    <row r="115" spans="1:14">
      <c r="A115" s="13"/>
      <c r="B115" s="13"/>
      <c r="C115" s="13"/>
      <c r="D115" s="13"/>
      <c r="E115" s="13"/>
      <c r="F115" s="5"/>
      <c r="G115" s="5"/>
      <c r="H115" s="5"/>
      <c r="I115" s="5"/>
      <c r="J115" s="5"/>
      <c r="K115" s="5"/>
      <c r="L115" s="5"/>
      <c r="M115" s="6" t="str">
        <f t="shared" si="6"/>
        <v/>
      </c>
      <c r="N115" s="6" t="str">
        <f t="shared" si="7"/>
        <v/>
      </c>
    </row>
    <row r="116" spans="1:14">
      <c r="A116" s="13"/>
      <c r="B116" s="13"/>
      <c r="C116" s="13"/>
      <c r="D116" s="13"/>
      <c r="E116" s="13"/>
      <c r="F116" s="5"/>
      <c r="G116" s="5"/>
      <c r="H116" s="5"/>
      <c r="I116" s="5"/>
      <c r="J116" s="5"/>
      <c r="K116" s="5"/>
      <c r="L116" s="5"/>
      <c r="M116" s="6" t="str">
        <f t="shared" si="6"/>
        <v/>
      </c>
      <c r="N116" s="6" t="str">
        <f t="shared" si="7"/>
        <v/>
      </c>
    </row>
    <row r="117" spans="1:14">
      <c r="A117" s="13"/>
      <c r="B117" s="13"/>
      <c r="C117" s="13"/>
      <c r="D117" s="13"/>
      <c r="E117" s="13"/>
      <c r="F117" s="5"/>
      <c r="G117" s="5"/>
      <c r="H117" s="5"/>
      <c r="I117" s="5"/>
      <c r="J117" s="5"/>
      <c r="K117" s="5"/>
      <c r="L117" s="5"/>
      <c r="M117" s="6" t="str">
        <f t="shared" si="6"/>
        <v/>
      </c>
      <c r="N117" s="6" t="str">
        <f t="shared" si="7"/>
        <v/>
      </c>
    </row>
    <row r="118" spans="1:14">
      <c r="A118" s="13"/>
      <c r="B118" s="13"/>
      <c r="C118" s="13"/>
      <c r="D118" s="13"/>
      <c r="E118" s="13"/>
      <c r="F118" s="5"/>
      <c r="G118" s="5"/>
      <c r="H118" s="5"/>
      <c r="I118" s="5"/>
      <c r="J118" s="5"/>
      <c r="K118" s="5"/>
      <c r="L118" s="5"/>
      <c r="M118" s="6" t="str">
        <f t="shared" si="6"/>
        <v/>
      </c>
      <c r="N118" s="6" t="str">
        <f t="shared" si="7"/>
        <v/>
      </c>
    </row>
    <row r="119" spans="1:14">
      <c r="A119" s="13"/>
      <c r="B119" s="13"/>
      <c r="C119" s="13"/>
      <c r="D119" s="13"/>
      <c r="E119" s="13"/>
      <c r="F119" s="5"/>
      <c r="G119" s="5"/>
      <c r="H119" s="5"/>
      <c r="I119" s="5"/>
      <c r="J119" s="5"/>
      <c r="K119" s="5"/>
      <c r="L119" s="5"/>
      <c r="M119" s="6" t="str">
        <f t="shared" si="6"/>
        <v/>
      </c>
      <c r="N119" s="6" t="str">
        <f t="shared" si="7"/>
        <v/>
      </c>
    </row>
    <row r="120" spans="1:14">
      <c r="A120" s="13"/>
      <c r="B120" s="13"/>
      <c r="C120" s="13"/>
      <c r="D120" s="13"/>
      <c r="E120" s="13"/>
      <c r="F120" s="5"/>
      <c r="G120" s="5"/>
      <c r="H120" s="5"/>
      <c r="I120" s="5"/>
      <c r="J120" s="5"/>
      <c r="K120" s="5"/>
      <c r="L120" s="5"/>
      <c r="M120" s="6" t="str">
        <f t="shared" si="6"/>
        <v/>
      </c>
      <c r="N120" s="6" t="str">
        <f t="shared" si="7"/>
        <v/>
      </c>
    </row>
    <row r="121" spans="1:14">
      <c r="A121" s="13"/>
      <c r="B121" s="13"/>
      <c r="C121" s="13"/>
      <c r="D121" s="13"/>
      <c r="E121" s="13"/>
      <c r="F121" s="5"/>
      <c r="G121" s="5"/>
      <c r="H121" s="5"/>
      <c r="I121" s="5"/>
      <c r="J121" s="5"/>
      <c r="K121" s="5"/>
      <c r="L121" s="5"/>
      <c r="M121" s="6" t="str">
        <f t="shared" si="6"/>
        <v/>
      </c>
      <c r="N121" s="6" t="str">
        <f t="shared" si="7"/>
        <v/>
      </c>
    </row>
    <row r="122" spans="1:14">
      <c r="A122" s="13"/>
      <c r="B122" s="13"/>
      <c r="C122" s="13"/>
      <c r="D122" s="13"/>
      <c r="E122" s="13"/>
      <c r="F122" s="5"/>
      <c r="G122" s="5"/>
      <c r="H122" s="5"/>
      <c r="I122" s="5"/>
      <c r="J122" s="5"/>
      <c r="K122" s="5"/>
      <c r="L122" s="5"/>
      <c r="M122" s="6" t="str">
        <f t="shared" si="6"/>
        <v/>
      </c>
      <c r="N122" s="6" t="str">
        <f t="shared" si="7"/>
        <v/>
      </c>
    </row>
    <row r="123" spans="1:14">
      <c r="A123" s="13"/>
      <c r="B123" s="13"/>
      <c r="C123" s="13"/>
      <c r="D123" s="13"/>
      <c r="E123" s="13"/>
      <c r="F123" s="5"/>
      <c r="G123" s="5"/>
      <c r="H123" s="5"/>
      <c r="I123" s="5"/>
      <c r="J123" s="5"/>
      <c r="K123" s="5"/>
      <c r="L123" s="5"/>
      <c r="M123" s="6" t="str">
        <f t="shared" si="6"/>
        <v/>
      </c>
      <c r="N123" s="6" t="str">
        <f t="shared" si="7"/>
        <v/>
      </c>
    </row>
    <row r="124" spans="1:14">
      <c r="A124" s="13"/>
      <c r="B124" s="13"/>
      <c r="C124" s="13"/>
      <c r="D124" s="13"/>
      <c r="E124" s="13"/>
      <c r="F124" s="5"/>
      <c r="G124" s="5"/>
      <c r="H124" s="5"/>
      <c r="I124" s="5"/>
      <c r="J124" s="5"/>
      <c r="K124" s="5"/>
      <c r="L124" s="5"/>
      <c r="M124" s="6" t="str">
        <f t="shared" si="6"/>
        <v/>
      </c>
      <c r="N124" s="6" t="str">
        <f t="shared" si="7"/>
        <v/>
      </c>
    </row>
    <row r="125" spans="1:14">
      <c r="A125" s="13"/>
      <c r="B125" s="13"/>
      <c r="C125" s="13"/>
      <c r="D125" s="13"/>
      <c r="E125" s="13"/>
      <c r="F125" s="5"/>
      <c r="G125" s="5"/>
      <c r="H125" s="5"/>
      <c r="I125" s="5"/>
      <c r="J125" s="5"/>
      <c r="K125" s="5"/>
      <c r="L125" s="5"/>
      <c r="M125" s="6" t="str">
        <f t="shared" si="6"/>
        <v/>
      </c>
      <c r="N125" s="6" t="str">
        <f t="shared" si="7"/>
        <v/>
      </c>
    </row>
    <row r="126" spans="1:14">
      <c r="A126" s="13"/>
      <c r="B126" s="13"/>
      <c r="C126" s="13"/>
      <c r="D126" s="13"/>
      <c r="E126" s="13"/>
      <c r="F126" s="5"/>
      <c r="G126" s="5"/>
      <c r="H126" s="5"/>
      <c r="I126" s="5"/>
      <c r="J126" s="5"/>
      <c r="K126" s="5"/>
      <c r="L126" s="5"/>
      <c r="M126" s="6" t="str">
        <f t="shared" si="6"/>
        <v/>
      </c>
      <c r="N126" s="6" t="str">
        <f t="shared" si="7"/>
        <v/>
      </c>
    </row>
    <row r="127" spans="1:14">
      <c r="A127" s="13"/>
      <c r="B127" s="13"/>
      <c r="C127" s="13"/>
      <c r="D127" s="13"/>
      <c r="E127" s="13"/>
      <c r="F127" s="5"/>
      <c r="G127" s="5"/>
      <c r="H127" s="5"/>
      <c r="I127" s="5"/>
      <c r="J127" s="5"/>
      <c r="K127" s="5"/>
      <c r="L127" s="5"/>
      <c r="M127" s="6" t="str">
        <f t="shared" si="6"/>
        <v/>
      </c>
      <c r="N127" s="6" t="str">
        <f t="shared" si="7"/>
        <v/>
      </c>
    </row>
    <row r="128" spans="1:14">
      <c r="A128" s="13"/>
      <c r="B128" s="13"/>
      <c r="C128" s="13"/>
      <c r="D128" s="13"/>
      <c r="E128" s="13"/>
      <c r="F128" s="5"/>
      <c r="G128" s="5"/>
      <c r="H128" s="5"/>
      <c r="I128" s="5"/>
      <c r="J128" s="5"/>
      <c r="K128" s="5"/>
      <c r="L128" s="5"/>
      <c r="M128" s="6" t="str">
        <f t="shared" si="6"/>
        <v/>
      </c>
      <c r="N128" s="6" t="str">
        <f t="shared" si="7"/>
        <v/>
      </c>
    </row>
    <row r="129" spans="1:14">
      <c r="A129" s="13"/>
      <c r="B129" s="13"/>
      <c r="C129" s="13"/>
      <c r="D129" s="13"/>
      <c r="E129" s="13"/>
      <c r="F129" s="5"/>
      <c r="G129" s="5"/>
      <c r="H129" s="5"/>
      <c r="I129" s="5"/>
      <c r="J129" s="5"/>
      <c r="K129" s="5"/>
      <c r="L129" s="5"/>
      <c r="M129" s="6" t="str">
        <f t="shared" si="6"/>
        <v/>
      </c>
      <c r="N129" s="6" t="str">
        <f t="shared" si="7"/>
        <v/>
      </c>
    </row>
    <row r="130" spans="1:14">
      <c r="A130" s="13"/>
      <c r="B130" s="13"/>
      <c r="C130" s="13"/>
      <c r="D130" s="13"/>
      <c r="E130" s="13"/>
      <c r="F130" s="5"/>
      <c r="G130" s="5"/>
      <c r="H130" s="5"/>
      <c r="I130" s="5"/>
      <c r="J130" s="5"/>
      <c r="K130" s="5"/>
      <c r="L130" s="5"/>
      <c r="M130" s="6" t="str">
        <f t="shared" si="6"/>
        <v/>
      </c>
      <c r="N130" s="6" t="str">
        <f t="shared" si="7"/>
        <v/>
      </c>
    </row>
    <row r="131" spans="1:14">
      <c r="A131" s="13"/>
      <c r="B131" s="13"/>
      <c r="C131" s="13"/>
      <c r="D131" s="13"/>
      <c r="E131" s="13"/>
      <c r="F131" s="5"/>
      <c r="G131" s="5"/>
      <c r="H131" s="5"/>
      <c r="I131" s="5"/>
      <c r="J131" s="5"/>
      <c r="K131" s="5"/>
      <c r="L131" s="5"/>
      <c r="M131" s="6" t="str">
        <f t="shared" si="6"/>
        <v/>
      </c>
      <c r="N131" s="6" t="str">
        <f t="shared" si="7"/>
        <v/>
      </c>
    </row>
    <row r="132" spans="1:14">
      <c r="A132" s="13"/>
      <c r="B132" s="13"/>
      <c r="C132" s="13"/>
      <c r="D132" s="13"/>
      <c r="E132" s="13"/>
      <c r="F132" s="5"/>
      <c r="G132" s="5"/>
      <c r="H132" s="5"/>
      <c r="I132" s="5"/>
      <c r="J132" s="5"/>
      <c r="K132" s="5"/>
      <c r="L132" s="5"/>
      <c r="M132" s="6" t="str">
        <f t="shared" si="6"/>
        <v/>
      </c>
      <c r="N132" s="6" t="str">
        <f t="shared" si="7"/>
        <v/>
      </c>
    </row>
    <row r="133" spans="1:14">
      <c r="A133" s="13"/>
      <c r="B133" s="13"/>
      <c r="C133" s="13"/>
      <c r="D133" s="13"/>
      <c r="E133" s="13"/>
      <c r="F133" s="5"/>
      <c r="G133" s="5"/>
      <c r="H133" s="5"/>
      <c r="I133" s="5"/>
      <c r="J133" s="5"/>
      <c r="K133" s="5"/>
      <c r="L133" s="5"/>
      <c r="M133" s="6" t="str">
        <f t="shared" ref="M133:M164" si="8">IF(A133="","",IF(N133="","HỢP LỆ","CẦN SỬA"))</f>
        <v/>
      </c>
      <c r="N133" s="6" t="str">
        <f t="shared" ref="N133:N164" si="9">IF(A133="","",IF(B133="","Thiếu NodeId",IF(D133="","Thiếu NodeType",IF(COUNTIF($B$5:$B$204,B133)&gt;1,"NodeId bị trùng",IF(COUNTIF($A$5:$A$204,A133)&gt;1,"NodeOrder bị trùng",IF(AND(D133="scene",OR(C133="",F133="",G133="")),"scene cần ActNo, Background, SceneName",IF(AND(D133="say",OR(H133="",J133="")),"say cần SpeakerKey và Text",IF(AND(D133="choice",OR(E133="",H133="",I133="",J133="")),"choice cần ChoiceMode, SpeakerKey, Mood, Question",IF(AND(D133="act",K133=""),"act cần số La Mã",IF(AND(D133="end",COUNTIF($D$5:$D$204,"end")&lt;&gt;1),"Phải có đúng 1 node end",""))))))))))</f>
        <v/>
      </c>
    </row>
    <row r="134" spans="1:14">
      <c r="A134" s="13"/>
      <c r="B134" s="13"/>
      <c r="C134" s="13"/>
      <c r="D134" s="13"/>
      <c r="E134" s="13"/>
      <c r="F134" s="5"/>
      <c r="G134" s="5"/>
      <c r="H134" s="5"/>
      <c r="I134" s="5"/>
      <c r="J134" s="5"/>
      <c r="K134" s="5"/>
      <c r="L134" s="5"/>
      <c r="M134" s="6" t="str">
        <f t="shared" si="8"/>
        <v/>
      </c>
      <c r="N134" s="6" t="str">
        <f t="shared" si="9"/>
        <v/>
      </c>
    </row>
    <row r="135" spans="1:14">
      <c r="A135" s="13"/>
      <c r="B135" s="13"/>
      <c r="C135" s="13"/>
      <c r="D135" s="13"/>
      <c r="E135" s="13"/>
      <c r="F135" s="5"/>
      <c r="G135" s="5"/>
      <c r="H135" s="5"/>
      <c r="I135" s="5"/>
      <c r="J135" s="5"/>
      <c r="K135" s="5"/>
      <c r="L135" s="5"/>
      <c r="M135" s="6" t="str">
        <f t="shared" si="8"/>
        <v/>
      </c>
      <c r="N135" s="6" t="str">
        <f t="shared" si="9"/>
        <v/>
      </c>
    </row>
    <row r="136" spans="1:14">
      <c r="A136" s="13"/>
      <c r="B136" s="13"/>
      <c r="C136" s="13"/>
      <c r="D136" s="13"/>
      <c r="E136" s="13"/>
      <c r="F136" s="5"/>
      <c r="G136" s="5"/>
      <c r="H136" s="5"/>
      <c r="I136" s="5"/>
      <c r="J136" s="5"/>
      <c r="K136" s="5"/>
      <c r="L136" s="5"/>
      <c r="M136" s="6" t="str">
        <f t="shared" si="8"/>
        <v/>
      </c>
      <c r="N136" s="6" t="str">
        <f t="shared" si="9"/>
        <v/>
      </c>
    </row>
    <row r="137" spans="1:14">
      <c r="A137" s="13"/>
      <c r="B137" s="13"/>
      <c r="C137" s="13"/>
      <c r="D137" s="13"/>
      <c r="E137" s="13"/>
      <c r="F137" s="5"/>
      <c r="G137" s="5"/>
      <c r="H137" s="5"/>
      <c r="I137" s="5"/>
      <c r="J137" s="5"/>
      <c r="K137" s="5"/>
      <c r="L137" s="5"/>
      <c r="M137" s="6" t="str">
        <f t="shared" si="8"/>
        <v/>
      </c>
      <c r="N137" s="6" t="str">
        <f t="shared" si="9"/>
        <v/>
      </c>
    </row>
    <row r="138" spans="1:14">
      <c r="A138" s="13"/>
      <c r="B138" s="13"/>
      <c r="C138" s="13"/>
      <c r="D138" s="13"/>
      <c r="E138" s="13"/>
      <c r="F138" s="5"/>
      <c r="G138" s="5"/>
      <c r="H138" s="5"/>
      <c r="I138" s="5"/>
      <c r="J138" s="5"/>
      <c r="K138" s="5"/>
      <c r="L138" s="5"/>
      <c r="M138" s="6" t="str">
        <f t="shared" si="8"/>
        <v/>
      </c>
      <c r="N138" s="6" t="str">
        <f t="shared" si="9"/>
        <v/>
      </c>
    </row>
    <row r="139" spans="1:14">
      <c r="A139" s="13"/>
      <c r="B139" s="13"/>
      <c r="C139" s="13"/>
      <c r="D139" s="13"/>
      <c r="E139" s="13"/>
      <c r="F139" s="5"/>
      <c r="G139" s="5"/>
      <c r="H139" s="5"/>
      <c r="I139" s="5"/>
      <c r="J139" s="5"/>
      <c r="K139" s="5"/>
      <c r="L139" s="5"/>
      <c r="M139" s="6" t="str">
        <f t="shared" si="8"/>
        <v/>
      </c>
      <c r="N139" s="6" t="str">
        <f t="shared" si="9"/>
        <v/>
      </c>
    </row>
    <row r="140" spans="1:14">
      <c r="A140" s="13"/>
      <c r="B140" s="13"/>
      <c r="C140" s="13"/>
      <c r="D140" s="13"/>
      <c r="E140" s="13"/>
      <c r="F140" s="5"/>
      <c r="G140" s="5"/>
      <c r="H140" s="5"/>
      <c r="I140" s="5"/>
      <c r="J140" s="5"/>
      <c r="K140" s="5"/>
      <c r="L140" s="5"/>
      <c r="M140" s="6" t="str">
        <f t="shared" si="8"/>
        <v/>
      </c>
      <c r="N140" s="6" t="str">
        <f t="shared" si="9"/>
        <v/>
      </c>
    </row>
    <row r="141" spans="1:14">
      <c r="A141" s="13"/>
      <c r="B141" s="13"/>
      <c r="C141" s="13"/>
      <c r="D141" s="13"/>
      <c r="E141" s="13"/>
      <c r="F141" s="5"/>
      <c r="G141" s="5"/>
      <c r="H141" s="5"/>
      <c r="I141" s="5"/>
      <c r="J141" s="5"/>
      <c r="K141" s="5"/>
      <c r="L141" s="5"/>
      <c r="M141" s="6" t="str">
        <f t="shared" si="8"/>
        <v/>
      </c>
      <c r="N141" s="6" t="str">
        <f t="shared" si="9"/>
        <v/>
      </c>
    </row>
    <row r="142" spans="1:14">
      <c r="A142" s="13"/>
      <c r="B142" s="13"/>
      <c r="C142" s="13"/>
      <c r="D142" s="13"/>
      <c r="E142" s="13"/>
      <c r="F142" s="5"/>
      <c r="G142" s="5"/>
      <c r="H142" s="5"/>
      <c r="I142" s="5"/>
      <c r="J142" s="5"/>
      <c r="K142" s="5"/>
      <c r="L142" s="5"/>
      <c r="M142" s="6" t="str">
        <f t="shared" si="8"/>
        <v/>
      </c>
      <c r="N142" s="6" t="str">
        <f t="shared" si="9"/>
        <v/>
      </c>
    </row>
    <row r="143" spans="1:14">
      <c r="A143" s="13"/>
      <c r="B143" s="13"/>
      <c r="C143" s="13"/>
      <c r="D143" s="13"/>
      <c r="E143" s="13"/>
      <c r="F143" s="5"/>
      <c r="G143" s="5"/>
      <c r="H143" s="5"/>
      <c r="I143" s="5"/>
      <c r="J143" s="5"/>
      <c r="K143" s="5"/>
      <c r="L143" s="5"/>
      <c r="M143" s="6" t="str">
        <f t="shared" si="8"/>
        <v/>
      </c>
      <c r="N143" s="6" t="str">
        <f t="shared" si="9"/>
        <v/>
      </c>
    </row>
    <row r="144" spans="1:14">
      <c r="A144" s="13"/>
      <c r="B144" s="13"/>
      <c r="C144" s="13"/>
      <c r="D144" s="13"/>
      <c r="E144" s="13"/>
      <c r="F144" s="5"/>
      <c r="G144" s="5"/>
      <c r="H144" s="5"/>
      <c r="I144" s="5"/>
      <c r="J144" s="5"/>
      <c r="K144" s="5"/>
      <c r="L144" s="5"/>
      <c r="M144" s="6" t="str">
        <f t="shared" si="8"/>
        <v/>
      </c>
      <c r="N144" s="6" t="str">
        <f t="shared" si="9"/>
        <v/>
      </c>
    </row>
    <row r="145" spans="1:14">
      <c r="A145" s="13"/>
      <c r="B145" s="13"/>
      <c r="C145" s="13"/>
      <c r="D145" s="13"/>
      <c r="E145" s="13"/>
      <c r="F145" s="5"/>
      <c r="G145" s="5"/>
      <c r="H145" s="5"/>
      <c r="I145" s="5"/>
      <c r="J145" s="5"/>
      <c r="K145" s="5"/>
      <c r="L145" s="5"/>
      <c r="M145" s="6" t="str">
        <f t="shared" si="8"/>
        <v/>
      </c>
      <c r="N145" s="6" t="str">
        <f t="shared" si="9"/>
        <v/>
      </c>
    </row>
    <row r="146" spans="1:14">
      <c r="A146" s="13"/>
      <c r="B146" s="13"/>
      <c r="C146" s="13"/>
      <c r="D146" s="13"/>
      <c r="E146" s="13"/>
      <c r="F146" s="5"/>
      <c r="G146" s="5"/>
      <c r="H146" s="5"/>
      <c r="I146" s="5"/>
      <c r="J146" s="5"/>
      <c r="K146" s="5"/>
      <c r="L146" s="5"/>
      <c r="M146" s="6" t="str">
        <f t="shared" si="8"/>
        <v/>
      </c>
      <c r="N146" s="6" t="str">
        <f t="shared" si="9"/>
        <v/>
      </c>
    </row>
    <row r="147" spans="1:14">
      <c r="A147" s="13"/>
      <c r="B147" s="13"/>
      <c r="C147" s="13"/>
      <c r="D147" s="13"/>
      <c r="E147" s="13"/>
      <c r="F147" s="5"/>
      <c r="G147" s="5"/>
      <c r="H147" s="5"/>
      <c r="I147" s="5"/>
      <c r="J147" s="5"/>
      <c r="K147" s="5"/>
      <c r="L147" s="5"/>
      <c r="M147" s="6" t="str">
        <f t="shared" si="8"/>
        <v/>
      </c>
      <c r="N147" s="6" t="str">
        <f t="shared" si="9"/>
        <v/>
      </c>
    </row>
    <row r="148" spans="1:14">
      <c r="A148" s="13"/>
      <c r="B148" s="13"/>
      <c r="C148" s="13"/>
      <c r="D148" s="13"/>
      <c r="E148" s="13"/>
      <c r="F148" s="5"/>
      <c r="G148" s="5"/>
      <c r="H148" s="5"/>
      <c r="I148" s="5"/>
      <c r="J148" s="5"/>
      <c r="K148" s="5"/>
      <c r="L148" s="5"/>
      <c r="M148" s="6" t="str">
        <f t="shared" si="8"/>
        <v/>
      </c>
      <c r="N148" s="6" t="str">
        <f t="shared" si="9"/>
        <v/>
      </c>
    </row>
    <row r="149" spans="1:14">
      <c r="A149" s="13"/>
      <c r="B149" s="13"/>
      <c r="C149" s="13"/>
      <c r="D149" s="13"/>
      <c r="E149" s="13"/>
      <c r="F149" s="5"/>
      <c r="G149" s="5"/>
      <c r="H149" s="5"/>
      <c r="I149" s="5"/>
      <c r="J149" s="5"/>
      <c r="K149" s="5"/>
      <c r="L149" s="5"/>
      <c r="M149" s="6" t="str">
        <f t="shared" si="8"/>
        <v/>
      </c>
      <c r="N149" s="6" t="str">
        <f t="shared" si="9"/>
        <v/>
      </c>
    </row>
    <row r="150" spans="1:14">
      <c r="A150" s="13"/>
      <c r="B150" s="13"/>
      <c r="C150" s="13"/>
      <c r="D150" s="13"/>
      <c r="E150" s="13"/>
      <c r="F150" s="5"/>
      <c r="G150" s="5"/>
      <c r="H150" s="5"/>
      <c r="I150" s="5"/>
      <c r="J150" s="5"/>
      <c r="K150" s="5"/>
      <c r="L150" s="5"/>
      <c r="M150" s="6" t="str">
        <f t="shared" si="8"/>
        <v/>
      </c>
      <c r="N150" s="6" t="str">
        <f t="shared" si="9"/>
        <v/>
      </c>
    </row>
    <row r="151" spans="1:14">
      <c r="A151" s="13"/>
      <c r="B151" s="13"/>
      <c r="C151" s="13"/>
      <c r="D151" s="13"/>
      <c r="E151" s="13"/>
      <c r="F151" s="5"/>
      <c r="G151" s="5"/>
      <c r="H151" s="5"/>
      <c r="I151" s="5"/>
      <c r="J151" s="5"/>
      <c r="K151" s="5"/>
      <c r="L151" s="5"/>
      <c r="M151" s="6" t="str">
        <f t="shared" si="8"/>
        <v/>
      </c>
      <c r="N151" s="6" t="str">
        <f t="shared" si="9"/>
        <v/>
      </c>
    </row>
    <row r="152" spans="1:14">
      <c r="A152" s="13"/>
      <c r="B152" s="13"/>
      <c r="C152" s="13"/>
      <c r="D152" s="13"/>
      <c r="E152" s="13"/>
      <c r="F152" s="5"/>
      <c r="G152" s="5"/>
      <c r="H152" s="5"/>
      <c r="I152" s="5"/>
      <c r="J152" s="5"/>
      <c r="K152" s="5"/>
      <c r="L152" s="5"/>
      <c r="M152" s="6" t="str">
        <f t="shared" si="8"/>
        <v/>
      </c>
      <c r="N152" s="6" t="str">
        <f t="shared" si="9"/>
        <v/>
      </c>
    </row>
    <row r="153" spans="1:14">
      <c r="A153" s="13"/>
      <c r="B153" s="13"/>
      <c r="C153" s="13"/>
      <c r="D153" s="13"/>
      <c r="E153" s="13"/>
      <c r="F153" s="5"/>
      <c r="G153" s="5"/>
      <c r="H153" s="5"/>
      <c r="I153" s="5"/>
      <c r="J153" s="5"/>
      <c r="K153" s="5"/>
      <c r="L153" s="5"/>
      <c r="M153" s="6" t="str">
        <f t="shared" si="8"/>
        <v/>
      </c>
      <c r="N153" s="6" t="str">
        <f t="shared" si="9"/>
        <v/>
      </c>
    </row>
    <row r="154" spans="1:14">
      <c r="A154" s="13"/>
      <c r="B154" s="13"/>
      <c r="C154" s="13"/>
      <c r="D154" s="13"/>
      <c r="E154" s="13"/>
      <c r="F154" s="5"/>
      <c r="G154" s="5"/>
      <c r="H154" s="5"/>
      <c r="I154" s="5"/>
      <c r="J154" s="5"/>
      <c r="K154" s="5"/>
      <c r="L154" s="5"/>
      <c r="M154" s="6" t="str">
        <f t="shared" si="8"/>
        <v/>
      </c>
      <c r="N154" s="6" t="str">
        <f t="shared" si="9"/>
        <v/>
      </c>
    </row>
    <row r="155" spans="1:14">
      <c r="A155" s="13"/>
      <c r="B155" s="13"/>
      <c r="C155" s="13"/>
      <c r="D155" s="13"/>
      <c r="E155" s="13"/>
      <c r="F155" s="5"/>
      <c r="G155" s="5"/>
      <c r="H155" s="5"/>
      <c r="I155" s="5"/>
      <c r="J155" s="5"/>
      <c r="K155" s="5"/>
      <c r="L155" s="5"/>
      <c r="M155" s="6" t="str">
        <f t="shared" si="8"/>
        <v/>
      </c>
      <c r="N155" s="6" t="str">
        <f t="shared" si="9"/>
        <v/>
      </c>
    </row>
    <row r="156" spans="1:14">
      <c r="A156" s="13"/>
      <c r="B156" s="13"/>
      <c r="C156" s="13"/>
      <c r="D156" s="13"/>
      <c r="E156" s="13"/>
      <c r="F156" s="5"/>
      <c r="G156" s="5"/>
      <c r="H156" s="5"/>
      <c r="I156" s="5"/>
      <c r="J156" s="5"/>
      <c r="K156" s="5"/>
      <c r="L156" s="5"/>
      <c r="M156" s="6" t="str">
        <f t="shared" si="8"/>
        <v/>
      </c>
      <c r="N156" s="6" t="str">
        <f t="shared" si="9"/>
        <v/>
      </c>
    </row>
    <row r="157" spans="1:14">
      <c r="A157" s="13"/>
      <c r="B157" s="13"/>
      <c r="C157" s="13"/>
      <c r="D157" s="13"/>
      <c r="E157" s="13"/>
      <c r="F157" s="5"/>
      <c r="G157" s="5"/>
      <c r="H157" s="5"/>
      <c r="I157" s="5"/>
      <c r="J157" s="5"/>
      <c r="K157" s="5"/>
      <c r="L157" s="5"/>
      <c r="M157" s="6" t="str">
        <f t="shared" si="8"/>
        <v/>
      </c>
      <c r="N157" s="6" t="str">
        <f t="shared" si="9"/>
        <v/>
      </c>
    </row>
    <row r="158" spans="1:14">
      <c r="A158" s="13"/>
      <c r="B158" s="13"/>
      <c r="C158" s="13"/>
      <c r="D158" s="13"/>
      <c r="E158" s="13"/>
      <c r="F158" s="5"/>
      <c r="G158" s="5"/>
      <c r="H158" s="5"/>
      <c r="I158" s="5"/>
      <c r="J158" s="5"/>
      <c r="K158" s="5"/>
      <c r="L158" s="5"/>
      <c r="M158" s="6" t="str">
        <f t="shared" si="8"/>
        <v/>
      </c>
      <c r="N158" s="6" t="str">
        <f t="shared" si="9"/>
        <v/>
      </c>
    </row>
    <row r="159" spans="1:14">
      <c r="A159" s="13"/>
      <c r="B159" s="13"/>
      <c r="C159" s="13"/>
      <c r="D159" s="13"/>
      <c r="E159" s="13"/>
      <c r="F159" s="5"/>
      <c r="G159" s="5"/>
      <c r="H159" s="5"/>
      <c r="I159" s="5"/>
      <c r="J159" s="5"/>
      <c r="K159" s="5"/>
      <c r="L159" s="5"/>
      <c r="M159" s="6" t="str">
        <f t="shared" si="8"/>
        <v/>
      </c>
      <c r="N159" s="6" t="str">
        <f t="shared" si="9"/>
        <v/>
      </c>
    </row>
    <row r="160" spans="1:14">
      <c r="A160" s="13"/>
      <c r="B160" s="13"/>
      <c r="C160" s="13"/>
      <c r="D160" s="13"/>
      <c r="E160" s="13"/>
      <c r="F160" s="5"/>
      <c r="G160" s="5"/>
      <c r="H160" s="5"/>
      <c r="I160" s="5"/>
      <c r="J160" s="5"/>
      <c r="K160" s="5"/>
      <c r="L160" s="5"/>
      <c r="M160" s="6" t="str">
        <f t="shared" si="8"/>
        <v/>
      </c>
      <c r="N160" s="6" t="str">
        <f t="shared" si="9"/>
        <v/>
      </c>
    </row>
    <row r="161" spans="1:14">
      <c r="A161" s="13"/>
      <c r="B161" s="13"/>
      <c r="C161" s="13"/>
      <c r="D161" s="13"/>
      <c r="E161" s="13"/>
      <c r="F161" s="5"/>
      <c r="G161" s="5"/>
      <c r="H161" s="5"/>
      <c r="I161" s="5"/>
      <c r="J161" s="5"/>
      <c r="K161" s="5"/>
      <c r="L161" s="5"/>
      <c r="M161" s="6" t="str">
        <f t="shared" si="8"/>
        <v/>
      </c>
      <c r="N161" s="6" t="str">
        <f t="shared" si="9"/>
        <v/>
      </c>
    </row>
    <row r="162" spans="1:14">
      <c r="A162" s="13"/>
      <c r="B162" s="13"/>
      <c r="C162" s="13"/>
      <c r="D162" s="13"/>
      <c r="E162" s="13"/>
      <c r="F162" s="5"/>
      <c r="G162" s="5"/>
      <c r="H162" s="5"/>
      <c r="I162" s="5"/>
      <c r="J162" s="5"/>
      <c r="K162" s="5"/>
      <c r="L162" s="5"/>
      <c r="M162" s="6" t="str">
        <f t="shared" si="8"/>
        <v/>
      </c>
      <c r="N162" s="6" t="str">
        <f t="shared" si="9"/>
        <v/>
      </c>
    </row>
    <row r="163" spans="1:14">
      <c r="A163" s="13"/>
      <c r="B163" s="13"/>
      <c r="C163" s="13"/>
      <c r="D163" s="13"/>
      <c r="E163" s="13"/>
      <c r="F163" s="5"/>
      <c r="G163" s="5"/>
      <c r="H163" s="5"/>
      <c r="I163" s="5"/>
      <c r="J163" s="5"/>
      <c r="K163" s="5"/>
      <c r="L163" s="5"/>
      <c r="M163" s="6" t="str">
        <f t="shared" si="8"/>
        <v/>
      </c>
      <c r="N163" s="6" t="str">
        <f t="shared" si="9"/>
        <v/>
      </c>
    </row>
    <row r="164" spans="1:14">
      <c r="A164" s="13"/>
      <c r="B164" s="13"/>
      <c r="C164" s="13"/>
      <c r="D164" s="13"/>
      <c r="E164" s="13"/>
      <c r="F164" s="5"/>
      <c r="G164" s="5"/>
      <c r="H164" s="5"/>
      <c r="I164" s="5"/>
      <c r="J164" s="5"/>
      <c r="K164" s="5"/>
      <c r="L164" s="5"/>
      <c r="M164" s="6" t="str">
        <f t="shared" si="8"/>
        <v/>
      </c>
      <c r="N164" s="6" t="str">
        <f t="shared" si="9"/>
        <v/>
      </c>
    </row>
    <row r="165" spans="1:14">
      <c r="A165" s="13"/>
      <c r="B165" s="13"/>
      <c r="C165" s="13"/>
      <c r="D165" s="13"/>
      <c r="E165" s="13"/>
      <c r="F165" s="5"/>
      <c r="G165" s="5"/>
      <c r="H165" s="5"/>
      <c r="I165" s="5"/>
      <c r="J165" s="5"/>
      <c r="K165" s="5"/>
      <c r="L165" s="5"/>
      <c r="M165" s="6" t="str">
        <f t="shared" ref="M165:M196" si="10">IF(A165="","",IF(N165="","HỢP LỆ","CẦN SỬA"))</f>
        <v/>
      </c>
      <c r="N165" s="6" t="str">
        <f t="shared" ref="N165:N196" si="11">IF(A165="","",IF(B165="","Thiếu NodeId",IF(D165="","Thiếu NodeType",IF(COUNTIF($B$5:$B$204,B165)&gt;1,"NodeId bị trùng",IF(COUNTIF($A$5:$A$204,A165)&gt;1,"NodeOrder bị trùng",IF(AND(D165="scene",OR(C165="",F165="",G165="")),"scene cần ActNo, Background, SceneName",IF(AND(D165="say",OR(H165="",J165="")),"say cần SpeakerKey và Text",IF(AND(D165="choice",OR(E165="",H165="",I165="",J165="")),"choice cần ChoiceMode, SpeakerKey, Mood, Question",IF(AND(D165="act",K165=""),"act cần số La Mã",IF(AND(D165="end",COUNTIF($D$5:$D$204,"end")&lt;&gt;1),"Phải có đúng 1 node end",""))))))))))</f>
        <v/>
      </c>
    </row>
    <row r="166" spans="1:14">
      <c r="A166" s="13"/>
      <c r="B166" s="13"/>
      <c r="C166" s="13"/>
      <c r="D166" s="13"/>
      <c r="E166" s="13"/>
      <c r="F166" s="5"/>
      <c r="G166" s="5"/>
      <c r="H166" s="5"/>
      <c r="I166" s="5"/>
      <c r="J166" s="5"/>
      <c r="K166" s="5"/>
      <c r="L166" s="5"/>
      <c r="M166" s="6" t="str">
        <f t="shared" si="10"/>
        <v/>
      </c>
      <c r="N166" s="6" t="str">
        <f t="shared" si="11"/>
        <v/>
      </c>
    </row>
    <row r="167" spans="1:14">
      <c r="A167" s="13"/>
      <c r="B167" s="13"/>
      <c r="C167" s="13"/>
      <c r="D167" s="13"/>
      <c r="E167" s="13"/>
      <c r="F167" s="5"/>
      <c r="G167" s="5"/>
      <c r="H167" s="5"/>
      <c r="I167" s="5"/>
      <c r="J167" s="5"/>
      <c r="K167" s="5"/>
      <c r="L167" s="5"/>
      <c r="M167" s="6" t="str">
        <f t="shared" si="10"/>
        <v/>
      </c>
      <c r="N167" s="6" t="str">
        <f t="shared" si="11"/>
        <v/>
      </c>
    </row>
    <row r="168" spans="1:14">
      <c r="A168" s="13"/>
      <c r="B168" s="13"/>
      <c r="C168" s="13"/>
      <c r="D168" s="13"/>
      <c r="E168" s="13"/>
      <c r="F168" s="5"/>
      <c r="G168" s="5"/>
      <c r="H168" s="5"/>
      <c r="I168" s="5"/>
      <c r="J168" s="5"/>
      <c r="K168" s="5"/>
      <c r="L168" s="5"/>
      <c r="M168" s="6" t="str">
        <f t="shared" si="10"/>
        <v/>
      </c>
      <c r="N168" s="6" t="str">
        <f t="shared" si="11"/>
        <v/>
      </c>
    </row>
    <row r="169" spans="1:14">
      <c r="A169" s="13"/>
      <c r="B169" s="13"/>
      <c r="C169" s="13"/>
      <c r="D169" s="13"/>
      <c r="E169" s="13"/>
      <c r="F169" s="5"/>
      <c r="G169" s="5"/>
      <c r="H169" s="5"/>
      <c r="I169" s="5"/>
      <c r="J169" s="5"/>
      <c r="K169" s="5"/>
      <c r="L169" s="5"/>
      <c r="M169" s="6" t="str">
        <f t="shared" si="10"/>
        <v/>
      </c>
      <c r="N169" s="6" t="str">
        <f t="shared" si="11"/>
        <v/>
      </c>
    </row>
    <row r="170" spans="1:14">
      <c r="A170" s="13"/>
      <c r="B170" s="13"/>
      <c r="C170" s="13"/>
      <c r="D170" s="13"/>
      <c r="E170" s="13"/>
      <c r="F170" s="5"/>
      <c r="G170" s="5"/>
      <c r="H170" s="5"/>
      <c r="I170" s="5"/>
      <c r="J170" s="5"/>
      <c r="K170" s="5"/>
      <c r="L170" s="5"/>
      <c r="M170" s="6" t="str">
        <f t="shared" si="10"/>
        <v/>
      </c>
      <c r="N170" s="6" t="str">
        <f t="shared" si="11"/>
        <v/>
      </c>
    </row>
    <row r="171" spans="1:14">
      <c r="A171" s="13"/>
      <c r="B171" s="13"/>
      <c r="C171" s="13"/>
      <c r="D171" s="13"/>
      <c r="E171" s="13"/>
      <c r="F171" s="5"/>
      <c r="G171" s="5"/>
      <c r="H171" s="5"/>
      <c r="I171" s="5"/>
      <c r="J171" s="5"/>
      <c r="K171" s="5"/>
      <c r="L171" s="5"/>
      <c r="M171" s="6" t="str">
        <f t="shared" si="10"/>
        <v/>
      </c>
      <c r="N171" s="6" t="str">
        <f t="shared" si="11"/>
        <v/>
      </c>
    </row>
    <row r="172" spans="1:14">
      <c r="A172" s="13"/>
      <c r="B172" s="13"/>
      <c r="C172" s="13"/>
      <c r="D172" s="13"/>
      <c r="E172" s="13"/>
      <c r="F172" s="5"/>
      <c r="G172" s="5"/>
      <c r="H172" s="5"/>
      <c r="I172" s="5"/>
      <c r="J172" s="5"/>
      <c r="K172" s="5"/>
      <c r="L172" s="5"/>
      <c r="M172" s="6" t="str">
        <f t="shared" si="10"/>
        <v/>
      </c>
      <c r="N172" s="6" t="str">
        <f t="shared" si="11"/>
        <v/>
      </c>
    </row>
    <row r="173" spans="1:14">
      <c r="A173" s="13"/>
      <c r="B173" s="13"/>
      <c r="C173" s="13"/>
      <c r="D173" s="13"/>
      <c r="E173" s="13"/>
      <c r="F173" s="5"/>
      <c r="G173" s="5"/>
      <c r="H173" s="5"/>
      <c r="I173" s="5"/>
      <c r="J173" s="5"/>
      <c r="K173" s="5"/>
      <c r="L173" s="5"/>
      <c r="M173" s="6" t="str">
        <f t="shared" si="10"/>
        <v/>
      </c>
      <c r="N173" s="6" t="str">
        <f t="shared" si="11"/>
        <v/>
      </c>
    </row>
    <row r="174" spans="1:14">
      <c r="A174" s="13"/>
      <c r="B174" s="13"/>
      <c r="C174" s="13"/>
      <c r="D174" s="13"/>
      <c r="E174" s="13"/>
      <c r="F174" s="5"/>
      <c r="G174" s="5"/>
      <c r="H174" s="5"/>
      <c r="I174" s="5"/>
      <c r="J174" s="5"/>
      <c r="K174" s="5"/>
      <c r="L174" s="5"/>
      <c r="M174" s="6" t="str">
        <f t="shared" si="10"/>
        <v/>
      </c>
      <c r="N174" s="6" t="str">
        <f t="shared" si="11"/>
        <v/>
      </c>
    </row>
    <row r="175" spans="1:14">
      <c r="A175" s="13"/>
      <c r="B175" s="13"/>
      <c r="C175" s="13"/>
      <c r="D175" s="13"/>
      <c r="E175" s="13"/>
      <c r="F175" s="5"/>
      <c r="G175" s="5"/>
      <c r="H175" s="5"/>
      <c r="I175" s="5"/>
      <c r="J175" s="5"/>
      <c r="K175" s="5"/>
      <c r="L175" s="5"/>
      <c r="M175" s="6" t="str">
        <f t="shared" si="10"/>
        <v/>
      </c>
      <c r="N175" s="6" t="str">
        <f t="shared" si="11"/>
        <v/>
      </c>
    </row>
    <row r="176" spans="1:14">
      <c r="A176" s="13"/>
      <c r="B176" s="13"/>
      <c r="C176" s="13"/>
      <c r="D176" s="13"/>
      <c r="E176" s="13"/>
      <c r="F176" s="5"/>
      <c r="G176" s="5"/>
      <c r="H176" s="5"/>
      <c r="I176" s="5"/>
      <c r="J176" s="5"/>
      <c r="K176" s="5"/>
      <c r="L176" s="5"/>
      <c r="M176" s="6" t="str">
        <f t="shared" si="10"/>
        <v/>
      </c>
      <c r="N176" s="6" t="str">
        <f t="shared" si="11"/>
        <v/>
      </c>
    </row>
    <row r="177" spans="1:14">
      <c r="A177" s="13"/>
      <c r="B177" s="13"/>
      <c r="C177" s="13"/>
      <c r="D177" s="13"/>
      <c r="E177" s="13"/>
      <c r="F177" s="5"/>
      <c r="G177" s="5"/>
      <c r="H177" s="5"/>
      <c r="I177" s="5"/>
      <c r="J177" s="5"/>
      <c r="K177" s="5"/>
      <c r="L177" s="5"/>
      <c r="M177" s="6" t="str">
        <f t="shared" si="10"/>
        <v/>
      </c>
      <c r="N177" s="6" t="str">
        <f t="shared" si="11"/>
        <v/>
      </c>
    </row>
    <row r="178" spans="1:14">
      <c r="A178" s="13"/>
      <c r="B178" s="13"/>
      <c r="C178" s="13"/>
      <c r="D178" s="13"/>
      <c r="E178" s="13"/>
      <c r="F178" s="5"/>
      <c r="G178" s="5"/>
      <c r="H178" s="5"/>
      <c r="I178" s="5"/>
      <c r="J178" s="5"/>
      <c r="K178" s="5"/>
      <c r="L178" s="5"/>
      <c r="M178" s="6" t="str">
        <f t="shared" si="10"/>
        <v/>
      </c>
      <c r="N178" s="6" t="str">
        <f t="shared" si="11"/>
        <v/>
      </c>
    </row>
    <row r="179" spans="1:14">
      <c r="A179" s="13"/>
      <c r="B179" s="13"/>
      <c r="C179" s="13"/>
      <c r="D179" s="13"/>
      <c r="E179" s="13"/>
      <c r="F179" s="5"/>
      <c r="G179" s="5"/>
      <c r="H179" s="5"/>
      <c r="I179" s="5"/>
      <c r="J179" s="5"/>
      <c r="K179" s="5"/>
      <c r="L179" s="5"/>
      <c r="M179" s="6" t="str">
        <f t="shared" si="10"/>
        <v/>
      </c>
      <c r="N179" s="6" t="str">
        <f t="shared" si="11"/>
        <v/>
      </c>
    </row>
    <row r="180" spans="1:14">
      <c r="A180" s="13"/>
      <c r="B180" s="13"/>
      <c r="C180" s="13"/>
      <c r="D180" s="13"/>
      <c r="E180" s="13"/>
      <c r="F180" s="5"/>
      <c r="G180" s="5"/>
      <c r="H180" s="5"/>
      <c r="I180" s="5"/>
      <c r="J180" s="5"/>
      <c r="K180" s="5"/>
      <c r="L180" s="5"/>
      <c r="M180" s="6" t="str">
        <f t="shared" si="10"/>
        <v/>
      </c>
      <c r="N180" s="6" t="str">
        <f t="shared" si="11"/>
        <v/>
      </c>
    </row>
    <row r="181" spans="1:14">
      <c r="A181" s="13"/>
      <c r="B181" s="13"/>
      <c r="C181" s="13"/>
      <c r="D181" s="13"/>
      <c r="E181" s="13"/>
      <c r="F181" s="5"/>
      <c r="G181" s="5"/>
      <c r="H181" s="5"/>
      <c r="I181" s="5"/>
      <c r="J181" s="5"/>
      <c r="K181" s="5"/>
      <c r="L181" s="5"/>
      <c r="M181" s="6" t="str">
        <f t="shared" si="10"/>
        <v/>
      </c>
      <c r="N181" s="6" t="str">
        <f t="shared" si="11"/>
        <v/>
      </c>
    </row>
    <row r="182" spans="1:14">
      <c r="A182" s="13"/>
      <c r="B182" s="13"/>
      <c r="C182" s="13"/>
      <c r="D182" s="13"/>
      <c r="E182" s="13"/>
      <c r="F182" s="5"/>
      <c r="G182" s="5"/>
      <c r="H182" s="5"/>
      <c r="I182" s="5"/>
      <c r="J182" s="5"/>
      <c r="K182" s="5"/>
      <c r="L182" s="5"/>
      <c r="M182" s="6" t="str">
        <f t="shared" si="10"/>
        <v/>
      </c>
      <c r="N182" s="6" t="str">
        <f t="shared" si="11"/>
        <v/>
      </c>
    </row>
    <row r="183" spans="1:14">
      <c r="A183" s="13"/>
      <c r="B183" s="13"/>
      <c r="C183" s="13"/>
      <c r="D183" s="13"/>
      <c r="E183" s="13"/>
      <c r="F183" s="5"/>
      <c r="G183" s="5"/>
      <c r="H183" s="5"/>
      <c r="I183" s="5"/>
      <c r="J183" s="5"/>
      <c r="K183" s="5"/>
      <c r="L183" s="5"/>
      <c r="M183" s="6" t="str">
        <f t="shared" si="10"/>
        <v/>
      </c>
      <c r="N183" s="6" t="str">
        <f t="shared" si="11"/>
        <v/>
      </c>
    </row>
    <row r="184" spans="1:14">
      <c r="A184" s="13"/>
      <c r="B184" s="13"/>
      <c r="C184" s="13"/>
      <c r="D184" s="13"/>
      <c r="E184" s="13"/>
      <c r="F184" s="5"/>
      <c r="G184" s="5"/>
      <c r="H184" s="5"/>
      <c r="I184" s="5"/>
      <c r="J184" s="5"/>
      <c r="K184" s="5"/>
      <c r="L184" s="5"/>
      <c r="M184" s="6" t="str">
        <f t="shared" si="10"/>
        <v/>
      </c>
      <c r="N184" s="6" t="str">
        <f t="shared" si="11"/>
        <v/>
      </c>
    </row>
    <row r="185" spans="1:14">
      <c r="A185" s="13"/>
      <c r="B185" s="13"/>
      <c r="C185" s="13"/>
      <c r="D185" s="13"/>
      <c r="E185" s="13"/>
      <c r="F185" s="5"/>
      <c r="G185" s="5"/>
      <c r="H185" s="5"/>
      <c r="I185" s="5"/>
      <c r="J185" s="5"/>
      <c r="K185" s="5"/>
      <c r="L185" s="5"/>
      <c r="M185" s="6" t="str">
        <f t="shared" si="10"/>
        <v/>
      </c>
      <c r="N185" s="6" t="str">
        <f t="shared" si="11"/>
        <v/>
      </c>
    </row>
    <row r="186" spans="1:14">
      <c r="A186" s="13"/>
      <c r="B186" s="13"/>
      <c r="C186" s="13"/>
      <c r="D186" s="13"/>
      <c r="E186" s="13"/>
      <c r="F186" s="5"/>
      <c r="G186" s="5"/>
      <c r="H186" s="5"/>
      <c r="I186" s="5"/>
      <c r="J186" s="5"/>
      <c r="K186" s="5"/>
      <c r="L186" s="5"/>
      <c r="M186" s="6" t="str">
        <f t="shared" si="10"/>
        <v/>
      </c>
      <c r="N186" s="6" t="str">
        <f t="shared" si="11"/>
        <v/>
      </c>
    </row>
    <row r="187" spans="1:14">
      <c r="A187" s="13"/>
      <c r="B187" s="13"/>
      <c r="C187" s="13"/>
      <c r="D187" s="13"/>
      <c r="E187" s="13"/>
      <c r="F187" s="5"/>
      <c r="G187" s="5"/>
      <c r="H187" s="5"/>
      <c r="I187" s="5"/>
      <c r="J187" s="5"/>
      <c r="K187" s="5"/>
      <c r="L187" s="5"/>
      <c r="M187" s="6" t="str">
        <f t="shared" si="10"/>
        <v/>
      </c>
      <c r="N187" s="6" t="str">
        <f t="shared" si="11"/>
        <v/>
      </c>
    </row>
    <row r="188" spans="1:14">
      <c r="A188" s="13"/>
      <c r="B188" s="13"/>
      <c r="C188" s="13"/>
      <c r="D188" s="13"/>
      <c r="E188" s="13"/>
      <c r="F188" s="5"/>
      <c r="G188" s="5"/>
      <c r="H188" s="5"/>
      <c r="I188" s="5"/>
      <c r="J188" s="5"/>
      <c r="K188" s="5"/>
      <c r="L188" s="5"/>
      <c r="M188" s="6" t="str">
        <f t="shared" si="10"/>
        <v/>
      </c>
      <c r="N188" s="6" t="str">
        <f t="shared" si="11"/>
        <v/>
      </c>
    </row>
    <row r="189" spans="1:14">
      <c r="A189" s="13"/>
      <c r="B189" s="13"/>
      <c r="C189" s="13"/>
      <c r="D189" s="13"/>
      <c r="E189" s="13"/>
      <c r="F189" s="5"/>
      <c r="G189" s="5"/>
      <c r="H189" s="5"/>
      <c r="I189" s="5"/>
      <c r="J189" s="5"/>
      <c r="K189" s="5"/>
      <c r="L189" s="5"/>
      <c r="M189" s="6" t="str">
        <f t="shared" si="10"/>
        <v/>
      </c>
      <c r="N189" s="6" t="str">
        <f t="shared" si="11"/>
        <v/>
      </c>
    </row>
    <row r="190" spans="1:14">
      <c r="A190" s="13"/>
      <c r="B190" s="13"/>
      <c r="C190" s="13"/>
      <c r="D190" s="13"/>
      <c r="E190" s="13"/>
      <c r="F190" s="5"/>
      <c r="G190" s="5"/>
      <c r="H190" s="5"/>
      <c r="I190" s="5"/>
      <c r="J190" s="5"/>
      <c r="K190" s="5"/>
      <c r="L190" s="5"/>
      <c r="M190" s="6" t="str">
        <f t="shared" si="10"/>
        <v/>
      </c>
      <c r="N190" s="6" t="str">
        <f t="shared" si="11"/>
        <v/>
      </c>
    </row>
    <row r="191" spans="1:14">
      <c r="A191" s="13"/>
      <c r="B191" s="13"/>
      <c r="C191" s="13"/>
      <c r="D191" s="13"/>
      <c r="E191" s="13"/>
      <c r="F191" s="5"/>
      <c r="G191" s="5"/>
      <c r="H191" s="5"/>
      <c r="I191" s="5"/>
      <c r="J191" s="5"/>
      <c r="K191" s="5"/>
      <c r="L191" s="5"/>
      <c r="M191" s="6" t="str">
        <f t="shared" si="10"/>
        <v/>
      </c>
      <c r="N191" s="6" t="str">
        <f t="shared" si="11"/>
        <v/>
      </c>
    </row>
    <row r="192" spans="1:14">
      <c r="A192" s="13"/>
      <c r="B192" s="13"/>
      <c r="C192" s="13"/>
      <c r="D192" s="13"/>
      <c r="E192" s="13"/>
      <c r="F192" s="5"/>
      <c r="G192" s="5"/>
      <c r="H192" s="5"/>
      <c r="I192" s="5"/>
      <c r="J192" s="5"/>
      <c r="K192" s="5"/>
      <c r="L192" s="5"/>
      <c r="M192" s="6" t="str">
        <f t="shared" si="10"/>
        <v/>
      </c>
      <c r="N192" s="6" t="str">
        <f t="shared" si="11"/>
        <v/>
      </c>
    </row>
    <row r="193" spans="1:14">
      <c r="A193" s="13"/>
      <c r="B193" s="13"/>
      <c r="C193" s="13"/>
      <c r="D193" s="13"/>
      <c r="E193" s="13"/>
      <c r="F193" s="5"/>
      <c r="G193" s="5"/>
      <c r="H193" s="5"/>
      <c r="I193" s="5"/>
      <c r="J193" s="5"/>
      <c r="K193" s="5"/>
      <c r="L193" s="5"/>
      <c r="M193" s="6" t="str">
        <f t="shared" si="10"/>
        <v/>
      </c>
      <c r="N193" s="6" t="str">
        <f t="shared" si="11"/>
        <v/>
      </c>
    </row>
    <row r="194" spans="1:14">
      <c r="A194" s="13"/>
      <c r="B194" s="13"/>
      <c r="C194" s="13"/>
      <c r="D194" s="13"/>
      <c r="E194" s="13"/>
      <c r="F194" s="5"/>
      <c r="G194" s="5"/>
      <c r="H194" s="5"/>
      <c r="I194" s="5"/>
      <c r="J194" s="5"/>
      <c r="K194" s="5"/>
      <c r="L194" s="5"/>
      <c r="M194" s="6" t="str">
        <f t="shared" si="10"/>
        <v/>
      </c>
      <c r="N194" s="6" t="str">
        <f t="shared" si="11"/>
        <v/>
      </c>
    </row>
    <row r="195" spans="1:14">
      <c r="A195" s="13"/>
      <c r="B195" s="13"/>
      <c r="C195" s="13"/>
      <c r="D195" s="13"/>
      <c r="E195" s="13"/>
      <c r="F195" s="5"/>
      <c r="G195" s="5"/>
      <c r="H195" s="5"/>
      <c r="I195" s="5"/>
      <c r="J195" s="5"/>
      <c r="K195" s="5"/>
      <c r="L195" s="5"/>
      <c r="M195" s="6" t="str">
        <f t="shared" si="10"/>
        <v/>
      </c>
      <c r="N195" s="6" t="str">
        <f t="shared" si="11"/>
        <v/>
      </c>
    </row>
    <row r="196" spans="1:14">
      <c r="A196" s="13"/>
      <c r="B196" s="13"/>
      <c r="C196" s="13"/>
      <c r="D196" s="13"/>
      <c r="E196" s="13"/>
      <c r="F196" s="5"/>
      <c r="G196" s="5"/>
      <c r="H196" s="5"/>
      <c r="I196" s="5"/>
      <c r="J196" s="5"/>
      <c r="K196" s="5"/>
      <c r="L196" s="5"/>
      <c r="M196" s="6" t="str">
        <f t="shared" si="10"/>
        <v/>
      </c>
      <c r="N196" s="6" t="str">
        <f t="shared" si="11"/>
        <v/>
      </c>
    </row>
    <row r="197" spans="1:14">
      <c r="A197" s="13"/>
      <c r="B197" s="13"/>
      <c r="C197" s="13"/>
      <c r="D197" s="13"/>
      <c r="E197" s="13"/>
      <c r="F197" s="5"/>
      <c r="G197" s="5"/>
      <c r="H197" s="5"/>
      <c r="I197" s="5"/>
      <c r="J197" s="5"/>
      <c r="K197" s="5"/>
      <c r="L197" s="5"/>
      <c r="M197" s="6" t="str">
        <f t="shared" ref="M197:M228" si="12">IF(A197="","",IF(N197="","HỢP LỆ","CẦN SỬA"))</f>
        <v/>
      </c>
      <c r="N197" s="6" t="str">
        <f t="shared" ref="N197:N204" si="13">IF(A197="","",IF(B197="","Thiếu NodeId",IF(D197="","Thiếu NodeType",IF(COUNTIF($B$5:$B$204,B197)&gt;1,"NodeId bị trùng",IF(COUNTIF($A$5:$A$204,A197)&gt;1,"NodeOrder bị trùng",IF(AND(D197="scene",OR(C197="",F197="",G197="")),"scene cần ActNo, Background, SceneName",IF(AND(D197="say",OR(H197="",J197="")),"say cần SpeakerKey và Text",IF(AND(D197="choice",OR(E197="",H197="",I197="",J197="")),"choice cần ChoiceMode, SpeakerKey, Mood, Question",IF(AND(D197="act",K197=""),"act cần số La Mã",IF(AND(D197="end",COUNTIF($D$5:$D$204,"end")&lt;&gt;1),"Phải có đúng 1 node end",""))))))))))</f>
        <v/>
      </c>
    </row>
    <row r="198" spans="1:14">
      <c r="A198" s="13"/>
      <c r="B198" s="13"/>
      <c r="C198" s="13"/>
      <c r="D198" s="13"/>
      <c r="E198" s="13"/>
      <c r="F198" s="5"/>
      <c r="G198" s="5"/>
      <c r="H198" s="5"/>
      <c r="I198" s="5"/>
      <c r="J198" s="5"/>
      <c r="K198" s="5"/>
      <c r="L198" s="5"/>
      <c r="M198" s="6" t="str">
        <f t="shared" si="12"/>
        <v/>
      </c>
      <c r="N198" s="6" t="str">
        <f t="shared" si="13"/>
        <v/>
      </c>
    </row>
    <row r="199" spans="1:14">
      <c r="A199" s="13"/>
      <c r="B199" s="13"/>
      <c r="C199" s="13"/>
      <c r="D199" s="13"/>
      <c r="E199" s="13"/>
      <c r="F199" s="5"/>
      <c r="G199" s="5"/>
      <c r="H199" s="5"/>
      <c r="I199" s="5"/>
      <c r="J199" s="5"/>
      <c r="K199" s="5"/>
      <c r="L199" s="5"/>
      <c r="M199" s="6" t="str">
        <f t="shared" si="12"/>
        <v/>
      </c>
      <c r="N199" s="6" t="str">
        <f t="shared" si="13"/>
        <v/>
      </c>
    </row>
    <row r="200" spans="1:14">
      <c r="A200" s="13"/>
      <c r="B200" s="13"/>
      <c r="C200" s="13"/>
      <c r="D200" s="13"/>
      <c r="E200" s="13"/>
      <c r="F200" s="5"/>
      <c r="G200" s="5"/>
      <c r="H200" s="5"/>
      <c r="I200" s="5"/>
      <c r="J200" s="5"/>
      <c r="K200" s="5"/>
      <c r="L200" s="5"/>
      <c r="M200" s="6" t="str">
        <f t="shared" si="12"/>
        <v/>
      </c>
      <c r="N200" s="6" t="str">
        <f t="shared" si="13"/>
        <v/>
      </c>
    </row>
    <row r="201" spans="1:14">
      <c r="A201" s="13"/>
      <c r="B201" s="13"/>
      <c r="C201" s="13"/>
      <c r="D201" s="13"/>
      <c r="E201" s="13"/>
      <c r="F201" s="5"/>
      <c r="G201" s="5"/>
      <c r="H201" s="5"/>
      <c r="I201" s="5"/>
      <c r="J201" s="5"/>
      <c r="K201" s="5"/>
      <c r="L201" s="5"/>
      <c r="M201" s="6" t="str">
        <f t="shared" si="12"/>
        <v/>
      </c>
      <c r="N201" s="6" t="str">
        <f t="shared" si="13"/>
        <v/>
      </c>
    </row>
    <row r="202" spans="1:14">
      <c r="A202" s="13"/>
      <c r="B202" s="13"/>
      <c r="C202" s="13"/>
      <c r="D202" s="13"/>
      <c r="E202" s="13"/>
      <c r="F202" s="5"/>
      <c r="G202" s="5"/>
      <c r="H202" s="5"/>
      <c r="I202" s="5"/>
      <c r="J202" s="5"/>
      <c r="K202" s="5"/>
      <c r="L202" s="5"/>
      <c r="M202" s="6" t="str">
        <f t="shared" si="12"/>
        <v/>
      </c>
      <c r="N202" s="6" t="str">
        <f t="shared" si="13"/>
        <v/>
      </c>
    </row>
    <row r="203" spans="1:14">
      <c r="A203" s="13"/>
      <c r="B203" s="13"/>
      <c r="C203" s="13"/>
      <c r="D203" s="13"/>
      <c r="E203" s="13"/>
      <c r="F203" s="5"/>
      <c r="G203" s="5"/>
      <c r="H203" s="5"/>
      <c r="I203" s="5"/>
      <c r="J203" s="5"/>
      <c r="K203" s="5"/>
      <c r="L203" s="5"/>
      <c r="M203" s="6" t="str">
        <f t="shared" si="12"/>
        <v/>
      </c>
      <c r="N203" s="6" t="str">
        <f t="shared" si="13"/>
        <v/>
      </c>
    </row>
    <row r="204" spans="1:14">
      <c r="A204" s="13"/>
      <c r="B204" s="13"/>
      <c r="C204" s="13"/>
      <c r="D204" s="13"/>
      <c r="E204" s="13"/>
      <c r="F204" s="5"/>
      <c r="G204" s="5"/>
      <c r="H204" s="5"/>
      <c r="I204" s="5"/>
      <c r="J204" s="5"/>
      <c r="K204" s="5"/>
      <c r="L204" s="5"/>
      <c r="M204" s="6" t="str">
        <f t="shared" si="12"/>
        <v/>
      </c>
      <c r="N204" s="6" t="str">
        <f t="shared" si="13"/>
        <v/>
      </c>
    </row>
  </sheetData>
  <mergeCells count="2">
    <mergeCell ref="A1:N1"/>
    <mergeCell ref="A2:N2"/>
  </mergeCells>
  <conditionalFormatting sqref="D5:D204">
    <cfRule type="expression" dxfId="19" priority="4">
      <formula>D5="scene"</formula>
    </cfRule>
    <cfRule type="expression" dxfId="18" priority="5">
      <formula>D5="choice"</formula>
    </cfRule>
    <cfRule type="expression" dxfId="17" priority="6">
      <formula>D5="end"</formula>
    </cfRule>
  </conditionalFormatting>
  <conditionalFormatting sqref="E5:E204">
    <cfRule type="expression" dxfId="16" priority="7">
      <formula>E5="Tương tác"</formula>
    </cfRule>
  </conditionalFormatting>
  <conditionalFormatting sqref="M5:M204">
    <cfRule type="expression" dxfId="15" priority="1">
      <formula>M5="HỢP LỆ"</formula>
    </cfRule>
    <cfRule type="expression" dxfId="14" priority="2">
      <formula>M5="CẦN SỬA"</formula>
    </cfRule>
  </conditionalFormatting>
  <conditionalFormatting sqref="N5:N204">
    <cfRule type="expression" dxfId="13" priority="3">
      <formula>N5&lt;&gt;""</formula>
    </cfRule>
  </conditionalFormatting>
  <dataValidations count="2">
    <dataValidation type="list" sqref="E5:E204" xr:uid="{00000000-0002-0000-0200-000000000000}">
      <formula1>"Kiến thức,Tương tác"</formula1>
    </dataValidation>
    <dataValidation type="list" sqref="K5:K204" xr:uid="{00000000-0002-0000-0200-000001000000}">
      <formula1>"I,II,III,IV,V,VI,VII,VIII,IX,X"</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04"/>
  <sheetViews>
    <sheetView workbookViewId="0"/>
  </sheetViews>
  <sheetFormatPr defaultRowHeight="14.25"/>
  <cols>
    <col min="1" max="1" width="16" customWidth="1"/>
    <col min="2" max="2" width="13" customWidth="1"/>
    <col min="3" max="3" width="55" customWidth="1"/>
    <col min="4" max="4" width="12" customWidth="1"/>
    <col min="5" max="5" width="9" customWidth="1"/>
    <col min="6" max="6" width="16" customWidth="1"/>
    <col min="7" max="7" width="13" customWidth="1"/>
    <col min="8" max="8" width="62" customWidth="1"/>
    <col min="9" max="9" width="22" customWidth="1"/>
    <col min="10" max="10" width="13" customWidth="1"/>
    <col min="11" max="11" width="31" customWidth="1"/>
  </cols>
  <sheetData>
    <row r="1" spans="1:11" ht="30" customHeight="1">
      <c r="A1" s="19" t="s">
        <v>156</v>
      </c>
      <c r="B1" s="19"/>
      <c r="C1" s="19"/>
      <c r="D1" s="19"/>
      <c r="E1" s="19"/>
      <c r="F1" s="19"/>
      <c r="G1" s="19"/>
      <c r="H1" s="19"/>
      <c r="I1" s="19"/>
      <c r="J1" s="19"/>
      <c r="K1" s="19"/>
    </row>
    <row r="2" spans="1:11" ht="36" customHeight="1">
      <c r="A2" s="20" t="s">
        <v>157</v>
      </c>
      <c r="B2" s="20"/>
      <c r="C2" s="20"/>
      <c r="D2" s="20"/>
      <c r="E2" s="20"/>
      <c r="F2" s="20"/>
      <c r="G2" s="20"/>
      <c r="H2" s="20"/>
      <c r="I2" s="20"/>
      <c r="J2" s="20"/>
      <c r="K2" s="20"/>
    </row>
    <row r="4" spans="1:11" ht="39.950000000000003" customHeight="1">
      <c r="A4" s="1" t="s">
        <v>158</v>
      </c>
      <c r="B4" s="1" t="s">
        <v>159</v>
      </c>
      <c r="C4" s="1" t="s">
        <v>160</v>
      </c>
      <c r="D4" s="1" t="s">
        <v>161</v>
      </c>
      <c r="E4" s="1" t="s">
        <v>162</v>
      </c>
      <c r="F4" s="1" t="s">
        <v>163</v>
      </c>
      <c r="G4" s="1" t="s">
        <v>164</v>
      </c>
      <c r="H4" s="1" t="s">
        <v>165</v>
      </c>
      <c r="I4" s="1" t="s">
        <v>139</v>
      </c>
      <c r="J4" s="1" t="s">
        <v>135</v>
      </c>
      <c r="K4" s="1" t="s">
        <v>155</v>
      </c>
    </row>
    <row r="5" spans="1:11" ht="15" customHeight="1">
      <c r="A5" s="16" t="s">
        <v>389</v>
      </c>
      <c r="B5" s="16">
        <v>1</v>
      </c>
      <c r="C5" s="15" t="s">
        <v>461</v>
      </c>
      <c r="D5" s="16" t="s">
        <v>127</v>
      </c>
      <c r="E5" s="16">
        <v>8</v>
      </c>
      <c r="F5" s="16" t="s">
        <v>201</v>
      </c>
      <c r="G5" s="16" t="s">
        <v>196</v>
      </c>
      <c r="H5" s="15" t="s">
        <v>462</v>
      </c>
      <c r="I5" s="15" t="s">
        <v>54</v>
      </c>
      <c r="J5" s="17" t="str">
        <f t="shared" ref="J5:J68" si="0">IF(A5="","",IF(K5="","HỢP LỆ","CẦN SỬA"))</f>
        <v>HỢP LỆ</v>
      </c>
      <c r="K5" s="17" t="str">
        <f>IF(A5="","",IF(COUNTIFS('02_KICH_BAN_NODES'!$B$5:$B$204,A5,'02_KICH_BAN_NODES'!$D$5:$D$204,"choice")=0,"ChoiceNodeId không tồn tại hoặc không phải choice",IF(COUNTIFS($A$5:$A$404,A5,$B$5:$B$404,B5)&gt;1,"Trùng OptionOrder trong cùng choice",IF(OR(B5="",C5="",D5="",F5="",H5=""),"Thiếu trường bắt buộc",IF(OR(COUNTIF($A$5:$A$404,A5)&lt;2,COUNTIF($A$5:$A$404,A5)&gt;4),"Mỗi choice cần 2–4 option",IF(COUNTIFS('02_KICH_BAN_NODES'!$B$5:$B$204,A5,'02_KICH_BAN_NODES'!$E$5:$E$204,"Kiến thức")=1,IF(COUNTIFS($A$5:$A$404,A5,$D$5:$D$404,"Có")&lt;&gt;1,"Choice kiến thức cần đúng 1 đáp án đúng",""),IF(COUNTIFS('02_KICH_BAN_NODES'!$B$5:$B$204,A5,'02_KICH_BAN_NODES'!$E$5:$E$204,"Tương tác")=1,IF(COUNTIFS($A$5:$A$404,A5,$D$5:$D$404,"Có")&lt;&gt;0,"Choice tương tác không được đánh dấu đáp án đúng",""),"Choice chưa chọn loại")))))))</f>
        <v/>
      </c>
    </row>
    <row r="6" spans="1:11" ht="15" customHeight="1">
      <c r="A6" s="16" t="s">
        <v>389</v>
      </c>
      <c r="B6" s="16">
        <v>2</v>
      </c>
      <c r="C6" s="15" t="s">
        <v>463</v>
      </c>
      <c r="D6" s="16" t="s">
        <v>127</v>
      </c>
      <c r="E6" s="16">
        <v>4</v>
      </c>
      <c r="F6" s="16" t="s">
        <v>201</v>
      </c>
      <c r="G6" s="16" t="s">
        <v>186</v>
      </c>
      <c r="H6" s="15" t="s">
        <v>464</v>
      </c>
      <c r="I6" s="15" t="s">
        <v>54</v>
      </c>
      <c r="J6" s="17" t="str">
        <f t="shared" si="0"/>
        <v>HỢP LỆ</v>
      </c>
      <c r="K6" s="17" t="str">
        <f>IF(A6="","",IF(COUNTIFS('02_KICH_BAN_NODES'!$B$5:$B$204,A6,'02_KICH_BAN_NODES'!$D$5:$D$204,"choice")=0,"ChoiceNodeId không tồn tại hoặc không phải choice",IF(COUNTIFS($A$5:$A$404,A6,$B$5:$B$404,B6)&gt;1,"Trùng OptionOrder trong cùng choice",IF(OR(B6="",C6="",D6="",F6="",H6=""),"Thiếu trường bắt buộc",IF(OR(COUNTIF($A$5:$A$404,A6)&lt;2,COUNTIF($A$5:$A$404,A6)&gt;4),"Mỗi choice cần 2–4 option",IF(COUNTIFS('02_KICH_BAN_NODES'!$B$5:$B$204,A6,'02_KICH_BAN_NODES'!$E$5:$E$204,"Kiến thức")=1,IF(COUNTIFS($A$5:$A$404,A6,$D$5:$D$404,"Có")&lt;&gt;1,"Choice kiến thức cần đúng 1 đáp án đúng",""),IF(COUNTIFS('02_KICH_BAN_NODES'!$B$5:$B$204,A6,'02_KICH_BAN_NODES'!$E$5:$E$204,"Tương tác")=1,IF(COUNTIFS($A$5:$A$404,A6,$D$5:$D$404,"Có")&lt;&gt;0,"Choice tương tác không được đánh dấu đáp án đúng",""),"Choice chưa chọn loại")))))))</f>
        <v/>
      </c>
    </row>
    <row r="7" spans="1:11" ht="39.6" customHeight="1">
      <c r="A7" s="16" t="s">
        <v>393</v>
      </c>
      <c r="B7" s="16">
        <v>1</v>
      </c>
      <c r="C7" s="15" t="s">
        <v>465</v>
      </c>
      <c r="D7" s="16" t="s">
        <v>96</v>
      </c>
      <c r="E7" s="16"/>
      <c r="F7" s="16" t="s">
        <v>211</v>
      </c>
      <c r="G7" s="16" t="s">
        <v>196</v>
      </c>
      <c r="H7" s="15" t="s">
        <v>466</v>
      </c>
      <c r="I7" s="15" t="s">
        <v>467</v>
      </c>
      <c r="J7" s="17" t="str">
        <f t="shared" si="0"/>
        <v>HỢP LỆ</v>
      </c>
      <c r="K7" s="17" t="str">
        <f>IF(A7="","",IF(COUNTIFS('02_KICH_BAN_NODES'!$B$5:$B$204,A7,'02_KICH_BAN_NODES'!$D$5:$D$204,"choice")=0,"ChoiceNodeId không tồn tại hoặc không phải choice",IF(COUNTIFS($A$5:$A$404,A7,$B$5:$B$404,B7)&gt;1,"Trùng OptionOrder trong cùng choice",IF(OR(B7="",C7="",D7="",F7="",H7=""),"Thiếu trường bắt buộc",IF(OR(COUNTIF($A$5:$A$404,A7)&lt;2,COUNTIF($A$5:$A$404,A7)&gt;4),"Mỗi choice cần 2–4 option",IF(COUNTIFS('02_KICH_BAN_NODES'!$B$5:$B$204,A7,'02_KICH_BAN_NODES'!$E$5:$E$204,"Kiến thức")=1,IF(COUNTIFS($A$5:$A$404,A7,$D$5:$D$404,"Có")&lt;&gt;1,"Choice kiến thức cần đúng 1 đáp án đúng",""),IF(COUNTIFS('02_KICH_BAN_NODES'!$B$5:$B$204,A7,'02_KICH_BAN_NODES'!$E$5:$E$204,"Tương tác")=1,IF(COUNTIFS($A$5:$A$404,A7,$D$5:$D$404,"Có")&lt;&gt;0,"Choice tương tác không được đánh dấu đáp án đúng",""),"Choice chưa chọn loại")))))))</f>
        <v/>
      </c>
    </row>
    <row r="8" spans="1:11" ht="26.45" customHeight="1">
      <c r="A8" s="16" t="s">
        <v>393</v>
      </c>
      <c r="B8" s="16">
        <v>2</v>
      </c>
      <c r="C8" s="15" t="s">
        <v>468</v>
      </c>
      <c r="D8" s="16" t="s">
        <v>127</v>
      </c>
      <c r="E8" s="16"/>
      <c r="F8" s="16" t="s">
        <v>211</v>
      </c>
      <c r="G8" s="16" t="s">
        <v>206</v>
      </c>
      <c r="H8" s="15" t="s">
        <v>469</v>
      </c>
      <c r="I8" s="15" t="s">
        <v>470</v>
      </c>
      <c r="J8" s="17" t="str">
        <f t="shared" si="0"/>
        <v>HỢP LỆ</v>
      </c>
      <c r="K8" s="17" t="str">
        <f>IF(A8="","",IF(COUNTIFS('02_KICH_BAN_NODES'!$B$5:$B$204,A8,'02_KICH_BAN_NODES'!$D$5:$D$204,"choice")=0,"ChoiceNodeId không tồn tại hoặc không phải choice",IF(COUNTIFS($A$5:$A$404,A8,$B$5:$B$404,B8)&gt;1,"Trùng OptionOrder trong cùng choice",IF(OR(B8="",C8="",D8="",F8="",H8=""),"Thiếu trường bắt buộc",IF(OR(COUNTIF($A$5:$A$404,A8)&lt;2,COUNTIF($A$5:$A$404,A8)&gt;4),"Mỗi choice cần 2–4 option",IF(COUNTIFS('02_KICH_BAN_NODES'!$B$5:$B$204,A8,'02_KICH_BAN_NODES'!$E$5:$E$204,"Kiến thức")=1,IF(COUNTIFS($A$5:$A$404,A8,$D$5:$D$404,"Có")&lt;&gt;1,"Choice kiến thức cần đúng 1 đáp án đúng",""),IF(COUNTIFS('02_KICH_BAN_NODES'!$B$5:$B$204,A8,'02_KICH_BAN_NODES'!$E$5:$E$204,"Tương tác")=1,IF(COUNTIFS($A$5:$A$404,A8,$D$5:$D$404,"Có")&lt;&gt;0,"Choice tương tác không được đánh dấu đáp án đúng",""),"Choice chưa chọn loại")))))))</f>
        <v/>
      </c>
    </row>
    <row r="9" spans="1:11" ht="26.45" customHeight="1">
      <c r="A9" s="16" t="s">
        <v>393</v>
      </c>
      <c r="B9" s="16">
        <v>3</v>
      </c>
      <c r="C9" s="15" t="s">
        <v>471</v>
      </c>
      <c r="D9" s="16" t="s">
        <v>127</v>
      </c>
      <c r="E9" s="16"/>
      <c r="F9" s="16" t="s">
        <v>211</v>
      </c>
      <c r="G9" s="16" t="s">
        <v>206</v>
      </c>
      <c r="H9" s="15" t="s">
        <v>469</v>
      </c>
      <c r="I9" s="15" t="s">
        <v>470</v>
      </c>
      <c r="J9" s="17" t="str">
        <f t="shared" si="0"/>
        <v>HỢP LỆ</v>
      </c>
      <c r="K9" s="17" t="str">
        <f>IF(A9="","",IF(COUNTIFS('02_KICH_BAN_NODES'!$B$5:$B$204,A9,'02_KICH_BAN_NODES'!$D$5:$D$204,"choice")=0,"ChoiceNodeId không tồn tại hoặc không phải choice",IF(COUNTIFS($A$5:$A$404,A9,$B$5:$B$404,B9)&gt;1,"Trùng OptionOrder trong cùng choice",IF(OR(B9="",C9="",D9="",F9="",H9=""),"Thiếu trường bắt buộc",IF(OR(COUNTIF($A$5:$A$404,A9)&lt;2,COUNTIF($A$5:$A$404,A9)&gt;4),"Mỗi choice cần 2–4 option",IF(COUNTIFS('02_KICH_BAN_NODES'!$B$5:$B$204,A9,'02_KICH_BAN_NODES'!$E$5:$E$204,"Kiến thức")=1,IF(COUNTIFS($A$5:$A$404,A9,$D$5:$D$404,"Có")&lt;&gt;1,"Choice kiến thức cần đúng 1 đáp án đúng",""),IF(COUNTIFS('02_KICH_BAN_NODES'!$B$5:$B$204,A9,'02_KICH_BAN_NODES'!$E$5:$E$204,"Tương tác")=1,IF(COUNTIFS($A$5:$A$404,A9,$D$5:$D$404,"Có")&lt;&gt;0,"Choice tương tác không được đánh dấu đáp án đúng",""),"Choice chưa chọn loại")))))))</f>
        <v/>
      </c>
    </row>
    <row r="10" spans="1:11" ht="39.6" customHeight="1">
      <c r="A10" s="16" t="s">
        <v>396</v>
      </c>
      <c r="B10" s="16">
        <v>1</v>
      </c>
      <c r="C10" s="15" t="s">
        <v>472</v>
      </c>
      <c r="D10" s="16" t="s">
        <v>96</v>
      </c>
      <c r="E10" s="16"/>
      <c r="F10" s="16" t="s">
        <v>201</v>
      </c>
      <c r="G10" s="16" t="s">
        <v>196</v>
      </c>
      <c r="H10" s="15" t="s">
        <v>473</v>
      </c>
      <c r="I10" s="15" t="s">
        <v>467</v>
      </c>
      <c r="J10" s="17" t="str">
        <f t="shared" si="0"/>
        <v>HỢP LỆ</v>
      </c>
      <c r="K10" s="17" t="str">
        <f>IF(A10="","",IF(COUNTIFS('02_KICH_BAN_NODES'!$B$5:$B$204,A10,'02_KICH_BAN_NODES'!$D$5:$D$204,"choice")=0,"ChoiceNodeId không tồn tại hoặc không phải choice",IF(COUNTIFS($A$5:$A$404,A10,$B$5:$B$404,B10)&gt;1,"Trùng OptionOrder trong cùng choice",IF(OR(B10="",C10="",D10="",F10="",H10=""),"Thiếu trường bắt buộc",IF(OR(COUNTIF($A$5:$A$404,A10)&lt;2,COUNTIF($A$5:$A$404,A10)&gt;4),"Mỗi choice cần 2–4 option",IF(COUNTIFS('02_KICH_BAN_NODES'!$B$5:$B$204,A10,'02_KICH_BAN_NODES'!$E$5:$E$204,"Kiến thức")=1,IF(COUNTIFS($A$5:$A$404,A10,$D$5:$D$404,"Có")&lt;&gt;1,"Choice kiến thức cần đúng 1 đáp án đúng",""),IF(COUNTIFS('02_KICH_BAN_NODES'!$B$5:$B$204,A10,'02_KICH_BAN_NODES'!$E$5:$E$204,"Tương tác")=1,IF(COUNTIFS($A$5:$A$404,A10,$D$5:$D$404,"Có")&lt;&gt;0,"Choice tương tác không được đánh dấu đáp án đúng",""),"Choice chưa chọn loại")))))))</f>
        <v/>
      </c>
    </row>
    <row r="11" spans="1:11" ht="26.45" customHeight="1">
      <c r="A11" s="16" t="s">
        <v>396</v>
      </c>
      <c r="B11" s="16">
        <v>2</v>
      </c>
      <c r="C11" s="15" t="s">
        <v>474</v>
      </c>
      <c r="D11" s="16" t="s">
        <v>127</v>
      </c>
      <c r="E11" s="16"/>
      <c r="F11" s="16" t="s">
        <v>201</v>
      </c>
      <c r="G11" s="16" t="s">
        <v>206</v>
      </c>
      <c r="H11" s="15" t="s">
        <v>475</v>
      </c>
      <c r="I11" s="15" t="s">
        <v>470</v>
      </c>
      <c r="J11" s="17" t="str">
        <f t="shared" si="0"/>
        <v>HỢP LỆ</v>
      </c>
      <c r="K11" s="17" t="str">
        <f>IF(A11="","",IF(COUNTIFS('02_KICH_BAN_NODES'!$B$5:$B$204,A11,'02_KICH_BAN_NODES'!$D$5:$D$204,"choice")=0,"ChoiceNodeId không tồn tại hoặc không phải choice",IF(COUNTIFS($A$5:$A$404,A11,$B$5:$B$404,B11)&gt;1,"Trùng OptionOrder trong cùng choice",IF(OR(B11="",C11="",D11="",F11="",H11=""),"Thiếu trường bắt buộc",IF(OR(COUNTIF($A$5:$A$404,A11)&lt;2,COUNTIF($A$5:$A$404,A11)&gt;4),"Mỗi choice cần 2–4 option",IF(COUNTIFS('02_KICH_BAN_NODES'!$B$5:$B$204,A11,'02_KICH_BAN_NODES'!$E$5:$E$204,"Kiến thức")=1,IF(COUNTIFS($A$5:$A$404,A11,$D$5:$D$404,"Có")&lt;&gt;1,"Choice kiến thức cần đúng 1 đáp án đúng",""),IF(COUNTIFS('02_KICH_BAN_NODES'!$B$5:$B$204,A11,'02_KICH_BAN_NODES'!$E$5:$E$204,"Tương tác")=1,IF(COUNTIFS($A$5:$A$404,A11,$D$5:$D$404,"Có")&lt;&gt;0,"Choice tương tác không được đánh dấu đáp án đúng",""),"Choice chưa chọn loại")))))))</f>
        <v/>
      </c>
    </row>
    <row r="12" spans="1:11" ht="26.45" customHeight="1">
      <c r="A12" s="16" t="s">
        <v>396</v>
      </c>
      <c r="B12" s="16">
        <v>3</v>
      </c>
      <c r="C12" s="15" t="s">
        <v>476</v>
      </c>
      <c r="D12" s="16" t="s">
        <v>127</v>
      </c>
      <c r="E12" s="16"/>
      <c r="F12" s="16" t="s">
        <v>201</v>
      </c>
      <c r="G12" s="16" t="s">
        <v>206</v>
      </c>
      <c r="H12" s="15" t="s">
        <v>475</v>
      </c>
      <c r="I12" s="15" t="s">
        <v>470</v>
      </c>
      <c r="J12" s="17" t="str">
        <f t="shared" si="0"/>
        <v>HỢP LỆ</v>
      </c>
      <c r="K12" s="17" t="str">
        <f>IF(A12="","",IF(COUNTIFS('02_KICH_BAN_NODES'!$B$5:$B$204,A12,'02_KICH_BAN_NODES'!$D$5:$D$204,"choice")=0,"ChoiceNodeId không tồn tại hoặc không phải choice",IF(COUNTIFS($A$5:$A$404,A12,$B$5:$B$404,B12)&gt;1,"Trùng OptionOrder trong cùng choice",IF(OR(B12="",C12="",D12="",F12="",H12=""),"Thiếu trường bắt buộc",IF(OR(COUNTIF($A$5:$A$404,A12)&lt;2,COUNTIF($A$5:$A$404,A12)&gt;4),"Mỗi choice cần 2–4 option",IF(COUNTIFS('02_KICH_BAN_NODES'!$B$5:$B$204,A12,'02_KICH_BAN_NODES'!$E$5:$E$204,"Kiến thức")=1,IF(COUNTIFS($A$5:$A$404,A12,$D$5:$D$404,"Có")&lt;&gt;1,"Choice kiến thức cần đúng 1 đáp án đúng",""),IF(COUNTIFS('02_KICH_BAN_NODES'!$B$5:$B$204,A12,'02_KICH_BAN_NODES'!$E$5:$E$204,"Tương tác")=1,IF(COUNTIFS($A$5:$A$404,A12,$D$5:$D$404,"Có")&lt;&gt;0,"Choice tương tác không được đánh dấu đáp án đúng",""),"Choice chưa chọn loại")))))))</f>
        <v/>
      </c>
    </row>
    <row r="13" spans="1:11" ht="26.45" customHeight="1">
      <c r="A13" s="16" t="s">
        <v>398</v>
      </c>
      <c r="B13" s="16">
        <v>1</v>
      </c>
      <c r="C13" s="15" t="s">
        <v>477</v>
      </c>
      <c r="D13" s="16" t="s">
        <v>96</v>
      </c>
      <c r="E13" s="16"/>
      <c r="F13" s="16" t="s">
        <v>218</v>
      </c>
      <c r="G13" s="16" t="s">
        <v>186</v>
      </c>
      <c r="H13" s="15" t="s">
        <v>478</v>
      </c>
      <c r="I13" s="15" t="s">
        <v>467</v>
      </c>
      <c r="J13" s="17" t="str">
        <f t="shared" si="0"/>
        <v>HỢP LỆ</v>
      </c>
      <c r="K13" s="17" t="str">
        <f>IF(A13="","",IF(COUNTIFS('02_KICH_BAN_NODES'!$B$5:$B$204,A13,'02_KICH_BAN_NODES'!$D$5:$D$204,"choice")=0,"ChoiceNodeId không tồn tại hoặc không phải choice",IF(COUNTIFS($A$5:$A$404,A13,$B$5:$B$404,B13)&gt;1,"Trùng OptionOrder trong cùng choice",IF(OR(B13="",C13="",D13="",F13="",H13=""),"Thiếu trường bắt buộc",IF(OR(COUNTIF($A$5:$A$404,A13)&lt;2,COUNTIF($A$5:$A$404,A13)&gt;4),"Mỗi choice cần 2–4 option",IF(COUNTIFS('02_KICH_BAN_NODES'!$B$5:$B$204,A13,'02_KICH_BAN_NODES'!$E$5:$E$204,"Kiến thức")=1,IF(COUNTIFS($A$5:$A$404,A13,$D$5:$D$404,"Có")&lt;&gt;1,"Choice kiến thức cần đúng 1 đáp án đúng",""),IF(COUNTIFS('02_KICH_BAN_NODES'!$B$5:$B$204,A13,'02_KICH_BAN_NODES'!$E$5:$E$204,"Tương tác")=1,IF(COUNTIFS($A$5:$A$404,A13,$D$5:$D$404,"Có")&lt;&gt;0,"Choice tương tác không được đánh dấu đáp án đúng",""),"Choice chưa chọn loại")))))))</f>
        <v/>
      </c>
    </row>
    <row r="14" spans="1:11" ht="26.45" customHeight="1">
      <c r="A14" s="16" t="s">
        <v>398</v>
      </c>
      <c r="B14" s="16">
        <v>2</v>
      </c>
      <c r="C14" s="15" t="s">
        <v>479</v>
      </c>
      <c r="D14" s="16" t="s">
        <v>127</v>
      </c>
      <c r="E14" s="16"/>
      <c r="F14" s="16" t="s">
        <v>218</v>
      </c>
      <c r="G14" s="16" t="s">
        <v>214</v>
      </c>
      <c r="H14" s="15" t="s">
        <v>480</v>
      </c>
      <c r="I14" s="15" t="s">
        <v>470</v>
      </c>
      <c r="J14" s="17" t="str">
        <f t="shared" si="0"/>
        <v>HỢP LỆ</v>
      </c>
      <c r="K14" s="17" t="str">
        <f>IF(A14="","",IF(COUNTIFS('02_KICH_BAN_NODES'!$B$5:$B$204,A14,'02_KICH_BAN_NODES'!$D$5:$D$204,"choice")=0,"ChoiceNodeId không tồn tại hoặc không phải choice",IF(COUNTIFS($A$5:$A$404,A14,$B$5:$B$404,B14)&gt;1,"Trùng OptionOrder trong cùng choice",IF(OR(B14="",C14="",D14="",F14="",H14=""),"Thiếu trường bắt buộc",IF(OR(COUNTIF($A$5:$A$404,A14)&lt;2,COUNTIF($A$5:$A$404,A14)&gt;4),"Mỗi choice cần 2–4 option",IF(COUNTIFS('02_KICH_BAN_NODES'!$B$5:$B$204,A14,'02_KICH_BAN_NODES'!$E$5:$E$204,"Kiến thức")=1,IF(COUNTIFS($A$5:$A$404,A14,$D$5:$D$404,"Có")&lt;&gt;1,"Choice kiến thức cần đúng 1 đáp án đúng",""),IF(COUNTIFS('02_KICH_BAN_NODES'!$B$5:$B$204,A14,'02_KICH_BAN_NODES'!$E$5:$E$204,"Tương tác")=1,IF(COUNTIFS($A$5:$A$404,A14,$D$5:$D$404,"Có")&lt;&gt;0,"Choice tương tác không được đánh dấu đáp án đúng",""),"Choice chưa chọn loại")))))))</f>
        <v/>
      </c>
    </row>
    <row r="15" spans="1:11" ht="26.45" customHeight="1">
      <c r="A15" s="16" t="s">
        <v>398</v>
      </c>
      <c r="B15" s="16">
        <v>3</v>
      </c>
      <c r="C15" s="15" t="s">
        <v>481</v>
      </c>
      <c r="D15" s="16" t="s">
        <v>127</v>
      </c>
      <c r="E15" s="16"/>
      <c r="F15" s="16" t="s">
        <v>218</v>
      </c>
      <c r="G15" s="16" t="s">
        <v>214</v>
      </c>
      <c r="H15" s="15" t="s">
        <v>480</v>
      </c>
      <c r="I15" s="15" t="s">
        <v>470</v>
      </c>
      <c r="J15" s="17" t="str">
        <f t="shared" si="0"/>
        <v>HỢP LỆ</v>
      </c>
      <c r="K15" s="17" t="str">
        <f>IF(A15="","",IF(COUNTIFS('02_KICH_BAN_NODES'!$B$5:$B$204,A15,'02_KICH_BAN_NODES'!$D$5:$D$204,"choice")=0,"ChoiceNodeId không tồn tại hoặc không phải choice",IF(COUNTIFS($A$5:$A$404,A15,$B$5:$B$404,B15)&gt;1,"Trùng OptionOrder trong cùng choice",IF(OR(B15="",C15="",D15="",F15="",H15=""),"Thiếu trường bắt buộc",IF(OR(COUNTIF($A$5:$A$404,A15)&lt;2,COUNTIF($A$5:$A$404,A15)&gt;4),"Mỗi choice cần 2–4 option",IF(COUNTIFS('02_KICH_BAN_NODES'!$B$5:$B$204,A15,'02_KICH_BAN_NODES'!$E$5:$E$204,"Kiến thức")=1,IF(COUNTIFS($A$5:$A$404,A15,$D$5:$D$404,"Có")&lt;&gt;1,"Choice kiến thức cần đúng 1 đáp án đúng",""),IF(COUNTIFS('02_KICH_BAN_NODES'!$B$5:$B$204,A15,'02_KICH_BAN_NODES'!$E$5:$E$204,"Tương tác")=1,IF(COUNTIFS($A$5:$A$404,A15,$D$5:$D$404,"Có")&lt;&gt;0,"Choice tương tác không được đánh dấu đáp án đúng",""),"Choice chưa chọn loại")))))))</f>
        <v/>
      </c>
    </row>
    <row r="16" spans="1:11" ht="26.45" customHeight="1">
      <c r="A16" s="16" t="s">
        <v>400</v>
      </c>
      <c r="B16" s="16">
        <v>1</v>
      </c>
      <c r="C16" s="15" t="s">
        <v>482</v>
      </c>
      <c r="D16" s="16" t="s">
        <v>96</v>
      </c>
      <c r="E16" s="16"/>
      <c r="F16" s="16" t="s">
        <v>211</v>
      </c>
      <c r="G16" s="16" t="s">
        <v>196</v>
      </c>
      <c r="H16" s="15" t="s">
        <v>483</v>
      </c>
      <c r="I16" s="15" t="s">
        <v>467</v>
      </c>
      <c r="J16" s="17" t="str">
        <f t="shared" si="0"/>
        <v>HỢP LỆ</v>
      </c>
      <c r="K16" s="17" t="str">
        <f>IF(A16="","",IF(COUNTIFS('02_KICH_BAN_NODES'!$B$5:$B$204,A16,'02_KICH_BAN_NODES'!$D$5:$D$204,"choice")=0,"ChoiceNodeId không tồn tại hoặc không phải choice",IF(COUNTIFS($A$5:$A$404,A16,$B$5:$B$404,B16)&gt;1,"Trùng OptionOrder trong cùng choice",IF(OR(B16="",C16="",D16="",F16="",H16=""),"Thiếu trường bắt buộc",IF(OR(COUNTIF($A$5:$A$404,A16)&lt;2,COUNTIF($A$5:$A$404,A16)&gt;4),"Mỗi choice cần 2–4 option",IF(COUNTIFS('02_KICH_BAN_NODES'!$B$5:$B$204,A16,'02_KICH_BAN_NODES'!$E$5:$E$204,"Kiến thức")=1,IF(COUNTIFS($A$5:$A$404,A16,$D$5:$D$404,"Có")&lt;&gt;1,"Choice kiến thức cần đúng 1 đáp án đúng",""),IF(COUNTIFS('02_KICH_BAN_NODES'!$B$5:$B$204,A16,'02_KICH_BAN_NODES'!$E$5:$E$204,"Tương tác")=1,IF(COUNTIFS($A$5:$A$404,A16,$D$5:$D$404,"Có")&lt;&gt;0,"Choice tương tác không được đánh dấu đáp án đúng",""),"Choice chưa chọn loại")))))))</f>
        <v/>
      </c>
    </row>
    <row r="17" spans="1:11" ht="15" customHeight="1">
      <c r="A17" s="16" t="s">
        <v>400</v>
      </c>
      <c r="B17" s="16">
        <v>2</v>
      </c>
      <c r="C17" s="15" t="s">
        <v>484</v>
      </c>
      <c r="D17" s="16" t="s">
        <v>127</v>
      </c>
      <c r="E17" s="16"/>
      <c r="F17" s="16" t="s">
        <v>211</v>
      </c>
      <c r="G17" s="16" t="s">
        <v>206</v>
      </c>
      <c r="H17" s="15" t="s">
        <v>485</v>
      </c>
      <c r="I17" s="15" t="s">
        <v>470</v>
      </c>
      <c r="J17" s="17" t="str">
        <f t="shared" si="0"/>
        <v>HỢP LỆ</v>
      </c>
      <c r="K17" s="17" t="str">
        <f>IF(A17="","",IF(COUNTIFS('02_KICH_BAN_NODES'!$B$5:$B$204,A17,'02_KICH_BAN_NODES'!$D$5:$D$204,"choice")=0,"ChoiceNodeId không tồn tại hoặc không phải choice",IF(COUNTIFS($A$5:$A$404,A17,$B$5:$B$404,B17)&gt;1,"Trùng OptionOrder trong cùng choice",IF(OR(B17="",C17="",D17="",F17="",H17=""),"Thiếu trường bắt buộc",IF(OR(COUNTIF($A$5:$A$404,A17)&lt;2,COUNTIF($A$5:$A$404,A17)&gt;4),"Mỗi choice cần 2–4 option",IF(COUNTIFS('02_KICH_BAN_NODES'!$B$5:$B$204,A17,'02_KICH_BAN_NODES'!$E$5:$E$204,"Kiến thức")=1,IF(COUNTIFS($A$5:$A$404,A17,$D$5:$D$404,"Có")&lt;&gt;1,"Choice kiến thức cần đúng 1 đáp án đúng",""),IF(COUNTIFS('02_KICH_BAN_NODES'!$B$5:$B$204,A17,'02_KICH_BAN_NODES'!$E$5:$E$204,"Tương tác")=1,IF(COUNTIFS($A$5:$A$404,A17,$D$5:$D$404,"Có")&lt;&gt;0,"Choice tương tác không được đánh dấu đáp án đúng",""),"Choice chưa chọn loại")))))))</f>
        <v/>
      </c>
    </row>
    <row r="18" spans="1:11" ht="15" customHeight="1">
      <c r="A18" s="16" t="s">
        <v>400</v>
      </c>
      <c r="B18" s="16">
        <v>3</v>
      </c>
      <c r="C18" s="15" t="s">
        <v>486</v>
      </c>
      <c r="D18" s="16" t="s">
        <v>127</v>
      </c>
      <c r="E18" s="16"/>
      <c r="F18" s="16" t="s">
        <v>211</v>
      </c>
      <c r="G18" s="16" t="s">
        <v>206</v>
      </c>
      <c r="H18" s="15" t="s">
        <v>485</v>
      </c>
      <c r="I18" s="15" t="s">
        <v>470</v>
      </c>
      <c r="J18" s="17" t="str">
        <f t="shared" si="0"/>
        <v>HỢP LỆ</v>
      </c>
      <c r="K18" s="17" t="str">
        <f>IF(A18="","",IF(COUNTIFS('02_KICH_BAN_NODES'!$B$5:$B$204,A18,'02_KICH_BAN_NODES'!$D$5:$D$204,"choice")=0,"ChoiceNodeId không tồn tại hoặc không phải choice",IF(COUNTIFS($A$5:$A$404,A18,$B$5:$B$404,B18)&gt;1,"Trùng OptionOrder trong cùng choice",IF(OR(B18="",C18="",D18="",F18="",H18=""),"Thiếu trường bắt buộc",IF(OR(COUNTIF($A$5:$A$404,A18)&lt;2,COUNTIF($A$5:$A$404,A18)&gt;4),"Mỗi choice cần 2–4 option",IF(COUNTIFS('02_KICH_BAN_NODES'!$B$5:$B$204,A18,'02_KICH_BAN_NODES'!$E$5:$E$204,"Kiến thức")=1,IF(COUNTIFS($A$5:$A$404,A18,$D$5:$D$404,"Có")&lt;&gt;1,"Choice kiến thức cần đúng 1 đáp án đúng",""),IF(COUNTIFS('02_KICH_BAN_NODES'!$B$5:$B$204,A18,'02_KICH_BAN_NODES'!$E$5:$E$204,"Tương tác")=1,IF(COUNTIFS($A$5:$A$404,A18,$D$5:$D$404,"Có")&lt;&gt;0,"Choice tương tác không được đánh dấu đáp án đúng",""),"Choice chưa chọn loại")))))))</f>
        <v/>
      </c>
    </row>
    <row r="19" spans="1:11" ht="26.45" customHeight="1">
      <c r="A19" s="16" t="s">
        <v>402</v>
      </c>
      <c r="B19" s="16">
        <v>1</v>
      </c>
      <c r="C19" s="15" t="s">
        <v>487</v>
      </c>
      <c r="D19" s="16" t="s">
        <v>96</v>
      </c>
      <c r="E19" s="16"/>
      <c r="F19" s="16" t="s">
        <v>201</v>
      </c>
      <c r="G19" s="16" t="s">
        <v>196</v>
      </c>
      <c r="H19" s="15" t="s">
        <v>488</v>
      </c>
      <c r="I19" s="15" t="s">
        <v>467</v>
      </c>
      <c r="J19" s="17" t="str">
        <f t="shared" si="0"/>
        <v>HỢP LỆ</v>
      </c>
      <c r="K19" s="17" t="str">
        <f>IF(A19="","",IF(COUNTIFS('02_KICH_BAN_NODES'!$B$5:$B$204,A19,'02_KICH_BAN_NODES'!$D$5:$D$204,"choice")=0,"ChoiceNodeId không tồn tại hoặc không phải choice",IF(COUNTIFS($A$5:$A$404,A19,$B$5:$B$404,B19)&gt;1,"Trùng OptionOrder trong cùng choice",IF(OR(B19="",C19="",D19="",F19="",H19=""),"Thiếu trường bắt buộc",IF(OR(COUNTIF($A$5:$A$404,A19)&lt;2,COUNTIF($A$5:$A$404,A19)&gt;4),"Mỗi choice cần 2–4 option",IF(COUNTIFS('02_KICH_BAN_NODES'!$B$5:$B$204,A19,'02_KICH_BAN_NODES'!$E$5:$E$204,"Kiến thức")=1,IF(COUNTIFS($A$5:$A$404,A19,$D$5:$D$404,"Có")&lt;&gt;1,"Choice kiến thức cần đúng 1 đáp án đúng",""),IF(COUNTIFS('02_KICH_BAN_NODES'!$B$5:$B$204,A19,'02_KICH_BAN_NODES'!$E$5:$E$204,"Tương tác")=1,IF(COUNTIFS($A$5:$A$404,A19,$D$5:$D$404,"Có")&lt;&gt;0,"Choice tương tác không được đánh dấu đáp án đúng",""),"Choice chưa chọn loại")))))))</f>
        <v/>
      </c>
    </row>
    <row r="20" spans="1:11" ht="26.45" customHeight="1">
      <c r="A20" s="16" t="s">
        <v>402</v>
      </c>
      <c r="B20" s="16">
        <v>2</v>
      </c>
      <c r="C20" s="15" t="s">
        <v>489</v>
      </c>
      <c r="D20" s="16" t="s">
        <v>127</v>
      </c>
      <c r="E20" s="16"/>
      <c r="F20" s="16" t="s">
        <v>201</v>
      </c>
      <c r="G20" s="16" t="s">
        <v>206</v>
      </c>
      <c r="H20" s="15" t="s">
        <v>490</v>
      </c>
      <c r="I20" s="15" t="s">
        <v>470</v>
      </c>
      <c r="J20" s="17" t="str">
        <f t="shared" si="0"/>
        <v>HỢP LỆ</v>
      </c>
      <c r="K20" s="17" t="str">
        <f>IF(A20="","",IF(COUNTIFS('02_KICH_BAN_NODES'!$B$5:$B$204,A20,'02_KICH_BAN_NODES'!$D$5:$D$204,"choice")=0,"ChoiceNodeId không tồn tại hoặc không phải choice",IF(COUNTIFS($A$5:$A$404,A20,$B$5:$B$404,B20)&gt;1,"Trùng OptionOrder trong cùng choice",IF(OR(B20="",C20="",D20="",F20="",H20=""),"Thiếu trường bắt buộc",IF(OR(COUNTIF($A$5:$A$404,A20)&lt;2,COUNTIF($A$5:$A$404,A20)&gt;4),"Mỗi choice cần 2–4 option",IF(COUNTIFS('02_KICH_BAN_NODES'!$B$5:$B$204,A20,'02_KICH_BAN_NODES'!$E$5:$E$204,"Kiến thức")=1,IF(COUNTIFS($A$5:$A$404,A20,$D$5:$D$404,"Có")&lt;&gt;1,"Choice kiến thức cần đúng 1 đáp án đúng",""),IF(COUNTIFS('02_KICH_BAN_NODES'!$B$5:$B$204,A20,'02_KICH_BAN_NODES'!$E$5:$E$204,"Tương tác")=1,IF(COUNTIFS($A$5:$A$404,A20,$D$5:$D$404,"Có")&lt;&gt;0,"Choice tương tác không được đánh dấu đáp án đúng",""),"Choice chưa chọn loại")))))))</f>
        <v/>
      </c>
    </row>
    <row r="21" spans="1:11" ht="15" customHeight="1">
      <c r="A21" s="16" t="s">
        <v>402</v>
      </c>
      <c r="B21" s="16">
        <v>3</v>
      </c>
      <c r="C21" s="15" t="s">
        <v>491</v>
      </c>
      <c r="D21" s="16" t="s">
        <v>127</v>
      </c>
      <c r="E21" s="16"/>
      <c r="F21" s="16" t="s">
        <v>201</v>
      </c>
      <c r="G21" s="16" t="s">
        <v>206</v>
      </c>
      <c r="H21" s="15" t="s">
        <v>490</v>
      </c>
      <c r="I21" s="15" t="s">
        <v>470</v>
      </c>
      <c r="J21" s="17" t="str">
        <f t="shared" si="0"/>
        <v>HỢP LỆ</v>
      </c>
      <c r="K21" s="17" t="str">
        <f>IF(A21="","",IF(COUNTIFS('02_KICH_BAN_NODES'!$B$5:$B$204,A21,'02_KICH_BAN_NODES'!$D$5:$D$204,"choice")=0,"ChoiceNodeId không tồn tại hoặc không phải choice",IF(COUNTIFS($A$5:$A$404,A21,$B$5:$B$404,B21)&gt;1,"Trùng OptionOrder trong cùng choice",IF(OR(B21="",C21="",D21="",F21="",H21=""),"Thiếu trường bắt buộc",IF(OR(COUNTIF($A$5:$A$404,A21)&lt;2,COUNTIF($A$5:$A$404,A21)&gt;4),"Mỗi choice cần 2–4 option",IF(COUNTIFS('02_KICH_BAN_NODES'!$B$5:$B$204,A21,'02_KICH_BAN_NODES'!$E$5:$E$204,"Kiến thức")=1,IF(COUNTIFS($A$5:$A$404,A21,$D$5:$D$404,"Có")&lt;&gt;1,"Choice kiến thức cần đúng 1 đáp án đúng",""),IF(COUNTIFS('02_KICH_BAN_NODES'!$B$5:$B$204,A21,'02_KICH_BAN_NODES'!$E$5:$E$204,"Tương tác")=1,IF(COUNTIFS($A$5:$A$404,A21,$D$5:$D$404,"Có")&lt;&gt;0,"Choice tương tác không được đánh dấu đáp án đúng",""),"Choice chưa chọn loại")))))))</f>
        <v/>
      </c>
    </row>
    <row r="22" spans="1:11" ht="26.45" customHeight="1">
      <c r="A22" s="16" t="s">
        <v>404</v>
      </c>
      <c r="B22" s="16">
        <v>1</v>
      </c>
      <c r="C22" s="15" t="s">
        <v>492</v>
      </c>
      <c r="D22" s="16" t="s">
        <v>96</v>
      </c>
      <c r="E22" s="16"/>
      <c r="F22" s="16" t="s">
        <v>218</v>
      </c>
      <c r="G22" s="16" t="s">
        <v>186</v>
      </c>
      <c r="H22" s="15" t="s">
        <v>493</v>
      </c>
      <c r="I22" s="15" t="s">
        <v>467</v>
      </c>
      <c r="J22" s="17" t="str">
        <f t="shared" si="0"/>
        <v>HỢP LỆ</v>
      </c>
      <c r="K22" s="17" t="str">
        <f>IF(A22="","",IF(COUNTIFS('02_KICH_BAN_NODES'!$B$5:$B$204,A22,'02_KICH_BAN_NODES'!$D$5:$D$204,"choice")=0,"ChoiceNodeId không tồn tại hoặc không phải choice",IF(COUNTIFS($A$5:$A$404,A22,$B$5:$B$404,B22)&gt;1,"Trùng OptionOrder trong cùng choice",IF(OR(B22="",C22="",D22="",F22="",H22=""),"Thiếu trường bắt buộc",IF(OR(COUNTIF($A$5:$A$404,A22)&lt;2,COUNTIF($A$5:$A$404,A22)&gt;4),"Mỗi choice cần 2–4 option",IF(COUNTIFS('02_KICH_BAN_NODES'!$B$5:$B$204,A22,'02_KICH_BAN_NODES'!$E$5:$E$204,"Kiến thức")=1,IF(COUNTIFS($A$5:$A$404,A22,$D$5:$D$404,"Có")&lt;&gt;1,"Choice kiến thức cần đúng 1 đáp án đúng",""),IF(COUNTIFS('02_KICH_BAN_NODES'!$B$5:$B$204,A22,'02_KICH_BAN_NODES'!$E$5:$E$204,"Tương tác")=1,IF(COUNTIFS($A$5:$A$404,A22,$D$5:$D$404,"Có")&lt;&gt;0,"Choice tương tác không được đánh dấu đáp án đúng",""),"Choice chưa chọn loại")))))))</f>
        <v/>
      </c>
    </row>
    <row r="23" spans="1:11" ht="15" customHeight="1">
      <c r="A23" s="16" t="s">
        <v>404</v>
      </c>
      <c r="B23" s="16">
        <v>2</v>
      </c>
      <c r="C23" s="15" t="s">
        <v>494</v>
      </c>
      <c r="D23" s="16" t="s">
        <v>127</v>
      </c>
      <c r="E23" s="16"/>
      <c r="F23" s="16" t="s">
        <v>218</v>
      </c>
      <c r="G23" s="16" t="s">
        <v>214</v>
      </c>
      <c r="H23" s="15" t="s">
        <v>495</v>
      </c>
      <c r="I23" s="15" t="s">
        <v>470</v>
      </c>
      <c r="J23" s="17" t="str">
        <f t="shared" si="0"/>
        <v>HỢP LỆ</v>
      </c>
      <c r="K23" s="17" t="str">
        <f>IF(A23="","",IF(COUNTIFS('02_KICH_BAN_NODES'!$B$5:$B$204,A23,'02_KICH_BAN_NODES'!$D$5:$D$204,"choice")=0,"ChoiceNodeId không tồn tại hoặc không phải choice",IF(COUNTIFS($A$5:$A$404,A23,$B$5:$B$404,B23)&gt;1,"Trùng OptionOrder trong cùng choice",IF(OR(B23="",C23="",D23="",F23="",H23=""),"Thiếu trường bắt buộc",IF(OR(COUNTIF($A$5:$A$404,A23)&lt;2,COUNTIF($A$5:$A$404,A23)&gt;4),"Mỗi choice cần 2–4 option",IF(COUNTIFS('02_KICH_BAN_NODES'!$B$5:$B$204,A23,'02_KICH_BAN_NODES'!$E$5:$E$204,"Kiến thức")=1,IF(COUNTIFS($A$5:$A$404,A23,$D$5:$D$404,"Có")&lt;&gt;1,"Choice kiến thức cần đúng 1 đáp án đúng",""),IF(COUNTIFS('02_KICH_BAN_NODES'!$B$5:$B$204,A23,'02_KICH_BAN_NODES'!$E$5:$E$204,"Tương tác")=1,IF(COUNTIFS($A$5:$A$404,A23,$D$5:$D$404,"Có")&lt;&gt;0,"Choice tương tác không được đánh dấu đáp án đúng",""),"Choice chưa chọn loại")))))))</f>
        <v/>
      </c>
    </row>
    <row r="24" spans="1:11" ht="15" customHeight="1">
      <c r="A24" s="16" t="s">
        <v>404</v>
      </c>
      <c r="B24" s="16">
        <v>3</v>
      </c>
      <c r="C24" s="15" t="s">
        <v>496</v>
      </c>
      <c r="D24" s="16" t="s">
        <v>127</v>
      </c>
      <c r="E24" s="16"/>
      <c r="F24" s="16" t="s">
        <v>218</v>
      </c>
      <c r="G24" s="16" t="s">
        <v>214</v>
      </c>
      <c r="H24" s="15" t="s">
        <v>495</v>
      </c>
      <c r="I24" s="15" t="s">
        <v>470</v>
      </c>
      <c r="J24" s="17" t="str">
        <f t="shared" si="0"/>
        <v>HỢP LỆ</v>
      </c>
      <c r="K24" s="17" t="str">
        <f>IF(A24="","",IF(COUNTIFS('02_KICH_BAN_NODES'!$B$5:$B$204,A24,'02_KICH_BAN_NODES'!$D$5:$D$204,"choice")=0,"ChoiceNodeId không tồn tại hoặc không phải choice",IF(COUNTIFS($A$5:$A$404,A24,$B$5:$B$404,B24)&gt;1,"Trùng OptionOrder trong cùng choice",IF(OR(B24="",C24="",D24="",F24="",H24=""),"Thiếu trường bắt buộc",IF(OR(COUNTIF($A$5:$A$404,A24)&lt;2,COUNTIF($A$5:$A$404,A24)&gt;4),"Mỗi choice cần 2–4 option",IF(COUNTIFS('02_KICH_BAN_NODES'!$B$5:$B$204,A24,'02_KICH_BAN_NODES'!$E$5:$E$204,"Kiến thức")=1,IF(COUNTIFS($A$5:$A$404,A24,$D$5:$D$404,"Có")&lt;&gt;1,"Choice kiến thức cần đúng 1 đáp án đúng",""),IF(COUNTIFS('02_KICH_BAN_NODES'!$B$5:$B$204,A24,'02_KICH_BAN_NODES'!$E$5:$E$204,"Tương tác")=1,IF(COUNTIFS($A$5:$A$404,A24,$D$5:$D$404,"Có")&lt;&gt;0,"Choice tương tác không được đánh dấu đáp án đúng",""),"Choice chưa chọn loại")))))))</f>
        <v/>
      </c>
    </row>
    <row r="25" spans="1:11" ht="39.6" customHeight="1">
      <c r="A25" s="16" t="s">
        <v>416</v>
      </c>
      <c r="B25" s="16">
        <v>1</v>
      </c>
      <c r="C25" s="15" t="s">
        <v>497</v>
      </c>
      <c r="D25" s="16" t="s">
        <v>96</v>
      </c>
      <c r="E25" s="16"/>
      <c r="F25" s="16" t="s">
        <v>218</v>
      </c>
      <c r="G25" s="16" t="s">
        <v>186</v>
      </c>
      <c r="H25" s="15" t="s">
        <v>498</v>
      </c>
      <c r="I25" s="15" t="s">
        <v>467</v>
      </c>
      <c r="J25" s="17" t="str">
        <f t="shared" si="0"/>
        <v>HỢP LỆ</v>
      </c>
      <c r="K25" s="17" t="str">
        <f>IF(A25="","",IF(COUNTIFS('02_KICH_BAN_NODES'!$B$5:$B$204,A25,'02_KICH_BAN_NODES'!$D$5:$D$204,"choice")=0,"ChoiceNodeId không tồn tại hoặc không phải choice",IF(COUNTIFS($A$5:$A$404,A25,$B$5:$B$404,B25)&gt;1,"Trùng OptionOrder trong cùng choice",IF(OR(B25="",C25="",D25="",F25="",H25=""),"Thiếu trường bắt buộc",IF(OR(COUNTIF($A$5:$A$404,A25)&lt;2,COUNTIF($A$5:$A$404,A25)&gt;4),"Mỗi choice cần 2–4 option",IF(COUNTIFS('02_KICH_BAN_NODES'!$B$5:$B$204,A25,'02_KICH_BAN_NODES'!$E$5:$E$204,"Kiến thức")=1,IF(COUNTIFS($A$5:$A$404,A25,$D$5:$D$404,"Có")&lt;&gt;1,"Choice kiến thức cần đúng 1 đáp án đúng",""),IF(COUNTIFS('02_KICH_BAN_NODES'!$B$5:$B$204,A25,'02_KICH_BAN_NODES'!$E$5:$E$204,"Tương tác")=1,IF(COUNTIFS($A$5:$A$404,A25,$D$5:$D$404,"Có")&lt;&gt;0,"Choice tương tác không được đánh dấu đáp án đúng",""),"Choice chưa chọn loại")))))))</f>
        <v/>
      </c>
    </row>
    <row r="26" spans="1:11" ht="26.45" customHeight="1">
      <c r="A26" s="16" t="s">
        <v>416</v>
      </c>
      <c r="B26" s="16">
        <v>2</v>
      </c>
      <c r="C26" s="15" t="s">
        <v>499</v>
      </c>
      <c r="D26" s="16" t="s">
        <v>127</v>
      </c>
      <c r="E26" s="16"/>
      <c r="F26" s="16" t="s">
        <v>218</v>
      </c>
      <c r="G26" s="16" t="s">
        <v>214</v>
      </c>
      <c r="H26" s="15" t="s">
        <v>500</v>
      </c>
      <c r="I26" s="15" t="s">
        <v>470</v>
      </c>
      <c r="J26" s="17" t="str">
        <f t="shared" si="0"/>
        <v>HỢP LỆ</v>
      </c>
      <c r="K26" s="17" t="str">
        <f>IF(A26="","",IF(COUNTIFS('02_KICH_BAN_NODES'!$B$5:$B$204,A26,'02_KICH_BAN_NODES'!$D$5:$D$204,"choice")=0,"ChoiceNodeId không tồn tại hoặc không phải choice",IF(COUNTIFS($A$5:$A$404,A26,$B$5:$B$404,B26)&gt;1,"Trùng OptionOrder trong cùng choice",IF(OR(B26="",C26="",D26="",F26="",H26=""),"Thiếu trường bắt buộc",IF(OR(COUNTIF($A$5:$A$404,A26)&lt;2,COUNTIF($A$5:$A$404,A26)&gt;4),"Mỗi choice cần 2–4 option",IF(COUNTIFS('02_KICH_BAN_NODES'!$B$5:$B$204,A26,'02_KICH_BAN_NODES'!$E$5:$E$204,"Kiến thức")=1,IF(COUNTIFS($A$5:$A$404,A26,$D$5:$D$404,"Có")&lt;&gt;1,"Choice kiến thức cần đúng 1 đáp án đúng",""),IF(COUNTIFS('02_KICH_BAN_NODES'!$B$5:$B$204,A26,'02_KICH_BAN_NODES'!$E$5:$E$204,"Tương tác")=1,IF(COUNTIFS($A$5:$A$404,A26,$D$5:$D$404,"Có")&lt;&gt;0,"Choice tương tác không được đánh dấu đáp án đúng",""),"Choice chưa chọn loại")))))))</f>
        <v/>
      </c>
    </row>
    <row r="27" spans="1:11" ht="26.45" customHeight="1">
      <c r="A27" s="16" t="s">
        <v>416</v>
      </c>
      <c r="B27" s="16">
        <v>3</v>
      </c>
      <c r="C27" s="15" t="s">
        <v>501</v>
      </c>
      <c r="D27" s="16" t="s">
        <v>127</v>
      </c>
      <c r="E27" s="16"/>
      <c r="F27" s="16" t="s">
        <v>218</v>
      </c>
      <c r="G27" s="16" t="s">
        <v>214</v>
      </c>
      <c r="H27" s="15" t="s">
        <v>500</v>
      </c>
      <c r="I27" s="15" t="s">
        <v>470</v>
      </c>
      <c r="J27" s="17" t="str">
        <f t="shared" si="0"/>
        <v>HỢP LỆ</v>
      </c>
      <c r="K27" s="17" t="str">
        <f>IF(A27="","",IF(COUNTIFS('02_KICH_BAN_NODES'!$B$5:$B$204,A27,'02_KICH_BAN_NODES'!$D$5:$D$204,"choice")=0,"ChoiceNodeId không tồn tại hoặc không phải choice",IF(COUNTIFS($A$5:$A$404,A27,$B$5:$B$404,B27)&gt;1,"Trùng OptionOrder trong cùng choice",IF(OR(B27="",C27="",D27="",F27="",H27=""),"Thiếu trường bắt buộc",IF(OR(COUNTIF($A$5:$A$404,A27)&lt;2,COUNTIF($A$5:$A$404,A27)&gt;4),"Mỗi choice cần 2–4 option",IF(COUNTIFS('02_KICH_BAN_NODES'!$B$5:$B$204,A27,'02_KICH_BAN_NODES'!$E$5:$E$204,"Kiến thức")=1,IF(COUNTIFS($A$5:$A$404,A27,$D$5:$D$404,"Có")&lt;&gt;1,"Choice kiến thức cần đúng 1 đáp án đúng",""),IF(COUNTIFS('02_KICH_BAN_NODES'!$B$5:$B$204,A27,'02_KICH_BAN_NODES'!$E$5:$E$204,"Tương tác")=1,IF(COUNTIFS($A$5:$A$404,A27,$D$5:$D$404,"Có")&lt;&gt;0,"Choice tương tác không được đánh dấu đáp án đúng",""),"Choice chưa chọn loại")))))))</f>
        <v/>
      </c>
    </row>
    <row r="28" spans="1:11" ht="26.45" customHeight="1">
      <c r="A28" s="16" t="s">
        <v>418</v>
      </c>
      <c r="B28" s="16">
        <v>1</v>
      </c>
      <c r="C28" s="15" t="s">
        <v>502</v>
      </c>
      <c r="D28" s="16" t="s">
        <v>96</v>
      </c>
      <c r="E28" s="16"/>
      <c r="F28" s="16" t="s">
        <v>201</v>
      </c>
      <c r="G28" s="16" t="s">
        <v>196</v>
      </c>
      <c r="H28" s="15" t="s">
        <v>503</v>
      </c>
      <c r="I28" s="15" t="s">
        <v>467</v>
      </c>
      <c r="J28" s="17" t="str">
        <f t="shared" si="0"/>
        <v>HỢP LỆ</v>
      </c>
      <c r="K28" s="17" t="str">
        <f>IF(A28="","",IF(COUNTIFS('02_KICH_BAN_NODES'!$B$5:$B$204,A28,'02_KICH_BAN_NODES'!$D$5:$D$204,"choice")=0,"ChoiceNodeId không tồn tại hoặc không phải choice",IF(COUNTIFS($A$5:$A$404,A28,$B$5:$B$404,B28)&gt;1,"Trùng OptionOrder trong cùng choice",IF(OR(B28="",C28="",D28="",F28="",H28=""),"Thiếu trường bắt buộc",IF(OR(COUNTIF($A$5:$A$404,A28)&lt;2,COUNTIF($A$5:$A$404,A28)&gt;4),"Mỗi choice cần 2–4 option",IF(COUNTIFS('02_KICH_BAN_NODES'!$B$5:$B$204,A28,'02_KICH_BAN_NODES'!$E$5:$E$204,"Kiến thức")=1,IF(COUNTIFS($A$5:$A$404,A28,$D$5:$D$404,"Có")&lt;&gt;1,"Choice kiến thức cần đúng 1 đáp án đúng",""),IF(COUNTIFS('02_KICH_BAN_NODES'!$B$5:$B$204,A28,'02_KICH_BAN_NODES'!$E$5:$E$204,"Tương tác")=1,IF(COUNTIFS($A$5:$A$404,A28,$D$5:$D$404,"Có")&lt;&gt;0,"Choice tương tác không được đánh dấu đáp án đúng",""),"Choice chưa chọn loại")))))))</f>
        <v/>
      </c>
    </row>
    <row r="29" spans="1:11" ht="26.45" customHeight="1">
      <c r="A29" s="16" t="s">
        <v>418</v>
      </c>
      <c r="B29" s="16">
        <v>2</v>
      </c>
      <c r="C29" s="15" t="s">
        <v>504</v>
      </c>
      <c r="D29" s="16" t="s">
        <v>127</v>
      </c>
      <c r="E29" s="16"/>
      <c r="F29" s="16" t="s">
        <v>201</v>
      </c>
      <c r="G29" s="16" t="s">
        <v>206</v>
      </c>
      <c r="H29" s="15" t="s">
        <v>505</v>
      </c>
      <c r="I29" s="15" t="s">
        <v>470</v>
      </c>
      <c r="J29" s="17" t="str">
        <f t="shared" si="0"/>
        <v>HỢP LỆ</v>
      </c>
      <c r="K29" s="17" t="str">
        <f>IF(A29="","",IF(COUNTIFS('02_KICH_BAN_NODES'!$B$5:$B$204,A29,'02_KICH_BAN_NODES'!$D$5:$D$204,"choice")=0,"ChoiceNodeId không tồn tại hoặc không phải choice",IF(COUNTIFS($A$5:$A$404,A29,$B$5:$B$404,B29)&gt;1,"Trùng OptionOrder trong cùng choice",IF(OR(B29="",C29="",D29="",F29="",H29=""),"Thiếu trường bắt buộc",IF(OR(COUNTIF($A$5:$A$404,A29)&lt;2,COUNTIF($A$5:$A$404,A29)&gt;4),"Mỗi choice cần 2–4 option",IF(COUNTIFS('02_KICH_BAN_NODES'!$B$5:$B$204,A29,'02_KICH_BAN_NODES'!$E$5:$E$204,"Kiến thức")=1,IF(COUNTIFS($A$5:$A$404,A29,$D$5:$D$404,"Có")&lt;&gt;1,"Choice kiến thức cần đúng 1 đáp án đúng",""),IF(COUNTIFS('02_KICH_BAN_NODES'!$B$5:$B$204,A29,'02_KICH_BAN_NODES'!$E$5:$E$204,"Tương tác")=1,IF(COUNTIFS($A$5:$A$404,A29,$D$5:$D$404,"Có")&lt;&gt;0,"Choice tương tác không được đánh dấu đáp án đúng",""),"Choice chưa chọn loại")))))))</f>
        <v/>
      </c>
    </row>
    <row r="30" spans="1:11" ht="26.45" customHeight="1">
      <c r="A30" s="16" t="s">
        <v>418</v>
      </c>
      <c r="B30" s="16">
        <v>3</v>
      </c>
      <c r="C30" s="15" t="s">
        <v>506</v>
      </c>
      <c r="D30" s="16" t="s">
        <v>127</v>
      </c>
      <c r="E30" s="16"/>
      <c r="F30" s="16" t="s">
        <v>201</v>
      </c>
      <c r="G30" s="16" t="s">
        <v>206</v>
      </c>
      <c r="H30" s="15" t="s">
        <v>505</v>
      </c>
      <c r="I30" s="15" t="s">
        <v>470</v>
      </c>
      <c r="J30" s="17" t="str">
        <f t="shared" si="0"/>
        <v>HỢP LỆ</v>
      </c>
      <c r="K30" s="17" t="str">
        <f>IF(A30="","",IF(COUNTIFS('02_KICH_BAN_NODES'!$B$5:$B$204,A30,'02_KICH_BAN_NODES'!$D$5:$D$204,"choice")=0,"ChoiceNodeId không tồn tại hoặc không phải choice",IF(COUNTIFS($A$5:$A$404,A30,$B$5:$B$404,B30)&gt;1,"Trùng OptionOrder trong cùng choice",IF(OR(B30="",C30="",D30="",F30="",H30=""),"Thiếu trường bắt buộc",IF(OR(COUNTIF($A$5:$A$404,A30)&lt;2,COUNTIF($A$5:$A$404,A30)&gt;4),"Mỗi choice cần 2–4 option",IF(COUNTIFS('02_KICH_BAN_NODES'!$B$5:$B$204,A30,'02_KICH_BAN_NODES'!$E$5:$E$204,"Kiến thức")=1,IF(COUNTIFS($A$5:$A$404,A30,$D$5:$D$404,"Có")&lt;&gt;1,"Choice kiến thức cần đúng 1 đáp án đúng",""),IF(COUNTIFS('02_KICH_BAN_NODES'!$B$5:$B$204,A30,'02_KICH_BAN_NODES'!$E$5:$E$204,"Tương tác")=1,IF(COUNTIFS($A$5:$A$404,A30,$D$5:$D$404,"Có")&lt;&gt;0,"Choice tương tác không được đánh dấu đáp án đúng",""),"Choice chưa chọn loại")))))))</f>
        <v/>
      </c>
    </row>
    <row r="31" spans="1:11" ht="26.45" customHeight="1">
      <c r="A31" s="16" t="s">
        <v>420</v>
      </c>
      <c r="B31" s="16">
        <v>1</v>
      </c>
      <c r="C31" s="15" t="s">
        <v>507</v>
      </c>
      <c r="D31" s="16" t="s">
        <v>96</v>
      </c>
      <c r="E31" s="16"/>
      <c r="F31" s="16" t="s">
        <v>211</v>
      </c>
      <c r="G31" s="16" t="s">
        <v>196</v>
      </c>
      <c r="H31" s="15" t="s">
        <v>508</v>
      </c>
      <c r="I31" s="15" t="s">
        <v>467</v>
      </c>
      <c r="J31" s="17" t="str">
        <f t="shared" si="0"/>
        <v>HỢP LỆ</v>
      </c>
      <c r="K31" s="17" t="str">
        <f>IF(A31="","",IF(COUNTIFS('02_KICH_BAN_NODES'!$B$5:$B$204,A31,'02_KICH_BAN_NODES'!$D$5:$D$204,"choice")=0,"ChoiceNodeId không tồn tại hoặc không phải choice",IF(COUNTIFS($A$5:$A$404,A31,$B$5:$B$404,B31)&gt;1,"Trùng OptionOrder trong cùng choice",IF(OR(B31="",C31="",D31="",F31="",H31=""),"Thiếu trường bắt buộc",IF(OR(COUNTIF($A$5:$A$404,A31)&lt;2,COUNTIF($A$5:$A$404,A31)&gt;4),"Mỗi choice cần 2–4 option",IF(COUNTIFS('02_KICH_BAN_NODES'!$B$5:$B$204,A31,'02_KICH_BAN_NODES'!$E$5:$E$204,"Kiến thức")=1,IF(COUNTIFS($A$5:$A$404,A31,$D$5:$D$404,"Có")&lt;&gt;1,"Choice kiến thức cần đúng 1 đáp án đúng",""),IF(COUNTIFS('02_KICH_BAN_NODES'!$B$5:$B$204,A31,'02_KICH_BAN_NODES'!$E$5:$E$204,"Tương tác")=1,IF(COUNTIFS($A$5:$A$404,A31,$D$5:$D$404,"Có")&lt;&gt;0,"Choice tương tác không được đánh dấu đáp án đúng",""),"Choice chưa chọn loại")))))))</f>
        <v/>
      </c>
    </row>
    <row r="32" spans="1:11" ht="26.45" customHeight="1">
      <c r="A32" s="16" t="s">
        <v>420</v>
      </c>
      <c r="B32" s="16">
        <v>2</v>
      </c>
      <c r="C32" s="15" t="s">
        <v>509</v>
      </c>
      <c r="D32" s="16" t="s">
        <v>127</v>
      </c>
      <c r="E32" s="16"/>
      <c r="F32" s="16" t="s">
        <v>211</v>
      </c>
      <c r="G32" s="16" t="s">
        <v>206</v>
      </c>
      <c r="H32" s="15" t="s">
        <v>510</v>
      </c>
      <c r="I32" s="15" t="s">
        <v>470</v>
      </c>
      <c r="J32" s="17" t="str">
        <f t="shared" si="0"/>
        <v>HỢP LỆ</v>
      </c>
      <c r="K32" s="17" t="str">
        <f>IF(A32="","",IF(COUNTIFS('02_KICH_BAN_NODES'!$B$5:$B$204,A32,'02_KICH_BAN_NODES'!$D$5:$D$204,"choice")=0,"ChoiceNodeId không tồn tại hoặc không phải choice",IF(COUNTIFS($A$5:$A$404,A32,$B$5:$B$404,B32)&gt;1,"Trùng OptionOrder trong cùng choice",IF(OR(B32="",C32="",D32="",F32="",H32=""),"Thiếu trường bắt buộc",IF(OR(COUNTIF($A$5:$A$404,A32)&lt;2,COUNTIF($A$5:$A$404,A32)&gt;4),"Mỗi choice cần 2–4 option",IF(COUNTIFS('02_KICH_BAN_NODES'!$B$5:$B$204,A32,'02_KICH_BAN_NODES'!$E$5:$E$204,"Kiến thức")=1,IF(COUNTIFS($A$5:$A$404,A32,$D$5:$D$404,"Có")&lt;&gt;1,"Choice kiến thức cần đúng 1 đáp án đúng",""),IF(COUNTIFS('02_KICH_BAN_NODES'!$B$5:$B$204,A32,'02_KICH_BAN_NODES'!$E$5:$E$204,"Tương tác")=1,IF(COUNTIFS($A$5:$A$404,A32,$D$5:$D$404,"Có")&lt;&gt;0,"Choice tương tác không được đánh dấu đáp án đúng",""),"Choice chưa chọn loại")))))))</f>
        <v/>
      </c>
    </row>
    <row r="33" spans="1:11" ht="26.45" customHeight="1">
      <c r="A33" s="16" t="s">
        <v>420</v>
      </c>
      <c r="B33" s="16">
        <v>3</v>
      </c>
      <c r="C33" s="15" t="s">
        <v>511</v>
      </c>
      <c r="D33" s="16" t="s">
        <v>127</v>
      </c>
      <c r="E33" s="16"/>
      <c r="F33" s="16" t="s">
        <v>211</v>
      </c>
      <c r="G33" s="16" t="s">
        <v>206</v>
      </c>
      <c r="H33" s="15" t="s">
        <v>510</v>
      </c>
      <c r="I33" s="15" t="s">
        <v>470</v>
      </c>
      <c r="J33" s="17" t="str">
        <f t="shared" si="0"/>
        <v>HỢP LỆ</v>
      </c>
      <c r="K33" s="17" t="str">
        <f>IF(A33="","",IF(COUNTIFS('02_KICH_BAN_NODES'!$B$5:$B$204,A33,'02_KICH_BAN_NODES'!$D$5:$D$204,"choice")=0,"ChoiceNodeId không tồn tại hoặc không phải choice",IF(COUNTIFS($A$5:$A$404,A33,$B$5:$B$404,B33)&gt;1,"Trùng OptionOrder trong cùng choice",IF(OR(B33="",C33="",D33="",F33="",H33=""),"Thiếu trường bắt buộc",IF(OR(COUNTIF($A$5:$A$404,A33)&lt;2,COUNTIF($A$5:$A$404,A33)&gt;4),"Mỗi choice cần 2–4 option",IF(COUNTIFS('02_KICH_BAN_NODES'!$B$5:$B$204,A33,'02_KICH_BAN_NODES'!$E$5:$E$204,"Kiến thức")=1,IF(COUNTIFS($A$5:$A$404,A33,$D$5:$D$404,"Có")&lt;&gt;1,"Choice kiến thức cần đúng 1 đáp án đúng",""),IF(COUNTIFS('02_KICH_BAN_NODES'!$B$5:$B$204,A33,'02_KICH_BAN_NODES'!$E$5:$E$204,"Tương tác")=1,IF(COUNTIFS($A$5:$A$404,A33,$D$5:$D$404,"Có")&lt;&gt;0,"Choice tương tác không được đánh dấu đáp án đúng",""),"Choice chưa chọn loại")))))))</f>
        <v/>
      </c>
    </row>
    <row r="34" spans="1:11" ht="39.6" customHeight="1">
      <c r="A34" s="16" t="s">
        <v>422</v>
      </c>
      <c r="B34" s="16">
        <v>1</v>
      </c>
      <c r="C34" s="15" t="s">
        <v>512</v>
      </c>
      <c r="D34" s="16" t="s">
        <v>96</v>
      </c>
      <c r="E34" s="16"/>
      <c r="F34" s="16" t="s">
        <v>218</v>
      </c>
      <c r="G34" s="16" t="s">
        <v>186</v>
      </c>
      <c r="H34" s="15" t="s">
        <v>513</v>
      </c>
      <c r="I34" s="15" t="s">
        <v>467</v>
      </c>
      <c r="J34" s="17" t="str">
        <f t="shared" si="0"/>
        <v>HỢP LỆ</v>
      </c>
      <c r="K34" s="17" t="str">
        <f>IF(A34="","",IF(COUNTIFS('02_KICH_BAN_NODES'!$B$5:$B$204,A34,'02_KICH_BAN_NODES'!$D$5:$D$204,"choice")=0,"ChoiceNodeId không tồn tại hoặc không phải choice",IF(COUNTIFS($A$5:$A$404,A34,$B$5:$B$404,B34)&gt;1,"Trùng OptionOrder trong cùng choice",IF(OR(B34="",C34="",D34="",F34="",H34=""),"Thiếu trường bắt buộc",IF(OR(COUNTIF($A$5:$A$404,A34)&lt;2,COUNTIF($A$5:$A$404,A34)&gt;4),"Mỗi choice cần 2–4 option",IF(COUNTIFS('02_KICH_BAN_NODES'!$B$5:$B$204,A34,'02_KICH_BAN_NODES'!$E$5:$E$204,"Kiến thức")=1,IF(COUNTIFS($A$5:$A$404,A34,$D$5:$D$404,"Có")&lt;&gt;1,"Choice kiến thức cần đúng 1 đáp án đúng",""),IF(COUNTIFS('02_KICH_BAN_NODES'!$B$5:$B$204,A34,'02_KICH_BAN_NODES'!$E$5:$E$204,"Tương tác")=1,IF(COUNTIFS($A$5:$A$404,A34,$D$5:$D$404,"Có")&lt;&gt;0,"Choice tương tác không được đánh dấu đáp án đúng",""),"Choice chưa chọn loại")))))))</f>
        <v/>
      </c>
    </row>
    <row r="35" spans="1:11" ht="26.45" customHeight="1">
      <c r="A35" s="16" t="s">
        <v>422</v>
      </c>
      <c r="B35" s="16">
        <v>2</v>
      </c>
      <c r="C35" s="15" t="s">
        <v>514</v>
      </c>
      <c r="D35" s="16" t="s">
        <v>127</v>
      </c>
      <c r="E35" s="16"/>
      <c r="F35" s="16" t="s">
        <v>218</v>
      </c>
      <c r="G35" s="16" t="s">
        <v>214</v>
      </c>
      <c r="H35" s="15" t="s">
        <v>515</v>
      </c>
      <c r="I35" s="15" t="s">
        <v>470</v>
      </c>
      <c r="J35" s="17" t="str">
        <f t="shared" si="0"/>
        <v>HỢP LỆ</v>
      </c>
      <c r="K35" s="17" t="str">
        <f>IF(A35="","",IF(COUNTIFS('02_KICH_BAN_NODES'!$B$5:$B$204,A35,'02_KICH_BAN_NODES'!$D$5:$D$204,"choice")=0,"ChoiceNodeId không tồn tại hoặc không phải choice",IF(COUNTIFS($A$5:$A$404,A35,$B$5:$B$404,B35)&gt;1,"Trùng OptionOrder trong cùng choice",IF(OR(B35="",C35="",D35="",F35="",H35=""),"Thiếu trường bắt buộc",IF(OR(COUNTIF($A$5:$A$404,A35)&lt;2,COUNTIF($A$5:$A$404,A35)&gt;4),"Mỗi choice cần 2–4 option",IF(COUNTIFS('02_KICH_BAN_NODES'!$B$5:$B$204,A35,'02_KICH_BAN_NODES'!$E$5:$E$204,"Kiến thức")=1,IF(COUNTIFS($A$5:$A$404,A35,$D$5:$D$404,"Có")&lt;&gt;1,"Choice kiến thức cần đúng 1 đáp án đúng",""),IF(COUNTIFS('02_KICH_BAN_NODES'!$B$5:$B$204,A35,'02_KICH_BAN_NODES'!$E$5:$E$204,"Tương tác")=1,IF(COUNTIFS($A$5:$A$404,A35,$D$5:$D$404,"Có")&lt;&gt;0,"Choice tương tác không được đánh dấu đáp án đúng",""),"Choice chưa chọn loại")))))))</f>
        <v/>
      </c>
    </row>
    <row r="36" spans="1:11" ht="26.45" customHeight="1">
      <c r="A36" s="16" t="s">
        <v>422</v>
      </c>
      <c r="B36" s="16">
        <v>3</v>
      </c>
      <c r="C36" s="15" t="s">
        <v>516</v>
      </c>
      <c r="D36" s="16" t="s">
        <v>127</v>
      </c>
      <c r="E36" s="16"/>
      <c r="F36" s="16" t="s">
        <v>218</v>
      </c>
      <c r="G36" s="16" t="s">
        <v>214</v>
      </c>
      <c r="H36" s="15" t="s">
        <v>515</v>
      </c>
      <c r="I36" s="15" t="s">
        <v>470</v>
      </c>
      <c r="J36" s="17" t="str">
        <f t="shared" si="0"/>
        <v>HỢP LỆ</v>
      </c>
      <c r="K36" s="17" t="str">
        <f>IF(A36="","",IF(COUNTIFS('02_KICH_BAN_NODES'!$B$5:$B$204,A36,'02_KICH_BAN_NODES'!$D$5:$D$204,"choice")=0,"ChoiceNodeId không tồn tại hoặc không phải choice",IF(COUNTIFS($A$5:$A$404,A36,$B$5:$B$404,B36)&gt;1,"Trùng OptionOrder trong cùng choice",IF(OR(B36="",C36="",D36="",F36="",H36=""),"Thiếu trường bắt buộc",IF(OR(COUNTIF($A$5:$A$404,A36)&lt;2,COUNTIF($A$5:$A$404,A36)&gt;4),"Mỗi choice cần 2–4 option",IF(COUNTIFS('02_KICH_BAN_NODES'!$B$5:$B$204,A36,'02_KICH_BAN_NODES'!$E$5:$E$204,"Kiến thức")=1,IF(COUNTIFS($A$5:$A$404,A36,$D$5:$D$404,"Có")&lt;&gt;1,"Choice kiến thức cần đúng 1 đáp án đúng",""),IF(COUNTIFS('02_KICH_BAN_NODES'!$B$5:$B$204,A36,'02_KICH_BAN_NODES'!$E$5:$E$204,"Tương tác")=1,IF(COUNTIFS($A$5:$A$404,A36,$D$5:$D$404,"Có")&lt;&gt;0,"Choice tương tác không được đánh dấu đáp án đúng",""),"Choice chưa chọn loại")))))))</f>
        <v/>
      </c>
    </row>
    <row r="37" spans="1:11" ht="26.45" customHeight="1">
      <c r="A37" s="16" t="s">
        <v>424</v>
      </c>
      <c r="B37" s="16">
        <v>1</v>
      </c>
      <c r="C37" s="15" t="s">
        <v>517</v>
      </c>
      <c r="D37" s="16" t="s">
        <v>96</v>
      </c>
      <c r="E37" s="16"/>
      <c r="F37" s="16" t="s">
        <v>201</v>
      </c>
      <c r="G37" s="16" t="s">
        <v>196</v>
      </c>
      <c r="H37" s="15" t="s">
        <v>518</v>
      </c>
      <c r="I37" s="15" t="s">
        <v>467</v>
      </c>
      <c r="J37" s="17" t="str">
        <f t="shared" si="0"/>
        <v>HỢP LỆ</v>
      </c>
      <c r="K37" s="17" t="str">
        <f>IF(A37="","",IF(COUNTIFS('02_KICH_BAN_NODES'!$B$5:$B$204,A37,'02_KICH_BAN_NODES'!$D$5:$D$204,"choice")=0,"ChoiceNodeId không tồn tại hoặc không phải choice",IF(COUNTIFS($A$5:$A$404,A37,$B$5:$B$404,B37)&gt;1,"Trùng OptionOrder trong cùng choice",IF(OR(B37="",C37="",D37="",F37="",H37=""),"Thiếu trường bắt buộc",IF(OR(COUNTIF($A$5:$A$404,A37)&lt;2,COUNTIF($A$5:$A$404,A37)&gt;4),"Mỗi choice cần 2–4 option",IF(COUNTIFS('02_KICH_BAN_NODES'!$B$5:$B$204,A37,'02_KICH_BAN_NODES'!$E$5:$E$204,"Kiến thức")=1,IF(COUNTIFS($A$5:$A$404,A37,$D$5:$D$404,"Có")&lt;&gt;1,"Choice kiến thức cần đúng 1 đáp án đúng",""),IF(COUNTIFS('02_KICH_BAN_NODES'!$B$5:$B$204,A37,'02_KICH_BAN_NODES'!$E$5:$E$204,"Tương tác")=1,IF(COUNTIFS($A$5:$A$404,A37,$D$5:$D$404,"Có")&lt;&gt;0,"Choice tương tác không được đánh dấu đáp án đúng",""),"Choice chưa chọn loại")))))))</f>
        <v/>
      </c>
    </row>
    <row r="38" spans="1:11" ht="26.45" customHeight="1">
      <c r="A38" s="16" t="s">
        <v>424</v>
      </c>
      <c r="B38" s="16">
        <v>2</v>
      </c>
      <c r="C38" s="15" t="s">
        <v>519</v>
      </c>
      <c r="D38" s="16" t="s">
        <v>127</v>
      </c>
      <c r="E38" s="16"/>
      <c r="F38" s="16" t="s">
        <v>201</v>
      </c>
      <c r="G38" s="16" t="s">
        <v>206</v>
      </c>
      <c r="H38" s="15" t="s">
        <v>520</v>
      </c>
      <c r="I38" s="15" t="s">
        <v>470</v>
      </c>
      <c r="J38" s="17" t="str">
        <f t="shared" si="0"/>
        <v>HỢP LỆ</v>
      </c>
      <c r="K38" s="17" t="str">
        <f>IF(A38="","",IF(COUNTIFS('02_KICH_BAN_NODES'!$B$5:$B$204,A38,'02_KICH_BAN_NODES'!$D$5:$D$204,"choice")=0,"ChoiceNodeId không tồn tại hoặc không phải choice",IF(COUNTIFS($A$5:$A$404,A38,$B$5:$B$404,B38)&gt;1,"Trùng OptionOrder trong cùng choice",IF(OR(B38="",C38="",D38="",F38="",H38=""),"Thiếu trường bắt buộc",IF(OR(COUNTIF($A$5:$A$404,A38)&lt;2,COUNTIF($A$5:$A$404,A38)&gt;4),"Mỗi choice cần 2–4 option",IF(COUNTIFS('02_KICH_BAN_NODES'!$B$5:$B$204,A38,'02_KICH_BAN_NODES'!$E$5:$E$204,"Kiến thức")=1,IF(COUNTIFS($A$5:$A$404,A38,$D$5:$D$404,"Có")&lt;&gt;1,"Choice kiến thức cần đúng 1 đáp án đúng",""),IF(COUNTIFS('02_KICH_BAN_NODES'!$B$5:$B$204,A38,'02_KICH_BAN_NODES'!$E$5:$E$204,"Tương tác")=1,IF(COUNTIFS($A$5:$A$404,A38,$D$5:$D$404,"Có")&lt;&gt;0,"Choice tương tác không được đánh dấu đáp án đúng",""),"Choice chưa chọn loại")))))))</f>
        <v/>
      </c>
    </row>
    <row r="39" spans="1:11" ht="26.45" customHeight="1">
      <c r="A39" s="16" t="s">
        <v>424</v>
      </c>
      <c r="B39" s="16">
        <v>3</v>
      </c>
      <c r="C39" s="15" t="s">
        <v>521</v>
      </c>
      <c r="D39" s="16" t="s">
        <v>127</v>
      </c>
      <c r="E39" s="16"/>
      <c r="F39" s="16" t="s">
        <v>201</v>
      </c>
      <c r="G39" s="16" t="s">
        <v>206</v>
      </c>
      <c r="H39" s="15" t="s">
        <v>520</v>
      </c>
      <c r="I39" s="15" t="s">
        <v>470</v>
      </c>
      <c r="J39" s="17" t="str">
        <f t="shared" si="0"/>
        <v>HỢP LỆ</v>
      </c>
      <c r="K39" s="17" t="str">
        <f>IF(A39="","",IF(COUNTIFS('02_KICH_BAN_NODES'!$B$5:$B$204,A39,'02_KICH_BAN_NODES'!$D$5:$D$204,"choice")=0,"ChoiceNodeId không tồn tại hoặc không phải choice",IF(COUNTIFS($A$5:$A$404,A39,$B$5:$B$404,B39)&gt;1,"Trùng OptionOrder trong cùng choice",IF(OR(B39="",C39="",D39="",F39="",H39=""),"Thiếu trường bắt buộc",IF(OR(COUNTIF($A$5:$A$404,A39)&lt;2,COUNTIF($A$5:$A$404,A39)&gt;4),"Mỗi choice cần 2–4 option",IF(COUNTIFS('02_KICH_BAN_NODES'!$B$5:$B$204,A39,'02_KICH_BAN_NODES'!$E$5:$E$204,"Kiến thức")=1,IF(COUNTIFS($A$5:$A$404,A39,$D$5:$D$404,"Có")&lt;&gt;1,"Choice kiến thức cần đúng 1 đáp án đúng",""),IF(COUNTIFS('02_KICH_BAN_NODES'!$B$5:$B$204,A39,'02_KICH_BAN_NODES'!$E$5:$E$204,"Tương tác")=1,IF(COUNTIFS($A$5:$A$404,A39,$D$5:$D$404,"Có")&lt;&gt;0,"Choice tương tác không được đánh dấu đáp án đúng",""),"Choice chưa chọn loại")))))))</f>
        <v/>
      </c>
    </row>
    <row r="40" spans="1:11" ht="26.45" customHeight="1">
      <c r="A40" s="16" t="s">
        <v>426</v>
      </c>
      <c r="B40" s="16">
        <v>1</v>
      </c>
      <c r="C40" s="15" t="s">
        <v>522</v>
      </c>
      <c r="D40" s="16" t="s">
        <v>96</v>
      </c>
      <c r="E40" s="16"/>
      <c r="F40" s="16" t="s">
        <v>224</v>
      </c>
      <c r="G40" s="16" t="s">
        <v>196</v>
      </c>
      <c r="H40" s="15" t="s">
        <v>523</v>
      </c>
      <c r="I40" s="15" t="s">
        <v>467</v>
      </c>
      <c r="J40" s="17" t="str">
        <f t="shared" si="0"/>
        <v>HỢP LỆ</v>
      </c>
      <c r="K40" s="17" t="str">
        <f>IF(A40="","",IF(COUNTIFS('02_KICH_BAN_NODES'!$B$5:$B$204,A40,'02_KICH_BAN_NODES'!$D$5:$D$204,"choice")=0,"ChoiceNodeId không tồn tại hoặc không phải choice",IF(COUNTIFS($A$5:$A$404,A40,$B$5:$B$404,B40)&gt;1,"Trùng OptionOrder trong cùng choice",IF(OR(B40="",C40="",D40="",F40="",H40=""),"Thiếu trường bắt buộc",IF(OR(COUNTIF($A$5:$A$404,A40)&lt;2,COUNTIF($A$5:$A$404,A40)&gt;4),"Mỗi choice cần 2–4 option",IF(COUNTIFS('02_KICH_BAN_NODES'!$B$5:$B$204,A40,'02_KICH_BAN_NODES'!$E$5:$E$204,"Kiến thức")=1,IF(COUNTIFS($A$5:$A$404,A40,$D$5:$D$404,"Có")&lt;&gt;1,"Choice kiến thức cần đúng 1 đáp án đúng",""),IF(COUNTIFS('02_KICH_BAN_NODES'!$B$5:$B$204,A40,'02_KICH_BAN_NODES'!$E$5:$E$204,"Tương tác")=1,IF(COUNTIFS($A$5:$A$404,A40,$D$5:$D$404,"Có")&lt;&gt;0,"Choice tương tác không được đánh dấu đáp án đúng",""),"Choice chưa chọn loại")))))))</f>
        <v/>
      </c>
    </row>
    <row r="41" spans="1:11" ht="15" customHeight="1">
      <c r="A41" s="16" t="s">
        <v>426</v>
      </c>
      <c r="B41" s="16">
        <v>2</v>
      </c>
      <c r="C41" s="15" t="s">
        <v>524</v>
      </c>
      <c r="D41" s="16" t="s">
        <v>127</v>
      </c>
      <c r="E41" s="16"/>
      <c r="F41" s="16" t="s">
        <v>224</v>
      </c>
      <c r="G41" s="16" t="s">
        <v>206</v>
      </c>
      <c r="H41" s="15" t="s">
        <v>525</v>
      </c>
      <c r="I41" s="15" t="s">
        <v>470</v>
      </c>
      <c r="J41" s="17" t="str">
        <f t="shared" si="0"/>
        <v>HỢP LỆ</v>
      </c>
      <c r="K41" s="17" t="str">
        <f>IF(A41="","",IF(COUNTIFS('02_KICH_BAN_NODES'!$B$5:$B$204,A41,'02_KICH_BAN_NODES'!$D$5:$D$204,"choice")=0,"ChoiceNodeId không tồn tại hoặc không phải choice",IF(COUNTIFS($A$5:$A$404,A41,$B$5:$B$404,B41)&gt;1,"Trùng OptionOrder trong cùng choice",IF(OR(B41="",C41="",D41="",F41="",H41=""),"Thiếu trường bắt buộc",IF(OR(COUNTIF($A$5:$A$404,A41)&lt;2,COUNTIF($A$5:$A$404,A41)&gt;4),"Mỗi choice cần 2–4 option",IF(COUNTIFS('02_KICH_BAN_NODES'!$B$5:$B$204,A41,'02_KICH_BAN_NODES'!$E$5:$E$204,"Kiến thức")=1,IF(COUNTIFS($A$5:$A$404,A41,$D$5:$D$404,"Có")&lt;&gt;1,"Choice kiến thức cần đúng 1 đáp án đúng",""),IF(COUNTIFS('02_KICH_BAN_NODES'!$B$5:$B$204,A41,'02_KICH_BAN_NODES'!$E$5:$E$204,"Tương tác")=1,IF(COUNTIFS($A$5:$A$404,A41,$D$5:$D$404,"Có")&lt;&gt;0,"Choice tương tác không được đánh dấu đáp án đúng",""),"Choice chưa chọn loại")))))))</f>
        <v/>
      </c>
    </row>
    <row r="42" spans="1:11" ht="15" customHeight="1">
      <c r="A42" s="16" t="s">
        <v>426</v>
      </c>
      <c r="B42" s="16">
        <v>3</v>
      </c>
      <c r="C42" s="15" t="s">
        <v>526</v>
      </c>
      <c r="D42" s="16" t="s">
        <v>127</v>
      </c>
      <c r="E42" s="16"/>
      <c r="F42" s="16" t="s">
        <v>224</v>
      </c>
      <c r="G42" s="16" t="s">
        <v>206</v>
      </c>
      <c r="H42" s="15" t="s">
        <v>525</v>
      </c>
      <c r="I42" s="15" t="s">
        <v>470</v>
      </c>
      <c r="J42" s="17" t="str">
        <f t="shared" si="0"/>
        <v>HỢP LỆ</v>
      </c>
      <c r="K42" s="17" t="str">
        <f>IF(A42="","",IF(COUNTIFS('02_KICH_BAN_NODES'!$B$5:$B$204,A42,'02_KICH_BAN_NODES'!$D$5:$D$204,"choice")=0,"ChoiceNodeId không tồn tại hoặc không phải choice",IF(COUNTIFS($A$5:$A$404,A42,$B$5:$B$404,B42)&gt;1,"Trùng OptionOrder trong cùng choice",IF(OR(B42="",C42="",D42="",F42="",H42=""),"Thiếu trường bắt buộc",IF(OR(COUNTIF($A$5:$A$404,A42)&lt;2,COUNTIF($A$5:$A$404,A42)&gt;4),"Mỗi choice cần 2–4 option",IF(COUNTIFS('02_KICH_BAN_NODES'!$B$5:$B$204,A42,'02_KICH_BAN_NODES'!$E$5:$E$204,"Kiến thức")=1,IF(COUNTIFS($A$5:$A$404,A42,$D$5:$D$404,"Có")&lt;&gt;1,"Choice kiến thức cần đúng 1 đáp án đúng",""),IF(COUNTIFS('02_KICH_BAN_NODES'!$B$5:$B$204,A42,'02_KICH_BAN_NODES'!$E$5:$E$204,"Tương tác")=1,IF(COUNTIFS($A$5:$A$404,A42,$D$5:$D$404,"Có")&lt;&gt;0,"Choice tương tác không được đánh dấu đáp án đúng",""),"Choice chưa chọn loại")))))))</f>
        <v/>
      </c>
    </row>
    <row r="43" spans="1:11" ht="39.6" customHeight="1">
      <c r="A43" s="16" t="s">
        <v>438</v>
      </c>
      <c r="B43" s="16">
        <v>1</v>
      </c>
      <c r="C43" s="15" t="s">
        <v>527</v>
      </c>
      <c r="D43" s="16" t="s">
        <v>96</v>
      </c>
      <c r="E43" s="16"/>
      <c r="F43" s="16" t="s">
        <v>201</v>
      </c>
      <c r="G43" s="16" t="s">
        <v>196</v>
      </c>
      <c r="H43" s="15" t="s">
        <v>528</v>
      </c>
      <c r="I43" s="15" t="s">
        <v>467</v>
      </c>
      <c r="J43" s="17" t="str">
        <f t="shared" si="0"/>
        <v>HỢP LỆ</v>
      </c>
      <c r="K43" s="17" t="str">
        <f>IF(A43="","",IF(COUNTIFS('02_KICH_BAN_NODES'!$B$5:$B$204,A43,'02_KICH_BAN_NODES'!$D$5:$D$204,"choice")=0,"ChoiceNodeId không tồn tại hoặc không phải choice",IF(COUNTIFS($A$5:$A$404,A43,$B$5:$B$404,B43)&gt;1,"Trùng OptionOrder trong cùng choice",IF(OR(B43="",C43="",D43="",F43="",H43=""),"Thiếu trường bắt buộc",IF(OR(COUNTIF($A$5:$A$404,A43)&lt;2,COUNTIF($A$5:$A$404,A43)&gt;4),"Mỗi choice cần 2–4 option",IF(COUNTIFS('02_KICH_BAN_NODES'!$B$5:$B$204,A43,'02_KICH_BAN_NODES'!$E$5:$E$204,"Kiến thức")=1,IF(COUNTIFS($A$5:$A$404,A43,$D$5:$D$404,"Có")&lt;&gt;1,"Choice kiến thức cần đúng 1 đáp án đúng",""),IF(COUNTIFS('02_KICH_BAN_NODES'!$B$5:$B$204,A43,'02_KICH_BAN_NODES'!$E$5:$E$204,"Tương tác")=1,IF(COUNTIFS($A$5:$A$404,A43,$D$5:$D$404,"Có")&lt;&gt;0,"Choice tương tác không được đánh dấu đáp án đúng",""),"Choice chưa chọn loại")))))))</f>
        <v/>
      </c>
    </row>
    <row r="44" spans="1:11" ht="26.45" customHeight="1">
      <c r="A44" s="16" t="s">
        <v>438</v>
      </c>
      <c r="B44" s="16">
        <v>2</v>
      </c>
      <c r="C44" s="15" t="s">
        <v>529</v>
      </c>
      <c r="D44" s="16" t="s">
        <v>127</v>
      </c>
      <c r="E44" s="16"/>
      <c r="F44" s="16" t="s">
        <v>201</v>
      </c>
      <c r="G44" s="16" t="s">
        <v>206</v>
      </c>
      <c r="H44" s="15" t="s">
        <v>530</v>
      </c>
      <c r="I44" s="15" t="s">
        <v>470</v>
      </c>
      <c r="J44" s="17" t="str">
        <f t="shared" si="0"/>
        <v>HỢP LỆ</v>
      </c>
      <c r="K44" s="17" t="str">
        <f>IF(A44="","",IF(COUNTIFS('02_KICH_BAN_NODES'!$B$5:$B$204,A44,'02_KICH_BAN_NODES'!$D$5:$D$204,"choice")=0,"ChoiceNodeId không tồn tại hoặc không phải choice",IF(COUNTIFS($A$5:$A$404,A44,$B$5:$B$404,B44)&gt;1,"Trùng OptionOrder trong cùng choice",IF(OR(B44="",C44="",D44="",F44="",H44=""),"Thiếu trường bắt buộc",IF(OR(COUNTIF($A$5:$A$404,A44)&lt;2,COUNTIF($A$5:$A$404,A44)&gt;4),"Mỗi choice cần 2–4 option",IF(COUNTIFS('02_KICH_BAN_NODES'!$B$5:$B$204,A44,'02_KICH_BAN_NODES'!$E$5:$E$204,"Kiến thức")=1,IF(COUNTIFS($A$5:$A$404,A44,$D$5:$D$404,"Có")&lt;&gt;1,"Choice kiến thức cần đúng 1 đáp án đúng",""),IF(COUNTIFS('02_KICH_BAN_NODES'!$B$5:$B$204,A44,'02_KICH_BAN_NODES'!$E$5:$E$204,"Tương tác")=1,IF(COUNTIFS($A$5:$A$404,A44,$D$5:$D$404,"Có")&lt;&gt;0,"Choice tương tác không được đánh dấu đáp án đúng",""),"Choice chưa chọn loại")))))))</f>
        <v/>
      </c>
    </row>
    <row r="45" spans="1:11" ht="26.45" customHeight="1">
      <c r="A45" s="16" t="s">
        <v>438</v>
      </c>
      <c r="B45" s="16">
        <v>3</v>
      </c>
      <c r="C45" s="15" t="s">
        <v>531</v>
      </c>
      <c r="D45" s="16" t="s">
        <v>127</v>
      </c>
      <c r="E45" s="16"/>
      <c r="F45" s="16" t="s">
        <v>201</v>
      </c>
      <c r="G45" s="16" t="s">
        <v>206</v>
      </c>
      <c r="H45" s="15" t="s">
        <v>530</v>
      </c>
      <c r="I45" s="15" t="s">
        <v>470</v>
      </c>
      <c r="J45" s="17" t="str">
        <f t="shared" si="0"/>
        <v>HỢP LỆ</v>
      </c>
      <c r="K45" s="17" t="str">
        <f>IF(A45="","",IF(COUNTIFS('02_KICH_BAN_NODES'!$B$5:$B$204,A45,'02_KICH_BAN_NODES'!$D$5:$D$204,"choice")=0,"ChoiceNodeId không tồn tại hoặc không phải choice",IF(COUNTIFS($A$5:$A$404,A45,$B$5:$B$404,B45)&gt;1,"Trùng OptionOrder trong cùng choice",IF(OR(B45="",C45="",D45="",F45="",H45=""),"Thiếu trường bắt buộc",IF(OR(COUNTIF($A$5:$A$404,A45)&lt;2,COUNTIF($A$5:$A$404,A45)&gt;4),"Mỗi choice cần 2–4 option",IF(COUNTIFS('02_KICH_BAN_NODES'!$B$5:$B$204,A45,'02_KICH_BAN_NODES'!$E$5:$E$204,"Kiến thức")=1,IF(COUNTIFS($A$5:$A$404,A45,$D$5:$D$404,"Có")&lt;&gt;1,"Choice kiến thức cần đúng 1 đáp án đúng",""),IF(COUNTIFS('02_KICH_BAN_NODES'!$B$5:$B$204,A45,'02_KICH_BAN_NODES'!$E$5:$E$204,"Tương tác")=1,IF(COUNTIFS($A$5:$A$404,A45,$D$5:$D$404,"Có")&lt;&gt;0,"Choice tương tác không được đánh dấu đáp án đúng",""),"Choice chưa chọn loại")))))))</f>
        <v/>
      </c>
    </row>
    <row r="46" spans="1:11" ht="26.45" customHeight="1">
      <c r="A46" s="16" t="s">
        <v>440</v>
      </c>
      <c r="B46" s="16">
        <v>1</v>
      </c>
      <c r="C46" s="15" t="s">
        <v>532</v>
      </c>
      <c r="D46" s="16" t="s">
        <v>96</v>
      </c>
      <c r="E46" s="16"/>
      <c r="F46" s="16" t="s">
        <v>218</v>
      </c>
      <c r="G46" s="16" t="s">
        <v>186</v>
      </c>
      <c r="H46" s="15" t="s">
        <v>533</v>
      </c>
      <c r="I46" s="15" t="s">
        <v>467</v>
      </c>
      <c r="J46" s="17" t="str">
        <f t="shared" si="0"/>
        <v>HỢP LỆ</v>
      </c>
      <c r="K46" s="17" t="str">
        <f>IF(A46="","",IF(COUNTIFS('02_KICH_BAN_NODES'!$B$5:$B$204,A46,'02_KICH_BAN_NODES'!$D$5:$D$204,"choice")=0,"ChoiceNodeId không tồn tại hoặc không phải choice",IF(COUNTIFS($A$5:$A$404,A46,$B$5:$B$404,B46)&gt;1,"Trùng OptionOrder trong cùng choice",IF(OR(B46="",C46="",D46="",F46="",H46=""),"Thiếu trường bắt buộc",IF(OR(COUNTIF($A$5:$A$404,A46)&lt;2,COUNTIF($A$5:$A$404,A46)&gt;4),"Mỗi choice cần 2–4 option",IF(COUNTIFS('02_KICH_BAN_NODES'!$B$5:$B$204,A46,'02_KICH_BAN_NODES'!$E$5:$E$204,"Kiến thức")=1,IF(COUNTIFS($A$5:$A$404,A46,$D$5:$D$404,"Có")&lt;&gt;1,"Choice kiến thức cần đúng 1 đáp án đúng",""),IF(COUNTIFS('02_KICH_BAN_NODES'!$B$5:$B$204,A46,'02_KICH_BAN_NODES'!$E$5:$E$204,"Tương tác")=1,IF(COUNTIFS($A$5:$A$404,A46,$D$5:$D$404,"Có")&lt;&gt;0,"Choice tương tác không được đánh dấu đáp án đúng",""),"Choice chưa chọn loại")))))))</f>
        <v/>
      </c>
    </row>
    <row r="47" spans="1:11" ht="15" customHeight="1">
      <c r="A47" s="16" t="s">
        <v>440</v>
      </c>
      <c r="B47" s="16">
        <v>2</v>
      </c>
      <c r="C47" s="15" t="s">
        <v>534</v>
      </c>
      <c r="D47" s="16" t="s">
        <v>127</v>
      </c>
      <c r="E47" s="16"/>
      <c r="F47" s="16" t="s">
        <v>218</v>
      </c>
      <c r="G47" s="16" t="s">
        <v>214</v>
      </c>
      <c r="H47" s="15" t="s">
        <v>535</v>
      </c>
      <c r="I47" s="15" t="s">
        <v>470</v>
      </c>
      <c r="J47" s="17" t="str">
        <f t="shared" si="0"/>
        <v>HỢP LỆ</v>
      </c>
      <c r="K47" s="17" t="str">
        <f>IF(A47="","",IF(COUNTIFS('02_KICH_BAN_NODES'!$B$5:$B$204,A47,'02_KICH_BAN_NODES'!$D$5:$D$204,"choice")=0,"ChoiceNodeId không tồn tại hoặc không phải choice",IF(COUNTIFS($A$5:$A$404,A47,$B$5:$B$404,B47)&gt;1,"Trùng OptionOrder trong cùng choice",IF(OR(B47="",C47="",D47="",F47="",H47=""),"Thiếu trường bắt buộc",IF(OR(COUNTIF($A$5:$A$404,A47)&lt;2,COUNTIF($A$5:$A$404,A47)&gt;4),"Mỗi choice cần 2–4 option",IF(COUNTIFS('02_KICH_BAN_NODES'!$B$5:$B$204,A47,'02_KICH_BAN_NODES'!$E$5:$E$204,"Kiến thức")=1,IF(COUNTIFS($A$5:$A$404,A47,$D$5:$D$404,"Có")&lt;&gt;1,"Choice kiến thức cần đúng 1 đáp án đúng",""),IF(COUNTIFS('02_KICH_BAN_NODES'!$B$5:$B$204,A47,'02_KICH_BAN_NODES'!$E$5:$E$204,"Tương tác")=1,IF(COUNTIFS($A$5:$A$404,A47,$D$5:$D$404,"Có")&lt;&gt;0,"Choice tương tác không được đánh dấu đáp án đúng",""),"Choice chưa chọn loại")))))))</f>
        <v/>
      </c>
    </row>
    <row r="48" spans="1:11" ht="15" customHeight="1">
      <c r="A48" s="16" t="s">
        <v>440</v>
      </c>
      <c r="B48" s="16">
        <v>3</v>
      </c>
      <c r="C48" s="15" t="s">
        <v>536</v>
      </c>
      <c r="D48" s="16" t="s">
        <v>127</v>
      </c>
      <c r="E48" s="16"/>
      <c r="F48" s="16" t="s">
        <v>218</v>
      </c>
      <c r="G48" s="16" t="s">
        <v>214</v>
      </c>
      <c r="H48" s="15" t="s">
        <v>535</v>
      </c>
      <c r="I48" s="15" t="s">
        <v>470</v>
      </c>
      <c r="J48" s="17" t="str">
        <f t="shared" si="0"/>
        <v>HỢP LỆ</v>
      </c>
      <c r="K48" s="17" t="str">
        <f>IF(A48="","",IF(COUNTIFS('02_KICH_BAN_NODES'!$B$5:$B$204,A48,'02_KICH_BAN_NODES'!$D$5:$D$204,"choice")=0,"ChoiceNodeId không tồn tại hoặc không phải choice",IF(COUNTIFS($A$5:$A$404,A48,$B$5:$B$404,B48)&gt;1,"Trùng OptionOrder trong cùng choice",IF(OR(B48="",C48="",D48="",F48="",H48=""),"Thiếu trường bắt buộc",IF(OR(COUNTIF($A$5:$A$404,A48)&lt;2,COUNTIF($A$5:$A$404,A48)&gt;4),"Mỗi choice cần 2–4 option",IF(COUNTIFS('02_KICH_BAN_NODES'!$B$5:$B$204,A48,'02_KICH_BAN_NODES'!$E$5:$E$204,"Kiến thức")=1,IF(COUNTIFS($A$5:$A$404,A48,$D$5:$D$404,"Có")&lt;&gt;1,"Choice kiến thức cần đúng 1 đáp án đúng",""),IF(COUNTIFS('02_KICH_BAN_NODES'!$B$5:$B$204,A48,'02_KICH_BAN_NODES'!$E$5:$E$204,"Tương tác")=1,IF(COUNTIFS($A$5:$A$404,A48,$D$5:$D$404,"Có")&lt;&gt;0,"Choice tương tác không được đánh dấu đáp án đúng",""),"Choice chưa chọn loại")))))))</f>
        <v/>
      </c>
    </row>
    <row r="49" spans="1:11" ht="26.45" customHeight="1">
      <c r="A49" s="16" t="s">
        <v>442</v>
      </c>
      <c r="B49" s="16">
        <v>1</v>
      </c>
      <c r="C49" s="15" t="s">
        <v>537</v>
      </c>
      <c r="D49" s="16" t="s">
        <v>96</v>
      </c>
      <c r="E49" s="16"/>
      <c r="F49" s="16" t="s">
        <v>211</v>
      </c>
      <c r="G49" s="16" t="s">
        <v>196</v>
      </c>
      <c r="H49" s="15" t="s">
        <v>538</v>
      </c>
      <c r="I49" s="15" t="s">
        <v>467</v>
      </c>
      <c r="J49" s="17" t="str">
        <f t="shared" si="0"/>
        <v>HỢP LỆ</v>
      </c>
      <c r="K49" s="17" t="str">
        <f>IF(A49="","",IF(COUNTIFS('02_KICH_BAN_NODES'!$B$5:$B$204,A49,'02_KICH_BAN_NODES'!$D$5:$D$204,"choice")=0,"ChoiceNodeId không tồn tại hoặc không phải choice",IF(COUNTIFS($A$5:$A$404,A49,$B$5:$B$404,B49)&gt;1,"Trùng OptionOrder trong cùng choice",IF(OR(B49="",C49="",D49="",F49="",H49=""),"Thiếu trường bắt buộc",IF(OR(COUNTIF($A$5:$A$404,A49)&lt;2,COUNTIF($A$5:$A$404,A49)&gt;4),"Mỗi choice cần 2–4 option",IF(COUNTIFS('02_KICH_BAN_NODES'!$B$5:$B$204,A49,'02_KICH_BAN_NODES'!$E$5:$E$204,"Kiến thức")=1,IF(COUNTIFS($A$5:$A$404,A49,$D$5:$D$404,"Có")&lt;&gt;1,"Choice kiến thức cần đúng 1 đáp án đúng",""),IF(COUNTIFS('02_KICH_BAN_NODES'!$B$5:$B$204,A49,'02_KICH_BAN_NODES'!$E$5:$E$204,"Tương tác")=1,IF(COUNTIFS($A$5:$A$404,A49,$D$5:$D$404,"Có")&lt;&gt;0,"Choice tương tác không được đánh dấu đáp án đúng",""),"Choice chưa chọn loại")))))))</f>
        <v/>
      </c>
    </row>
    <row r="50" spans="1:11" ht="26.45" customHeight="1">
      <c r="A50" s="16" t="s">
        <v>442</v>
      </c>
      <c r="B50" s="16">
        <v>2</v>
      </c>
      <c r="C50" s="15" t="s">
        <v>539</v>
      </c>
      <c r="D50" s="16" t="s">
        <v>127</v>
      </c>
      <c r="E50" s="16"/>
      <c r="F50" s="16" t="s">
        <v>211</v>
      </c>
      <c r="G50" s="16" t="s">
        <v>206</v>
      </c>
      <c r="H50" s="15" t="s">
        <v>540</v>
      </c>
      <c r="I50" s="15" t="s">
        <v>470</v>
      </c>
      <c r="J50" s="17" t="str">
        <f t="shared" si="0"/>
        <v>HỢP LỆ</v>
      </c>
      <c r="K50" s="17" t="str">
        <f>IF(A50="","",IF(COUNTIFS('02_KICH_BAN_NODES'!$B$5:$B$204,A50,'02_KICH_BAN_NODES'!$D$5:$D$204,"choice")=0,"ChoiceNodeId không tồn tại hoặc không phải choice",IF(COUNTIFS($A$5:$A$404,A50,$B$5:$B$404,B50)&gt;1,"Trùng OptionOrder trong cùng choice",IF(OR(B50="",C50="",D50="",F50="",H50=""),"Thiếu trường bắt buộc",IF(OR(COUNTIF($A$5:$A$404,A50)&lt;2,COUNTIF($A$5:$A$404,A50)&gt;4),"Mỗi choice cần 2–4 option",IF(COUNTIFS('02_KICH_BAN_NODES'!$B$5:$B$204,A50,'02_KICH_BAN_NODES'!$E$5:$E$204,"Kiến thức")=1,IF(COUNTIFS($A$5:$A$404,A50,$D$5:$D$404,"Có")&lt;&gt;1,"Choice kiến thức cần đúng 1 đáp án đúng",""),IF(COUNTIFS('02_KICH_BAN_NODES'!$B$5:$B$204,A50,'02_KICH_BAN_NODES'!$E$5:$E$204,"Tương tác")=1,IF(COUNTIFS($A$5:$A$404,A50,$D$5:$D$404,"Có")&lt;&gt;0,"Choice tương tác không được đánh dấu đáp án đúng",""),"Choice chưa chọn loại")))))))</f>
        <v/>
      </c>
    </row>
    <row r="51" spans="1:11" ht="26.45" customHeight="1">
      <c r="A51" s="16" t="s">
        <v>442</v>
      </c>
      <c r="B51" s="16">
        <v>3</v>
      </c>
      <c r="C51" s="15" t="s">
        <v>541</v>
      </c>
      <c r="D51" s="16" t="s">
        <v>127</v>
      </c>
      <c r="E51" s="16"/>
      <c r="F51" s="16" t="s">
        <v>211</v>
      </c>
      <c r="G51" s="16" t="s">
        <v>206</v>
      </c>
      <c r="H51" s="15" t="s">
        <v>540</v>
      </c>
      <c r="I51" s="15" t="s">
        <v>470</v>
      </c>
      <c r="J51" s="17" t="str">
        <f t="shared" si="0"/>
        <v>HỢP LỆ</v>
      </c>
      <c r="K51" s="17" t="str">
        <f>IF(A51="","",IF(COUNTIFS('02_KICH_BAN_NODES'!$B$5:$B$204,A51,'02_KICH_BAN_NODES'!$D$5:$D$204,"choice")=0,"ChoiceNodeId không tồn tại hoặc không phải choice",IF(COUNTIFS($A$5:$A$404,A51,$B$5:$B$404,B51)&gt;1,"Trùng OptionOrder trong cùng choice",IF(OR(B51="",C51="",D51="",F51="",H51=""),"Thiếu trường bắt buộc",IF(OR(COUNTIF($A$5:$A$404,A51)&lt;2,COUNTIF($A$5:$A$404,A51)&gt;4),"Mỗi choice cần 2–4 option",IF(COUNTIFS('02_KICH_BAN_NODES'!$B$5:$B$204,A51,'02_KICH_BAN_NODES'!$E$5:$E$204,"Kiến thức")=1,IF(COUNTIFS($A$5:$A$404,A51,$D$5:$D$404,"Có")&lt;&gt;1,"Choice kiến thức cần đúng 1 đáp án đúng",""),IF(COUNTIFS('02_KICH_BAN_NODES'!$B$5:$B$204,A51,'02_KICH_BAN_NODES'!$E$5:$E$204,"Tương tác")=1,IF(COUNTIFS($A$5:$A$404,A51,$D$5:$D$404,"Có")&lt;&gt;0,"Choice tương tác không được đánh dấu đáp án đúng",""),"Choice chưa chọn loại")))))))</f>
        <v/>
      </c>
    </row>
    <row r="52" spans="1:11" ht="39.6" customHeight="1">
      <c r="A52" s="16" t="s">
        <v>444</v>
      </c>
      <c r="B52" s="16">
        <v>1</v>
      </c>
      <c r="C52" s="15" t="s">
        <v>542</v>
      </c>
      <c r="D52" s="16" t="s">
        <v>96</v>
      </c>
      <c r="E52" s="16"/>
      <c r="F52" s="16" t="s">
        <v>201</v>
      </c>
      <c r="G52" s="16" t="s">
        <v>196</v>
      </c>
      <c r="H52" s="15" t="s">
        <v>543</v>
      </c>
      <c r="I52" s="15" t="s">
        <v>467</v>
      </c>
      <c r="J52" s="17" t="str">
        <f t="shared" si="0"/>
        <v>HỢP LỆ</v>
      </c>
      <c r="K52" s="17" t="str">
        <f>IF(A52="","",IF(COUNTIFS('02_KICH_BAN_NODES'!$B$5:$B$204,A52,'02_KICH_BAN_NODES'!$D$5:$D$204,"choice")=0,"ChoiceNodeId không tồn tại hoặc không phải choice",IF(COUNTIFS($A$5:$A$404,A52,$B$5:$B$404,B52)&gt;1,"Trùng OptionOrder trong cùng choice",IF(OR(B52="",C52="",D52="",F52="",H52=""),"Thiếu trường bắt buộc",IF(OR(COUNTIF($A$5:$A$404,A52)&lt;2,COUNTIF($A$5:$A$404,A52)&gt;4),"Mỗi choice cần 2–4 option",IF(COUNTIFS('02_KICH_BAN_NODES'!$B$5:$B$204,A52,'02_KICH_BAN_NODES'!$E$5:$E$204,"Kiến thức")=1,IF(COUNTIFS($A$5:$A$404,A52,$D$5:$D$404,"Có")&lt;&gt;1,"Choice kiến thức cần đúng 1 đáp án đúng",""),IF(COUNTIFS('02_KICH_BAN_NODES'!$B$5:$B$204,A52,'02_KICH_BAN_NODES'!$E$5:$E$204,"Tương tác")=1,IF(COUNTIFS($A$5:$A$404,A52,$D$5:$D$404,"Có")&lt;&gt;0,"Choice tương tác không được đánh dấu đáp án đúng",""),"Choice chưa chọn loại")))))))</f>
        <v/>
      </c>
    </row>
    <row r="53" spans="1:11" ht="15" customHeight="1">
      <c r="A53" s="16" t="s">
        <v>444</v>
      </c>
      <c r="B53" s="16">
        <v>2</v>
      </c>
      <c r="C53" s="15" t="s">
        <v>544</v>
      </c>
      <c r="D53" s="16" t="s">
        <v>127</v>
      </c>
      <c r="E53" s="16"/>
      <c r="F53" s="16" t="s">
        <v>201</v>
      </c>
      <c r="G53" s="16" t="s">
        <v>206</v>
      </c>
      <c r="H53" s="15" t="s">
        <v>545</v>
      </c>
      <c r="I53" s="15" t="s">
        <v>470</v>
      </c>
      <c r="J53" s="17" t="str">
        <f t="shared" si="0"/>
        <v>HỢP LỆ</v>
      </c>
      <c r="K53" s="17" t="str">
        <f>IF(A53="","",IF(COUNTIFS('02_KICH_BAN_NODES'!$B$5:$B$204,A53,'02_KICH_BAN_NODES'!$D$5:$D$204,"choice")=0,"ChoiceNodeId không tồn tại hoặc không phải choice",IF(COUNTIFS($A$5:$A$404,A53,$B$5:$B$404,B53)&gt;1,"Trùng OptionOrder trong cùng choice",IF(OR(B53="",C53="",D53="",F53="",H53=""),"Thiếu trường bắt buộc",IF(OR(COUNTIF($A$5:$A$404,A53)&lt;2,COUNTIF($A$5:$A$404,A53)&gt;4),"Mỗi choice cần 2–4 option",IF(COUNTIFS('02_KICH_BAN_NODES'!$B$5:$B$204,A53,'02_KICH_BAN_NODES'!$E$5:$E$204,"Kiến thức")=1,IF(COUNTIFS($A$5:$A$404,A53,$D$5:$D$404,"Có")&lt;&gt;1,"Choice kiến thức cần đúng 1 đáp án đúng",""),IF(COUNTIFS('02_KICH_BAN_NODES'!$B$5:$B$204,A53,'02_KICH_BAN_NODES'!$E$5:$E$204,"Tương tác")=1,IF(COUNTIFS($A$5:$A$404,A53,$D$5:$D$404,"Có")&lt;&gt;0,"Choice tương tác không được đánh dấu đáp án đúng",""),"Choice chưa chọn loại")))))))</f>
        <v/>
      </c>
    </row>
    <row r="54" spans="1:11" ht="15" customHeight="1">
      <c r="A54" s="16" t="s">
        <v>444</v>
      </c>
      <c r="B54" s="16">
        <v>3</v>
      </c>
      <c r="C54" s="15" t="s">
        <v>546</v>
      </c>
      <c r="D54" s="16" t="s">
        <v>127</v>
      </c>
      <c r="E54" s="16"/>
      <c r="F54" s="16" t="s">
        <v>201</v>
      </c>
      <c r="G54" s="16" t="s">
        <v>206</v>
      </c>
      <c r="H54" s="15" t="s">
        <v>545</v>
      </c>
      <c r="I54" s="15" t="s">
        <v>470</v>
      </c>
      <c r="J54" s="17" t="str">
        <f t="shared" si="0"/>
        <v>HỢP LỆ</v>
      </c>
      <c r="K54" s="17" t="str">
        <f>IF(A54="","",IF(COUNTIFS('02_KICH_BAN_NODES'!$B$5:$B$204,A54,'02_KICH_BAN_NODES'!$D$5:$D$204,"choice")=0,"ChoiceNodeId không tồn tại hoặc không phải choice",IF(COUNTIFS($A$5:$A$404,A54,$B$5:$B$404,B54)&gt;1,"Trùng OptionOrder trong cùng choice",IF(OR(B54="",C54="",D54="",F54="",H54=""),"Thiếu trường bắt buộc",IF(OR(COUNTIF($A$5:$A$404,A54)&lt;2,COUNTIF($A$5:$A$404,A54)&gt;4),"Mỗi choice cần 2–4 option",IF(COUNTIFS('02_KICH_BAN_NODES'!$B$5:$B$204,A54,'02_KICH_BAN_NODES'!$E$5:$E$204,"Kiến thức")=1,IF(COUNTIFS($A$5:$A$404,A54,$D$5:$D$404,"Có")&lt;&gt;1,"Choice kiến thức cần đúng 1 đáp án đúng",""),IF(COUNTIFS('02_KICH_BAN_NODES'!$B$5:$B$204,A54,'02_KICH_BAN_NODES'!$E$5:$E$204,"Tương tác")=1,IF(COUNTIFS($A$5:$A$404,A54,$D$5:$D$404,"Có")&lt;&gt;0,"Choice tương tác không được đánh dấu đáp án đúng",""),"Choice chưa chọn loại")))))))</f>
        <v/>
      </c>
    </row>
    <row r="55" spans="1:11" ht="39.6" customHeight="1">
      <c r="A55" s="16" t="s">
        <v>446</v>
      </c>
      <c r="B55" s="16">
        <v>1</v>
      </c>
      <c r="C55" s="15" t="s">
        <v>547</v>
      </c>
      <c r="D55" s="16" t="s">
        <v>96</v>
      </c>
      <c r="E55" s="16"/>
      <c r="F55" s="16" t="s">
        <v>218</v>
      </c>
      <c r="G55" s="16" t="s">
        <v>186</v>
      </c>
      <c r="H55" s="15" t="s">
        <v>548</v>
      </c>
      <c r="I55" s="15" t="s">
        <v>467</v>
      </c>
      <c r="J55" s="17" t="str">
        <f t="shared" si="0"/>
        <v>HỢP LỆ</v>
      </c>
      <c r="K55" s="17" t="str">
        <f>IF(A55="","",IF(COUNTIFS('02_KICH_BAN_NODES'!$B$5:$B$204,A55,'02_KICH_BAN_NODES'!$D$5:$D$204,"choice")=0,"ChoiceNodeId không tồn tại hoặc không phải choice",IF(COUNTIFS($A$5:$A$404,A55,$B$5:$B$404,B55)&gt;1,"Trùng OptionOrder trong cùng choice",IF(OR(B55="",C55="",D55="",F55="",H55=""),"Thiếu trường bắt buộc",IF(OR(COUNTIF($A$5:$A$404,A55)&lt;2,COUNTIF($A$5:$A$404,A55)&gt;4),"Mỗi choice cần 2–4 option",IF(COUNTIFS('02_KICH_BAN_NODES'!$B$5:$B$204,A55,'02_KICH_BAN_NODES'!$E$5:$E$204,"Kiến thức")=1,IF(COUNTIFS($A$5:$A$404,A55,$D$5:$D$404,"Có")&lt;&gt;1,"Choice kiến thức cần đúng 1 đáp án đúng",""),IF(COUNTIFS('02_KICH_BAN_NODES'!$B$5:$B$204,A55,'02_KICH_BAN_NODES'!$E$5:$E$204,"Tương tác")=1,IF(COUNTIFS($A$5:$A$404,A55,$D$5:$D$404,"Có")&lt;&gt;0,"Choice tương tác không được đánh dấu đáp án đúng",""),"Choice chưa chọn loại")))))))</f>
        <v/>
      </c>
    </row>
    <row r="56" spans="1:11" ht="26.45" customHeight="1">
      <c r="A56" s="16" t="s">
        <v>446</v>
      </c>
      <c r="B56" s="16">
        <v>2</v>
      </c>
      <c r="C56" s="15" t="s">
        <v>549</v>
      </c>
      <c r="D56" s="16" t="s">
        <v>127</v>
      </c>
      <c r="E56" s="16"/>
      <c r="F56" s="16" t="s">
        <v>218</v>
      </c>
      <c r="G56" s="16" t="s">
        <v>214</v>
      </c>
      <c r="H56" s="15" t="s">
        <v>550</v>
      </c>
      <c r="I56" s="15" t="s">
        <v>470</v>
      </c>
      <c r="J56" s="17" t="str">
        <f t="shared" si="0"/>
        <v>HỢP LỆ</v>
      </c>
      <c r="K56" s="17" t="str">
        <f>IF(A56="","",IF(COUNTIFS('02_KICH_BAN_NODES'!$B$5:$B$204,A56,'02_KICH_BAN_NODES'!$D$5:$D$204,"choice")=0,"ChoiceNodeId không tồn tại hoặc không phải choice",IF(COUNTIFS($A$5:$A$404,A56,$B$5:$B$404,B56)&gt;1,"Trùng OptionOrder trong cùng choice",IF(OR(B56="",C56="",D56="",F56="",H56=""),"Thiếu trường bắt buộc",IF(OR(COUNTIF($A$5:$A$404,A56)&lt;2,COUNTIF($A$5:$A$404,A56)&gt;4),"Mỗi choice cần 2–4 option",IF(COUNTIFS('02_KICH_BAN_NODES'!$B$5:$B$204,A56,'02_KICH_BAN_NODES'!$E$5:$E$204,"Kiến thức")=1,IF(COUNTIFS($A$5:$A$404,A56,$D$5:$D$404,"Có")&lt;&gt;1,"Choice kiến thức cần đúng 1 đáp án đúng",""),IF(COUNTIFS('02_KICH_BAN_NODES'!$B$5:$B$204,A56,'02_KICH_BAN_NODES'!$E$5:$E$204,"Tương tác")=1,IF(COUNTIFS($A$5:$A$404,A56,$D$5:$D$404,"Có")&lt;&gt;0,"Choice tương tác không được đánh dấu đáp án đúng",""),"Choice chưa chọn loại")))))))</f>
        <v/>
      </c>
    </row>
    <row r="57" spans="1:11" ht="26.45" customHeight="1">
      <c r="A57" s="16" t="s">
        <v>446</v>
      </c>
      <c r="B57" s="16">
        <v>3</v>
      </c>
      <c r="C57" s="15" t="s">
        <v>551</v>
      </c>
      <c r="D57" s="16" t="s">
        <v>127</v>
      </c>
      <c r="E57" s="16"/>
      <c r="F57" s="16" t="s">
        <v>218</v>
      </c>
      <c r="G57" s="16" t="s">
        <v>214</v>
      </c>
      <c r="H57" s="15" t="s">
        <v>550</v>
      </c>
      <c r="I57" s="15" t="s">
        <v>470</v>
      </c>
      <c r="J57" s="17" t="str">
        <f t="shared" si="0"/>
        <v>HỢP LỆ</v>
      </c>
      <c r="K57" s="17" t="str">
        <f>IF(A57="","",IF(COUNTIFS('02_KICH_BAN_NODES'!$B$5:$B$204,A57,'02_KICH_BAN_NODES'!$D$5:$D$204,"choice")=0,"ChoiceNodeId không tồn tại hoặc không phải choice",IF(COUNTIFS($A$5:$A$404,A57,$B$5:$B$404,B57)&gt;1,"Trùng OptionOrder trong cùng choice",IF(OR(B57="",C57="",D57="",F57="",H57=""),"Thiếu trường bắt buộc",IF(OR(COUNTIF($A$5:$A$404,A57)&lt;2,COUNTIF($A$5:$A$404,A57)&gt;4),"Mỗi choice cần 2–4 option",IF(COUNTIFS('02_KICH_BAN_NODES'!$B$5:$B$204,A57,'02_KICH_BAN_NODES'!$E$5:$E$204,"Kiến thức")=1,IF(COUNTIFS($A$5:$A$404,A57,$D$5:$D$404,"Có")&lt;&gt;1,"Choice kiến thức cần đúng 1 đáp án đúng",""),IF(COUNTIFS('02_KICH_BAN_NODES'!$B$5:$B$204,A57,'02_KICH_BAN_NODES'!$E$5:$E$204,"Tương tác")=1,IF(COUNTIFS($A$5:$A$404,A57,$D$5:$D$404,"Có")&lt;&gt;0,"Choice tương tác không được đánh dấu đáp án đúng",""),"Choice chưa chọn loại")))))))</f>
        <v/>
      </c>
    </row>
    <row r="58" spans="1:11" ht="26.45" customHeight="1">
      <c r="A58" s="16" t="s">
        <v>448</v>
      </c>
      <c r="B58" s="16">
        <v>1</v>
      </c>
      <c r="C58" s="15" t="s">
        <v>552</v>
      </c>
      <c r="D58" s="16" t="s">
        <v>96</v>
      </c>
      <c r="E58" s="16"/>
      <c r="F58" s="16" t="s">
        <v>211</v>
      </c>
      <c r="G58" s="16" t="s">
        <v>196</v>
      </c>
      <c r="H58" s="15" t="s">
        <v>553</v>
      </c>
      <c r="I58" s="15" t="s">
        <v>467</v>
      </c>
      <c r="J58" s="17" t="str">
        <f t="shared" si="0"/>
        <v>HỢP LỆ</v>
      </c>
      <c r="K58" s="17" t="str">
        <f>IF(A58="","",IF(COUNTIFS('02_KICH_BAN_NODES'!$B$5:$B$204,A58,'02_KICH_BAN_NODES'!$D$5:$D$204,"choice")=0,"ChoiceNodeId không tồn tại hoặc không phải choice",IF(COUNTIFS($A$5:$A$404,A58,$B$5:$B$404,B58)&gt;1,"Trùng OptionOrder trong cùng choice",IF(OR(B58="",C58="",D58="",F58="",H58=""),"Thiếu trường bắt buộc",IF(OR(COUNTIF($A$5:$A$404,A58)&lt;2,COUNTIF($A$5:$A$404,A58)&gt;4),"Mỗi choice cần 2–4 option",IF(COUNTIFS('02_KICH_BAN_NODES'!$B$5:$B$204,A58,'02_KICH_BAN_NODES'!$E$5:$E$204,"Kiến thức")=1,IF(COUNTIFS($A$5:$A$404,A58,$D$5:$D$404,"Có")&lt;&gt;1,"Choice kiến thức cần đúng 1 đáp án đúng",""),IF(COUNTIFS('02_KICH_BAN_NODES'!$B$5:$B$204,A58,'02_KICH_BAN_NODES'!$E$5:$E$204,"Tương tác")=1,IF(COUNTIFS($A$5:$A$404,A58,$D$5:$D$404,"Có")&lt;&gt;0,"Choice tương tác không được đánh dấu đáp án đúng",""),"Choice chưa chọn loại")))))))</f>
        <v/>
      </c>
    </row>
    <row r="59" spans="1:11" ht="26.45" customHeight="1">
      <c r="A59" s="16" t="s">
        <v>448</v>
      </c>
      <c r="B59" s="16">
        <v>2</v>
      </c>
      <c r="C59" s="15" t="s">
        <v>554</v>
      </c>
      <c r="D59" s="16" t="s">
        <v>127</v>
      </c>
      <c r="E59" s="16"/>
      <c r="F59" s="16" t="s">
        <v>211</v>
      </c>
      <c r="G59" s="16" t="s">
        <v>206</v>
      </c>
      <c r="H59" s="15" t="s">
        <v>555</v>
      </c>
      <c r="I59" s="15" t="s">
        <v>470</v>
      </c>
      <c r="J59" s="17" t="str">
        <f t="shared" si="0"/>
        <v>HỢP LỆ</v>
      </c>
      <c r="K59" s="17" t="str">
        <f>IF(A59="","",IF(COUNTIFS('02_KICH_BAN_NODES'!$B$5:$B$204,A59,'02_KICH_BAN_NODES'!$D$5:$D$204,"choice")=0,"ChoiceNodeId không tồn tại hoặc không phải choice",IF(COUNTIFS($A$5:$A$404,A59,$B$5:$B$404,B59)&gt;1,"Trùng OptionOrder trong cùng choice",IF(OR(B59="",C59="",D59="",F59="",H59=""),"Thiếu trường bắt buộc",IF(OR(COUNTIF($A$5:$A$404,A59)&lt;2,COUNTIF($A$5:$A$404,A59)&gt;4),"Mỗi choice cần 2–4 option",IF(COUNTIFS('02_KICH_BAN_NODES'!$B$5:$B$204,A59,'02_KICH_BAN_NODES'!$E$5:$E$204,"Kiến thức")=1,IF(COUNTIFS($A$5:$A$404,A59,$D$5:$D$404,"Có")&lt;&gt;1,"Choice kiến thức cần đúng 1 đáp án đúng",""),IF(COUNTIFS('02_KICH_BAN_NODES'!$B$5:$B$204,A59,'02_KICH_BAN_NODES'!$E$5:$E$204,"Tương tác")=1,IF(COUNTIFS($A$5:$A$404,A59,$D$5:$D$404,"Có")&lt;&gt;0,"Choice tương tác không được đánh dấu đáp án đúng",""),"Choice chưa chọn loại")))))))</f>
        <v/>
      </c>
    </row>
    <row r="60" spans="1:11" ht="26.45" customHeight="1">
      <c r="A60" s="16" t="s">
        <v>448</v>
      </c>
      <c r="B60" s="16">
        <v>3</v>
      </c>
      <c r="C60" s="15" t="s">
        <v>556</v>
      </c>
      <c r="D60" s="16" t="s">
        <v>127</v>
      </c>
      <c r="E60" s="16"/>
      <c r="F60" s="16" t="s">
        <v>211</v>
      </c>
      <c r="G60" s="16" t="s">
        <v>206</v>
      </c>
      <c r="H60" s="15" t="s">
        <v>555</v>
      </c>
      <c r="I60" s="15" t="s">
        <v>470</v>
      </c>
      <c r="J60" s="17" t="str">
        <f t="shared" si="0"/>
        <v>HỢP LỆ</v>
      </c>
      <c r="K60" s="17" t="str">
        <f>IF(A60="","",IF(COUNTIFS('02_KICH_BAN_NODES'!$B$5:$B$204,A60,'02_KICH_BAN_NODES'!$D$5:$D$204,"choice")=0,"ChoiceNodeId không tồn tại hoặc không phải choice",IF(COUNTIFS($A$5:$A$404,A60,$B$5:$B$404,B60)&gt;1,"Trùng OptionOrder trong cùng choice",IF(OR(B60="",C60="",D60="",F60="",H60=""),"Thiếu trường bắt buộc",IF(OR(COUNTIF($A$5:$A$404,A60)&lt;2,COUNTIF($A$5:$A$404,A60)&gt;4),"Mỗi choice cần 2–4 option",IF(COUNTIFS('02_KICH_BAN_NODES'!$B$5:$B$204,A60,'02_KICH_BAN_NODES'!$E$5:$E$204,"Kiến thức")=1,IF(COUNTIFS($A$5:$A$404,A60,$D$5:$D$404,"Có")&lt;&gt;1,"Choice kiến thức cần đúng 1 đáp án đúng",""),IF(COUNTIFS('02_KICH_BAN_NODES'!$B$5:$B$204,A60,'02_KICH_BAN_NODES'!$E$5:$E$204,"Tương tác")=1,IF(COUNTIFS($A$5:$A$404,A60,$D$5:$D$404,"Có")&lt;&gt;0,"Choice tương tác không được đánh dấu đáp án đúng",""),"Choice chưa chọn loại")))))))</f>
        <v/>
      </c>
    </row>
    <row r="61" spans="1:11" ht="26.45" customHeight="1">
      <c r="A61" s="16" t="s">
        <v>450</v>
      </c>
      <c r="B61" s="16">
        <v>1</v>
      </c>
      <c r="C61" s="15" t="s">
        <v>557</v>
      </c>
      <c r="D61" s="16" t="s">
        <v>96</v>
      </c>
      <c r="E61" s="16"/>
      <c r="F61" s="16" t="s">
        <v>201</v>
      </c>
      <c r="G61" s="16" t="s">
        <v>196</v>
      </c>
      <c r="H61" s="15" t="s">
        <v>558</v>
      </c>
      <c r="I61" s="15" t="s">
        <v>467</v>
      </c>
      <c r="J61" s="17" t="str">
        <f t="shared" si="0"/>
        <v>HỢP LỆ</v>
      </c>
      <c r="K61" s="17" t="str">
        <f>IF(A61="","",IF(COUNTIFS('02_KICH_BAN_NODES'!$B$5:$B$204,A61,'02_KICH_BAN_NODES'!$D$5:$D$204,"choice")=0,"ChoiceNodeId không tồn tại hoặc không phải choice",IF(COUNTIFS($A$5:$A$404,A61,$B$5:$B$404,B61)&gt;1,"Trùng OptionOrder trong cùng choice",IF(OR(B61="",C61="",D61="",F61="",H61=""),"Thiếu trường bắt buộc",IF(OR(COUNTIF($A$5:$A$404,A61)&lt;2,COUNTIF($A$5:$A$404,A61)&gt;4),"Mỗi choice cần 2–4 option",IF(COUNTIFS('02_KICH_BAN_NODES'!$B$5:$B$204,A61,'02_KICH_BAN_NODES'!$E$5:$E$204,"Kiến thức")=1,IF(COUNTIFS($A$5:$A$404,A61,$D$5:$D$404,"Có")&lt;&gt;1,"Choice kiến thức cần đúng 1 đáp án đúng",""),IF(COUNTIFS('02_KICH_BAN_NODES'!$B$5:$B$204,A61,'02_KICH_BAN_NODES'!$E$5:$E$204,"Tương tác")=1,IF(COUNTIFS($A$5:$A$404,A61,$D$5:$D$404,"Có")&lt;&gt;0,"Choice tương tác không được đánh dấu đáp án đúng",""),"Choice chưa chọn loại")))))))</f>
        <v/>
      </c>
    </row>
    <row r="62" spans="1:11" ht="15" customHeight="1">
      <c r="A62" s="16" t="s">
        <v>450</v>
      </c>
      <c r="B62" s="16">
        <v>2</v>
      </c>
      <c r="C62" s="15" t="s">
        <v>559</v>
      </c>
      <c r="D62" s="16" t="s">
        <v>127</v>
      </c>
      <c r="E62" s="16"/>
      <c r="F62" s="16" t="s">
        <v>201</v>
      </c>
      <c r="G62" s="16" t="s">
        <v>206</v>
      </c>
      <c r="H62" s="15" t="s">
        <v>560</v>
      </c>
      <c r="I62" s="15" t="s">
        <v>470</v>
      </c>
      <c r="J62" s="17" t="str">
        <f t="shared" si="0"/>
        <v>HỢP LỆ</v>
      </c>
      <c r="K62" s="17" t="str">
        <f>IF(A62="","",IF(COUNTIFS('02_KICH_BAN_NODES'!$B$5:$B$204,A62,'02_KICH_BAN_NODES'!$D$5:$D$204,"choice")=0,"ChoiceNodeId không tồn tại hoặc không phải choice",IF(COUNTIFS($A$5:$A$404,A62,$B$5:$B$404,B62)&gt;1,"Trùng OptionOrder trong cùng choice",IF(OR(B62="",C62="",D62="",F62="",H62=""),"Thiếu trường bắt buộc",IF(OR(COUNTIF($A$5:$A$404,A62)&lt;2,COUNTIF($A$5:$A$404,A62)&gt;4),"Mỗi choice cần 2–4 option",IF(COUNTIFS('02_KICH_BAN_NODES'!$B$5:$B$204,A62,'02_KICH_BAN_NODES'!$E$5:$E$204,"Kiến thức")=1,IF(COUNTIFS($A$5:$A$404,A62,$D$5:$D$404,"Có")&lt;&gt;1,"Choice kiến thức cần đúng 1 đáp án đúng",""),IF(COUNTIFS('02_KICH_BAN_NODES'!$B$5:$B$204,A62,'02_KICH_BAN_NODES'!$E$5:$E$204,"Tương tác")=1,IF(COUNTIFS($A$5:$A$404,A62,$D$5:$D$404,"Có")&lt;&gt;0,"Choice tương tác không được đánh dấu đáp án đúng",""),"Choice chưa chọn loại")))))))</f>
        <v/>
      </c>
    </row>
    <row r="63" spans="1:11" ht="15" customHeight="1">
      <c r="A63" s="16" t="s">
        <v>450</v>
      </c>
      <c r="B63" s="16">
        <v>3</v>
      </c>
      <c r="C63" s="15" t="s">
        <v>561</v>
      </c>
      <c r="D63" s="16" t="s">
        <v>127</v>
      </c>
      <c r="E63" s="16"/>
      <c r="F63" s="16" t="s">
        <v>201</v>
      </c>
      <c r="G63" s="16" t="s">
        <v>206</v>
      </c>
      <c r="H63" s="15" t="s">
        <v>560</v>
      </c>
      <c r="I63" s="15" t="s">
        <v>470</v>
      </c>
      <c r="J63" s="17" t="str">
        <f t="shared" si="0"/>
        <v>HỢP LỆ</v>
      </c>
      <c r="K63" s="17" t="str">
        <f>IF(A63="","",IF(COUNTIFS('02_KICH_BAN_NODES'!$B$5:$B$204,A63,'02_KICH_BAN_NODES'!$D$5:$D$204,"choice")=0,"ChoiceNodeId không tồn tại hoặc không phải choice",IF(COUNTIFS($A$5:$A$404,A63,$B$5:$B$404,B63)&gt;1,"Trùng OptionOrder trong cùng choice",IF(OR(B63="",C63="",D63="",F63="",H63=""),"Thiếu trường bắt buộc",IF(OR(COUNTIF($A$5:$A$404,A63)&lt;2,COUNTIF($A$5:$A$404,A63)&gt;4),"Mỗi choice cần 2–4 option",IF(COUNTIFS('02_KICH_BAN_NODES'!$B$5:$B$204,A63,'02_KICH_BAN_NODES'!$E$5:$E$204,"Kiến thức")=1,IF(COUNTIFS($A$5:$A$404,A63,$D$5:$D$404,"Có")&lt;&gt;1,"Choice kiến thức cần đúng 1 đáp án đúng",""),IF(COUNTIFS('02_KICH_BAN_NODES'!$B$5:$B$204,A63,'02_KICH_BAN_NODES'!$E$5:$E$204,"Tương tác")=1,IF(COUNTIFS($A$5:$A$404,A63,$D$5:$D$404,"Có")&lt;&gt;0,"Choice tương tác không được đánh dấu đáp án đúng",""),"Choice chưa chọn loại")))))))</f>
        <v/>
      </c>
    </row>
    <row r="64" spans="1:11" ht="26.45" customHeight="1">
      <c r="A64" s="16" t="s">
        <v>452</v>
      </c>
      <c r="B64" s="16">
        <v>1</v>
      </c>
      <c r="C64" s="15" t="s">
        <v>562</v>
      </c>
      <c r="D64" s="16" t="s">
        <v>96</v>
      </c>
      <c r="E64" s="16"/>
      <c r="F64" s="16" t="s">
        <v>224</v>
      </c>
      <c r="G64" s="16" t="s">
        <v>196</v>
      </c>
      <c r="H64" s="15" t="s">
        <v>563</v>
      </c>
      <c r="I64" s="15" t="s">
        <v>467</v>
      </c>
      <c r="J64" s="17" t="str">
        <f t="shared" si="0"/>
        <v>HỢP LỆ</v>
      </c>
      <c r="K64" s="17" t="str">
        <f>IF(A64="","",IF(COUNTIFS('02_KICH_BAN_NODES'!$B$5:$B$204,A64,'02_KICH_BAN_NODES'!$D$5:$D$204,"choice")=0,"ChoiceNodeId không tồn tại hoặc không phải choice",IF(COUNTIFS($A$5:$A$404,A64,$B$5:$B$404,B64)&gt;1,"Trùng OptionOrder trong cùng choice",IF(OR(B64="",C64="",D64="",F64="",H64=""),"Thiếu trường bắt buộc",IF(OR(COUNTIF($A$5:$A$404,A64)&lt;2,COUNTIF($A$5:$A$404,A64)&gt;4),"Mỗi choice cần 2–4 option",IF(COUNTIFS('02_KICH_BAN_NODES'!$B$5:$B$204,A64,'02_KICH_BAN_NODES'!$E$5:$E$204,"Kiến thức")=1,IF(COUNTIFS($A$5:$A$404,A64,$D$5:$D$404,"Có")&lt;&gt;1,"Choice kiến thức cần đúng 1 đáp án đúng",""),IF(COUNTIFS('02_KICH_BAN_NODES'!$B$5:$B$204,A64,'02_KICH_BAN_NODES'!$E$5:$E$204,"Tương tác")=1,IF(COUNTIFS($A$5:$A$404,A64,$D$5:$D$404,"Có")&lt;&gt;0,"Choice tương tác không được đánh dấu đáp án đúng",""),"Choice chưa chọn loại")))))))</f>
        <v/>
      </c>
    </row>
    <row r="65" spans="1:11" ht="26.45" customHeight="1">
      <c r="A65" s="16" t="s">
        <v>452</v>
      </c>
      <c r="B65" s="16">
        <v>2</v>
      </c>
      <c r="C65" s="15" t="s">
        <v>564</v>
      </c>
      <c r="D65" s="16" t="s">
        <v>127</v>
      </c>
      <c r="E65" s="16"/>
      <c r="F65" s="16" t="s">
        <v>224</v>
      </c>
      <c r="G65" s="16" t="s">
        <v>206</v>
      </c>
      <c r="H65" s="15" t="s">
        <v>565</v>
      </c>
      <c r="I65" s="15" t="s">
        <v>470</v>
      </c>
      <c r="J65" s="17" t="str">
        <f t="shared" si="0"/>
        <v>HỢP LỆ</v>
      </c>
      <c r="K65" s="17" t="str">
        <f>IF(A65="","",IF(COUNTIFS('02_KICH_BAN_NODES'!$B$5:$B$204,A65,'02_KICH_BAN_NODES'!$D$5:$D$204,"choice")=0,"ChoiceNodeId không tồn tại hoặc không phải choice",IF(COUNTIFS($A$5:$A$404,A65,$B$5:$B$404,B65)&gt;1,"Trùng OptionOrder trong cùng choice",IF(OR(B65="",C65="",D65="",F65="",H65=""),"Thiếu trường bắt buộc",IF(OR(COUNTIF($A$5:$A$404,A65)&lt;2,COUNTIF($A$5:$A$404,A65)&gt;4),"Mỗi choice cần 2–4 option",IF(COUNTIFS('02_KICH_BAN_NODES'!$B$5:$B$204,A65,'02_KICH_BAN_NODES'!$E$5:$E$204,"Kiến thức")=1,IF(COUNTIFS($A$5:$A$404,A65,$D$5:$D$404,"Có")&lt;&gt;1,"Choice kiến thức cần đúng 1 đáp án đúng",""),IF(COUNTIFS('02_KICH_BAN_NODES'!$B$5:$B$204,A65,'02_KICH_BAN_NODES'!$E$5:$E$204,"Tương tác")=1,IF(COUNTIFS($A$5:$A$404,A65,$D$5:$D$404,"Có")&lt;&gt;0,"Choice tương tác không được đánh dấu đáp án đúng",""),"Choice chưa chọn loại")))))))</f>
        <v/>
      </c>
    </row>
    <row r="66" spans="1:11" ht="26.45" customHeight="1">
      <c r="A66" s="16" t="s">
        <v>452</v>
      </c>
      <c r="B66" s="16">
        <v>3</v>
      </c>
      <c r="C66" s="15" t="s">
        <v>566</v>
      </c>
      <c r="D66" s="16" t="s">
        <v>127</v>
      </c>
      <c r="E66" s="16"/>
      <c r="F66" s="16" t="s">
        <v>224</v>
      </c>
      <c r="G66" s="16" t="s">
        <v>206</v>
      </c>
      <c r="H66" s="15" t="s">
        <v>565</v>
      </c>
      <c r="I66" s="15" t="s">
        <v>470</v>
      </c>
      <c r="J66" s="17" t="str">
        <f t="shared" si="0"/>
        <v>HỢP LỆ</v>
      </c>
      <c r="K66" s="17" t="str">
        <f>IF(A66="","",IF(COUNTIFS('02_KICH_BAN_NODES'!$B$5:$B$204,A66,'02_KICH_BAN_NODES'!$D$5:$D$204,"choice")=0,"ChoiceNodeId không tồn tại hoặc không phải choice",IF(COUNTIFS($A$5:$A$404,A66,$B$5:$B$404,B66)&gt;1,"Trùng OptionOrder trong cùng choice",IF(OR(B66="",C66="",D66="",F66="",H66=""),"Thiếu trường bắt buộc",IF(OR(COUNTIF($A$5:$A$404,A66)&lt;2,COUNTIF($A$5:$A$404,A66)&gt;4),"Mỗi choice cần 2–4 option",IF(COUNTIFS('02_KICH_BAN_NODES'!$B$5:$B$204,A66,'02_KICH_BAN_NODES'!$E$5:$E$204,"Kiến thức")=1,IF(COUNTIFS($A$5:$A$404,A66,$D$5:$D$404,"Có")&lt;&gt;1,"Choice kiến thức cần đúng 1 đáp án đúng",""),IF(COUNTIFS('02_KICH_BAN_NODES'!$B$5:$B$204,A66,'02_KICH_BAN_NODES'!$E$5:$E$204,"Tương tác")=1,IF(COUNTIFS($A$5:$A$404,A66,$D$5:$D$404,"Có")&lt;&gt;0,"Choice tương tác không được đánh dấu đáp án đúng",""),"Choice chưa chọn loại")))))))</f>
        <v/>
      </c>
    </row>
    <row r="67" spans="1:11">
      <c r="A67" s="13"/>
      <c r="B67" s="13"/>
      <c r="C67" s="5"/>
      <c r="D67" s="13"/>
      <c r="E67" s="13"/>
      <c r="F67" s="13"/>
      <c r="G67" s="13"/>
      <c r="H67" s="5"/>
      <c r="I67" s="5"/>
      <c r="J67" s="6" t="str">
        <f t="shared" si="0"/>
        <v/>
      </c>
      <c r="K67" s="6" t="str">
        <f>IF(A67="","",IF(COUNTIFS('02_KICH_BAN_NODES'!$B$5:$B$204,A67,'02_KICH_BAN_NODES'!$D$5:$D$204,"choice")=0,"ChoiceNodeId không tồn tại hoặc không phải choice",IF(COUNTIFS($A$5:$A$404,A67,$B$5:$B$404,B67)&gt;1,"Trùng OptionOrder trong cùng choice",IF(OR(B67="",C67="",D67="",F67="",H67=""),"Thiếu trường bắt buộc",IF(OR(COUNTIF($A$5:$A$404,A67)&lt;2,COUNTIF($A$5:$A$404,A67)&gt;4),"Mỗi choice cần 2–4 option",IF(COUNTIFS('02_KICH_BAN_NODES'!$B$5:$B$204,A67,'02_KICH_BAN_NODES'!$E$5:$E$204,"Kiến thức")=1,IF(COUNTIFS($A$5:$A$404,A67,$D$5:$D$404,"Có")&lt;&gt;1,"Choice kiến thức cần đúng 1 đáp án đúng",""),IF(COUNTIFS('02_KICH_BAN_NODES'!$B$5:$B$204,A67,'02_KICH_BAN_NODES'!$E$5:$E$204,"Tương tác")=1,IF(COUNTIFS($A$5:$A$404,A67,$D$5:$D$404,"Có")&lt;&gt;0,"Choice tương tác không được đánh dấu đáp án đúng",""),"Choice chưa chọn loại")))))))</f>
        <v/>
      </c>
    </row>
    <row r="68" spans="1:11">
      <c r="A68" s="13"/>
      <c r="B68" s="13"/>
      <c r="C68" s="5"/>
      <c r="D68" s="13"/>
      <c r="E68" s="13"/>
      <c r="F68" s="13"/>
      <c r="G68" s="13"/>
      <c r="H68" s="5"/>
      <c r="I68" s="5"/>
      <c r="J68" s="6" t="str">
        <f t="shared" si="0"/>
        <v/>
      </c>
      <c r="K68" s="6" t="str">
        <f>IF(A68="","",IF(COUNTIFS('02_KICH_BAN_NODES'!$B$5:$B$204,A68,'02_KICH_BAN_NODES'!$D$5:$D$204,"choice")=0,"ChoiceNodeId không tồn tại hoặc không phải choice",IF(COUNTIFS($A$5:$A$404,A68,$B$5:$B$404,B68)&gt;1,"Trùng OptionOrder trong cùng choice",IF(OR(B68="",C68="",D68="",F68="",H68=""),"Thiếu trường bắt buộc",IF(OR(COUNTIF($A$5:$A$404,A68)&lt;2,COUNTIF($A$5:$A$404,A68)&gt;4),"Mỗi choice cần 2–4 option",IF(COUNTIFS('02_KICH_BAN_NODES'!$B$5:$B$204,A68,'02_KICH_BAN_NODES'!$E$5:$E$204,"Kiến thức")=1,IF(COUNTIFS($A$5:$A$404,A68,$D$5:$D$404,"Có")&lt;&gt;1,"Choice kiến thức cần đúng 1 đáp án đúng",""),IF(COUNTIFS('02_KICH_BAN_NODES'!$B$5:$B$204,A68,'02_KICH_BAN_NODES'!$E$5:$E$204,"Tương tác")=1,IF(COUNTIFS($A$5:$A$404,A68,$D$5:$D$404,"Có")&lt;&gt;0,"Choice tương tác không được đánh dấu đáp án đúng",""),"Choice chưa chọn loại")))))))</f>
        <v/>
      </c>
    </row>
    <row r="69" spans="1:11">
      <c r="A69" s="13"/>
      <c r="B69" s="13"/>
      <c r="C69" s="5"/>
      <c r="D69" s="13"/>
      <c r="E69" s="13"/>
      <c r="F69" s="13"/>
      <c r="G69" s="13"/>
      <c r="H69" s="5"/>
      <c r="I69" s="5"/>
      <c r="J69" s="6" t="str">
        <f t="shared" ref="J69:J132" si="1">IF(A69="","",IF(K69="","HỢP LỆ","CẦN SỬA"))</f>
        <v/>
      </c>
      <c r="K69" s="6" t="str">
        <f>IF(A69="","",IF(COUNTIFS('02_KICH_BAN_NODES'!$B$5:$B$204,A69,'02_KICH_BAN_NODES'!$D$5:$D$204,"choice")=0,"ChoiceNodeId không tồn tại hoặc không phải choice",IF(COUNTIFS($A$5:$A$404,A69,$B$5:$B$404,B69)&gt;1,"Trùng OptionOrder trong cùng choice",IF(OR(B69="",C69="",D69="",F69="",H69=""),"Thiếu trường bắt buộc",IF(OR(COUNTIF($A$5:$A$404,A69)&lt;2,COUNTIF($A$5:$A$404,A69)&gt;4),"Mỗi choice cần 2–4 option",IF(COUNTIFS('02_KICH_BAN_NODES'!$B$5:$B$204,A69,'02_KICH_BAN_NODES'!$E$5:$E$204,"Kiến thức")=1,IF(COUNTIFS($A$5:$A$404,A69,$D$5:$D$404,"Có")&lt;&gt;1,"Choice kiến thức cần đúng 1 đáp án đúng",""),IF(COUNTIFS('02_KICH_BAN_NODES'!$B$5:$B$204,A69,'02_KICH_BAN_NODES'!$E$5:$E$204,"Tương tác")=1,IF(COUNTIFS($A$5:$A$404,A69,$D$5:$D$404,"Có")&lt;&gt;0,"Choice tương tác không được đánh dấu đáp án đúng",""),"Choice chưa chọn loại")))))))</f>
        <v/>
      </c>
    </row>
    <row r="70" spans="1:11">
      <c r="A70" s="13"/>
      <c r="B70" s="13"/>
      <c r="C70" s="5"/>
      <c r="D70" s="13"/>
      <c r="E70" s="13"/>
      <c r="F70" s="13"/>
      <c r="G70" s="13"/>
      <c r="H70" s="5"/>
      <c r="I70" s="5"/>
      <c r="J70" s="6" t="str">
        <f t="shared" si="1"/>
        <v/>
      </c>
      <c r="K70" s="6" t="str">
        <f>IF(A70="","",IF(COUNTIFS('02_KICH_BAN_NODES'!$B$5:$B$204,A70,'02_KICH_BAN_NODES'!$D$5:$D$204,"choice")=0,"ChoiceNodeId không tồn tại hoặc không phải choice",IF(COUNTIFS($A$5:$A$404,A70,$B$5:$B$404,B70)&gt;1,"Trùng OptionOrder trong cùng choice",IF(OR(B70="",C70="",D70="",F70="",H70=""),"Thiếu trường bắt buộc",IF(OR(COUNTIF($A$5:$A$404,A70)&lt;2,COUNTIF($A$5:$A$404,A70)&gt;4),"Mỗi choice cần 2–4 option",IF(COUNTIFS('02_KICH_BAN_NODES'!$B$5:$B$204,A70,'02_KICH_BAN_NODES'!$E$5:$E$204,"Kiến thức")=1,IF(COUNTIFS($A$5:$A$404,A70,$D$5:$D$404,"Có")&lt;&gt;1,"Choice kiến thức cần đúng 1 đáp án đúng",""),IF(COUNTIFS('02_KICH_BAN_NODES'!$B$5:$B$204,A70,'02_KICH_BAN_NODES'!$E$5:$E$204,"Tương tác")=1,IF(COUNTIFS($A$5:$A$404,A70,$D$5:$D$404,"Có")&lt;&gt;0,"Choice tương tác không được đánh dấu đáp án đúng",""),"Choice chưa chọn loại")))))))</f>
        <v/>
      </c>
    </row>
    <row r="71" spans="1:11">
      <c r="A71" s="13"/>
      <c r="B71" s="13"/>
      <c r="C71" s="5"/>
      <c r="D71" s="13"/>
      <c r="E71" s="13"/>
      <c r="F71" s="13"/>
      <c r="G71" s="13"/>
      <c r="H71" s="5"/>
      <c r="I71" s="5"/>
      <c r="J71" s="6" t="str">
        <f t="shared" si="1"/>
        <v/>
      </c>
      <c r="K71" s="6" t="str">
        <f>IF(A71="","",IF(COUNTIFS('02_KICH_BAN_NODES'!$B$5:$B$204,A71,'02_KICH_BAN_NODES'!$D$5:$D$204,"choice")=0,"ChoiceNodeId không tồn tại hoặc không phải choice",IF(COUNTIFS($A$5:$A$404,A71,$B$5:$B$404,B71)&gt;1,"Trùng OptionOrder trong cùng choice",IF(OR(B71="",C71="",D71="",F71="",H71=""),"Thiếu trường bắt buộc",IF(OR(COUNTIF($A$5:$A$404,A71)&lt;2,COUNTIF($A$5:$A$404,A71)&gt;4),"Mỗi choice cần 2–4 option",IF(COUNTIFS('02_KICH_BAN_NODES'!$B$5:$B$204,A71,'02_KICH_BAN_NODES'!$E$5:$E$204,"Kiến thức")=1,IF(COUNTIFS($A$5:$A$404,A71,$D$5:$D$404,"Có")&lt;&gt;1,"Choice kiến thức cần đúng 1 đáp án đúng",""),IF(COUNTIFS('02_KICH_BAN_NODES'!$B$5:$B$204,A71,'02_KICH_BAN_NODES'!$E$5:$E$204,"Tương tác")=1,IF(COUNTIFS($A$5:$A$404,A71,$D$5:$D$404,"Có")&lt;&gt;0,"Choice tương tác không được đánh dấu đáp án đúng",""),"Choice chưa chọn loại")))))))</f>
        <v/>
      </c>
    </row>
    <row r="72" spans="1:11">
      <c r="A72" s="13"/>
      <c r="B72" s="13"/>
      <c r="C72" s="5"/>
      <c r="D72" s="13"/>
      <c r="E72" s="13"/>
      <c r="F72" s="13"/>
      <c r="G72" s="13"/>
      <c r="H72" s="5"/>
      <c r="I72" s="5"/>
      <c r="J72" s="6" t="str">
        <f t="shared" si="1"/>
        <v/>
      </c>
      <c r="K72" s="6" t="str">
        <f>IF(A72="","",IF(COUNTIFS('02_KICH_BAN_NODES'!$B$5:$B$204,A72,'02_KICH_BAN_NODES'!$D$5:$D$204,"choice")=0,"ChoiceNodeId không tồn tại hoặc không phải choice",IF(COUNTIFS($A$5:$A$404,A72,$B$5:$B$404,B72)&gt;1,"Trùng OptionOrder trong cùng choice",IF(OR(B72="",C72="",D72="",F72="",H72=""),"Thiếu trường bắt buộc",IF(OR(COUNTIF($A$5:$A$404,A72)&lt;2,COUNTIF($A$5:$A$404,A72)&gt;4),"Mỗi choice cần 2–4 option",IF(COUNTIFS('02_KICH_BAN_NODES'!$B$5:$B$204,A72,'02_KICH_BAN_NODES'!$E$5:$E$204,"Kiến thức")=1,IF(COUNTIFS($A$5:$A$404,A72,$D$5:$D$404,"Có")&lt;&gt;1,"Choice kiến thức cần đúng 1 đáp án đúng",""),IF(COUNTIFS('02_KICH_BAN_NODES'!$B$5:$B$204,A72,'02_KICH_BAN_NODES'!$E$5:$E$204,"Tương tác")=1,IF(COUNTIFS($A$5:$A$404,A72,$D$5:$D$404,"Có")&lt;&gt;0,"Choice tương tác không được đánh dấu đáp án đúng",""),"Choice chưa chọn loại")))))))</f>
        <v/>
      </c>
    </row>
    <row r="73" spans="1:11">
      <c r="A73" s="13"/>
      <c r="B73" s="13"/>
      <c r="C73" s="5"/>
      <c r="D73" s="13"/>
      <c r="E73" s="13"/>
      <c r="F73" s="13"/>
      <c r="G73" s="13"/>
      <c r="H73" s="5"/>
      <c r="I73" s="5"/>
      <c r="J73" s="6" t="str">
        <f t="shared" si="1"/>
        <v/>
      </c>
      <c r="K73" s="6" t="str">
        <f>IF(A73="","",IF(COUNTIFS('02_KICH_BAN_NODES'!$B$5:$B$204,A73,'02_KICH_BAN_NODES'!$D$5:$D$204,"choice")=0,"ChoiceNodeId không tồn tại hoặc không phải choice",IF(COUNTIFS($A$5:$A$404,A73,$B$5:$B$404,B73)&gt;1,"Trùng OptionOrder trong cùng choice",IF(OR(B73="",C73="",D73="",F73="",H73=""),"Thiếu trường bắt buộc",IF(OR(COUNTIF($A$5:$A$404,A73)&lt;2,COUNTIF($A$5:$A$404,A73)&gt;4),"Mỗi choice cần 2–4 option",IF(COUNTIFS('02_KICH_BAN_NODES'!$B$5:$B$204,A73,'02_KICH_BAN_NODES'!$E$5:$E$204,"Kiến thức")=1,IF(COUNTIFS($A$5:$A$404,A73,$D$5:$D$404,"Có")&lt;&gt;1,"Choice kiến thức cần đúng 1 đáp án đúng",""),IF(COUNTIFS('02_KICH_BAN_NODES'!$B$5:$B$204,A73,'02_KICH_BAN_NODES'!$E$5:$E$204,"Tương tác")=1,IF(COUNTIFS($A$5:$A$404,A73,$D$5:$D$404,"Có")&lt;&gt;0,"Choice tương tác không được đánh dấu đáp án đúng",""),"Choice chưa chọn loại")))))))</f>
        <v/>
      </c>
    </row>
    <row r="74" spans="1:11">
      <c r="A74" s="13"/>
      <c r="B74" s="13"/>
      <c r="C74" s="5"/>
      <c r="D74" s="13"/>
      <c r="E74" s="13"/>
      <c r="F74" s="13"/>
      <c r="G74" s="13"/>
      <c r="H74" s="5"/>
      <c r="I74" s="5"/>
      <c r="J74" s="6" t="str">
        <f t="shared" si="1"/>
        <v/>
      </c>
      <c r="K74" s="6" t="str">
        <f>IF(A74="","",IF(COUNTIFS('02_KICH_BAN_NODES'!$B$5:$B$204,A74,'02_KICH_BAN_NODES'!$D$5:$D$204,"choice")=0,"ChoiceNodeId không tồn tại hoặc không phải choice",IF(COUNTIFS($A$5:$A$404,A74,$B$5:$B$404,B74)&gt;1,"Trùng OptionOrder trong cùng choice",IF(OR(B74="",C74="",D74="",F74="",H74=""),"Thiếu trường bắt buộc",IF(OR(COUNTIF($A$5:$A$404,A74)&lt;2,COUNTIF($A$5:$A$404,A74)&gt;4),"Mỗi choice cần 2–4 option",IF(COUNTIFS('02_KICH_BAN_NODES'!$B$5:$B$204,A74,'02_KICH_BAN_NODES'!$E$5:$E$204,"Kiến thức")=1,IF(COUNTIFS($A$5:$A$404,A74,$D$5:$D$404,"Có")&lt;&gt;1,"Choice kiến thức cần đúng 1 đáp án đúng",""),IF(COUNTIFS('02_KICH_BAN_NODES'!$B$5:$B$204,A74,'02_KICH_BAN_NODES'!$E$5:$E$204,"Tương tác")=1,IF(COUNTIFS($A$5:$A$404,A74,$D$5:$D$404,"Có")&lt;&gt;0,"Choice tương tác không được đánh dấu đáp án đúng",""),"Choice chưa chọn loại")))))))</f>
        <v/>
      </c>
    </row>
    <row r="75" spans="1:11">
      <c r="A75" s="13"/>
      <c r="B75" s="13"/>
      <c r="C75" s="5"/>
      <c r="D75" s="13"/>
      <c r="E75" s="13"/>
      <c r="F75" s="13"/>
      <c r="G75" s="13"/>
      <c r="H75" s="5"/>
      <c r="I75" s="5"/>
      <c r="J75" s="6" t="str">
        <f t="shared" si="1"/>
        <v/>
      </c>
      <c r="K75" s="6" t="str">
        <f>IF(A75="","",IF(COUNTIFS('02_KICH_BAN_NODES'!$B$5:$B$204,A75,'02_KICH_BAN_NODES'!$D$5:$D$204,"choice")=0,"ChoiceNodeId không tồn tại hoặc không phải choice",IF(COUNTIFS($A$5:$A$404,A75,$B$5:$B$404,B75)&gt;1,"Trùng OptionOrder trong cùng choice",IF(OR(B75="",C75="",D75="",F75="",H75=""),"Thiếu trường bắt buộc",IF(OR(COUNTIF($A$5:$A$404,A75)&lt;2,COUNTIF($A$5:$A$404,A75)&gt;4),"Mỗi choice cần 2–4 option",IF(COUNTIFS('02_KICH_BAN_NODES'!$B$5:$B$204,A75,'02_KICH_BAN_NODES'!$E$5:$E$204,"Kiến thức")=1,IF(COUNTIFS($A$5:$A$404,A75,$D$5:$D$404,"Có")&lt;&gt;1,"Choice kiến thức cần đúng 1 đáp án đúng",""),IF(COUNTIFS('02_KICH_BAN_NODES'!$B$5:$B$204,A75,'02_KICH_BAN_NODES'!$E$5:$E$204,"Tương tác")=1,IF(COUNTIFS($A$5:$A$404,A75,$D$5:$D$404,"Có")&lt;&gt;0,"Choice tương tác không được đánh dấu đáp án đúng",""),"Choice chưa chọn loại")))))))</f>
        <v/>
      </c>
    </row>
    <row r="76" spans="1:11">
      <c r="A76" s="13"/>
      <c r="B76" s="13"/>
      <c r="C76" s="5"/>
      <c r="D76" s="13"/>
      <c r="E76" s="13"/>
      <c r="F76" s="13"/>
      <c r="G76" s="13"/>
      <c r="H76" s="5"/>
      <c r="I76" s="5"/>
      <c r="J76" s="6" t="str">
        <f t="shared" si="1"/>
        <v/>
      </c>
      <c r="K76" s="6" t="str">
        <f>IF(A76="","",IF(COUNTIFS('02_KICH_BAN_NODES'!$B$5:$B$204,A76,'02_KICH_BAN_NODES'!$D$5:$D$204,"choice")=0,"ChoiceNodeId không tồn tại hoặc không phải choice",IF(COUNTIFS($A$5:$A$404,A76,$B$5:$B$404,B76)&gt;1,"Trùng OptionOrder trong cùng choice",IF(OR(B76="",C76="",D76="",F76="",H76=""),"Thiếu trường bắt buộc",IF(OR(COUNTIF($A$5:$A$404,A76)&lt;2,COUNTIF($A$5:$A$404,A76)&gt;4),"Mỗi choice cần 2–4 option",IF(COUNTIFS('02_KICH_BAN_NODES'!$B$5:$B$204,A76,'02_KICH_BAN_NODES'!$E$5:$E$204,"Kiến thức")=1,IF(COUNTIFS($A$5:$A$404,A76,$D$5:$D$404,"Có")&lt;&gt;1,"Choice kiến thức cần đúng 1 đáp án đúng",""),IF(COUNTIFS('02_KICH_BAN_NODES'!$B$5:$B$204,A76,'02_KICH_BAN_NODES'!$E$5:$E$204,"Tương tác")=1,IF(COUNTIFS($A$5:$A$404,A76,$D$5:$D$404,"Có")&lt;&gt;0,"Choice tương tác không được đánh dấu đáp án đúng",""),"Choice chưa chọn loại")))))))</f>
        <v/>
      </c>
    </row>
    <row r="77" spans="1:11">
      <c r="A77" s="13"/>
      <c r="B77" s="13"/>
      <c r="C77" s="5"/>
      <c r="D77" s="13"/>
      <c r="E77" s="13"/>
      <c r="F77" s="13"/>
      <c r="G77" s="13"/>
      <c r="H77" s="5"/>
      <c r="I77" s="5"/>
      <c r="J77" s="6" t="str">
        <f t="shared" si="1"/>
        <v/>
      </c>
      <c r="K77" s="6" t="str">
        <f>IF(A77="","",IF(COUNTIFS('02_KICH_BAN_NODES'!$B$5:$B$204,A77,'02_KICH_BAN_NODES'!$D$5:$D$204,"choice")=0,"ChoiceNodeId không tồn tại hoặc không phải choice",IF(COUNTIFS($A$5:$A$404,A77,$B$5:$B$404,B77)&gt;1,"Trùng OptionOrder trong cùng choice",IF(OR(B77="",C77="",D77="",F77="",H77=""),"Thiếu trường bắt buộc",IF(OR(COUNTIF($A$5:$A$404,A77)&lt;2,COUNTIF($A$5:$A$404,A77)&gt;4),"Mỗi choice cần 2–4 option",IF(COUNTIFS('02_KICH_BAN_NODES'!$B$5:$B$204,A77,'02_KICH_BAN_NODES'!$E$5:$E$204,"Kiến thức")=1,IF(COUNTIFS($A$5:$A$404,A77,$D$5:$D$404,"Có")&lt;&gt;1,"Choice kiến thức cần đúng 1 đáp án đúng",""),IF(COUNTIFS('02_KICH_BAN_NODES'!$B$5:$B$204,A77,'02_KICH_BAN_NODES'!$E$5:$E$204,"Tương tác")=1,IF(COUNTIFS($A$5:$A$404,A77,$D$5:$D$404,"Có")&lt;&gt;0,"Choice tương tác không được đánh dấu đáp án đúng",""),"Choice chưa chọn loại")))))))</f>
        <v/>
      </c>
    </row>
    <row r="78" spans="1:11">
      <c r="A78" s="13"/>
      <c r="B78" s="13"/>
      <c r="C78" s="5"/>
      <c r="D78" s="13"/>
      <c r="E78" s="13"/>
      <c r="F78" s="13"/>
      <c r="G78" s="13"/>
      <c r="H78" s="5"/>
      <c r="I78" s="5"/>
      <c r="J78" s="6" t="str">
        <f t="shared" si="1"/>
        <v/>
      </c>
      <c r="K78" s="6" t="str">
        <f>IF(A78="","",IF(COUNTIFS('02_KICH_BAN_NODES'!$B$5:$B$204,A78,'02_KICH_BAN_NODES'!$D$5:$D$204,"choice")=0,"ChoiceNodeId không tồn tại hoặc không phải choice",IF(COUNTIFS($A$5:$A$404,A78,$B$5:$B$404,B78)&gt;1,"Trùng OptionOrder trong cùng choice",IF(OR(B78="",C78="",D78="",F78="",H78=""),"Thiếu trường bắt buộc",IF(OR(COUNTIF($A$5:$A$404,A78)&lt;2,COUNTIF($A$5:$A$404,A78)&gt;4),"Mỗi choice cần 2–4 option",IF(COUNTIFS('02_KICH_BAN_NODES'!$B$5:$B$204,A78,'02_KICH_BAN_NODES'!$E$5:$E$204,"Kiến thức")=1,IF(COUNTIFS($A$5:$A$404,A78,$D$5:$D$404,"Có")&lt;&gt;1,"Choice kiến thức cần đúng 1 đáp án đúng",""),IF(COUNTIFS('02_KICH_BAN_NODES'!$B$5:$B$204,A78,'02_KICH_BAN_NODES'!$E$5:$E$204,"Tương tác")=1,IF(COUNTIFS($A$5:$A$404,A78,$D$5:$D$404,"Có")&lt;&gt;0,"Choice tương tác không được đánh dấu đáp án đúng",""),"Choice chưa chọn loại")))))))</f>
        <v/>
      </c>
    </row>
    <row r="79" spans="1:11">
      <c r="A79" s="13"/>
      <c r="B79" s="13"/>
      <c r="C79" s="5"/>
      <c r="D79" s="13"/>
      <c r="E79" s="13"/>
      <c r="F79" s="13"/>
      <c r="G79" s="13"/>
      <c r="H79" s="5"/>
      <c r="I79" s="5"/>
      <c r="J79" s="6" t="str">
        <f t="shared" si="1"/>
        <v/>
      </c>
      <c r="K79" s="6" t="str">
        <f>IF(A79="","",IF(COUNTIFS('02_KICH_BAN_NODES'!$B$5:$B$204,A79,'02_KICH_BAN_NODES'!$D$5:$D$204,"choice")=0,"ChoiceNodeId không tồn tại hoặc không phải choice",IF(COUNTIFS($A$5:$A$404,A79,$B$5:$B$404,B79)&gt;1,"Trùng OptionOrder trong cùng choice",IF(OR(B79="",C79="",D79="",F79="",H79=""),"Thiếu trường bắt buộc",IF(OR(COUNTIF($A$5:$A$404,A79)&lt;2,COUNTIF($A$5:$A$404,A79)&gt;4),"Mỗi choice cần 2–4 option",IF(COUNTIFS('02_KICH_BAN_NODES'!$B$5:$B$204,A79,'02_KICH_BAN_NODES'!$E$5:$E$204,"Kiến thức")=1,IF(COUNTIFS($A$5:$A$404,A79,$D$5:$D$404,"Có")&lt;&gt;1,"Choice kiến thức cần đúng 1 đáp án đúng",""),IF(COUNTIFS('02_KICH_BAN_NODES'!$B$5:$B$204,A79,'02_KICH_BAN_NODES'!$E$5:$E$204,"Tương tác")=1,IF(COUNTIFS($A$5:$A$404,A79,$D$5:$D$404,"Có")&lt;&gt;0,"Choice tương tác không được đánh dấu đáp án đúng",""),"Choice chưa chọn loại")))))))</f>
        <v/>
      </c>
    </row>
    <row r="80" spans="1:11">
      <c r="A80" s="13"/>
      <c r="B80" s="13"/>
      <c r="C80" s="5"/>
      <c r="D80" s="13"/>
      <c r="E80" s="13"/>
      <c r="F80" s="13"/>
      <c r="G80" s="13"/>
      <c r="H80" s="5"/>
      <c r="I80" s="5"/>
      <c r="J80" s="6" t="str">
        <f t="shared" si="1"/>
        <v/>
      </c>
      <c r="K80" s="6" t="str">
        <f>IF(A80="","",IF(COUNTIFS('02_KICH_BAN_NODES'!$B$5:$B$204,A80,'02_KICH_BAN_NODES'!$D$5:$D$204,"choice")=0,"ChoiceNodeId không tồn tại hoặc không phải choice",IF(COUNTIFS($A$5:$A$404,A80,$B$5:$B$404,B80)&gt;1,"Trùng OptionOrder trong cùng choice",IF(OR(B80="",C80="",D80="",F80="",H80=""),"Thiếu trường bắt buộc",IF(OR(COUNTIF($A$5:$A$404,A80)&lt;2,COUNTIF($A$5:$A$404,A80)&gt;4),"Mỗi choice cần 2–4 option",IF(COUNTIFS('02_KICH_BAN_NODES'!$B$5:$B$204,A80,'02_KICH_BAN_NODES'!$E$5:$E$204,"Kiến thức")=1,IF(COUNTIFS($A$5:$A$404,A80,$D$5:$D$404,"Có")&lt;&gt;1,"Choice kiến thức cần đúng 1 đáp án đúng",""),IF(COUNTIFS('02_KICH_BAN_NODES'!$B$5:$B$204,A80,'02_KICH_BAN_NODES'!$E$5:$E$204,"Tương tác")=1,IF(COUNTIFS($A$5:$A$404,A80,$D$5:$D$404,"Có")&lt;&gt;0,"Choice tương tác không được đánh dấu đáp án đúng",""),"Choice chưa chọn loại")))))))</f>
        <v/>
      </c>
    </row>
    <row r="81" spans="1:11">
      <c r="A81" s="13"/>
      <c r="B81" s="13"/>
      <c r="C81" s="5"/>
      <c r="D81" s="13"/>
      <c r="E81" s="13"/>
      <c r="F81" s="13"/>
      <c r="G81" s="13"/>
      <c r="H81" s="5"/>
      <c r="I81" s="5"/>
      <c r="J81" s="6" t="str">
        <f t="shared" si="1"/>
        <v/>
      </c>
      <c r="K81" s="6" t="str">
        <f>IF(A81="","",IF(COUNTIFS('02_KICH_BAN_NODES'!$B$5:$B$204,A81,'02_KICH_BAN_NODES'!$D$5:$D$204,"choice")=0,"ChoiceNodeId không tồn tại hoặc không phải choice",IF(COUNTIFS($A$5:$A$404,A81,$B$5:$B$404,B81)&gt;1,"Trùng OptionOrder trong cùng choice",IF(OR(B81="",C81="",D81="",F81="",H81=""),"Thiếu trường bắt buộc",IF(OR(COUNTIF($A$5:$A$404,A81)&lt;2,COUNTIF($A$5:$A$404,A81)&gt;4),"Mỗi choice cần 2–4 option",IF(COUNTIFS('02_KICH_BAN_NODES'!$B$5:$B$204,A81,'02_KICH_BAN_NODES'!$E$5:$E$204,"Kiến thức")=1,IF(COUNTIFS($A$5:$A$404,A81,$D$5:$D$404,"Có")&lt;&gt;1,"Choice kiến thức cần đúng 1 đáp án đúng",""),IF(COUNTIFS('02_KICH_BAN_NODES'!$B$5:$B$204,A81,'02_KICH_BAN_NODES'!$E$5:$E$204,"Tương tác")=1,IF(COUNTIFS($A$5:$A$404,A81,$D$5:$D$404,"Có")&lt;&gt;0,"Choice tương tác không được đánh dấu đáp án đúng",""),"Choice chưa chọn loại")))))))</f>
        <v/>
      </c>
    </row>
    <row r="82" spans="1:11">
      <c r="A82" s="13"/>
      <c r="B82" s="13"/>
      <c r="C82" s="5"/>
      <c r="D82" s="13"/>
      <c r="E82" s="13"/>
      <c r="F82" s="13"/>
      <c r="G82" s="13"/>
      <c r="H82" s="5"/>
      <c r="I82" s="5"/>
      <c r="J82" s="6" t="str">
        <f t="shared" si="1"/>
        <v/>
      </c>
      <c r="K82" s="6" t="str">
        <f>IF(A82="","",IF(COUNTIFS('02_KICH_BAN_NODES'!$B$5:$B$204,A82,'02_KICH_BAN_NODES'!$D$5:$D$204,"choice")=0,"ChoiceNodeId không tồn tại hoặc không phải choice",IF(COUNTIFS($A$5:$A$404,A82,$B$5:$B$404,B82)&gt;1,"Trùng OptionOrder trong cùng choice",IF(OR(B82="",C82="",D82="",F82="",H82=""),"Thiếu trường bắt buộc",IF(OR(COUNTIF($A$5:$A$404,A82)&lt;2,COUNTIF($A$5:$A$404,A82)&gt;4),"Mỗi choice cần 2–4 option",IF(COUNTIFS('02_KICH_BAN_NODES'!$B$5:$B$204,A82,'02_KICH_BAN_NODES'!$E$5:$E$204,"Kiến thức")=1,IF(COUNTIFS($A$5:$A$404,A82,$D$5:$D$404,"Có")&lt;&gt;1,"Choice kiến thức cần đúng 1 đáp án đúng",""),IF(COUNTIFS('02_KICH_BAN_NODES'!$B$5:$B$204,A82,'02_KICH_BAN_NODES'!$E$5:$E$204,"Tương tác")=1,IF(COUNTIFS($A$5:$A$404,A82,$D$5:$D$404,"Có")&lt;&gt;0,"Choice tương tác không được đánh dấu đáp án đúng",""),"Choice chưa chọn loại")))))))</f>
        <v/>
      </c>
    </row>
    <row r="83" spans="1:11">
      <c r="A83" s="13"/>
      <c r="B83" s="13"/>
      <c r="C83" s="5"/>
      <c r="D83" s="13"/>
      <c r="E83" s="13"/>
      <c r="F83" s="13"/>
      <c r="G83" s="13"/>
      <c r="H83" s="5"/>
      <c r="I83" s="5"/>
      <c r="J83" s="6" t="str">
        <f t="shared" si="1"/>
        <v/>
      </c>
      <c r="K83" s="6" t="str">
        <f>IF(A83="","",IF(COUNTIFS('02_KICH_BAN_NODES'!$B$5:$B$204,A83,'02_KICH_BAN_NODES'!$D$5:$D$204,"choice")=0,"ChoiceNodeId không tồn tại hoặc không phải choice",IF(COUNTIFS($A$5:$A$404,A83,$B$5:$B$404,B83)&gt;1,"Trùng OptionOrder trong cùng choice",IF(OR(B83="",C83="",D83="",F83="",H83=""),"Thiếu trường bắt buộc",IF(OR(COUNTIF($A$5:$A$404,A83)&lt;2,COUNTIF($A$5:$A$404,A83)&gt;4),"Mỗi choice cần 2–4 option",IF(COUNTIFS('02_KICH_BAN_NODES'!$B$5:$B$204,A83,'02_KICH_BAN_NODES'!$E$5:$E$204,"Kiến thức")=1,IF(COUNTIFS($A$5:$A$404,A83,$D$5:$D$404,"Có")&lt;&gt;1,"Choice kiến thức cần đúng 1 đáp án đúng",""),IF(COUNTIFS('02_KICH_BAN_NODES'!$B$5:$B$204,A83,'02_KICH_BAN_NODES'!$E$5:$E$204,"Tương tác")=1,IF(COUNTIFS($A$5:$A$404,A83,$D$5:$D$404,"Có")&lt;&gt;0,"Choice tương tác không được đánh dấu đáp án đúng",""),"Choice chưa chọn loại")))))))</f>
        <v/>
      </c>
    </row>
    <row r="84" spans="1:11">
      <c r="A84" s="13"/>
      <c r="B84" s="13"/>
      <c r="C84" s="5"/>
      <c r="D84" s="13"/>
      <c r="E84" s="13"/>
      <c r="F84" s="13"/>
      <c r="G84" s="13"/>
      <c r="H84" s="5"/>
      <c r="I84" s="5"/>
      <c r="J84" s="6" t="str">
        <f t="shared" si="1"/>
        <v/>
      </c>
      <c r="K84" s="6" t="str">
        <f>IF(A84="","",IF(COUNTIFS('02_KICH_BAN_NODES'!$B$5:$B$204,A84,'02_KICH_BAN_NODES'!$D$5:$D$204,"choice")=0,"ChoiceNodeId không tồn tại hoặc không phải choice",IF(COUNTIFS($A$5:$A$404,A84,$B$5:$B$404,B84)&gt;1,"Trùng OptionOrder trong cùng choice",IF(OR(B84="",C84="",D84="",F84="",H84=""),"Thiếu trường bắt buộc",IF(OR(COUNTIF($A$5:$A$404,A84)&lt;2,COUNTIF($A$5:$A$404,A84)&gt;4),"Mỗi choice cần 2–4 option",IF(COUNTIFS('02_KICH_BAN_NODES'!$B$5:$B$204,A84,'02_KICH_BAN_NODES'!$E$5:$E$204,"Kiến thức")=1,IF(COUNTIFS($A$5:$A$404,A84,$D$5:$D$404,"Có")&lt;&gt;1,"Choice kiến thức cần đúng 1 đáp án đúng",""),IF(COUNTIFS('02_KICH_BAN_NODES'!$B$5:$B$204,A84,'02_KICH_BAN_NODES'!$E$5:$E$204,"Tương tác")=1,IF(COUNTIFS($A$5:$A$404,A84,$D$5:$D$404,"Có")&lt;&gt;0,"Choice tương tác không được đánh dấu đáp án đúng",""),"Choice chưa chọn loại")))))))</f>
        <v/>
      </c>
    </row>
    <row r="85" spans="1:11">
      <c r="A85" s="13"/>
      <c r="B85" s="13"/>
      <c r="C85" s="5"/>
      <c r="D85" s="13"/>
      <c r="E85" s="13"/>
      <c r="F85" s="13"/>
      <c r="G85" s="13"/>
      <c r="H85" s="5"/>
      <c r="I85" s="5"/>
      <c r="J85" s="6" t="str">
        <f t="shared" si="1"/>
        <v/>
      </c>
      <c r="K85" s="6" t="str">
        <f>IF(A85="","",IF(COUNTIFS('02_KICH_BAN_NODES'!$B$5:$B$204,A85,'02_KICH_BAN_NODES'!$D$5:$D$204,"choice")=0,"ChoiceNodeId không tồn tại hoặc không phải choice",IF(COUNTIFS($A$5:$A$404,A85,$B$5:$B$404,B85)&gt;1,"Trùng OptionOrder trong cùng choice",IF(OR(B85="",C85="",D85="",F85="",H85=""),"Thiếu trường bắt buộc",IF(OR(COUNTIF($A$5:$A$404,A85)&lt;2,COUNTIF($A$5:$A$404,A85)&gt;4),"Mỗi choice cần 2–4 option",IF(COUNTIFS('02_KICH_BAN_NODES'!$B$5:$B$204,A85,'02_KICH_BAN_NODES'!$E$5:$E$204,"Kiến thức")=1,IF(COUNTIFS($A$5:$A$404,A85,$D$5:$D$404,"Có")&lt;&gt;1,"Choice kiến thức cần đúng 1 đáp án đúng",""),IF(COUNTIFS('02_KICH_BAN_NODES'!$B$5:$B$204,A85,'02_KICH_BAN_NODES'!$E$5:$E$204,"Tương tác")=1,IF(COUNTIFS($A$5:$A$404,A85,$D$5:$D$404,"Có")&lt;&gt;0,"Choice tương tác không được đánh dấu đáp án đúng",""),"Choice chưa chọn loại")))))))</f>
        <v/>
      </c>
    </row>
    <row r="86" spans="1:11">
      <c r="A86" s="13"/>
      <c r="B86" s="13"/>
      <c r="C86" s="5"/>
      <c r="D86" s="13"/>
      <c r="E86" s="13"/>
      <c r="F86" s="13"/>
      <c r="G86" s="13"/>
      <c r="H86" s="5"/>
      <c r="I86" s="5"/>
      <c r="J86" s="6" t="str">
        <f t="shared" si="1"/>
        <v/>
      </c>
      <c r="K86" s="6" t="str">
        <f>IF(A86="","",IF(COUNTIFS('02_KICH_BAN_NODES'!$B$5:$B$204,A86,'02_KICH_BAN_NODES'!$D$5:$D$204,"choice")=0,"ChoiceNodeId không tồn tại hoặc không phải choice",IF(COUNTIFS($A$5:$A$404,A86,$B$5:$B$404,B86)&gt;1,"Trùng OptionOrder trong cùng choice",IF(OR(B86="",C86="",D86="",F86="",H86=""),"Thiếu trường bắt buộc",IF(OR(COUNTIF($A$5:$A$404,A86)&lt;2,COUNTIF($A$5:$A$404,A86)&gt;4),"Mỗi choice cần 2–4 option",IF(COUNTIFS('02_KICH_BAN_NODES'!$B$5:$B$204,A86,'02_KICH_BAN_NODES'!$E$5:$E$204,"Kiến thức")=1,IF(COUNTIFS($A$5:$A$404,A86,$D$5:$D$404,"Có")&lt;&gt;1,"Choice kiến thức cần đúng 1 đáp án đúng",""),IF(COUNTIFS('02_KICH_BAN_NODES'!$B$5:$B$204,A86,'02_KICH_BAN_NODES'!$E$5:$E$204,"Tương tác")=1,IF(COUNTIFS($A$5:$A$404,A86,$D$5:$D$404,"Có")&lt;&gt;0,"Choice tương tác không được đánh dấu đáp án đúng",""),"Choice chưa chọn loại")))))))</f>
        <v/>
      </c>
    </row>
    <row r="87" spans="1:11">
      <c r="A87" s="13"/>
      <c r="B87" s="13"/>
      <c r="C87" s="5"/>
      <c r="D87" s="13"/>
      <c r="E87" s="13"/>
      <c r="F87" s="13"/>
      <c r="G87" s="13"/>
      <c r="H87" s="5"/>
      <c r="I87" s="5"/>
      <c r="J87" s="6" t="str">
        <f t="shared" si="1"/>
        <v/>
      </c>
      <c r="K87" s="6" t="str">
        <f>IF(A87="","",IF(COUNTIFS('02_KICH_BAN_NODES'!$B$5:$B$204,A87,'02_KICH_BAN_NODES'!$D$5:$D$204,"choice")=0,"ChoiceNodeId không tồn tại hoặc không phải choice",IF(COUNTIFS($A$5:$A$404,A87,$B$5:$B$404,B87)&gt;1,"Trùng OptionOrder trong cùng choice",IF(OR(B87="",C87="",D87="",F87="",H87=""),"Thiếu trường bắt buộc",IF(OR(COUNTIF($A$5:$A$404,A87)&lt;2,COUNTIF($A$5:$A$404,A87)&gt;4),"Mỗi choice cần 2–4 option",IF(COUNTIFS('02_KICH_BAN_NODES'!$B$5:$B$204,A87,'02_KICH_BAN_NODES'!$E$5:$E$204,"Kiến thức")=1,IF(COUNTIFS($A$5:$A$404,A87,$D$5:$D$404,"Có")&lt;&gt;1,"Choice kiến thức cần đúng 1 đáp án đúng",""),IF(COUNTIFS('02_KICH_BAN_NODES'!$B$5:$B$204,A87,'02_KICH_BAN_NODES'!$E$5:$E$204,"Tương tác")=1,IF(COUNTIFS($A$5:$A$404,A87,$D$5:$D$404,"Có")&lt;&gt;0,"Choice tương tác không được đánh dấu đáp án đúng",""),"Choice chưa chọn loại")))))))</f>
        <v/>
      </c>
    </row>
    <row r="88" spans="1:11">
      <c r="A88" s="13"/>
      <c r="B88" s="13"/>
      <c r="C88" s="5"/>
      <c r="D88" s="13"/>
      <c r="E88" s="13"/>
      <c r="F88" s="13"/>
      <c r="G88" s="13"/>
      <c r="H88" s="5"/>
      <c r="I88" s="5"/>
      <c r="J88" s="6" t="str">
        <f t="shared" si="1"/>
        <v/>
      </c>
      <c r="K88" s="6" t="str">
        <f>IF(A88="","",IF(COUNTIFS('02_KICH_BAN_NODES'!$B$5:$B$204,A88,'02_KICH_BAN_NODES'!$D$5:$D$204,"choice")=0,"ChoiceNodeId không tồn tại hoặc không phải choice",IF(COUNTIFS($A$5:$A$404,A88,$B$5:$B$404,B88)&gt;1,"Trùng OptionOrder trong cùng choice",IF(OR(B88="",C88="",D88="",F88="",H88=""),"Thiếu trường bắt buộc",IF(OR(COUNTIF($A$5:$A$404,A88)&lt;2,COUNTIF($A$5:$A$404,A88)&gt;4),"Mỗi choice cần 2–4 option",IF(COUNTIFS('02_KICH_BAN_NODES'!$B$5:$B$204,A88,'02_KICH_BAN_NODES'!$E$5:$E$204,"Kiến thức")=1,IF(COUNTIFS($A$5:$A$404,A88,$D$5:$D$404,"Có")&lt;&gt;1,"Choice kiến thức cần đúng 1 đáp án đúng",""),IF(COUNTIFS('02_KICH_BAN_NODES'!$B$5:$B$204,A88,'02_KICH_BAN_NODES'!$E$5:$E$204,"Tương tác")=1,IF(COUNTIFS($A$5:$A$404,A88,$D$5:$D$404,"Có")&lt;&gt;0,"Choice tương tác không được đánh dấu đáp án đúng",""),"Choice chưa chọn loại")))))))</f>
        <v/>
      </c>
    </row>
    <row r="89" spans="1:11">
      <c r="A89" s="13"/>
      <c r="B89" s="13"/>
      <c r="C89" s="5"/>
      <c r="D89" s="13"/>
      <c r="E89" s="13"/>
      <c r="F89" s="13"/>
      <c r="G89" s="13"/>
      <c r="H89" s="5"/>
      <c r="I89" s="5"/>
      <c r="J89" s="6" t="str">
        <f t="shared" si="1"/>
        <v/>
      </c>
      <c r="K89" s="6" t="str">
        <f>IF(A89="","",IF(COUNTIFS('02_KICH_BAN_NODES'!$B$5:$B$204,A89,'02_KICH_BAN_NODES'!$D$5:$D$204,"choice")=0,"ChoiceNodeId không tồn tại hoặc không phải choice",IF(COUNTIFS($A$5:$A$404,A89,$B$5:$B$404,B89)&gt;1,"Trùng OptionOrder trong cùng choice",IF(OR(B89="",C89="",D89="",F89="",H89=""),"Thiếu trường bắt buộc",IF(OR(COUNTIF($A$5:$A$404,A89)&lt;2,COUNTIF($A$5:$A$404,A89)&gt;4),"Mỗi choice cần 2–4 option",IF(COUNTIFS('02_KICH_BAN_NODES'!$B$5:$B$204,A89,'02_KICH_BAN_NODES'!$E$5:$E$204,"Kiến thức")=1,IF(COUNTIFS($A$5:$A$404,A89,$D$5:$D$404,"Có")&lt;&gt;1,"Choice kiến thức cần đúng 1 đáp án đúng",""),IF(COUNTIFS('02_KICH_BAN_NODES'!$B$5:$B$204,A89,'02_KICH_BAN_NODES'!$E$5:$E$204,"Tương tác")=1,IF(COUNTIFS($A$5:$A$404,A89,$D$5:$D$404,"Có")&lt;&gt;0,"Choice tương tác không được đánh dấu đáp án đúng",""),"Choice chưa chọn loại")))))))</f>
        <v/>
      </c>
    </row>
    <row r="90" spans="1:11">
      <c r="A90" s="13"/>
      <c r="B90" s="13"/>
      <c r="C90" s="5"/>
      <c r="D90" s="13"/>
      <c r="E90" s="13"/>
      <c r="F90" s="13"/>
      <c r="G90" s="13"/>
      <c r="H90" s="5"/>
      <c r="I90" s="5"/>
      <c r="J90" s="6" t="str">
        <f t="shared" si="1"/>
        <v/>
      </c>
      <c r="K90" s="6" t="str">
        <f>IF(A90="","",IF(COUNTIFS('02_KICH_BAN_NODES'!$B$5:$B$204,A90,'02_KICH_BAN_NODES'!$D$5:$D$204,"choice")=0,"ChoiceNodeId không tồn tại hoặc không phải choice",IF(COUNTIFS($A$5:$A$404,A90,$B$5:$B$404,B90)&gt;1,"Trùng OptionOrder trong cùng choice",IF(OR(B90="",C90="",D90="",F90="",H90=""),"Thiếu trường bắt buộc",IF(OR(COUNTIF($A$5:$A$404,A90)&lt;2,COUNTIF($A$5:$A$404,A90)&gt;4),"Mỗi choice cần 2–4 option",IF(COUNTIFS('02_KICH_BAN_NODES'!$B$5:$B$204,A90,'02_KICH_BAN_NODES'!$E$5:$E$204,"Kiến thức")=1,IF(COUNTIFS($A$5:$A$404,A90,$D$5:$D$404,"Có")&lt;&gt;1,"Choice kiến thức cần đúng 1 đáp án đúng",""),IF(COUNTIFS('02_KICH_BAN_NODES'!$B$5:$B$204,A90,'02_KICH_BAN_NODES'!$E$5:$E$204,"Tương tác")=1,IF(COUNTIFS($A$5:$A$404,A90,$D$5:$D$404,"Có")&lt;&gt;0,"Choice tương tác không được đánh dấu đáp án đúng",""),"Choice chưa chọn loại")))))))</f>
        <v/>
      </c>
    </row>
    <row r="91" spans="1:11">
      <c r="A91" s="13"/>
      <c r="B91" s="13"/>
      <c r="C91" s="5"/>
      <c r="D91" s="13"/>
      <c r="E91" s="13"/>
      <c r="F91" s="13"/>
      <c r="G91" s="13"/>
      <c r="H91" s="5"/>
      <c r="I91" s="5"/>
      <c r="J91" s="6" t="str">
        <f t="shared" si="1"/>
        <v/>
      </c>
      <c r="K91" s="6" t="str">
        <f>IF(A91="","",IF(COUNTIFS('02_KICH_BAN_NODES'!$B$5:$B$204,A91,'02_KICH_BAN_NODES'!$D$5:$D$204,"choice")=0,"ChoiceNodeId không tồn tại hoặc không phải choice",IF(COUNTIFS($A$5:$A$404,A91,$B$5:$B$404,B91)&gt;1,"Trùng OptionOrder trong cùng choice",IF(OR(B91="",C91="",D91="",F91="",H91=""),"Thiếu trường bắt buộc",IF(OR(COUNTIF($A$5:$A$404,A91)&lt;2,COUNTIF($A$5:$A$404,A91)&gt;4),"Mỗi choice cần 2–4 option",IF(COUNTIFS('02_KICH_BAN_NODES'!$B$5:$B$204,A91,'02_KICH_BAN_NODES'!$E$5:$E$204,"Kiến thức")=1,IF(COUNTIFS($A$5:$A$404,A91,$D$5:$D$404,"Có")&lt;&gt;1,"Choice kiến thức cần đúng 1 đáp án đúng",""),IF(COUNTIFS('02_KICH_BAN_NODES'!$B$5:$B$204,A91,'02_KICH_BAN_NODES'!$E$5:$E$204,"Tương tác")=1,IF(COUNTIFS($A$5:$A$404,A91,$D$5:$D$404,"Có")&lt;&gt;0,"Choice tương tác không được đánh dấu đáp án đúng",""),"Choice chưa chọn loại")))))))</f>
        <v/>
      </c>
    </row>
    <row r="92" spans="1:11">
      <c r="A92" s="13"/>
      <c r="B92" s="13"/>
      <c r="C92" s="5"/>
      <c r="D92" s="13"/>
      <c r="E92" s="13"/>
      <c r="F92" s="13"/>
      <c r="G92" s="13"/>
      <c r="H92" s="5"/>
      <c r="I92" s="5"/>
      <c r="J92" s="6" t="str">
        <f t="shared" si="1"/>
        <v/>
      </c>
      <c r="K92" s="6" t="str">
        <f>IF(A92="","",IF(COUNTIFS('02_KICH_BAN_NODES'!$B$5:$B$204,A92,'02_KICH_BAN_NODES'!$D$5:$D$204,"choice")=0,"ChoiceNodeId không tồn tại hoặc không phải choice",IF(COUNTIFS($A$5:$A$404,A92,$B$5:$B$404,B92)&gt;1,"Trùng OptionOrder trong cùng choice",IF(OR(B92="",C92="",D92="",F92="",H92=""),"Thiếu trường bắt buộc",IF(OR(COUNTIF($A$5:$A$404,A92)&lt;2,COUNTIF($A$5:$A$404,A92)&gt;4),"Mỗi choice cần 2–4 option",IF(COUNTIFS('02_KICH_BAN_NODES'!$B$5:$B$204,A92,'02_KICH_BAN_NODES'!$E$5:$E$204,"Kiến thức")=1,IF(COUNTIFS($A$5:$A$404,A92,$D$5:$D$404,"Có")&lt;&gt;1,"Choice kiến thức cần đúng 1 đáp án đúng",""),IF(COUNTIFS('02_KICH_BAN_NODES'!$B$5:$B$204,A92,'02_KICH_BAN_NODES'!$E$5:$E$204,"Tương tác")=1,IF(COUNTIFS($A$5:$A$404,A92,$D$5:$D$404,"Có")&lt;&gt;0,"Choice tương tác không được đánh dấu đáp án đúng",""),"Choice chưa chọn loại")))))))</f>
        <v/>
      </c>
    </row>
    <row r="93" spans="1:11">
      <c r="A93" s="13"/>
      <c r="B93" s="13"/>
      <c r="C93" s="5"/>
      <c r="D93" s="13"/>
      <c r="E93" s="13"/>
      <c r="F93" s="13"/>
      <c r="G93" s="13"/>
      <c r="H93" s="5"/>
      <c r="I93" s="5"/>
      <c r="J93" s="6" t="str">
        <f t="shared" si="1"/>
        <v/>
      </c>
      <c r="K93" s="6" t="str">
        <f>IF(A93="","",IF(COUNTIFS('02_KICH_BAN_NODES'!$B$5:$B$204,A93,'02_KICH_BAN_NODES'!$D$5:$D$204,"choice")=0,"ChoiceNodeId không tồn tại hoặc không phải choice",IF(COUNTIFS($A$5:$A$404,A93,$B$5:$B$404,B93)&gt;1,"Trùng OptionOrder trong cùng choice",IF(OR(B93="",C93="",D93="",F93="",H93=""),"Thiếu trường bắt buộc",IF(OR(COUNTIF($A$5:$A$404,A93)&lt;2,COUNTIF($A$5:$A$404,A93)&gt;4),"Mỗi choice cần 2–4 option",IF(COUNTIFS('02_KICH_BAN_NODES'!$B$5:$B$204,A93,'02_KICH_BAN_NODES'!$E$5:$E$204,"Kiến thức")=1,IF(COUNTIFS($A$5:$A$404,A93,$D$5:$D$404,"Có")&lt;&gt;1,"Choice kiến thức cần đúng 1 đáp án đúng",""),IF(COUNTIFS('02_KICH_BAN_NODES'!$B$5:$B$204,A93,'02_KICH_BAN_NODES'!$E$5:$E$204,"Tương tác")=1,IF(COUNTIFS($A$5:$A$404,A93,$D$5:$D$404,"Có")&lt;&gt;0,"Choice tương tác không được đánh dấu đáp án đúng",""),"Choice chưa chọn loại")))))))</f>
        <v/>
      </c>
    </row>
    <row r="94" spans="1:11">
      <c r="A94" s="13"/>
      <c r="B94" s="13"/>
      <c r="C94" s="5"/>
      <c r="D94" s="13"/>
      <c r="E94" s="13"/>
      <c r="F94" s="13"/>
      <c r="G94" s="13"/>
      <c r="H94" s="5"/>
      <c r="I94" s="5"/>
      <c r="J94" s="6" t="str">
        <f t="shared" si="1"/>
        <v/>
      </c>
      <c r="K94" s="6" t="str">
        <f>IF(A94="","",IF(COUNTIFS('02_KICH_BAN_NODES'!$B$5:$B$204,A94,'02_KICH_BAN_NODES'!$D$5:$D$204,"choice")=0,"ChoiceNodeId không tồn tại hoặc không phải choice",IF(COUNTIFS($A$5:$A$404,A94,$B$5:$B$404,B94)&gt;1,"Trùng OptionOrder trong cùng choice",IF(OR(B94="",C94="",D94="",F94="",H94=""),"Thiếu trường bắt buộc",IF(OR(COUNTIF($A$5:$A$404,A94)&lt;2,COUNTIF($A$5:$A$404,A94)&gt;4),"Mỗi choice cần 2–4 option",IF(COUNTIFS('02_KICH_BAN_NODES'!$B$5:$B$204,A94,'02_KICH_BAN_NODES'!$E$5:$E$204,"Kiến thức")=1,IF(COUNTIFS($A$5:$A$404,A94,$D$5:$D$404,"Có")&lt;&gt;1,"Choice kiến thức cần đúng 1 đáp án đúng",""),IF(COUNTIFS('02_KICH_BAN_NODES'!$B$5:$B$204,A94,'02_KICH_BAN_NODES'!$E$5:$E$204,"Tương tác")=1,IF(COUNTIFS($A$5:$A$404,A94,$D$5:$D$404,"Có")&lt;&gt;0,"Choice tương tác không được đánh dấu đáp án đúng",""),"Choice chưa chọn loại")))))))</f>
        <v/>
      </c>
    </row>
    <row r="95" spans="1:11">
      <c r="A95" s="13"/>
      <c r="B95" s="13"/>
      <c r="C95" s="5"/>
      <c r="D95" s="13"/>
      <c r="E95" s="13"/>
      <c r="F95" s="13"/>
      <c r="G95" s="13"/>
      <c r="H95" s="5"/>
      <c r="I95" s="5"/>
      <c r="J95" s="6" t="str">
        <f t="shared" si="1"/>
        <v/>
      </c>
      <c r="K95" s="6" t="str">
        <f>IF(A95="","",IF(COUNTIFS('02_KICH_BAN_NODES'!$B$5:$B$204,A95,'02_KICH_BAN_NODES'!$D$5:$D$204,"choice")=0,"ChoiceNodeId không tồn tại hoặc không phải choice",IF(COUNTIFS($A$5:$A$404,A95,$B$5:$B$404,B95)&gt;1,"Trùng OptionOrder trong cùng choice",IF(OR(B95="",C95="",D95="",F95="",H95=""),"Thiếu trường bắt buộc",IF(OR(COUNTIF($A$5:$A$404,A95)&lt;2,COUNTIF($A$5:$A$404,A95)&gt;4),"Mỗi choice cần 2–4 option",IF(COUNTIFS('02_KICH_BAN_NODES'!$B$5:$B$204,A95,'02_KICH_BAN_NODES'!$E$5:$E$204,"Kiến thức")=1,IF(COUNTIFS($A$5:$A$404,A95,$D$5:$D$404,"Có")&lt;&gt;1,"Choice kiến thức cần đúng 1 đáp án đúng",""),IF(COUNTIFS('02_KICH_BAN_NODES'!$B$5:$B$204,A95,'02_KICH_BAN_NODES'!$E$5:$E$204,"Tương tác")=1,IF(COUNTIFS($A$5:$A$404,A95,$D$5:$D$404,"Có")&lt;&gt;0,"Choice tương tác không được đánh dấu đáp án đúng",""),"Choice chưa chọn loại")))))))</f>
        <v/>
      </c>
    </row>
    <row r="96" spans="1:11">
      <c r="A96" s="13"/>
      <c r="B96" s="13"/>
      <c r="C96" s="5"/>
      <c r="D96" s="13"/>
      <c r="E96" s="13"/>
      <c r="F96" s="13"/>
      <c r="G96" s="13"/>
      <c r="H96" s="5"/>
      <c r="I96" s="5"/>
      <c r="J96" s="6" t="str">
        <f t="shared" si="1"/>
        <v/>
      </c>
      <c r="K96" s="6" t="str">
        <f>IF(A96="","",IF(COUNTIFS('02_KICH_BAN_NODES'!$B$5:$B$204,A96,'02_KICH_BAN_NODES'!$D$5:$D$204,"choice")=0,"ChoiceNodeId không tồn tại hoặc không phải choice",IF(COUNTIFS($A$5:$A$404,A96,$B$5:$B$404,B96)&gt;1,"Trùng OptionOrder trong cùng choice",IF(OR(B96="",C96="",D96="",F96="",H96=""),"Thiếu trường bắt buộc",IF(OR(COUNTIF($A$5:$A$404,A96)&lt;2,COUNTIF($A$5:$A$404,A96)&gt;4),"Mỗi choice cần 2–4 option",IF(COUNTIFS('02_KICH_BAN_NODES'!$B$5:$B$204,A96,'02_KICH_BAN_NODES'!$E$5:$E$204,"Kiến thức")=1,IF(COUNTIFS($A$5:$A$404,A96,$D$5:$D$404,"Có")&lt;&gt;1,"Choice kiến thức cần đúng 1 đáp án đúng",""),IF(COUNTIFS('02_KICH_BAN_NODES'!$B$5:$B$204,A96,'02_KICH_BAN_NODES'!$E$5:$E$204,"Tương tác")=1,IF(COUNTIFS($A$5:$A$404,A96,$D$5:$D$404,"Có")&lt;&gt;0,"Choice tương tác không được đánh dấu đáp án đúng",""),"Choice chưa chọn loại")))))))</f>
        <v/>
      </c>
    </row>
    <row r="97" spans="1:11">
      <c r="A97" s="13"/>
      <c r="B97" s="13"/>
      <c r="C97" s="5"/>
      <c r="D97" s="13"/>
      <c r="E97" s="13"/>
      <c r="F97" s="13"/>
      <c r="G97" s="13"/>
      <c r="H97" s="5"/>
      <c r="I97" s="5"/>
      <c r="J97" s="6" t="str">
        <f t="shared" si="1"/>
        <v/>
      </c>
      <c r="K97" s="6" t="str">
        <f>IF(A97="","",IF(COUNTIFS('02_KICH_BAN_NODES'!$B$5:$B$204,A97,'02_KICH_BAN_NODES'!$D$5:$D$204,"choice")=0,"ChoiceNodeId không tồn tại hoặc không phải choice",IF(COUNTIFS($A$5:$A$404,A97,$B$5:$B$404,B97)&gt;1,"Trùng OptionOrder trong cùng choice",IF(OR(B97="",C97="",D97="",F97="",H97=""),"Thiếu trường bắt buộc",IF(OR(COUNTIF($A$5:$A$404,A97)&lt;2,COUNTIF($A$5:$A$404,A97)&gt;4),"Mỗi choice cần 2–4 option",IF(COUNTIFS('02_KICH_BAN_NODES'!$B$5:$B$204,A97,'02_KICH_BAN_NODES'!$E$5:$E$204,"Kiến thức")=1,IF(COUNTIFS($A$5:$A$404,A97,$D$5:$D$404,"Có")&lt;&gt;1,"Choice kiến thức cần đúng 1 đáp án đúng",""),IF(COUNTIFS('02_KICH_BAN_NODES'!$B$5:$B$204,A97,'02_KICH_BAN_NODES'!$E$5:$E$204,"Tương tác")=1,IF(COUNTIFS($A$5:$A$404,A97,$D$5:$D$404,"Có")&lt;&gt;0,"Choice tương tác không được đánh dấu đáp án đúng",""),"Choice chưa chọn loại")))))))</f>
        <v/>
      </c>
    </row>
    <row r="98" spans="1:11">
      <c r="A98" s="13"/>
      <c r="B98" s="13"/>
      <c r="C98" s="5"/>
      <c r="D98" s="13"/>
      <c r="E98" s="13"/>
      <c r="F98" s="13"/>
      <c r="G98" s="13"/>
      <c r="H98" s="5"/>
      <c r="I98" s="5"/>
      <c r="J98" s="6" t="str">
        <f t="shared" si="1"/>
        <v/>
      </c>
      <c r="K98" s="6" t="str">
        <f>IF(A98="","",IF(COUNTIFS('02_KICH_BAN_NODES'!$B$5:$B$204,A98,'02_KICH_BAN_NODES'!$D$5:$D$204,"choice")=0,"ChoiceNodeId không tồn tại hoặc không phải choice",IF(COUNTIFS($A$5:$A$404,A98,$B$5:$B$404,B98)&gt;1,"Trùng OptionOrder trong cùng choice",IF(OR(B98="",C98="",D98="",F98="",H98=""),"Thiếu trường bắt buộc",IF(OR(COUNTIF($A$5:$A$404,A98)&lt;2,COUNTIF($A$5:$A$404,A98)&gt;4),"Mỗi choice cần 2–4 option",IF(COUNTIFS('02_KICH_BAN_NODES'!$B$5:$B$204,A98,'02_KICH_BAN_NODES'!$E$5:$E$204,"Kiến thức")=1,IF(COUNTIFS($A$5:$A$404,A98,$D$5:$D$404,"Có")&lt;&gt;1,"Choice kiến thức cần đúng 1 đáp án đúng",""),IF(COUNTIFS('02_KICH_BAN_NODES'!$B$5:$B$204,A98,'02_KICH_BAN_NODES'!$E$5:$E$204,"Tương tác")=1,IF(COUNTIFS($A$5:$A$404,A98,$D$5:$D$404,"Có")&lt;&gt;0,"Choice tương tác không được đánh dấu đáp án đúng",""),"Choice chưa chọn loại")))))))</f>
        <v/>
      </c>
    </row>
    <row r="99" spans="1:11">
      <c r="A99" s="13"/>
      <c r="B99" s="13"/>
      <c r="C99" s="5"/>
      <c r="D99" s="13"/>
      <c r="E99" s="13"/>
      <c r="F99" s="13"/>
      <c r="G99" s="13"/>
      <c r="H99" s="5"/>
      <c r="I99" s="5"/>
      <c r="J99" s="6" t="str">
        <f t="shared" si="1"/>
        <v/>
      </c>
      <c r="K99" s="6" t="str">
        <f>IF(A99="","",IF(COUNTIFS('02_KICH_BAN_NODES'!$B$5:$B$204,A99,'02_KICH_BAN_NODES'!$D$5:$D$204,"choice")=0,"ChoiceNodeId không tồn tại hoặc không phải choice",IF(COUNTIFS($A$5:$A$404,A99,$B$5:$B$404,B99)&gt;1,"Trùng OptionOrder trong cùng choice",IF(OR(B99="",C99="",D99="",F99="",H99=""),"Thiếu trường bắt buộc",IF(OR(COUNTIF($A$5:$A$404,A99)&lt;2,COUNTIF($A$5:$A$404,A99)&gt;4),"Mỗi choice cần 2–4 option",IF(COUNTIFS('02_KICH_BAN_NODES'!$B$5:$B$204,A99,'02_KICH_BAN_NODES'!$E$5:$E$204,"Kiến thức")=1,IF(COUNTIFS($A$5:$A$404,A99,$D$5:$D$404,"Có")&lt;&gt;1,"Choice kiến thức cần đúng 1 đáp án đúng",""),IF(COUNTIFS('02_KICH_BAN_NODES'!$B$5:$B$204,A99,'02_KICH_BAN_NODES'!$E$5:$E$204,"Tương tác")=1,IF(COUNTIFS($A$5:$A$404,A99,$D$5:$D$404,"Có")&lt;&gt;0,"Choice tương tác không được đánh dấu đáp án đúng",""),"Choice chưa chọn loại")))))))</f>
        <v/>
      </c>
    </row>
    <row r="100" spans="1:11">
      <c r="A100" s="13"/>
      <c r="B100" s="13"/>
      <c r="C100" s="5"/>
      <c r="D100" s="13"/>
      <c r="E100" s="13"/>
      <c r="F100" s="13"/>
      <c r="G100" s="13"/>
      <c r="H100" s="5"/>
      <c r="I100" s="5"/>
      <c r="J100" s="6" t="str">
        <f t="shared" si="1"/>
        <v/>
      </c>
      <c r="K100" s="6" t="str">
        <f>IF(A100="","",IF(COUNTIFS('02_KICH_BAN_NODES'!$B$5:$B$204,A100,'02_KICH_BAN_NODES'!$D$5:$D$204,"choice")=0,"ChoiceNodeId không tồn tại hoặc không phải choice",IF(COUNTIFS($A$5:$A$404,A100,$B$5:$B$404,B100)&gt;1,"Trùng OptionOrder trong cùng choice",IF(OR(B100="",C100="",D100="",F100="",H100=""),"Thiếu trường bắt buộc",IF(OR(COUNTIF($A$5:$A$404,A100)&lt;2,COUNTIF($A$5:$A$404,A100)&gt;4),"Mỗi choice cần 2–4 option",IF(COUNTIFS('02_KICH_BAN_NODES'!$B$5:$B$204,A100,'02_KICH_BAN_NODES'!$E$5:$E$204,"Kiến thức")=1,IF(COUNTIFS($A$5:$A$404,A100,$D$5:$D$404,"Có")&lt;&gt;1,"Choice kiến thức cần đúng 1 đáp án đúng",""),IF(COUNTIFS('02_KICH_BAN_NODES'!$B$5:$B$204,A100,'02_KICH_BAN_NODES'!$E$5:$E$204,"Tương tác")=1,IF(COUNTIFS($A$5:$A$404,A100,$D$5:$D$404,"Có")&lt;&gt;0,"Choice tương tác không được đánh dấu đáp án đúng",""),"Choice chưa chọn loại")))))))</f>
        <v/>
      </c>
    </row>
    <row r="101" spans="1:11">
      <c r="A101" s="13"/>
      <c r="B101" s="13"/>
      <c r="C101" s="5"/>
      <c r="D101" s="13"/>
      <c r="E101" s="13"/>
      <c r="F101" s="13"/>
      <c r="G101" s="13"/>
      <c r="H101" s="5"/>
      <c r="I101" s="5"/>
      <c r="J101" s="6" t="str">
        <f t="shared" si="1"/>
        <v/>
      </c>
      <c r="K101" s="6" t="str">
        <f>IF(A101="","",IF(COUNTIFS('02_KICH_BAN_NODES'!$B$5:$B$204,A101,'02_KICH_BAN_NODES'!$D$5:$D$204,"choice")=0,"ChoiceNodeId không tồn tại hoặc không phải choice",IF(COUNTIFS($A$5:$A$404,A101,$B$5:$B$404,B101)&gt;1,"Trùng OptionOrder trong cùng choice",IF(OR(B101="",C101="",D101="",F101="",H101=""),"Thiếu trường bắt buộc",IF(OR(COUNTIF($A$5:$A$404,A101)&lt;2,COUNTIF($A$5:$A$404,A101)&gt;4),"Mỗi choice cần 2–4 option",IF(COUNTIFS('02_KICH_BAN_NODES'!$B$5:$B$204,A101,'02_KICH_BAN_NODES'!$E$5:$E$204,"Kiến thức")=1,IF(COUNTIFS($A$5:$A$404,A101,$D$5:$D$404,"Có")&lt;&gt;1,"Choice kiến thức cần đúng 1 đáp án đúng",""),IF(COUNTIFS('02_KICH_BAN_NODES'!$B$5:$B$204,A101,'02_KICH_BAN_NODES'!$E$5:$E$204,"Tương tác")=1,IF(COUNTIFS($A$5:$A$404,A101,$D$5:$D$404,"Có")&lt;&gt;0,"Choice tương tác không được đánh dấu đáp án đúng",""),"Choice chưa chọn loại")))))))</f>
        <v/>
      </c>
    </row>
    <row r="102" spans="1:11">
      <c r="A102" s="13"/>
      <c r="B102" s="13"/>
      <c r="C102" s="5"/>
      <c r="D102" s="13"/>
      <c r="E102" s="13"/>
      <c r="F102" s="13"/>
      <c r="G102" s="13"/>
      <c r="H102" s="5"/>
      <c r="I102" s="5"/>
      <c r="J102" s="6" t="str">
        <f t="shared" si="1"/>
        <v/>
      </c>
      <c r="K102" s="6" t="str">
        <f>IF(A102="","",IF(COUNTIFS('02_KICH_BAN_NODES'!$B$5:$B$204,A102,'02_KICH_BAN_NODES'!$D$5:$D$204,"choice")=0,"ChoiceNodeId không tồn tại hoặc không phải choice",IF(COUNTIFS($A$5:$A$404,A102,$B$5:$B$404,B102)&gt;1,"Trùng OptionOrder trong cùng choice",IF(OR(B102="",C102="",D102="",F102="",H102=""),"Thiếu trường bắt buộc",IF(OR(COUNTIF($A$5:$A$404,A102)&lt;2,COUNTIF($A$5:$A$404,A102)&gt;4),"Mỗi choice cần 2–4 option",IF(COUNTIFS('02_KICH_BAN_NODES'!$B$5:$B$204,A102,'02_KICH_BAN_NODES'!$E$5:$E$204,"Kiến thức")=1,IF(COUNTIFS($A$5:$A$404,A102,$D$5:$D$404,"Có")&lt;&gt;1,"Choice kiến thức cần đúng 1 đáp án đúng",""),IF(COUNTIFS('02_KICH_BAN_NODES'!$B$5:$B$204,A102,'02_KICH_BAN_NODES'!$E$5:$E$204,"Tương tác")=1,IF(COUNTIFS($A$5:$A$404,A102,$D$5:$D$404,"Có")&lt;&gt;0,"Choice tương tác không được đánh dấu đáp án đúng",""),"Choice chưa chọn loại")))))))</f>
        <v/>
      </c>
    </row>
    <row r="103" spans="1:11">
      <c r="A103" s="13"/>
      <c r="B103" s="13"/>
      <c r="C103" s="5"/>
      <c r="D103" s="13"/>
      <c r="E103" s="13"/>
      <c r="F103" s="13"/>
      <c r="G103" s="13"/>
      <c r="H103" s="5"/>
      <c r="I103" s="5"/>
      <c r="J103" s="6" t="str">
        <f t="shared" si="1"/>
        <v/>
      </c>
      <c r="K103" s="6" t="str">
        <f>IF(A103="","",IF(COUNTIFS('02_KICH_BAN_NODES'!$B$5:$B$204,A103,'02_KICH_BAN_NODES'!$D$5:$D$204,"choice")=0,"ChoiceNodeId không tồn tại hoặc không phải choice",IF(COUNTIFS($A$5:$A$404,A103,$B$5:$B$404,B103)&gt;1,"Trùng OptionOrder trong cùng choice",IF(OR(B103="",C103="",D103="",F103="",H103=""),"Thiếu trường bắt buộc",IF(OR(COUNTIF($A$5:$A$404,A103)&lt;2,COUNTIF($A$5:$A$404,A103)&gt;4),"Mỗi choice cần 2–4 option",IF(COUNTIFS('02_KICH_BAN_NODES'!$B$5:$B$204,A103,'02_KICH_BAN_NODES'!$E$5:$E$204,"Kiến thức")=1,IF(COUNTIFS($A$5:$A$404,A103,$D$5:$D$404,"Có")&lt;&gt;1,"Choice kiến thức cần đúng 1 đáp án đúng",""),IF(COUNTIFS('02_KICH_BAN_NODES'!$B$5:$B$204,A103,'02_KICH_BAN_NODES'!$E$5:$E$204,"Tương tác")=1,IF(COUNTIFS($A$5:$A$404,A103,$D$5:$D$404,"Có")&lt;&gt;0,"Choice tương tác không được đánh dấu đáp án đúng",""),"Choice chưa chọn loại")))))))</f>
        <v/>
      </c>
    </row>
    <row r="104" spans="1:11">
      <c r="A104" s="13"/>
      <c r="B104" s="13"/>
      <c r="C104" s="5"/>
      <c r="D104" s="13"/>
      <c r="E104" s="13"/>
      <c r="F104" s="13"/>
      <c r="G104" s="13"/>
      <c r="H104" s="5"/>
      <c r="I104" s="5"/>
      <c r="J104" s="6" t="str">
        <f t="shared" si="1"/>
        <v/>
      </c>
      <c r="K104" s="6" t="str">
        <f>IF(A104="","",IF(COUNTIFS('02_KICH_BAN_NODES'!$B$5:$B$204,A104,'02_KICH_BAN_NODES'!$D$5:$D$204,"choice")=0,"ChoiceNodeId không tồn tại hoặc không phải choice",IF(COUNTIFS($A$5:$A$404,A104,$B$5:$B$404,B104)&gt;1,"Trùng OptionOrder trong cùng choice",IF(OR(B104="",C104="",D104="",F104="",H104=""),"Thiếu trường bắt buộc",IF(OR(COUNTIF($A$5:$A$404,A104)&lt;2,COUNTIF($A$5:$A$404,A104)&gt;4),"Mỗi choice cần 2–4 option",IF(COUNTIFS('02_KICH_BAN_NODES'!$B$5:$B$204,A104,'02_KICH_BAN_NODES'!$E$5:$E$204,"Kiến thức")=1,IF(COUNTIFS($A$5:$A$404,A104,$D$5:$D$404,"Có")&lt;&gt;1,"Choice kiến thức cần đúng 1 đáp án đúng",""),IF(COUNTIFS('02_KICH_BAN_NODES'!$B$5:$B$204,A104,'02_KICH_BAN_NODES'!$E$5:$E$204,"Tương tác")=1,IF(COUNTIFS($A$5:$A$404,A104,$D$5:$D$404,"Có")&lt;&gt;0,"Choice tương tác không được đánh dấu đáp án đúng",""),"Choice chưa chọn loại")))))))</f>
        <v/>
      </c>
    </row>
    <row r="105" spans="1:11">
      <c r="A105" s="13"/>
      <c r="B105" s="13"/>
      <c r="C105" s="5"/>
      <c r="D105" s="13"/>
      <c r="E105" s="13"/>
      <c r="F105" s="13"/>
      <c r="G105" s="13"/>
      <c r="H105" s="5"/>
      <c r="I105" s="5"/>
      <c r="J105" s="6" t="str">
        <f t="shared" si="1"/>
        <v/>
      </c>
      <c r="K105" s="6" t="str">
        <f>IF(A105="","",IF(COUNTIFS('02_KICH_BAN_NODES'!$B$5:$B$204,A105,'02_KICH_BAN_NODES'!$D$5:$D$204,"choice")=0,"ChoiceNodeId không tồn tại hoặc không phải choice",IF(COUNTIFS($A$5:$A$404,A105,$B$5:$B$404,B105)&gt;1,"Trùng OptionOrder trong cùng choice",IF(OR(B105="",C105="",D105="",F105="",H105=""),"Thiếu trường bắt buộc",IF(OR(COUNTIF($A$5:$A$404,A105)&lt;2,COUNTIF($A$5:$A$404,A105)&gt;4),"Mỗi choice cần 2–4 option",IF(COUNTIFS('02_KICH_BAN_NODES'!$B$5:$B$204,A105,'02_KICH_BAN_NODES'!$E$5:$E$204,"Kiến thức")=1,IF(COUNTIFS($A$5:$A$404,A105,$D$5:$D$404,"Có")&lt;&gt;1,"Choice kiến thức cần đúng 1 đáp án đúng",""),IF(COUNTIFS('02_KICH_BAN_NODES'!$B$5:$B$204,A105,'02_KICH_BAN_NODES'!$E$5:$E$204,"Tương tác")=1,IF(COUNTIFS($A$5:$A$404,A105,$D$5:$D$404,"Có")&lt;&gt;0,"Choice tương tác không được đánh dấu đáp án đúng",""),"Choice chưa chọn loại")))))))</f>
        <v/>
      </c>
    </row>
    <row r="106" spans="1:11">
      <c r="A106" s="13"/>
      <c r="B106" s="13"/>
      <c r="C106" s="5"/>
      <c r="D106" s="13"/>
      <c r="E106" s="13"/>
      <c r="F106" s="13"/>
      <c r="G106" s="13"/>
      <c r="H106" s="5"/>
      <c r="I106" s="5"/>
      <c r="J106" s="6" t="str">
        <f t="shared" si="1"/>
        <v/>
      </c>
      <c r="K106" s="6" t="str">
        <f>IF(A106="","",IF(COUNTIFS('02_KICH_BAN_NODES'!$B$5:$B$204,A106,'02_KICH_BAN_NODES'!$D$5:$D$204,"choice")=0,"ChoiceNodeId không tồn tại hoặc không phải choice",IF(COUNTIFS($A$5:$A$404,A106,$B$5:$B$404,B106)&gt;1,"Trùng OptionOrder trong cùng choice",IF(OR(B106="",C106="",D106="",F106="",H106=""),"Thiếu trường bắt buộc",IF(OR(COUNTIF($A$5:$A$404,A106)&lt;2,COUNTIF($A$5:$A$404,A106)&gt;4),"Mỗi choice cần 2–4 option",IF(COUNTIFS('02_KICH_BAN_NODES'!$B$5:$B$204,A106,'02_KICH_BAN_NODES'!$E$5:$E$204,"Kiến thức")=1,IF(COUNTIFS($A$5:$A$404,A106,$D$5:$D$404,"Có")&lt;&gt;1,"Choice kiến thức cần đúng 1 đáp án đúng",""),IF(COUNTIFS('02_KICH_BAN_NODES'!$B$5:$B$204,A106,'02_KICH_BAN_NODES'!$E$5:$E$204,"Tương tác")=1,IF(COUNTIFS($A$5:$A$404,A106,$D$5:$D$404,"Có")&lt;&gt;0,"Choice tương tác không được đánh dấu đáp án đúng",""),"Choice chưa chọn loại")))))))</f>
        <v/>
      </c>
    </row>
    <row r="107" spans="1:11">
      <c r="A107" s="13"/>
      <c r="B107" s="13"/>
      <c r="C107" s="5"/>
      <c r="D107" s="13"/>
      <c r="E107" s="13"/>
      <c r="F107" s="13"/>
      <c r="G107" s="13"/>
      <c r="H107" s="5"/>
      <c r="I107" s="5"/>
      <c r="J107" s="6" t="str">
        <f t="shared" si="1"/>
        <v/>
      </c>
      <c r="K107" s="6" t="str">
        <f>IF(A107="","",IF(COUNTIFS('02_KICH_BAN_NODES'!$B$5:$B$204,A107,'02_KICH_BAN_NODES'!$D$5:$D$204,"choice")=0,"ChoiceNodeId không tồn tại hoặc không phải choice",IF(COUNTIFS($A$5:$A$404,A107,$B$5:$B$404,B107)&gt;1,"Trùng OptionOrder trong cùng choice",IF(OR(B107="",C107="",D107="",F107="",H107=""),"Thiếu trường bắt buộc",IF(OR(COUNTIF($A$5:$A$404,A107)&lt;2,COUNTIF($A$5:$A$404,A107)&gt;4),"Mỗi choice cần 2–4 option",IF(COUNTIFS('02_KICH_BAN_NODES'!$B$5:$B$204,A107,'02_KICH_BAN_NODES'!$E$5:$E$204,"Kiến thức")=1,IF(COUNTIFS($A$5:$A$404,A107,$D$5:$D$404,"Có")&lt;&gt;1,"Choice kiến thức cần đúng 1 đáp án đúng",""),IF(COUNTIFS('02_KICH_BAN_NODES'!$B$5:$B$204,A107,'02_KICH_BAN_NODES'!$E$5:$E$204,"Tương tác")=1,IF(COUNTIFS($A$5:$A$404,A107,$D$5:$D$404,"Có")&lt;&gt;0,"Choice tương tác không được đánh dấu đáp án đúng",""),"Choice chưa chọn loại")))))))</f>
        <v/>
      </c>
    </row>
    <row r="108" spans="1:11">
      <c r="A108" s="13"/>
      <c r="B108" s="13"/>
      <c r="C108" s="5"/>
      <c r="D108" s="13"/>
      <c r="E108" s="13"/>
      <c r="F108" s="13"/>
      <c r="G108" s="13"/>
      <c r="H108" s="5"/>
      <c r="I108" s="5"/>
      <c r="J108" s="6" t="str">
        <f t="shared" si="1"/>
        <v/>
      </c>
      <c r="K108" s="6" t="str">
        <f>IF(A108="","",IF(COUNTIFS('02_KICH_BAN_NODES'!$B$5:$B$204,A108,'02_KICH_BAN_NODES'!$D$5:$D$204,"choice")=0,"ChoiceNodeId không tồn tại hoặc không phải choice",IF(COUNTIFS($A$5:$A$404,A108,$B$5:$B$404,B108)&gt;1,"Trùng OptionOrder trong cùng choice",IF(OR(B108="",C108="",D108="",F108="",H108=""),"Thiếu trường bắt buộc",IF(OR(COUNTIF($A$5:$A$404,A108)&lt;2,COUNTIF($A$5:$A$404,A108)&gt;4),"Mỗi choice cần 2–4 option",IF(COUNTIFS('02_KICH_BAN_NODES'!$B$5:$B$204,A108,'02_KICH_BAN_NODES'!$E$5:$E$204,"Kiến thức")=1,IF(COUNTIFS($A$5:$A$404,A108,$D$5:$D$404,"Có")&lt;&gt;1,"Choice kiến thức cần đúng 1 đáp án đúng",""),IF(COUNTIFS('02_KICH_BAN_NODES'!$B$5:$B$204,A108,'02_KICH_BAN_NODES'!$E$5:$E$204,"Tương tác")=1,IF(COUNTIFS($A$5:$A$404,A108,$D$5:$D$404,"Có")&lt;&gt;0,"Choice tương tác không được đánh dấu đáp án đúng",""),"Choice chưa chọn loại")))))))</f>
        <v/>
      </c>
    </row>
    <row r="109" spans="1:11">
      <c r="A109" s="13"/>
      <c r="B109" s="13"/>
      <c r="C109" s="5"/>
      <c r="D109" s="13"/>
      <c r="E109" s="13"/>
      <c r="F109" s="13"/>
      <c r="G109" s="13"/>
      <c r="H109" s="5"/>
      <c r="I109" s="5"/>
      <c r="J109" s="6" t="str">
        <f t="shared" si="1"/>
        <v/>
      </c>
      <c r="K109" s="6" t="str">
        <f>IF(A109="","",IF(COUNTIFS('02_KICH_BAN_NODES'!$B$5:$B$204,A109,'02_KICH_BAN_NODES'!$D$5:$D$204,"choice")=0,"ChoiceNodeId không tồn tại hoặc không phải choice",IF(COUNTIFS($A$5:$A$404,A109,$B$5:$B$404,B109)&gt;1,"Trùng OptionOrder trong cùng choice",IF(OR(B109="",C109="",D109="",F109="",H109=""),"Thiếu trường bắt buộc",IF(OR(COUNTIF($A$5:$A$404,A109)&lt;2,COUNTIF($A$5:$A$404,A109)&gt;4),"Mỗi choice cần 2–4 option",IF(COUNTIFS('02_KICH_BAN_NODES'!$B$5:$B$204,A109,'02_KICH_BAN_NODES'!$E$5:$E$204,"Kiến thức")=1,IF(COUNTIFS($A$5:$A$404,A109,$D$5:$D$404,"Có")&lt;&gt;1,"Choice kiến thức cần đúng 1 đáp án đúng",""),IF(COUNTIFS('02_KICH_BAN_NODES'!$B$5:$B$204,A109,'02_KICH_BAN_NODES'!$E$5:$E$204,"Tương tác")=1,IF(COUNTIFS($A$5:$A$404,A109,$D$5:$D$404,"Có")&lt;&gt;0,"Choice tương tác không được đánh dấu đáp án đúng",""),"Choice chưa chọn loại")))))))</f>
        <v/>
      </c>
    </row>
    <row r="110" spans="1:11">
      <c r="A110" s="13"/>
      <c r="B110" s="13"/>
      <c r="C110" s="5"/>
      <c r="D110" s="13"/>
      <c r="E110" s="13"/>
      <c r="F110" s="13"/>
      <c r="G110" s="13"/>
      <c r="H110" s="5"/>
      <c r="I110" s="5"/>
      <c r="J110" s="6" t="str">
        <f t="shared" si="1"/>
        <v/>
      </c>
      <c r="K110" s="6" t="str">
        <f>IF(A110="","",IF(COUNTIFS('02_KICH_BAN_NODES'!$B$5:$B$204,A110,'02_KICH_BAN_NODES'!$D$5:$D$204,"choice")=0,"ChoiceNodeId không tồn tại hoặc không phải choice",IF(COUNTIFS($A$5:$A$404,A110,$B$5:$B$404,B110)&gt;1,"Trùng OptionOrder trong cùng choice",IF(OR(B110="",C110="",D110="",F110="",H110=""),"Thiếu trường bắt buộc",IF(OR(COUNTIF($A$5:$A$404,A110)&lt;2,COUNTIF($A$5:$A$404,A110)&gt;4),"Mỗi choice cần 2–4 option",IF(COUNTIFS('02_KICH_BAN_NODES'!$B$5:$B$204,A110,'02_KICH_BAN_NODES'!$E$5:$E$204,"Kiến thức")=1,IF(COUNTIFS($A$5:$A$404,A110,$D$5:$D$404,"Có")&lt;&gt;1,"Choice kiến thức cần đúng 1 đáp án đúng",""),IF(COUNTIFS('02_KICH_BAN_NODES'!$B$5:$B$204,A110,'02_KICH_BAN_NODES'!$E$5:$E$204,"Tương tác")=1,IF(COUNTIFS($A$5:$A$404,A110,$D$5:$D$404,"Có")&lt;&gt;0,"Choice tương tác không được đánh dấu đáp án đúng",""),"Choice chưa chọn loại")))))))</f>
        <v/>
      </c>
    </row>
    <row r="111" spans="1:11">
      <c r="A111" s="13"/>
      <c r="B111" s="13"/>
      <c r="C111" s="5"/>
      <c r="D111" s="13"/>
      <c r="E111" s="13"/>
      <c r="F111" s="13"/>
      <c r="G111" s="13"/>
      <c r="H111" s="5"/>
      <c r="I111" s="5"/>
      <c r="J111" s="6" t="str">
        <f t="shared" si="1"/>
        <v/>
      </c>
      <c r="K111" s="6" t="str">
        <f>IF(A111="","",IF(COUNTIFS('02_KICH_BAN_NODES'!$B$5:$B$204,A111,'02_KICH_BAN_NODES'!$D$5:$D$204,"choice")=0,"ChoiceNodeId không tồn tại hoặc không phải choice",IF(COUNTIFS($A$5:$A$404,A111,$B$5:$B$404,B111)&gt;1,"Trùng OptionOrder trong cùng choice",IF(OR(B111="",C111="",D111="",F111="",H111=""),"Thiếu trường bắt buộc",IF(OR(COUNTIF($A$5:$A$404,A111)&lt;2,COUNTIF($A$5:$A$404,A111)&gt;4),"Mỗi choice cần 2–4 option",IF(COUNTIFS('02_KICH_BAN_NODES'!$B$5:$B$204,A111,'02_KICH_BAN_NODES'!$E$5:$E$204,"Kiến thức")=1,IF(COUNTIFS($A$5:$A$404,A111,$D$5:$D$404,"Có")&lt;&gt;1,"Choice kiến thức cần đúng 1 đáp án đúng",""),IF(COUNTIFS('02_KICH_BAN_NODES'!$B$5:$B$204,A111,'02_KICH_BAN_NODES'!$E$5:$E$204,"Tương tác")=1,IF(COUNTIFS($A$5:$A$404,A111,$D$5:$D$404,"Có")&lt;&gt;0,"Choice tương tác không được đánh dấu đáp án đúng",""),"Choice chưa chọn loại")))))))</f>
        <v/>
      </c>
    </row>
    <row r="112" spans="1:11">
      <c r="A112" s="13"/>
      <c r="B112" s="13"/>
      <c r="C112" s="5"/>
      <c r="D112" s="13"/>
      <c r="E112" s="13"/>
      <c r="F112" s="13"/>
      <c r="G112" s="13"/>
      <c r="H112" s="5"/>
      <c r="I112" s="5"/>
      <c r="J112" s="6" t="str">
        <f t="shared" si="1"/>
        <v/>
      </c>
      <c r="K112" s="6" t="str">
        <f>IF(A112="","",IF(COUNTIFS('02_KICH_BAN_NODES'!$B$5:$B$204,A112,'02_KICH_BAN_NODES'!$D$5:$D$204,"choice")=0,"ChoiceNodeId không tồn tại hoặc không phải choice",IF(COUNTIFS($A$5:$A$404,A112,$B$5:$B$404,B112)&gt;1,"Trùng OptionOrder trong cùng choice",IF(OR(B112="",C112="",D112="",F112="",H112=""),"Thiếu trường bắt buộc",IF(OR(COUNTIF($A$5:$A$404,A112)&lt;2,COUNTIF($A$5:$A$404,A112)&gt;4),"Mỗi choice cần 2–4 option",IF(COUNTIFS('02_KICH_BAN_NODES'!$B$5:$B$204,A112,'02_KICH_BAN_NODES'!$E$5:$E$204,"Kiến thức")=1,IF(COUNTIFS($A$5:$A$404,A112,$D$5:$D$404,"Có")&lt;&gt;1,"Choice kiến thức cần đúng 1 đáp án đúng",""),IF(COUNTIFS('02_KICH_BAN_NODES'!$B$5:$B$204,A112,'02_KICH_BAN_NODES'!$E$5:$E$204,"Tương tác")=1,IF(COUNTIFS($A$5:$A$404,A112,$D$5:$D$404,"Có")&lt;&gt;0,"Choice tương tác không được đánh dấu đáp án đúng",""),"Choice chưa chọn loại")))))))</f>
        <v/>
      </c>
    </row>
    <row r="113" spans="1:11">
      <c r="A113" s="13"/>
      <c r="B113" s="13"/>
      <c r="C113" s="5"/>
      <c r="D113" s="13"/>
      <c r="E113" s="13"/>
      <c r="F113" s="13"/>
      <c r="G113" s="13"/>
      <c r="H113" s="5"/>
      <c r="I113" s="5"/>
      <c r="J113" s="6" t="str">
        <f t="shared" si="1"/>
        <v/>
      </c>
      <c r="K113" s="6" t="str">
        <f>IF(A113="","",IF(COUNTIFS('02_KICH_BAN_NODES'!$B$5:$B$204,A113,'02_KICH_BAN_NODES'!$D$5:$D$204,"choice")=0,"ChoiceNodeId không tồn tại hoặc không phải choice",IF(COUNTIFS($A$5:$A$404,A113,$B$5:$B$404,B113)&gt;1,"Trùng OptionOrder trong cùng choice",IF(OR(B113="",C113="",D113="",F113="",H113=""),"Thiếu trường bắt buộc",IF(OR(COUNTIF($A$5:$A$404,A113)&lt;2,COUNTIF($A$5:$A$404,A113)&gt;4),"Mỗi choice cần 2–4 option",IF(COUNTIFS('02_KICH_BAN_NODES'!$B$5:$B$204,A113,'02_KICH_BAN_NODES'!$E$5:$E$204,"Kiến thức")=1,IF(COUNTIFS($A$5:$A$404,A113,$D$5:$D$404,"Có")&lt;&gt;1,"Choice kiến thức cần đúng 1 đáp án đúng",""),IF(COUNTIFS('02_KICH_BAN_NODES'!$B$5:$B$204,A113,'02_KICH_BAN_NODES'!$E$5:$E$204,"Tương tác")=1,IF(COUNTIFS($A$5:$A$404,A113,$D$5:$D$404,"Có")&lt;&gt;0,"Choice tương tác không được đánh dấu đáp án đúng",""),"Choice chưa chọn loại")))))))</f>
        <v/>
      </c>
    </row>
    <row r="114" spans="1:11">
      <c r="A114" s="13"/>
      <c r="B114" s="13"/>
      <c r="C114" s="5"/>
      <c r="D114" s="13"/>
      <c r="E114" s="13"/>
      <c r="F114" s="13"/>
      <c r="G114" s="13"/>
      <c r="H114" s="5"/>
      <c r="I114" s="5"/>
      <c r="J114" s="6" t="str">
        <f t="shared" si="1"/>
        <v/>
      </c>
      <c r="K114" s="6" t="str">
        <f>IF(A114="","",IF(COUNTIFS('02_KICH_BAN_NODES'!$B$5:$B$204,A114,'02_KICH_BAN_NODES'!$D$5:$D$204,"choice")=0,"ChoiceNodeId không tồn tại hoặc không phải choice",IF(COUNTIFS($A$5:$A$404,A114,$B$5:$B$404,B114)&gt;1,"Trùng OptionOrder trong cùng choice",IF(OR(B114="",C114="",D114="",F114="",H114=""),"Thiếu trường bắt buộc",IF(OR(COUNTIF($A$5:$A$404,A114)&lt;2,COUNTIF($A$5:$A$404,A114)&gt;4),"Mỗi choice cần 2–4 option",IF(COUNTIFS('02_KICH_BAN_NODES'!$B$5:$B$204,A114,'02_KICH_BAN_NODES'!$E$5:$E$204,"Kiến thức")=1,IF(COUNTIFS($A$5:$A$404,A114,$D$5:$D$404,"Có")&lt;&gt;1,"Choice kiến thức cần đúng 1 đáp án đúng",""),IF(COUNTIFS('02_KICH_BAN_NODES'!$B$5:$B$204,A114,'02_KICH_BAN_NODES'!$E$5:$E$204,"Tương tác")=1,IF(COUNTIFS($A$5:$A$404,A114,$D$5:$D$404,"Có")&lt;&gt;0,"Choice tương tác không được đánh dấu đáp án đúng",""),"Choice chưa chọn loại")))))))</f>
        <v/>
      </c>
    </row>
    <row r="115" spans="1:11">
      <c r="A115" s="13"/>
      <c r="B115" s="13"/>
      <c r="C115" s="5"/>
      <c r="D115" s="13"/>
      <c r="E115" s="13"/>
      <c r="F115" s="13"/>
      <c r="G115" s="13"/>
      <c r="H115" s="5"/>
      <c r="I115" s="5"/>
      <c r="J115" s="6" t="str">
        <f t="shared" si="1"/>
        <v/>
      </c>
      <c r="K115" s="6" t="str">
        <f>IF(A115="","",IF(COUNTIFS('02_KICH_BAN_NODES'!$B$5:$B$204,A115,'02_KICH_BAN_NODES'!$D$5:$D$204,"choice")=0,"ChoiceNodeId không tồn tại hoặc không phải choice",IF(COUNTIFS($A$5:$A$404,A115,$B$5:$B$404,B115)&gt;1,"Trùng OptionOrder trong cùng choice",IF(OR(B115="",C115="",D115="",F115="",H115=""),"Thiếu trường bắt buộc",IF(OR(COUNTIF($A$5:$A$404,A115)&lt;2,COUNTIF($A$5:$A$404,A115)&gt;4),"Mỗi choice cần 2–4 option",IF(COUNTIFS('02_KICH_BAN_NODES'!$B$5:$B$204,A115,'02_KICH_BAN_NODES'!$E$5:$E$204,"Kiến thức")=1,IF(COUNTIFS($A$5:$A$404,A115,$D$5:$D$404,"Có")&lt;&gt;1,"Choice kiến thức cần đúng 1 đáp án đúng",""),IF(COUNTIFS('02_KICH_BAN_NODES'!$B$5:$B$204,A115,'02_KICH_BAN_NODES'!$E$5:$E$204,"Tương tác")=1,IF(COUNTIFS($A$5:$A$404,A115,$D$5:$D$404,"Có")&lt;&gt;0,"Choice tương tác không được đánh dấu đáp án đúng",""),"Choice chưa chọn loại")))))))</f>
        <v/>
      </c>
    </row>
    <row r="116" spans="1:11">
      <c r="A116" s="13"/>
      <c r="B116" s="13"/>
      <c r="C116" s="5"/>
      <c r="D116" s="13"/>
      <c r="E116" s="13"/>
      <c r="F116" s="13"/>
      <c r="G116" s="13"/>
      <c r="H116" s="5"/>
      <c r="I116" s="5"/>
      <c r="J116" s="6" t="str">
        <f t="shared" si="1"/>
        <v/>
      </c>
      <c r="K116" s="6" t="str">
        <f>IF(A116="","",IF(COUNTIFS('02_KICH_BAN_NODES'!$B$5:$B$204,A116,'02_KICH_BAN_NODES'!$D$5:$D$204,"choice")=0,"ChoiceNodeId không tồn tại hoặc không phải choice",IF(COUNTIFS($A$5:$A$404,A116,$B$5:$B$404,B116)&gt;1,"Trùng OptionOrder trong cùng choice",IF(OR(B116="",C116="",D116="",F116="",H116=""),"Thiếu trường bắt buộc",IF(OR(COUNTIF($A$5:$A$404,A116)&lt;2,COUNTIF($A$5:$A$404,A116)&gt;4),"Mỗi choice cần 2–4 option",IF(COUNTIFS('02_KICH_BAN_NODES'!$B$5:$B$204,A116,'02_KICH_BAN_NODES'!$E$5:$E$204,"Kiến thức")=1,IF(COUNTIFS($A$5:$A$404,A116,$D$5:$D$404,"Có")&lt;&gt;1,"Choice kiến thức cần đúng 1 đáp án đúng",""),IF(COUNTIFS('02_KICH_BAN_NODES'!$B$5:$B$204,A116,'02_KICH_BAN_NODES'!$E$5:$E$204,"Tương tác")=1,IF(COUNTIFS($A$5:$A$404,A116,$D$5:$D$404,"Có")&lt;&gt;0,"Choice tương tác không được đánh dấu đáp án đúng",""),"Choice chưa chọn loại")))))))</f>
        <v/>
      </c>
    </row>
    <row r="117" spans="1:11">
      <c r="A117" s="13"/>
      <c r="B117" s="13"/>
      <c r="C117" s="5"/>
      <c r="D117" s="13"/>
      <c r="E117" s="13"/>
      <c r="F117" s="13"/>
      <c r="G117" s="13"/>
      <c r="H117" s="5"/>
      <c r="I117" s="5"/>
      <c r="J117" s="6" t="str">
        <f t="shared" si="1"/>
        <v/>
      </c>
      <c r="K117" s="6" t="str">
        <f>IF(A117="","",IF(COUNTIFS('02_KICH_BAN_NODES'!$B$5:$B$204,A117,'02_KICH_BAN_NODES'!$D$5:$D$204,"choice")=0,"ChoiceNodeId không tồn tại hoặc không phải choice",IF(COUNTIFS($A$5:$A$404,A117,$B$5:$B$404,B117)&gt;1,"Trùng OptionOrder trong cùng choice",IF(OR(B117="",C117="",D117="",F117="",H117=""),"Thiếu trường bắt buộc",IF(OR(COUNTIF($A$5:$A$404,A117)&lt;2,COUNTIF($A$5:$A$404,A117)&gt;4),"Mỗi choice cần 2–4 option",IF(COUNTIFS('02_KICH_BAN_NODES'!$B$5:$B$204,A117,'02_KICH_BAN_NODES'!$E$5:$E$204,"Kiến thức")=1,IF(COUNTIFS($A$5:$A$404,A117,$D$5:$D$404,"Có")&lt;&gt;1,"Choice kiến thức cần đúng 1 đáp án đúng",""),IF(COUNTIFS('02_KICH_BAN_NODES'!$B$5:$B$204,A117,'02_KICH_BAN_NODES'!$E$5:$E$204,"Tương tác")=1,IF(COUNTIFS($A$5:$A$404,A117,$D$5:$D$404,"Có")&lt;&gt;0,"Choice tương tác không được đánh dấu đáp án đúng",""),"Choice chưa chọn loại")))))))</f>
        <v/>
      </c>
    </row>
    <row r="118" spans="1:11">
      <c r="A118" s="13"/>
      <c r="B118" s="13"/>
      <c r="C118" s="5"/>
      <c r="D118" s="13"/>
      <c r="E118" s="13"/>
      <c r="F118" s="13"/>
      <c r="G118" s="13"/>
      <c r="H118" s="5"/>
      <c r="I118" s="5"/>
      <c r="J118" s="6" t="str">
        <f t="shared" si="1"/>
        <v/>
      </c>
      <c r="K118" s="6" t="str">
        <f>IF(A118="","",IF(COUNTIFS('02_KICH_BAN_NODES'!$B$5:$B$204,A118,'02_KICH_BAN_NODES'!$D$5:$D$204,"choice")=0,"ChoiceNodeId không tồn tại hoặc không phải choice",IF(COUNTIFS($A$5:$A$404,A118,$B$5:$B$404,B118)&gt;1,"Trùng OptionOrder trong cùng choice",IF(OR(B118="",C118="",D118="",F118="",H118=""),"Thiếu trường bắt buộc",IF(OR(COUNTIF($A$5:$A$404,A118)&lt;2,COUNTIF($A$5:$A$404,A118)&gt;4),"Mỗi choice cần 2–4 option",IF(COUNTIFS('02_KICH_BAN_NODES'!$B$5:$B$204,A118,'02_KICH_BAN_NODES'!$E$5:$E$204,"Kiến thức")=1,IF(COUNTIFS($A$5:$A$404,A118,$D$5:$D$404,"Có")&lt;&gt;1,"Choice kiến thức cần đúng 1 đáp án đúng",""),IF(COUNTIFS('02_KICH_BAN_NODES'!$B$5:$B$204,A118,'02_KICH_BAN_NODES'!$E$5:$E$204,"Tương tác")=1,IF(COUNTIFS($A$5:$A$404,A118,$D$5:$D$404,"Có")&lt;&gt;0,"Choice tương tác không được đánh dấu đáp án đúng",""),"Choice chưa chọn loại")))))))</f>
        <v/>
      </c>
    </row>
    <row r="119" spans="1:11">
      <c r="A119" s="13"/>
      <c r="B119" s="13"/>
      <c r="C119" s="5"/>
      <c r="D119" s="13"/>
      <c r="E119" s="13"/>
      <c r="F119" s="13"/>
      <c r="G119" s="13"/>
      <c r="H119" s="5"/>
      <c r="I119" s="5"/>
      <c r="J119" s="6" t="str">
        <f t="shared" si="1"/>
        <v/>
      </c>
      <c r="K119" s="6" t="str">
        <f>IF(A119="","",IF(COUNTIFS('02_KICH_BAN_NODES'!$B$5:$B$204,A119,'02_KICH_BAN_NODES'!$D$5:$D$204,"choice")=0,"ChoiceNodeId không tồn tại hoặc không phải choice",IF(COUNTIFS($A$5:$A$404,A119,$B$5:$B$404,B119)&gt;1,"Trùng OptionOrder trong cùng choice",IF(OR(B119="",C119="",D119="",F119="",H119=""),"Thiếu trường bắt buộc",IF(OR(COUNTIF($A$5:$A$404,A119)&lt;2,COUNTIF($A$5:$A$404,A119)&gt;4),"Mỗi choice cần 2–4 option",IF(COUNTIFS('02_KICH_BAN_NODES'!$B$5:$B$204,A119,'02_KICH_BAN_NODES'!$E$5:$E$204,"Kiến thức")=1,IF(COUNTIFS($A$5:$A$404,A119,$D$5:$D$404,"Có")&lt;&gt;1,"Choice kiến thức cần đúng 1 đáp án đúng",""),IF(COUNTIFS('02_KICH_BAN_NODES'!$B$5:$B$204,A119,'02_KICH_BAN_NODES'!$E$5:$E$204,"Tương tác")=1,IF(COUNTIFS($A$5:$A$404,A119,$D$5:$D$404,"Có")&lt;&gt;0,"Choice tương tác không được đánh dấu đáp án đúng",""),"Choice chưa chọn loại")))))))</f>
        <v/>
      </c>
    </row>
    <row r="120" spans="1:11">
      <c r="A120" s="13"/>
      <c r="B120" s="13"/>
      <c r="C120" s="5"/>
      <c r="D120" s="13"/>
      <c r="E120" s="13"/>
      <c r="F120" s="13"/>
      <c r="G120" s="13"/>
      <c r="H120" s="5"/>
      <c r="I120" s="5"/>
      <c r="J120" s="6" t="str">
        <f t="shared" si="1"/>
        <v/>
      </c>
      <c r="K120" s="6" t="str">
        <f>IF(A120="","",IF(COUNTIFS('02_KICH_BAN_NODES'!$B$5:$B$204,A120,'02_KICH_BAN_NODES'!$D$5:$D$204,"choice")=0,"ChoiceNodeId không tồn tại hoặc không phải choice",IF(COUNTIFS($A$5:$A$404,A120,$B$5:$B$404,B120)&gt;1,"Trùng OptionOrder trong cùng choice",IF(OR(B120="",C120="",D120="",F120="",H120=""),"Thiếu trường bắt buộc",IF(OR(COUNTIF($A$5:$A$404,A120)&lt;2,COUNTIF($A$5:$A$404,A120)&gt;4),"Mỗi choice cần 2–4 option",IF(COUNTIFS('02_KICH_BAN_NODES'!$B$5:$B$204,A120,'02_KICH_BAN_NODES'!$E$5:$E$204,"Kiến thức")=1,IF(COUNTIFS($A$5:$A$404,A120,$D$5:$D$404,"Có")&lt;&gt;1,"Choice kiến thức cần đúng 1 đáp án đúng",""),IF(COUNTIFS('02_KICH_BAN_NODES'!$B$5:$B$204,A120,'02_KICH_BAN_NODES'!$E$5:$E$204,"Tương tác")=1,IF(COUNTIFS($A$5:$A$404,A120,$D$5:$D$404,"Có")&lt;&gt;0,"Choice tương tác không được đánh dấu đáp án đúng",""),"Choice chưa chọn loại")))))))</f>
        <v/>
      </c>
    </row>
    <row r="121" spans="1:11">
      <c r="A121" s="13"/>
      <c r="B121" s="13"/>
      <c r="C121" s="5"/>
      <c r="D121" s="13"/>
      <c r="E121" s="13"/>
      <c r="F121" s="13"/>
      <c r="G121" s="13"/>
      <c r="H121" s="5"/>
      <c r="I121" s="5"/>
      <c r="J121" s="6" t="str">
        <f t="shared" si="1"/>
        <v/>
      </c>
      <c r="K121" s="6" t="str">
        <f>IF(A121="","",IF(COUNTIFS('02_KICH_BAN_NODES'!$B$5:$B$204,A121,'02_KICH_BAN_NODES'!$D$5:$D$204,"choice")=0,"ChoiceNodeId không tồn tại hoặc không phải choice",IF(COUNTIFS($A$5:$A$404,A121,$B$5:$B$404,B121)&gt;1,"Trùng OptionOrder trong cùng choice",IF(OR(B121="",C121="",D121="",F121="",H121=""),"Thiếu trường bắt buộc",IF(OR(COUNTIF($A$5:$A$404,A121)&lt;2,COUNTIF($A$5:$A$404,A121)&gt;4),"Mỗi choice cần 2–4 option",IF(COUNTIFS('02_KICH_BAN_NODES'!$B$5:$B$204,A121,'02_KICH_BAN_NODES'!$E$5:$E$204,"Kiến thức")=1,IF(COUNTIFS($A$5:$A$404,A121,$D$5:$D$404,"Có")&lt;&gt;1,"Choice kiến thức cần đúng 1 đáp án đúng",""),IF(COUNTIFS('02_KICH_BAN_NODES'!$B$5:$B$204,A121,'02_KICH_BAN_NODES'!$E$5:$E$204,"Tương tác")=1,IF(COUNTIFS($A$5:$A$404,A121,$D$5:$D$404,"Có")&lt;&gt;0,"Choice tương tác không được đánh dấu đáp án đúng",""),"Choice chưa chọn loại")))))))</f>
        <v/>
      </c>
    </row>
    <row r="122" spans="1:11">
      <c r="A122" s="13"/>
      <c r="B122" s="13"/>
      <c r="C122" s="5"/>
      <c r="D122" s="13"/>
      <c r="E122" s="13"/>
      <c r="F122" s="13"/>
      <c r="G122" s="13"/>
      <c r="H122" s="5"/>
      <c r="I122" s="5"/>
      <c r="J122" s="6" t="str">
        <f t="shared" si="1"/>
        <v/>
      </c>
      <c r="K122" s="6" t="str">
        <f>IF(A122="","",IF(COUNTIFS('02_KICH_BAN_NODES'!$B$5:$B$204,A122,'02_KICH_BAN_NODES'!$D$5:$D$204,"choice")=0,"ChoiceNodeId không tồn tại hoặc không phải choice",IF(COUNTIFS($A$5:$A$404,A122,$B$5:$B$404,B122)&gt;1,"Trùng OptionOrder trong cùng choice",IF(OR(B122="",C122="",D122="",F122="",H122=""),"Thiếu trường bắt buộc",IF(OR(COUNTIF($A$5:$A$404,A122)&lt;2,COUNTIF($A$5:$A$404,A122)&gt;4),"Mỗi choice cần 2–4 option",IF(COUNTIFS('02_KICH_BAN_NODES'!$B$5:$B$204,A122,'02_KICH_BAN_NODES'!$E$5:$E$204,"Kiến thức")=1,IF(COUNTIFS($A$5:$A$404,A122,$D$5:$D$404,"Có")&lt;&gt;1,"Choice kiến thức cần đúng 1 đáp án đúng",""),IF(COUNTIFS('02_KICH_BAN_NODES'!$B$5:$B$204,A122,'02_KICH_BAN_NODES'!$E$5:$E$204,"Tương tác")=1,IF(COUNTIFS($A$5:$A$404,A122,$D$5:$D$404,"Có")&lt;&gt;0,"Choice tương tác không được đánh dấu đáp án đúng",""),"Choice chưa chọn loại")))))))</f>
        <v/>
      </c>
    </row>
    <row r="123" spans="1:11">
      <c r="A123" s="13"/>
      <c r="B123" s="13"/>
      <c r="C123" s="5"/>
      <c r="D123" s="13"/>
      <c r="E123" s="13"/>
      <c r="F123" s="13"/>
      <c r="G123" s="13"/>
      <c r="H123" s="5"/>
      <c r="I123" s="5"/>
      <c r="J123" s="6" t="str">
        <f t="shared" si="1"/>
        <v/>
      </c>
      <c r="K123" s="6" t="str">
        <f>IF(A123="","",IF(COUNTIFS('02_KICH_BAN_NODES'!$B$5:$B$204,A123,'02_KICH_BAN_NODES'!$D$5:$D$204,"choice")=0,"ChoiceNodeId không tồn tại hoặc không phải choice",IF(COUNTIFS($A$5:$A$404,A123,$B$5:$B$404,B123)&gt;1,"Trùng OptionOrder trong cùng choice",IF(OR(B123="",C123="",D123="",F123="",H123=""),"Thiếu trường bắt buộc",IF(OR(COUNTIF($A$5:$A$404,A123)&lt;2,COUNTIF($A$5:$A$404,A123)&gt;4),"Mỗi choice cần 2–4 option",IF(COUNTIFS('02_KICH_BAN_NODES'!$B$5:$B$204,A123,'02_KICH_BAN_NODES'!$E$5:$E$204,"Kiến thức")=1,IF(COUNTIFS($A$5:$A$404,A123,$D$5:$D$404,"Có")&lt;&gt;1,"Choice kiến thức cần đúng 1 đáp án đúng",""),IF(COUNTIFS('02_KICH_BAN_NODES'!$B$5:$B$204,A123,'02_KICH_BAN_NODES'!$E$5:$E$204,"Tương tác")=1,IF(COUNTIFS($A$5:$A$404,A123,$D$5:$D$404,"Có")&lt;&gt;0,"Choice tương tác không được đánh dấu đáp án đúng",""),"Choice chưa chọn loại")))))))</f>
        <v/>
      </c>
    </row>
    <row r="124" spans="1:11">
      <c r="A124" s="13"/>
      <c r="B124" s="13"/>
      <c r="C124" s="5"/>
      <c r="D124" s="13"/>
      <c r="E124" s="13"/>
      <c r="F124" s="13"/>
      <c r="G124" s="13"/>
      <c r="H124" s="5"/>
      <c r="I124" s="5"/>
      <c r="J124" s="6" t="str">
        <f t="shared" si="1"/>
        <v/>
      </c>
      <c r="K124" s="6" t="str">
        <f>IF(A124="","",IF(COUNTIFS('02_KICH_BAN_NODES'!$B$5:$B$204,A124,'02_KICH_BAN_NODES'!$D$5:$D$204,"choice")=0,"ChoiceNodeId không tồn tại hoặc không phải choice",IF(COUNTIFS($A$5:$A$404,A124,$B$5:$B$404,B124)&gt;1,"Trùng OptionOrder trong cùng choice",IF(OR(B124="",C124="",D124="",F124="",H124=""),"Thiếu trường bắt buộc",IF(OR(COUNTIF($A$5:$A$404,A124)&lt;2,COUNTIF($A$5:$A$404,A124)&gt;4),"Mỗi choice cần 2–4 option",IF(COUNTIFS('02_KICH_BAN_NODES'!$B$5:$B$204,A124,'02_KICH_BAN_NODES'!$E$5:$E$204,"Kiến thức")=1,IF(COUNTIFS($A$5:$A$404,A124,$D$5:$D$404,"Có")&lt;&gt;1,"Choice kiến thức cần đúng 1 đáp án đúng",""),IF(COUNTIFS('02_KICH_BAN_NODES'!$B$5:$B$204,A124,'02_KICH_BAN_NODES'!$E$5:$E$204,"Tương tác")=1,IF(COUNTIFS($A$5:$A$404,A124,$D$5:$D$404,"Có")&lt;&gt;0,"Choice tương tác không được đánh dấu đáp án đúng",""),"Choice chưa chọn loại")))))))</f>
        <v/>
      </c>
    </row>
    <row r="125" spans="1:11">
      <c r="A125" s="13"/>
      <c r="B125" s="13"/>
      <c r="C125" s="5"/>
      <c r="D125" s="13"/>
      <c r="E125" s="13"/>
      <c r="F125" s="13"/>
      <c r="G125" s="13"/>
      <c r="H125" s="5"/>
      <c r="I125" s="5"/>
      <c r="J125" s="6" t="str">
        <f t="shared" si="1"/>
        <v/>
      </c>
      <c r="K125" s="6" t="str">
        <f>IF(A125="","",IF(COUNTIFS('02_KICH_BAN_NODES'!$B$5:$B$204,A125,'02_KICH_BAN_NODES'!$D$5:$D$204,"choice")=0,"ChoiceNodeId không tồn tại hoặc không phải choice",IF(COUNTIFS($A$5:$A$404,A125,$B$5:$B$404,B125)&gt;1,"Trùng OptionOrder trong cùng choice",IF(OR(B125="",C125="",D125="",F125="",H125=""),"Thiếu trường bắt buộc",IF(OR(COUNTIF($A$5:$A$404,A125)&lt;2,COUNTIF($A$5:$A$404,A125)&gt;4),"Mỗi choice cần 2–4 option",IF(COUNTIFS('02_KICH_BAN_NODES'!$B$5:$B$204,A125,'02_KICH_BAN_NODES'!$E$5:$E$204,"Kiến thức")=1,IF(COUNTIFS($A$5:$A$404,A125,$D$5:$D$404,"Có")&lt;&gt;1,"Choice kiến thức cần đúng 1 đáp án đúng",""),IF(COUNTIFS('02_KICH_BAN_NODES'!$B$5:$B$204,A125,'02_KICH_BAN_NODES'!$E$5:$E$204,"Tương tác")=1,IF(COUNTIFS($A$5:$A$404,A125,$D$5:$D$404,"Có")&lt;&gt;0,"Choice tương tác không được đánh dấu đáp án đúng",""),"Choice chưa chọn loại")))))))</f>
        <v/>
      </c>
    </row>
    <row r="126" spans="1:11">
      <c r="A126" s="13"/>
      <c r="B126" s="13"/>
      <c r="C126" s="5"/>
      <c r="D126" s="13"/>
      <c r="E126" s="13"/>
      <c r="F126" s="13"/>
      <c r="G126" s="13"/>
      <c r="H126" s="5"/>
      <c r="I126" s="5"/>
      <c r="J126" s="6" t="str">
        <f t="shared" si="1"/>
        <v/>
      </c>
      <c r="K126" s="6" t="str">
        <f>IF(A126="","",IF(COUNTIFS('02_KICH_BAN_NODES'!$B$5:$B$204,A126,'02_KICH_BAN_NODES'!$D$5:$D$204,"choice")=0,"ChoiceNodeId không tồn tại hoặc không phải choice",IF(COUNTIFS($A$5:$A$404,A126,$B$5:$B$404,B126)&gt;1,"Trùng OptionOrder trong cùng choice",IF(OR(B126="",C126="",D126="",F126="",H126=""),"Thiếu trường bắt buộc",IF(OR(COUNTIF($A$5:$A$404,A126)&lt;2,COUNTIF($A$5:$A$404,A126)&gt;4),"Mỗi choice cần 2–4 option",IF(COUNTIFS('02_KICH_BAN_NODES'!$B$5:$B$204,A126,'02_KICH_BAN_NODES'!$E$5:$E$204,"Kiến thức")=1,IF(COUNTIFS($A$5:$A$404,A126,$D$5:$D$404,"Có")&lt;&gt;1,"Choice kiến thức cần đúng 1 đáp án đúng",""),IF(COUNTIFS('02_KICH_BAN_NODES'!$B$5:$B$204,A126,'02_KICH_BAN_NODES'!$E$5:$E$204,"Tương tác")=1,IF(COUNTIFS($A$5:$A$404,A126,$D$5:$D$404,"Có")&lt;&gt;0,"Choice tương tác không được đánh dấu đáp án đúng",""),"Choice chưa chọn loại")))))))</f>
        <v/>
      </c>
    </row>
    <row r="127" spans="1:11">
      <c r="A127" s="13"/>
      <c r="B127" s="13"/>
      <c r="C127" s="5"/>
      <c r="D127" s="13"/>
      <c r="E127" s="13"/>
      <c r="F127" s="13"/>
      <c r="G127" s="13"/>
      <c r="H127" s="5"/>
      <c r="I127" s="5"/>
      <c r="J127" s="6" t="str">
        <f t="shared" si="1"/>
        <v/>
      </c>
      <c r="K127" s="6" t="str">
        <f>IF(A127="","",IF(COUNTIFS('02_KICH_BAN_NODES'!$B$5:$B$204,A127,'02_KICH_BAN_NODES'!$D$5:$D$204,"choice")=0,"ChoiceNodeId không tồn tại hoặc không phải choice",IF(COUNTIFS($A$5:$A$404,A127,$B$5:$B$404,B127)&gt;1,"Trùng OptionOrder trong cùng choice",IF(OR(B127="",C127="",D127="",F127="",H127=""),"Thiếu trường bắt buộc",IF(OR(COUNTIF($A$5:$A$404,A127)&lt;2,COUNTIF($A$5:$A$404,A127)&gt;4),"Mỗi choice cần 2–4 option",IF(COUNTIFS('02_KICH_BAN_NODES'!$B$5:$B$204,A127,'02_KICH_BAN_NODES'!$E$5:$E$204,"Kiến thức")=1,IF(COUNTIFS($A$5:$A$404,A127,$D$5:$D$404,"Có")&lt;&gt;1,"Choice kiến thức cần đúng 1 đáp án đúng",""),IF(COUNTIFS('02_KICH_BAN_NODES'!$B$5:$B$204,A127,'02_KICH_BAN_NODES'!$E$5:$E$204,"Tương tác")=1,IF(COUNTIFS($A$5:$A$404,A127,$D$5:$D$404,"Có")&lt;&gt;0,"Choice tương tác không được đánh dấu đáp án đúng",""),"Choice chưa chọn loại")))))))</f>
        <v/>
      </c>
    </row>
    <row r="128" spans="1:11">
      <c r="A128" s="13"/>
      <c r="B128" s="13"/>
      <c r="C128" s="5"/>
      <c r="D128" s="13"/>
      <c r="E128" s="13"/>
      <c r="F128" s="13"/>
      <c r="G128" s="13"/>
      <c r="H128" s="5"/>
      <c r="I128" s="5"/>
      <c r="J128" s="6" t="str">
        <f t="shared" si="1"/>
        <v/>
      </c>
      <c r="K128" s="6" t="str">
        <f>IF(A128="","",IF(COUNTIFS('02_KICH_BAN_NODES'!$B$5:$B$204,A128,'02_KICH_BAN_NODES'!$D$5:$D$204,"choice")=0,"ChoiceNodeId không tồn tại hoặc không phải choice",IF(COUNTIFS($A$5:$A$404,A128,$B$5:$B$404,B128)&gt;1,"Trùng OptionOrder trong cùng choice",IF(OR(B128="",C128="",D128="",F128="",H128=""),"Thiếu trường bắt buộc",IF(OR(COUNTIF($A$5:$A$404,A128)&lt;2,COUNTIF($A$5:$A$404,A128)&gt;4),"Mỗi choice cần 2–4 option",IF(COUNTIFS('02_KICH_BAN_NODES'!$B$5:$B$204,A128,'02_KICH_BAN_NODES'!$E$5:$E$204,"Kiến thức")=1,IF(COUNTIFS($A$5:$A$404,A128,$D$5:$D$404,"Có")&lt;&gt;1,"Choice kiến thức cần đúng 1 đáp án đúng",""),IF(COUNTIFS('02_KICH_BAN_NODES'!$B$5:$B$204,A128,'02_KICH_BAN_NODES'!$E$5:$E$204,"Tương tác")=1,IF(COUNTIFS($A$5:$A$404,A128,$D$5:$D$404,"Có")&lt;&gt;0,"Choice tương tác không được đánh dấu đáp án đúng",""),"Choice chưa chọn loại")))))))</f>
        <v/>
      </c>
    </row>
    <row r="129" spans="1:11">
      <c r="A129" s="13"/>
      <c r="B129" s="13"/>
      <c r="C129" s="5"/>
      <c r="D129" s="13"/>
      <c r="E129" s="13"/>
      <c r="F129" s="13"/>
      <c r="G129" s="13"/>
      <c r="H129" s="5"/>
      <c r="I129" s="5"/>
      <c r="J129" s="6" t="str">
        <f t="shared" si="1"/>
        <v/>
      </c>
      <c r="K129" s="6" t="str">
        <f>IF(A129="","",IF(COUNTIFS('02_KICH_BAN_NODES'!$B$5:$B$204,A129,'02_KICH_BAN_NODES'!$D$5:$D$204,"choice")=0,"ChoiceNodeId không tồn tại hoặc không phải choice",IF(COUNTIFS($A$5:$A$404,A129,$B$5:$B$404,B129)&gt;1,"Trùng OptionOrder trong cùng choice",IF(OR(B129="",C129="",D129="",F129="",H129=""),"Thiếu trường bắt buộc",IF(OR(COUNTIF($A$5:$A$404,A129)&lt;2,COUNTIF($A$5:$A$404,A129)&gt;4),"Mỗi choice cần 2–4 option",IF(COUNTIFS('02_KICH_BAN_NODES'!$B$5:$B$204,A129,'02_KICH_BAN_NODES'!$E$5:$E$204,"Kiến thức")=1,IF(COUNTIFS($A$5:$A$404,A129,$D$5:$D$404,"Có")&lt;&gt;1,"Choice kiến thức cần đúng 1 đáp án đúng",""),IF(COUNTIFS('02_KICH_BAN_NODES'!$B$5:$B$204,A129,'02_KICH_BAN_NODES'!$E$5:$E$204,"Tương tác")=1,IF(COUNTIFS($A$5:$A$404,A129,$D$5:$D$404,"Có")&lt;&gt;0,"Choice tương tác không được đánh dấu đáp án đúng",""),"Choice chưa chọn loại")))))))</f>
        <v/>
      </c>
    </row>
    <row r="130" spans="1:11">
      <c r="A130" s="13"/>
      <c r="B130" s="13"/>
      <c r="C130" s="5"/>
      <c r="D130" s="13"/>
      <c r="E130" s="13"/>
      <c r="F130" s="13"/>
      <c r="G130" s="13"/>
      <c r="H130" s="5"/>
      <c r="I130" s="5"/>
      <c r="J130" s="6" t="str">
        <f t="shared" si="1"/>
        <v/>
      </c>
      <c r="K130" s="6" t="str">
        <f>IF(A130="","",IF(COUNTIFS('02_KICH_BAN_NODES'!$B$5:$B$204,A130,'02_KICH_BAN_NODES'!$D$5:$D$204,"choice")=0,"ChoiceNodeId không tồn tại hoặc không phải choice",IF(COUNTIFS($A$5:$A$404,A130,$B$5:$B$404,B130)&gt;1,"Trùng OptionOrder trong cùng choice",IF(OR(B130="",C130="",D130="",F130="",H130=""),"Thiếu trường bắt buộc",IF(OR(COUNTIF($A$5:$A$404,A130)&lt;2,COUNTIF($A$5:$A$404,A130)&gt;4),"Mỗi choice cần 2–4 option",IF(COUNTIFS('02_KICH_BAN_NODES'!$B$5:$B$204,A130,'02_KICH_BAN_NODES'!$E$5:$E$204,"Kiến thức")=1,IF(COUNTIFS($A$5:$A$404,A130,$D$5:$D$404,"Có")&lt;&gt;1,"Choice kiến thức cần đúng 1 đáp án đúng",""),IF(COUNTIFS('02_KICH_BAN_NODES'!$B$5:$B$204,A130,'02_KICH_BAN_NODES'!$E$5:$E$204,"Tương tác")=1,IF(COUNTIFS($A$5:$A$404,A130,$D$5:$D$404,"Có")&lt;&gt;0,"Choice tương tác không được đánh dấu đáp án đúng",""),"Choice chưa chọn loại")))))))</f>
        <v/>
      </c>
    </row>
    <row r="131" spans="1:11">
      <c r="A131" s="13"/>
      <c r="B131" s="13"/>
      <c r="C131" s="5"/>
      <c r="D131" s="13"/>
      <c r="E131" s="13"/>
      <c r="F131" s="13"/>
      <c r="G131" s="13"/>
      <c r="H131" s="5"/>
      <c r="I131" s="5"/>
      <c r="J131" s="6" t="str">
        <f t="shared" si="1"/>
        <v/>
      </c>
      <c r="K131" s="6" t="str">
        <f>IF(A131="","",IF(COUNTIFS('02_KICH_BAN_NODES'!$B$5:$B$204,A131,'02_KICH_BAN_NODES'!$D$5:$D$204,"choice")=0,"ChoiceNodeId không tồn tại hoặc không phải choice",IF(COUNTIFS($A$5:$A$404,A131,$B$5:$B$404,B131)&gt;1,"Trùng OptionOrder trong cùng choice",IF(OR(B131="",C131="",D131="",F131="",H131=""),"Thiếu trường bắt buộc",IF(OR(COUNTIF($A$5:$A$404,A131)&lt;2,COUNTIF($A$5:$A$404,A131)&gt;4),"Mỗi choice cần 2–4 option",IF(COUNTIFS('02_KICH_BAN_NODES'!$B$5:$B$204,A131,'02_KICH_BAN_NODES'!$E$5:$E$204,"Kiến thức")=1,IF(COUNTIFS($A$5:$A$404,A131,$D$5:$D$404,"Có")&lt;&gt;1,"Choice kiến thức cần đúng 1 đáp án đúng",""),IF(COUNTIFS('02_KICH_BAN_NODES'!$B$5:$B$204,A131,'02_KICH_BAN_NODES'!$E$5:$E$204,"Tương tác")=1,IF(COUNTIFS($A$5:$A$404,A131,$D$5:$D$404,"Có")&lt;&gt;0,"Choice tương tác không được đánh dấu đáp án đúng",""),"Choice chưa chọn loại")))))))</f>
        <v/>
      </c>
    </row>
    <row r="132" spans="1:11">
      <c r="A132" s="13"/>
      <c r="B132" s="13"/>
      <c r="C132" s="5"/>
      <c r="D132" s="13"/>
      <c r="E132" s="13"/>
      <c r="F132" s="13"/>
      <c r="G132" s="13"/>
      <c r="H132" s="5"/>
      <c r="I132" s="5"/>
      <c r="J132" s="6" t="str">
        <f t="shared" si="1"/>
        <v/>
      </c>
      <c r="K132" s="6" t="str">
        <f>IF(A132="","",IF(COUNTIFS('02_KICH_BAN_NODES'!$B$5:$B$204,A132,'02_KICH_BAN_NODES'!$D$5:$D$204,"choice")=0,"ChoiceNodeId không tồn tại hoặc không phải choice",IF(COUNTIFS($A$5:$A$404,A132,$B$5:$B$404,B132)&gt;1,"Trùng OptionOrder trong cùng choice",IF(OR(B132="",C132="",D132="",F132="",H132=""),"Thiếu trường bắt buộc",IF(OR(COUNTIF($A$5:$A$404,A132)&lt;2,COUNTIF($A$5:$A$404,A132)&gt;4),"Mỗi choice cần 2–4 option",IF(COUNTIFS('02_KICH_BAN_NODES'!$B$5:$B$204,A132,'02_KICH_BAN_NODES'!$E$5:$E$204,"Kiến thức")=1,IF(COUNTIFS($A$5:$A$404,A132,$D$5:$D$404,"Có")&lt;&gt;1,"Choice kiến thức cần đúng 1 đáp án đúng",""),IF(COUNTIFS('02_KICH_BAN_NODES'!$B$5:$B$204,A132,'02_KICH_BAN_NODES'!$E$5:$E$204,"Tương tác")=1,IF(COUNTIFS($A$5:$A$404,A132,$D$5:$D$404,"Có")&lt;&gt;0,"Choice tương tác không được đánh dấu đáp án đúng",""),"Choice chưa chọn loại")))))))</f>
        <v/>
      </c>
    </row>
    <row r="133" spans="1:11">
      <c r="A133" s="13"/>
      <c r="B133" s="13"/>
      <c r="C133" s="5"/>
      <c r="D133" s="13"/>
      <c r="E133" s="13"/>
      <c r="F133" s="13"/>
      <c r="G133" s="13"/>
      <c r="H133" s="5"/>
      <c r="I133" s="5"/>
      <c r="J133" s="6" t="str">
        <f t="shared" ref="J133:J196" si="2">IF(A133="","",IF(K133="","HỢP LỆ","CẦN SỬA"))</f>
        <v/>
      </c>
      <c r="K133" s="6" t="str">
        <f>IF(A133="","",IF(COUNTIFS('02_KICH_BAN_NODES'!$B$5:$B$204,A133,'02_KICH_BAN_NODES'!$D$5:$D$204,"choice")=0,"ChoiceNodeId không tồn tại hoặc không phải choice",IF(COUNTIFS($A$5:$A$404,A133,$B$5:$B$404,B133)&gt;1,"Trùng OptionOrder trong cùng choice",IF(OR(B133="",C133="",D133="",F133="",H133=""),"Thiếu trường bắt buộc",IF(OR(COUNTIF($A$5:$A$404,A133)&lt;2,COUNTIF($A$5:$A$404,A133)&gt;4),"Mỗi choice cần 2–4 option",IF(COUNTIFS('02_KICH_BAN_NODES'!$B$5:$B$204,A133,'02_KICH_BAN_NODES'!$E$5:$E$204,"Kiến thức")=1,IF(COUNTIFS($A$5:$A$404,A133,$D$5:$D$404,"Có")&lt;&gt;1,"Choice kiến thức cần đúng 1 đáp án đúng",""),IF(COUNTIFS('02_KICH_BAN_NODES'!$B$5:$B$204,A133,'02_KICH_BAN_NODES'!$E$5:$E$204,"Tương tác")=1,IF(COUNTIFS($A$5:$A$404,A133,$D$5:$D$404,"Có")&lt;&gt;0,"Choice tương tác không được đánh dấu đáp án đúng",""),"Choice chưa chọn loại")))))))</f>
        <v/>
      </c>
    </row>
    <row r="134" spans="1:11">
      <c r="A134" s="13"/>
      <c r="B134" s="13"/>
      <c r="C134" s="5"/>
      <c r="D134" s="13"/>
      <c r="E134" s="13"/>
      <c r="F134" s="13"/>
      <c r="G134" s="13"/>
      <c r="H134" s="5"/>
      <c r="I134" s="5"/>
      <c r="J134" s="6" t="str">
        <f t="shared" si="2"/>
        <v/>
      </c>
      <c r="K134" s="6" t="str">
        <f>IF(A134="","",IF(COUNTIFS('02_KICH_BAN_NODES'!$B$5:$B$204,A134,'02_KICH_BAN_NODES'!$D$5:$D$204,"choice")=0,"ChoiceNodeId không tồn tại hoặc không phải choice",IF(COUNTIFS($A$5:$A$404,A134,$B$5:$B$404,B134)&gt;1,"Trùng OptionOrder trong cùng choice",IF(OR(B134="",C134="",D134="",F134="",H134=""),"Thiếu trường bắt buộc",IF(OR(COUNTIF($A$5:$A$404,A134)&lt;2,COUNTIF($A$5:$A$404,A134)&gt;4),"Mỗi choice cần 2–4 option",IF(COUNTIFS('02_KICH_BAN_NODES'!$B$5:$B$204,A134,'02_KICH_BAN_NODES'!$E$5:$E$204,"Kiến thức")=1,IF(COUNTIFS($A$5:$A$404,A134,$D$5:$D$404,"Có")&lt;&gt;1,"Choice kiến thức cần đúng 1 đáp án đúng",""),IF(COUNTIFS('02_KICH_BAN_NODES'!$B$5:$B$204,A134,'02_KICH_BAN_NODES'!$E$5:$E$204,"Tương tác")=1,IF(COUNTIFS($A$5:$A$404,A134,$D$5:$D$404,"Có")&lt;&gt;0,"Choice tương tác không được đánh dấu đáp án đúng",""),"Choice chưa chọn loại")))))))</f>
        <v/>
      </c>
    </row>
    <row r="135" spans="1:11">
      <c r="A135" s="13"/>
      <c r="B135" s="13"/>
      <c r="C135" s="5"/>
      <c r="D135" s="13"/>
      <c r="E135" s="13"/>
      <c r="F135" s="13"/>
      <c r="G135" s="13"/>
      <c r="H135" s="5"/>
      <c r="I135" s="5"/>
      <c r="J135" s="6" t="str">
        <f t="shared" si="2"/>
        <v/>
      </c>
      <c r="K135" s="6" t="str">
        <f>IF(A135="","",IF(COUNTIFS('02_KICH_BAN_NODES'!$B$5:$B$204,A135,'02_KICH_BAN_NODES'!$D$5:$D$204,"choice")=0,"ChoiceNodeId không tồn tại hoặc không phải choice",IF(COUNTIFS($A$5:$A$404,A135,$B$5:$B$404,B135)&gt;1,"Trùng OptionOrder trong cùng choice",IF(OR(B135="",C135="",D135="",F135="",H135=""),"Thiếu trường bắt buộc",IF(OR(COUNTIF($A$5:$A$404,A135)&lt;2,COUNTIF($A$5:$A$404,A135)&gt;4),"Mỗi choice cần 2–4 option",IF(COUNTIFS('02_KICH_BAN_NODES'!$B$5:$B$204,A135,'02_KICH_BAN_NODES'!$E$5:$E$204,"Kiến thức")=1,IF(COUNTIFS($A$5:$A$404,A135,$D$5:$D$404,"Có")&lt;&gt;1,"Choice kiến thức cần đúng 1 đáp án đúng",""),IF(COUNTIFS('02_KICH_BAN_NODES'!$B$5:$B$204,A135,'02_KICH_BAN_NODES'!$E$5:$E$204,"Tương tác")=1,IF(COUNTIFS($A$5:$A$404,A135,$D$5:$D$404,"Có")&lt;&gt;0,"Choice tương tác không được đánh dấu đáp án đúng",""),"Choice chưa chọn loại")))))))</f>
        <v/>
      </c>
    </row>
    <row r="136" spans="1:11">
      <c r="A136" s="13"/>
      <c r="B136" s="13"/>
      <c r="C136" s="5"/>
      <c r="D136" s="13"/>
      <c r="E136" s="13"/>
      <c r="F136" s="13"/>
      <c r="G136" s="13"/>
      <c r="H136" s="5"/>
      <c r="I136" s="5"/>
      <c r="J136" s="6" t="str">
        <f t="shared" si="2"/>
        <v/>
      </c>
      <c r="K136" s="6" t="str">
        <f>IF(A136="","",IF(COUNTIFS('02_KICH_BAN_NODES'!$B$5:$B$204,A136,'02_KICH_BAN_NODES'!$D$5:$D$204,"choice")=0,"ChoiceNodeId không tồn tại hoặc không phải choice",IF(COUNTIFS($A$5:$A$404,A136,$B$5:$B$404,B136)&gt;1,"Trùng OptionOrder trong cùng choice",IF(OR(B136="",C136="",D136="",F136="",H136=""),"Thiếu trường bắt buộc",IF(OR(COUNTIF($A$5:$A$404,A136)&lt;2,COUNTIF($A$5:$A$404,A136)&gt;4),"Mỗi choice cần 2–4 option",IF(COUNTIFS('02_KICH_BAN_NODES'!$B$5:$B$204,A136,'02_KICH_BAN_NODES'!$E$5:$E$204,"Kiến thức")=1,IF(COUNTIFS($A$5:$A$404,A136,$D$5:$D$404,"Có")&lt;&gt;1,"Choice kiến thức cần đúng 1 đáp án đúng",""),IF(COUNTIFS('02_KICH_BAN_NODES'!$B$5:$B$204,A136,'02_KICH_BAN_NODES'!$E$5:$E$204,"Tương tác")=1,IF(COUNTIFS($A$5:$A$404,A136,$D$5:$D$404,"Có")&lt;&gt;0,"Choice tương tác không được đánh dấu đáp án đúng",""),"Choice chưa chọn loại")))))))</f>
        <v/>
      </c>
    </row>
    <row r="137" spans="1:11">
      <c r="A137" s="13"/>
      <c r="B137" s="13"/>
      <c r="C137" s="5"/>
      <c r="D137" s="13"/>
      <c r="E137" s="13"/>
      <c r="F137" s="13"/>
      <c r="G137" s="13"/>
      <c r="H137" s="5"/>
      <c r="I137" s="5"/>
      <c r="J137" s="6" t="str">
        <f t="shared" si="2"/>
        <v/>
      </c>
      <c r="K137" s="6" t="str">
        <f>IF(A137="","",IF(COUNTIFS('02_KICH_BAN_NODES'!$B$5:$B$204,A137,'02_KICH_BAN_NODES'!$D$5:$D$204,"choice")=0,"ChoiceNodeId không tồn tại hoặc không phải choice",IF(COUNTIFS($A$5:$A$404,A137,$B$5:$B$404,B137)&gt;1,"Trùng OptionOrder trong cùng choice",IF(OR(B137="",C137="",D137="",F137="",H137=""),"Thiếu trường bắt buộc",IF(OR(COUNTIF($A$5:$A$404,A137)&lt;2,COUNTIF($A$5:$A$404,A137)&gt;4),"Mỗi choice cần 2–4 option",IF(COUNTIFS('02_KICH_BAN_NODES'!$B$5:$B$204,A137,'02_KICH_BAN_NODES'!$E$5:$E$204,"Kiến thức")=1,IF(COUNTIFS($A$5:$A$404,A137,$D$5:$D$404,"Có")&lt;&gt;1,"Choice kiến thức cần đúng 1 đáp án đúng",""),IF(COUNTIFS('02_KICH_BAN_NODES'!$B$5:$B$204,A137,'02_KICH_BAN_NODES'!$E$5:$E$204,"Tương tác")=1,IF(COUNTIFS($A$5:$A$404,A137,$D$5:$D$404,"Có")&lt;&gt;0,"Choice tương tác không được đánh dấu đáp án đúng",""),"Choice chưa chọn loại")))))))</f>
        <v/>
      </c>
    </row>
    <row r="138" spans="1:11">
      <c r="A138" s="13"/>
      <c r="B138" s="13"/>
      <c r="C138" s="5"/>
      <c r="D138" s="13"/>
      <c r="E138" s="13"/>
      <c r="F138" s="13"/>
      <c r="G138" s="13"/>
      <c r="H138" s="5"/>
      <c r="I138" s="5"/>
      <c r="J138" s="6" t="str">
        <f t="shared" si="2"/>
        <v/>
      </c>
      <c r="K138" s="6" t="str">
        <f>IF(A138="","",IF(COUNTIFS('02_KICH_BAN_NODES'!$B$5:$B$204,A138,'02_KICH_BAN_NODES'!$D$5:$D$204,"choice")=0,"ChoiceNodeId không tồn tại hoặc không phải choice",IF(COUNTIFS($A$5:$A$404,A138,$B$5:$B$404,B138)&gt;1,"Trùng OptionOrder trong cùng choice",IF(OR(B138="",C138="",D138="",F138="",H138=""),"Thiếu trường bắt buộc",IF(OR(COUNTIF($A$5:$A$404,A138)&lt;2,COUNTIF($A$5:$A$404,A138)&gt;4),"Mỗi choice cần 2–4 option",IF(COUNTIFS('02_KICH_BAN_NODES'!$B$5:$B$204,A138,'02_KICH_BAN_NODES'!$E$5:$E$204,"Kiến thức")=1,IF(COUNTIFS($A$5:$A$404,A138,$D$5:$D$404,"Có")&lt;&gt;1,"Choice kiến thức cần đúng 1 đáp án đúng",""),IF(COUNTIFS('02_KICH_BAN_NODES'!$B$5:$B$204,A138,'02_KICH_BAN_NODES'!$E$5:$E$204,"Tương tác")=1,IF(COUNTIFS($A$5:$A$404,A138,$D$5:$D$404,"Có")&lt;&gt;0,"Choice tương tác không được đánh dấu đáp án đúng",""),"Choice chưa chọn loại")))))))</f>
        <v/>
      </c>
    </row>
    <row r="139" spans="1:11">
      <c r="A139" s="13"/>
      <c r="B139" s="13"/>
      <c r="C139" s="5"/>
      <c r="D139" s="13"/>
      <c r="E139" s="13"/>
      <c r="F139" s="13"/>
      <c r="G139" s="13"/>
      <c r="H139" s="5"/>
      <c r="I139" s="5"/>
      <c r="J139" s="6" t="str">
        <f t="shared" si="2"/>
        <v/>
      </c>
      <c r="K139" s="6" t="str">
        <f>IF(A139="","",IF(COUNTIFS('02_KICH_BAN_NODES'!$B$5:$B$204,A139,'02_KICH_BAN_NODES'!$D$5:$D$204,"choice")=0,"ChoiceNodeId không tồn tại hoặc không phải choice",IF(COUNTIFS($A$5:$A$404,A139,$B$5:$B$404,B139)&gt;1,"Trùng OptionOrder trong cùng choice",IF(OR(B139="",C139="",D139="",F139="",H139=""),"Thiếu trường bắt buộc",IF(OR(COUNTIF($A$5:$A$404,A139)&lt;2,COUNTIF($A$5:$A$404,A139)&gt;4),"Mỗi choice cần 2–4 option",IF(COUNTIFS('02_KICH_BAN_NODES'!$B$5:$B$204,A139,'02_KICH_BAN_NODES'!$E$5:$E$204,"Kiến thức")=1,IF(COUNTIFS($A$5:$A$404,A139,$D$5:$D$404,"Có")&lt;&gt;1,"Choice kiến thức cần đúng 1 đáp án đúng",""),IF(COUNTIFS('02_KICH_BAN_NODES'!$B$5:$B$204,A139,'02_KICH_BAN_NODES'!$E$5:$E$204,"Tương tác")=1,IF(COUNTIFS($A$5:$A$404,A139,$D$5:$D$404,"Có")&lt;&gt;0,"Choice tương tác không được đánh dấu đáp án đúng",""),"Choice chưa chọn loại")))))))</f>
        <v/>
      </c>
    </row>
    <row r="140" spans="1:11">
      <c r="A140" s="13"/>
      <c r="B140" s="13"/>
      <c r="C140" s="5"/>
      <c r="D140" s="13"/>
      <c r="E140" s="13"/>
      <c r="F140" s="13"/>
      <c r="G140" s="13"/>
      <c r="H140" s="5"/>
      <c r="I140" s="5"/>
      <c r="J140" s="6" t="str">
        <f t="shared" si="2"/>
        <v/>
      </c>
      <c r="K140" s="6" t="str">
        <f>IF(A140="","",IF(COUNTIFS('02_KICH_BAN_NODES'!$B$5:$B$204,A140,'02_KICH_BAN_NODES'!$D$5:$D$204,"choice")=0,"ChoiceNodeId không tồn tại hoặc không phải choice",IF(COUNTIFS($A$5:$A$404,A140,$B$5:$B$404,B140)&gt;1,"Trùng OptionOrder trong cùng choice",IF(OR(B140="",C140="",D140="",F140="",H140=""),"Thiếu trường bắt buộc",IF(OR(COUNTIF($A$5:$A$404,A140)&lt;2,COUNTIF($A$5:$A$404,A140)&gt;4),"Mỗi choice cần 2–4 option",IF(COUNTIFS('02_KICH_BAN_NODES'!$B$5:$B$204,A140,'02_KICH_BAN_NODES'!$E$5:$E$204,"Kiến thức")=1,IF(COUNTIFS($A$5:$A$404,A140,$D$5:$D$404,"Có")&lt;&gt;1,"Choice kiến thức cần đúng 1 đáp án đúng",""),IF(COUNTIFS('02_KICH_BAN_NODES'!$B$5:$B$204,A140,'02_KICH_BAN_NODES'!$E$5:$E$204,"Tương tác")=1,IF(COUNTIFS($A$5:$A$404,A140,$D$5:$D$404,"Có")&lt;&gt;0,"Choice tương tác không được đánh dấu đáp án đúng",""),"Choice chưa chọn loại")))))))</f>
        <v/>
      </c>
    </row>
    <row r="141" spans="1:11">
      <c r="A141" s="13"/>
      <c r="B141" s="13"/>
      <c r="C141" s="5"/>
      <c r="D141" s="13"/>
      <c r="E141" s="13"/>
      <c r="F141" s="13"/>
      <c r="G141" s="13"/>
      <c r="H141" s="5"/>
      <c r="I141" s="5"/>
      <c r="J141" s="6" t="str">
        <f t="shared" si="2"/>
        <v/>
      </c>
      <c r="K141" s="6" t="str">
        <f>IF(A141="","",IF(COUNTIFS('02_KICH_BAN_NODES'!$B$5:$B$204,A141,'02_KICH_BAN_NODES'!$D$5:$D$204,"choice")=0,"ChoiceNodeId không tồn tại hoặc không phải choice",IF(COUNTIFS($A$5:$A$404,A141,$B$5:$B$404,B141)&gt;1,"Trùng OptionOrder trong cùng choice",IF(OR(B141="",C141="",D141="",F141="",H141=""),"Thiếu trường bắt buộc",IF(OR(COUNTIF($A$5:$A$404,A141)&lt;2,COUNTIF($A$5:$A$404,A141)&gt;4),"Mỗi choice cần 2–4 option",IF(COUNTIFS('02_KICH_BAN_NODES'!$B$5:$B$204,A141,'02_KICH_BAN_NODES'!$E$5:$E$204,"Kiến thức")=1,IF(COUNTIFS($A$5:$A$404,A141,$D$5:$D$404,"Có")&lt;&gt;1,"Choice kiến thức cần đúng 1 đáp án đúng",""),IF(COUNTIFS('02_KICH_BAN_NODES'!$B$5:$B$204,A141,'02_KICH_BAN_NODES'!$E$5:$E$204,"Tương tác")=1,IF(COUNTIFS($A$5:$A$404,A141,$D$5:$D$404,"Có")&lt;&gt;0,"Choice tương tác không được đánh dấu đáp án đúng",""),"Choice chưa chọn loại")))))))</f>
        <v/>
      </c>
    </row>
    <row r="142" spans="1:11">
      <c r="A142" s="13"/>
      <c r="B142" s="13"/>
      <c r="C142" s="5"/>
      <c r="D142" s="13"/>
      <c r="E142" s="13"/>
      <c r="F142" s="13"/>
      <c r="G142" s="13"/>
      <c r="H142" s="5"/>
      <c r="I142" s="5"/>
      <c r="J142" s="6" t="str">
        <f t="shared" si="2"/>
        <v/>
      </c>
      <c r="K142" s="6" t="str">
        <f>IF(A142="","",IF(COUNTIFS('02_KICH_BAN_NODES'!$B$5:$B$204,A142,'02_KICH_BAN_NODES'!$D$5:$D$204,"choice")=0,"ChoiceNodeId không tồn tại hoặc không phải choice",IF(COUNTIFS($A$5:$A$404,A142,$B$5:$B$404,B142)&gt;1,"Trùng OptionOrder trong cùng choice",IF(OR(B142="",C142="",D142="",F142="",H142=""),"Thiếu trường bắt buộc",IF(OR(COUNTIF($A$5:$A$404,A142)&lt;2,COUNTIF($A$5:$A$404,A142)&gt;4),"Mỗi choice cần 2–4 option",IF(COUNTIFS('02_KICH_BAN_NODES'!$B$5:$B$204,A142,'02_KICH_BAN_NODES'!$E$5:$E$204,"Kiến thức")=1,IF(COUNTIFS($A$5:$A$404,A142,$D$5:$D$404,"Có")&lt;&gt;1,"Choice kiến thức cần đúng 1 đáp án đúng",""),IF(COUNTIFS('02_KICH_BAN_NODES'!$B$5:$B$204,A142,'02_KICH_BAN_NODES'!$E$5:$E$204,"Tương tác")=1,IF(COUNTIFS($A$5:$A$404,A142,$D$5:$D$404,"Có")&lt;&gt;0,"Choice tương tác không được đánh dấu đáp án đúng",""),"Choice chưa chọn loại")))))))</f>
        <v/>
      </c>
    </row>
    <row r="143" spans="1:11">
      <c r="A143" s="13"/>
      <c r="B143" s="13"/>
      <c r="C143" s="5"/>
      <c r="D143" s="13"/>
      <c r="E143" s="13"/>
      <c r="F143" s="13"/>
      <c r="G143" s="13"/>
      <c r="H143" s="5"/>
      <c r="I143" s="5"/>
      <c r="J143" s="6" t="str">
        <f t="shared" si="2"/>
        <v/>
      </c>
      <c r="K143" s="6" t="str">
        <f>IF(A143="","",IF(COUNTIFS('02_KICH_BAN_NODES'!$B$5:$B$204,A143,'02_KICH_BAN_NODES'!$D$5:$D$204,"choice")=0,"ChoiceNodeId không tồn tại hoặc không phải choice",IF(COUNTIFS($A$5:$A$404,A143,$B$5:$B$404,B143)&gt;1,"Trùng OptionOrder trong cùng choice",IF(OR(B143="",C143="",D143="",F143="",H143=""),"Thiếu trường bắt buộc",IF(OR(COUNTIF($A$5:$A$404,A143)&lt;2,COUNTIF($A$5:$A$404,A143)&gt;4),"Mỗi choice cần 2–4 option",IF(COUNTIFS('02_KICH_BAN_NODES'!$B$5:$B$204,A143,'02_KICH_BAN_NODES'!$E$5:$E$204,"Kiến thức")=1,IF(COUNTIFS($A$5:$A$404,A143,$D$5:$D$404,"Có")&lt;&gt;1,"Choice kiến thức cần đúng 1 đáp án đúng",""),IF(COUNTIFS('02_KICH_BAN_NODES'!$B$5:$B$204,A143,'02_KICH_BAN_NODES'!$E$5:$E$204,"Tương tác")=1,IF(COUNTIFS($A$5:$A$404,A143,$D$5:$D$404,"Có")&lt;&gt;0,"Choice tương tác không được đánh dấu đáp án đúng",""),"Choice chưa chọn loại")))))))</f>
        <v/>
      </c>
    </row>
    <row r="144" spans="1:11">
      <c r="A144" s="13"/>
      <c r="B144" s="13"/>
      <c r="C144" s="5"/>
      <c r="D144" s="13"/>
      <c r="E144" s="13"/>
      <c r="F144" s="13"/>
      <c r="G144" s="13"/>
      <c r="H144" s="5"/>
      <c r="I144" s="5"/>
      <c r="J144" s="6" t="str">
        <f t="shared" si="2"/>
        <v/>
      </c>
      <c r="K144" s="6" t="str">
        <f>IF(A144="","",IF(COUNTIFS('02_KICH_BAN_NODES'!$B$5:$B$204,A144,'02_KICH_BAN_NODES'!$D$5:$D$204,"choice")=0,"ChoiceNodeId không tồn tại hoặc không phải choice",IF(COUNTIFS($A$5:$A$404,A144,$B$5:$B$404,B144)&gt;1,"Trùng OptionOrder trong cùng choice",IF(OR(B144="",C144="",D144="",F144="",H144=""),"Thiếu trường bắt buộc",IF(OR(COUNTIF($A$5:$A$404,A144)&lt;2,COUNTIF($A$5:$A$404,A144)&gt;4),"Mỗi choice cần 2–4 option",IF(COUNTIFS('02_KICH_BAN_NODES'!$B$5:$B$204,A144,'02_KICH_BAN_NODES'!$E$5:$E$204,"Kiến thức")=1,IF(COUNTIFS($A$5:$A$404,A144,$D$5:$D$404,"Có")&lt;&gt;1,"Choice kiến thức cần đúng 1 đáp án đúng",""),IF(COUNTIFS('02_KICH_BAN_NODES'!$B$5:$B$204,A144,'02_KICH_BAN_NODES'!$E$5:$E$204,"Tương tác")=1,IF(COUNTIFS($A$5:$A$404,A144,$D$5:$D$404,"Có")&lt;&gt;0,"Choice tương tác không được đánh dấu đáp án đúng",""),"Choice chưa chọn loại")))))))</f>
        <v/>
      </c>
    </row>
    <row r="145" spans="1:11">
      <c r="A145" s="13"/>
      <c r="B145" s="13"/>
      <c r="C145" s="5"/>
      <c r="D145" s="13"/>
      <c r="E145" s="13"/>
      <c r="F145" s="13"/>
      <c r="G145" s="13"/>
      <c r="H145" s="5"/>
      <c r="I145" s="5"/>
      <c r="J145" s="6" t="str">
        <f t="shared" si="2"/>
        <v/>
      </c>
      <c r="K145" s="6" t="str">
        <f>IF(A145="","",IF(COUNTIFS('02_KICH_BAN_NODES'!$B$5:$B$204,A145,'02_KICH_BAN_NODES'!$D$5:$D$204,"choice")=0,"ChoiceNodeId không tồn tại hoặc không phải choice",IF(COUNTIFS($A$5:$A$404,A145,$B$5:$B$404,B145)&gt;1,"Trùng OptionOrder trong cùng choice",IF(OR(B145="",C145="",D145="",F145="",H145=""),"Thiếu trường bắt buộc",IF(OR(COUNTIF($A$5:$A$404,A145)&lt;2,COUNTIF($A$5:$A$404,A145)&gt;4),"Mỗi choice cần 2–4 option",IF(COUNTIFS('02_KICH_BAN_NODES'!$B$5:$B$204,A145,'02_KICH_BAN_NODES'!$E$5:$E$204,"Kiến thức")=1,IF(COUNTIFS($A$5:$A$404,A145,$D$5:$D$404,"Có")&lt;&gt;1,"Choice kiến thức cần đúng 1 đáp án đúng",""),IF(COUNTIFS('02_KICH_BAN_NODES'!$B$5:$B$204,A145,'02_KICH_BAN_NODES'!$E$5:$E$204,"Tương tác")=1,IF(COUNTIFS($A$5:$A$404,A145,$D$5:$D$404,"Có")&lt;&gt;0,"Choice tương tác không được đánh dấu đáp án đúng",""),"Choice chưa chọn loại")))))))</f>
        <v/>
      </c>
    </row>
    <row r="146" spans="1:11">
      <c r="A146" s="13"/>
      <c r="B146" s="13"/>
      <c r="C146" s="5"/>
      <c r="D146" s="13"/>
      <c r="E146" s="13"/>
      <c r="F146" s="13"/>
      <c r="G146" s="13"/>
      <c r="H146" s="5"/>
      <c r="I146" s="5"/>
      <c r="J146" s="6" t="str">
        <f t="shared" si="2"/>
        <v/>
      </c>
      <c r="K146" s="6" t="str">
        <f>IF(A146="","",IF(COUNTIFS('02_KICH_BAN_NODES'!$B$5:$B$204,A146,'02_KICH_BAN_NODES'!$D$5:$D$204,"choice")=0,"ChoiceNodeId không tồn tại hoặc không phải choice",IF(COUNTIFS($A$5:$A$404,A146,$B$5:$B$404,B146)&gt;1,"Trùng OptionOrder trong cùng choice",IF(OR(B146="",C146="",D146="",F146="",H146=""),"Thiếu trường bắt buộc",IF(OR(COUNTIF($A$5:$A$404,A146)&lt;2,COUNTIF($A$5:$A$404,A146)&gt;4),"Mỗi choice cần 2–4 option",IF(COUNTIFS('02_KICH_BAN_NODES'!$B$5:$B$204,A146,'02_KICH_BAN_NODES'!$E$5:$E$204,"Kiến thức")=1,IF(COUNTIFS($A$5:$A$404,A146,$D$5:$D$404,"Có")&lt;&gt;1,"Choice kiến thức cần đúng 1 đáp án đúng",""),IF(COUNTIFS('02_KICH_BAN_NODES'!$B$5:$B$204,A146,'02_KICH_BAN_NODES'!$E$5:$E$204,"Tương tác")=1,IF(COUNTIFS($A$5:$A$404,A146,$D$5:$D$404,"Có")&lt;&gt;0,"Choice tương tác không được đánh dấu đáp án đúng",""),"Choice chưa chọn loại")))))))</f>
        <v/>
      </c>
    </row>
    <row r="147" spans="1:11">
      <c r="A147" s="13"/>
      <c r="B147" s="13"/>
      <c r="C147" s="5"/>
      <c r="D147" s="13"/>
      <c r="E147" s="13"/>
      <c r="F147" s="13"/>
      <c r="G147" s="13"/>
      <c r="H147" s="5"/>
      <c r="I147" s="5"/>
      <c r="J147" s="6" t="str">
        <f t="shared" si="2"/>
        <v/>
      </c>
      <c r="K147" s="6" t="str">
        <f>IF(A147="","",IF(COUNTIFS('02_KICH_BAN_NODES'!$B$5:$B$204,A147,'02_KICH_BAN_NODES'!$D$5:$D$204,"choice")=0,"ChoiceNodeId không tồn tại hoặc không phải choice",IF(COUNTIFS($A$5:$A$404,A147,$B$5:$B$404,B147)&gt;1,"Trùng OptionOrder trong cùng choice",IF(OR(B147="",C147="",D147="",F147="",H147=""),"Thiếu trường bắt buộc",IF(OR(COUNTIF($A$5:$A$404,A147)&lt;2,COUNTIF($A$5:$A$404,A147)&gt;4),"Mỗi choice cần 2–4 option",IF(COUNTIFS('02_KICH_BAN_NODES'!$B$5:$B$204,A147,'02_KICH_BAN_NODES'!$E$5:$E$204,"Kiến thức")=1,IF(COUNTIFS($A$5:$A$404,A147,$D$5:$D$404,"Có")&lt;&gt;1,"Choice kiến thức cần đúng 1 đáp án đúng",""),IF(COUNTIFS('02_KICH_BAN_NODES'!$B$5:$B$204,A147,'02_KICH_BAN_NODES'!$E$5:$E$204,"Tương tác")=1,IF(COUNTIFS($A$5:$A$404,A147,$D$5:$D$404,"Có")&lt;&gt;0,"Choice tương tác không được đánh dấu đáp án đúng",""),"Choice chưa chọn loại")))))))</f>
        <v/>
      </c>
    </row>
    <row r="148" spans="1:11">
      <c r="A148" s="13"/>
      <c r="B148" s="13"/>
      <c r="C148" s="5"/>
      <c r="D148" s="13"/>
      <c r="E148" s="13"/>
      <c r="F148" s="13"/>
      <c r="G148" s="13"/>
      <c r="H148" s="5"/>
      <c r="I148" s="5"/>
      <c r="J148" s="6" t="str">
        <f t="shared" si="2"/>
        <v/>
      </c>
      <c r="K148" s="6" t="str">
        <f>IF(A148="","",IF(COUNTIFS('02_KICH_BAN_NODES'!$B$5:$B$204,A148,'02_KICH_BAN_NODES'!$D$5:$D$204,"choice")=0,"ChoiceNodeId không tồn tại hoặc không phải choice",IF(COUNTIFS($A$5:$A$404,A148,$B$5:$B$404,B148)&gt;1,"Trùng OptionOrder trong cùng choice",IF(OR(B148="",C148="",D148="",F148="",H148=""),"Thiếu trường bắt buộc",IF(OR(COUNTIF($A$5:$A$404,A148)&lt;2,COUNTIF($A$5:$A$404,A148)&gt;4),"Mỗi choice cần 2–4 option",IF(COUNTIFS('02_KICH_BAN_NODES'!$B$5:$B$204,A148,'02_KICH_BAN_NODES'!$E$5:$E$204,"Kiến thức")=1,IF(COUNTIFS($A$5:$A$404,A148,$D$5:$D$404,"Có")&lt;&gt;1,"Choice kiến thức cần đúng 1 đáp án đúng",""),IF(COUNTIFS('02_KICH_BAN_NODES'!$B$5:$B$204,A148,'02_KICH_BAN_NODES'!$E$5:$E$204,"Tương tác")=1,IF(COUNTIFS($A$5:$A$404,A148,$D$5:$D$404,"Có")&lt;&gt;0,"Choice tương tác không được đánh dấu đáp án đúng",""),"Choice chưa chọn loại")))))))</f>
        <v/>
      </c>
    </row>
    <row r="149" spans="1:11">
      <c r="A149" s="13"/>
      <c r="B149" s="13"/>
      <c r="C149" s="5"/>
      <c r="D149" s="13"/>
      <c r="E149" s="13"/>
      <c r="F149" s="13"/>
      <c r="G149" s="13"/>
      <c r="H149" s="5"/>
      <c r="I149" s="5"/>
      <c r="J149" s="6" t="str">
        <f t="shared" si="2"/>
        <v/>
      </c>
      <c r="K149" s="6" t="str">
        <f>IF(A149="","",IF(COUNTIFS('02_KICH_BAN_NODES'!$B$5:$B$204,A149,'02_KICH_BAN_NODES'!$D$5:$D$204,"choice")=0,"ChoiceNodeId không tồn tại hoặc không phải choice",IF(COUNTIFS($A$5:$A$404,A149,$B$5:$B$404,B149)&gt;1,"Trùng OptionOrder trong cùng choice",IF(OR(B149="",C149="",D149="",F149="",H149=""),"Thiếu trường bắt buộc",IF(OR(COUNTIF($A$5:$A$404,A149)&lt;2,COUNTIF($A$5:$A$404,A149)&gt;4),"Mỗi choice cần 2–4 option",IF(COUNTIFS('02_KICH_BAN_NODES'!$B$5:$B$204,A149,'02_KICH_BAN_NODES'!$E$5:$E$204,"Kiến thức")=1,IF(COUNTIFS($A$5:$A$404,A149,$D$5:$D$404,"Có")&lt;&gt;1,"Choice kiến thức cần đúng 1 đáp án đúng",""),IF(COUNTIFS('02_KICH_BAN_NODES'!$B$5:$B$204,A149,'02_KICH_BAN_NODES'!$E$5:$E$204,"Tương tác")=1,IF(COUNTIFS($A$5:$A$404,A149,$D$5:$D$404,"Có")&lt;&gt;0,"Choice tương tác không được đánh dấu đáp án đúng",""),"Choice chưa chọn loại")))))))</f>
        <v/>
      </c>
    </row>
    <row r="150" spans="1:11">
      <c r="A150" s="13"/>
      <c r="B150" s="13"/>
      <c r="C150" s="5"/>
      <c r="D150" s="13"/>
      <c r="E150" s="13"/>
      <c r="F150" s="13"/>
      <c r="G150" s="13"/>
      <c r="H150" s="5"/>
      <c r="I150" s="5"/>
      <c r="J150" s="6" t="str">
        <f t="shared" si="2"/>
        <v/>
      </c>
      <c r="K150" s="6" t="str">
        <f>IF(A150="","",IF(COUNTIFS('02_KICH_BAN_NODES'!$B$5:$B$204,A150,'02_KICH_BAN_NODES'!$D$5:$D$204,"choice")=0,"ChoiceNodeId không tồn tại hoặc không phải choice",IF(COUNTIFS($A$5:$A$404,A150,$B$5:$B$404,B150)&gt;1,"Trùng OptionOrder trong cùng choice",IF(OR(B150="",C150="",D150="",F150="",H150=""),"Thiếu trường bắt buộc",IF(OR(COUNTIF($A$5:$A$404,A150)&lt;2,COUNTIF($A$5:$A$404,A150)&gt;4),"Mỗi choice cần 2–4 option",IF(COUNTIFS('02_KICH_BAN_NODES'!$B$5:$B$204,A150,'02_KICH_BAN_NODES'!$E$5:$E$204,"Kiến thức")=1,IF(COUNTIFS($A$5:$A$404,A150,$D$5:$D$404,"Có")&lt;&gt;1,"Choice kiến thức cần đúng 1 đáp án đúng",""),IF(COUNTIFS('02_KICH_BAN_NODES'!$B$5:$B$204,A150,'02_KICH_BAN_NODES'!$E$5:$E$204,"Tương tác")=1,IF(COUNTIFS($A$5:$A$404,A150,$D$5:$D$404,"Có")&lt;&gt;0,"Choice tương tác không được đánh dấu đáp án đúng",""),"Choice chưa chọn loại")))))))</f>
        <v/>
      </c>
    </row>
    <row r="151" spans="1:11">
      <c r="A151" s="13"/>
      <c r="B151" s="13"/>
      <c r="C151" s="5"/>
      <c r="D151" s="13"/>
      <c r="E151" s="13"/>
      <c r="F151" s="13"/>
      <c r="G151" s="13"/>
      <c r="H151" s="5"/>
      <c r="I151" s="5"/>
      <c r="J151" s="6" t="str">
        <f t="shared" si="2"/>
        <v/>
      </c>
      <c r="K151" s="6" t="str">
        <f>IF(A151="","",IF(COUNTIFS('02_KICH_BAN_NODES'!$B$5:$B$204,A151,'02_KICH_BAN_NODES'!$D$5:$D$204,"choice")=0,"ChoiceNodeId không tồn tại hoặc không phải choice",IF(COUNTIFS($A$5:$A$404,A151,$B$5:$B$404,B151)&gt;1,"Trùng OptionOrder trong cùng choice",IF(OR(B151="",C151="",D151="",F151="",H151=""),"Thiếu trường bắt buộc",IF(OR(COUNTIF($A$5:$A$404,A151)&lt;2,COUNTIF($A$5:$A$404,A151)&gt;4),"Mỗi choice cần 2–4 option",IF(COUNTIFS('02_KICH_BAN_NODES'!$B$5:$B$204,A151,'02_KICH_BAN_NODES'!$E$5:$E$204,"Kiến thức")=1,IF(COUNTIFS($A$5:$A$404,A151,$D$5:$D$404,"Có")&lt;&gt;1,"Choice kiến thức cần đúng 1 đáp án đúng",""),IF(COUNTIFS('02_KICH_BAN_NODES'!$B$5:$B$204,A151,'02_KICH_BAN_NODES'!$E$5:$E$204,"Tương tác")=1,IF(COUNTIFS($A$5:$A$404,A151,$D$5:$D$404,"Có")&lt;&gt;0,"Choice tương tác không được đánh dấu đáp án đúng",""),"Choice chưa chọn loại")))))))</f>
        <v/>
      </c>
    </row>
    <row r="152" spans="1:11">
      <c r="A152" s="13"/>
      <c r="B152" s="13"/>
      <c r="C152" s="5"/>
      <c r="D152" s="13"/>
      <c r="E152" s="13"/>
      <c r="F152" s="13"/>
      <c r="G152" s="13"/>
      <c r="H152" s="5"/>
      <c r="I152" s="5"/>
      <c r="J152" s="6" t="str">
        <f t="shared" si="2"/>
        <v/>
      </c>
      <c r="K152" s="6" t="str">
        <f>IF(A152="","",IF(COUNTIFS('02_KICH_BAN_NODES'!$B$5:$B$204,A152,'02_KICH_BAN_NODES'!$D$5:$D$204,"choice")=0,"ChoiceNodeId không tồn tại hoặc không phải choice",IF(COUNTIFS($A$5:$A$404,A152,$B$5:$B$404,B152)&gt;1,"Trùng OptionOrder trong cùng choice",IF(OR(B152="",C152="",D152="",F152="",H152=""),"Thiếu trường bắt buộc",IF(OR(COUNTIF($A$5:$A$404,A152)&lt;2,COUNTIF($A$5:$A$404,A152)&gt;4),"Mỗi choice cần 2–4 option",IF(COUNTIFS('02_KICH_BAN_NODES'!$B$5:$B$204,A152,'02_KICH_BAN_NODES'!$E$5:$E$204,"Kiến thức")=1,IF(COUNTIFS($A$5:$A$404,A152,$D$5:$D$404,"Có")&lt;&gt;1,"Choice kiến thức cần đúng 1 đáp án đúng",""),IF(COUNTIFS('02_KICH_BAN_NODES'!$B$5:$B$204,A152,'02_KICH_BAN_NODES'!$E$5:$E$204,"Tương tác")=1,IF(COUNTIFS($A$5:$A$404,A152,$D$5:$D$404,"Có")&lt;&gt;0,"Choice tương tác không được đánh dấu đáp án đúng",""),"Choice chưa chọn loại")))))))</f>
        <v/>
      </c>
    </row>
    <row r="153" spans="1:11">
      <c r="A153" s="13"/>
      <c r="B153" s="13"/>
      <c r="C153" s="5"/>
      <c r="D153" s="13"/>
      <c r="E153" s="13"/>
      <c r="F153" s="13"/>
      <c r="G153" s="13"/>
      <c r="H153" s="5"/>
      <c r="I153" s="5"/>
      <c r="J153" s="6" t="str">
        <f t="shared" si="2"/>
        <v/>
      </c>
      <c r="K153" s="6" t="str">
        <f>IF(A153="","",IF(COUNTIFS('02_KICH_BAN_NODES'!$B$5:$B$204,A153,'02_KICH_BAN_NODES'!$D$5:$D$204,"choice")=0,"ChoiceNodeId không tồn tại hoặc không phải choice",IF(COUNTIFS($A$5:$A$404,A153,$B$5:$B$404,B153)&gt;1,"Trùng OptionOrder trong cùng choice",IF(OR(B153="",C153="",D153="",F153="",H153=""),"Thiếu trường bắt buộc",IF(OR(COUNTIF($A$5:$A$404,A153)&lt;2,COUNTIF($A$5:$A$404,A153)&gt;4),"Mỗi choice cần 2–4 option",IF(COUNTIFS('02_KICH_BAN_NODES'!$B$5:$B$204,A153,'02_KICH_BAN_NODES'!$E$5:$E$204,"Kiến thức")=1,IF(COUNTIFS($A$5:$A$404,A153,$D$5:$D$404,"Có")&lt;&gt;1,"Choice kiến thức cần đúng 1 đáp án đúng",""),IF(COUNTIFS('02_KICH_BAN_NODES'!$B$5:$B$204,A153,'02_KICH_BAN_NODES'!$E$5:$E$204,"Tương tác")=1,IF(COUNTIFS($A$5:$A$404,A153,$D$5:$D$404,"Có")&lt;&gt;0,"Choice tương tác không được đánh dấu đáp án đúng",""),"Choice chưa chọn loại")))))))</f>
        <v/>
      </c>
    </row>
    <row r="154" spans="1:11">
      <c r="A154" s="13"/>
      <c r="B154" s="13"/>
      <c r="C154" s="5"/>
      <c r="D154" s="13"/>
      <c r="E154" s="13"/>
      <c r="F154" s="13"/>
      <c r="G154" s="13"/>
      <c r="H154" s="5"/>
      <c r="I154" s="5"/>
      <c r="J154" s="6" t="str">
        <f t="shared" si="2"/>
        <v/>
      </c>
      <c r="K154" s="6" t="str">
        <f>IF(A154="","",IF(COUNTIFS('02_KICH_BAN_NODES'!$B$5:$B$204,A154,'02_KICH_BAN_NODES'!$D$5:$D$204,"choice")=0,"ChoiceNodeId không tồn tại hoặc không phải choice",IF(COUNTIFS($A$5:$A$404,A154,$B$5:$B$404,B154)&gt;1,"Trùng OptionOrder trong cùng choice",IF(OR(B154="",C154="",D154="",F154="",H154=""),"Thiếu trường bắt buộc",IF(OR(COUNTIF($A$5:$A$404,A154)&lt;2,COUNTIF($A$5:$A$404,A154)&gt;4),"Mỗi choice cần 2–4 option",IF(COUNTIFS('02_KICH_BAN_NODES'!$B$5:$B$204,A154,'02_KICH_BAN_NODES'!$E$5:$E$204,"Kiến thức")=1,IF(COUNTIFS($A$5:$A$404,A154,$D$5:$D$404,"Có")&lt;&gt;1,"Choice kiến thức cần đúng 1 đáp án đúng",""),IF(COUNTIFS('02_KICH_BAN_NODES'!$B$5:$B$204,A154,'02_KICH_BAN_NODES'!$E$5:$E$204,"Tương tác")=1,IF(COUNTIFS($A$5:$A$404,A154,$D$5:$D$404,"Có")&lt;&gt;0,"Choice tương tác không được đánh dấu đáp án đúng",""),"Choice chưa chọn loại")))))))</f>
        <v/>
      </c>
    </row>
    <row r="155" spans="1:11">
      <c r="A155" s="13"/>
      <c r="B155" s="13"/>
      <c r="C155" s="5"/>
      <c r="D155" s="13"/>
      <c r="E155" s="13"/>
      <c r="F155" s="13"/>
      <c r="G155" s="13"/>
      <c r="H155" s="5"/>
      <c r="I155" s="5"/>
      <c r="J155" s="6" t="str">
        <f t="shared" si="2"/>
        <v/>
      </c>
      <c r="K155" s="6" t="str">
        <f>IF(A155="","",IF(COUNTIFS('02_KICH_BAN_NODES'!$B$5:$B$204,A155,'02_KICH_BAN_NODES'!$D$5:$D$204,"choice")=0,"ChoiceNodeId không tồn tại hoặc không phải choice",IF(COUNTIFS($A$5:$A$404,A155,$B$5:$B$404,B155)&gt;1,"Trùng OptionOrder trong cùng choice",IF(OR(B155="",C155="",D155="",F155="",H155=""),"Thiếu trường bắt buộc",IF(OR(COUNTIF($A$5:$A$404,A155)&lt;2,COUNTIF($A$5:$A$404,A155)&gt;4),"Mỗi choice cần 2–4 option",IF(COUNTIFS('02_KICH_BAN_NODES'!$B$5:$B$204,A155,'02_KICH_BAN_NODES'!$E$5:$E$204,"Kiến thức")=1,IF(COUNTIFS($A$5:$A$404,A155,$D$5:$D$404,"Có")&lt;&gt;1,"Choice kiến thức cần đúng 1 đáp án đúng",""),IF(COUNTIFS('02_KICH_BAN_NODES'!$B$5:$B$204,A155,'02_KICH_BAN_NODES'!$E$5:$E$204,"Tương tác")=1,IF(COUNTIFS($A$5:$A$404,A155,$D$5:$D$404,"Có")&lt;&gt;0,"Choice tương tác không được đánh dấu đáp án đúng",""),"Choice chưa chọn loại")))))))</f>
        <v/>
      </c>
    </row>
    <row r="156" spans="1:11">
      <c r="A156" s="13"/>
      <c r="B156" s="13"/>
      <c r="C156" s="5"/>
      <c r="D156" s="13"/>
      <c r="E156" s="13"/>
      <c r="F156" s="13"/>
      <c r="G156" s="13"/>
      <c r="H156" s="5"/>
      <c r="I156" s="5"/>
      <c r="J156" s="6" t="str">
        <f t="shared" si="2"/>
        <v/>
      </c>
      <c r="K156" s="6" t="str">
        <f>IF(A156="","",IF(COUNTIFS('02_KICH_BAN_NODES'!$B$5:$B$204,A156,'02_KICH_BAN_NODES'!$D$5:$D$204,"choice")=0,"ChoiceNodeId không tồn tại hoặc không phải choice",IF(COUNTIFS($A$5:$A$404,A156,$B$5:$B$404,B156)&gt;1,"Trùng OptionOrder trong cùng choice",IF(OR(B156="",C156="",D156="",F156="",H156=""),"Thiếu trường bắt buộc",IF(OR(COUNTIF($A$5:$A$404,A156)&lt;2,COUNTIF($A$5:$A$404,A156)&gt;4),"Mỗi choice cần 2–4 option",IF(COUNTIFS('02_KICH_BAN_NODES'!$B$5:$B$204,A156,'02_KICH_BAN_NODES'!$E$5:$E$204,"Kiến thức")=1,IF(COUNTIFS($A$5:$A$404,A156,$D$5:$D$404,"Có")&lt;&gt;1,"Choice kiến thức cần đúng 1 đáp án đúng",""),IF(COUNTIFS('02_KICH_BAN_NODES'!$B$5:$B$204,A156,'02_KICH_BAN_NODES'!$E$5:$E$204,"Tương tác")=1,IF(COUNTIFS($A$5:$A$404,A156,$D$5:$D$404,"Có")&lt;&gt;0,"Choice tương tác không được đánh dấu đáp án đúng",""),"Choice chưa chọn loại")))))))</f>
        <v/>
      </c>
    </row>
    <row r="157" spans="1:11">
      <c r="A157" s="13"/>
      <c r="B157" s="13"/>
      <c r="C157" s="5"/>
      <c r="D157" s="13"/>
      <c r="E157" s="13"/>
      <c r="F157" s="13"/>
      <c r="G157" s="13"/>
      <c r="H157" s="5"/>
      <c r="I157" s="5"/>
      <c r="J157" s="6" t="str">
        <f t="shared" si="2"/>
        <v/>
      </c>
      <c r="K157" s="6" t="str">
        <f>IF(A157="","",IF(COUNTIFS('02_KICH_BAN_NODES'!$B$5:$B$204,A157,'02_KICH_BAN_NODES'!$D$5:$D$204,"choice")=0,"ChoiceNodeId không tồn tại hoặc không phải choice",IF(COUNTIFS($A$5:$A$404,A157,$B$5:$B$404,B157)&gt;1,"Trùng OptionOrder trong cùng choice",IF(OR(B157="",C157="",D157="",F157="",H157=""),"Thiếu trường bắt buộc",IF(OR(COUNTIF($A$5:$A$404,A157)&lt;2,COUNTIF($A$5:$A$404,A157)&gt;4),"Mỗi choice cần 2–4 option",IF(COUNTIFS('02_KICH_BAN_NODES'!$B$5:$B$204,A157,'02_KICH_BAN_NODES'!$E$5:$E$204,"Kiến thức")=1,IF(COUNTIFS($A$5:$A$404,A157,$D$5:$D$404,"Có")&lt;&gt;1,"Choice kiến thức cần đúng 1 đáp án đúng",""),IF(COUNTIFS('02_KICH_BAN_NODES'!$B$5:$B$204,A157,'02_KICH_BAN_NODES'!$E$5:$E$204,"Tương tác")=1,IF(COUNTIFS($A$5:$A$404,A157,$D$5:$D$404,"Có")&lt;&gt;0,"Choice tương tác không được đánh dấu đáp án đúng",""),"Choice chưa chọn loại")))))))</f>
        <v/>
      </c>
    </row>
    <row r="158" spans="1:11">
      <c r="A158" s="13"/>
      <c r="B158" s="13"/>
      <c r="C158" s="5"/>
      <c r="D158" s="13"/>
      <c r="E158" s="13"/>
      <c r="F158" s="13"/>
      <c r="G158" s="13"/>
      <c r="H158" s="5"/>
      <c r="I158" s="5"/>
      <c r="J158" s="6" t="str">
        <f t="shared" si="2"/>
        <v/>
      </c>
      <c r="K158" s="6" t="str">
        <f>IF(A158="","",IF(COUNTIFS('02_KICH_BAN_NODES'!$B$5:$B$204,A158,'02_KICH_BAN_NODES'!$D$5:$D$204,"choice")=0,"ChoiceNodeId không tồn tại hoặc không phải choice",IF(COUNTIFS($A$5:$A$404,A158,$B$5:$B$404,B158)&gt;1,"Trùng OptionOrder trong cùng choice",IF(OR(B158="",C158="",D158="",F158="",H158=""),"Thiếu trường bắt buộc",IF(OR(COUNTIF($A$5:$A$404,A158)&lt;2,COUNTIF($A$5:$A$404,A158)&gt;4),"Mỗi choice cần 2–4 option",IF(COUNTIFS('02_KICH_BAN_NODES'!$B$5:$B$204,A158,'02_KICH_BAN_NODES'!$E$5:$E$204,"Kiến thức")=1,IF(COUNTIFS($A$5:$A$404,A158,$D$5:$D$404,"Có")&lt;&gt;1,"Choice kiến thức cần đúng 1 đáp án đúng",""),IF(COUNTIFS('02_KICH_BAN_NODES'!$B$5:$B$204,A158,'02_KICH_BAN_NODES'!$E$5:$E$204,"Tương tác")=1,IF(COUNTIFS($A$5:$A$404,A158,$D$5:$D$404,"Có")&lt;&gt;0,"Choice tương tác không được đánh dấu đáp án đúng",""),"Choice chưa chọn loại")))))))</f>
        <v/>
      </c>
    </row>
    <row r="159" spans="1:11">
      <c r="A159" s="13"/>
      <c r="B159" s="13"/>
      <c r="C159" s="5"/>
      <c r="D159" s="13"/>
      <c r="E159" s="13"/>
      <c r="F159" s="13"/>
      <c r="G159" s="13"/>
      <c r="H159" s="5"/>
      <c r="I159" s="5"/>
      <c r="J159" s="6" t="str">
        <f t="shared" si="2"/>
        <v/>
      </c>
      <c r="K159" s="6" t="str">
        <f>IF(A159="","",IF(COUNTIFS('02_KICH_BAN_NODES'!$B$5:$B$204,A159,'02_KICH_BAN_NODES'!$D$5:$D$204,"choice")=0,"ChoiceNodeId không tồn tại hoặc không phải choice",IF(COUNTIFS($A$5:$A$404,A159,$B$5:$B$404,B159)&gt;1,"Trùng OptionOrder trong cùng choice",IF(OR(B159="",C159="",D159="",F159="",H159=""),"Thiếu trường bắt buộc",IF(OR(COUNTIF($A$5:$A$404,A159)&lt;2,COUNTIF($A$5:$A$404,A159)&gt;4),"Mỗi choice cần 2–4 option",IF(COUNTIFS('02_KICH_BAN_NODES'!$B$5:$B$204,A159,'02_KICH_BAN_NODES'!$E$5:$E$204,"Kiến thức")=1,IF(COUNTIFS($A$5:$A$404,A159,$D$5:$D$404,"Có")&lt;&gt;1,"Choice kiến thức cần đúng 1 đáp án đúng",""),IF(COUNTIFS('02_KICH_BAN_NODES'!$B$5:$B$204,A159,'02_KICH_BAN_NODES'!$E$5:$E$204,"Tương tác")=1,IF(COUNTIFS($A$5:$A$404,A159,$D$5:$D$404,"Có")&lt;&gt;0,"Choice tương tác không được đánh dấu đáp án đúng",""),"Choice chưa chọn loại")))))))</f>
        <v/>
      </c>
    </row>
    <row r="160" spans="1:11">
      <c r="A160" s="13"/>
      <c r="B160" s="13"/>
      <c r="C160" s="5"/>
      <c r="D160" s="13"/>
      <c r="E160" s="13"/>
      <c r="F160" s="13"/>
      <c r="G160" s="13"/>
      <c r="H160" s="5"/>
      <c r="I160" s="5"/>
      <c r="J160" s="6" t="str">
        <f t="shared" si="2"/>
        <v/>
      </c>
      <c r="K160" s="6" t="str">
        <f>IF(A160="","",IF(COUNTIFS('02_KICH_BAN_NODES'!$B$5:$B$204,A160,'02_KICH_BAN_NODES'!$D$5:$D$204,"choice")=0,"ChoiceNodeId không tồn tại hoặc không phải choice",IF(COUNTIFS($A$5:$A$404,A160,$B$5:$B$404,B160)&gt;1,"Trùng OptionOrder trong cùng choice",IF(OR(B160="",C160="",D160="",F160="",H160=""),"Thiếu trường bắt buộc",IF(OR(COUNTIF($A$5:$A$404,A160)&lt;2,COUNTIF($A$5:$A$404,A160)&gt;4),"Mỗi choice cần 2–4 option",IF(COUNTIFS('02_KICH_BAN_NODES'!$B$5:$B$204,A160,'02_KICH_BAN_NODES'!$E$5:$E$204,"Kiến thức")=1,IF(COUNTIFS($A$5:$A$404,A160,$D$5:$D$404,"Có")&lt;&gt;1,"Choice kiến thức cần đúng 1 đáp án đúng",""),IF(COUNTIFS('02_KICH_BAN_NODES'!$B$5:$B$204,A160,'02_KICH_BAN_NODES'!$E$5:$E$204,"Tương tác")=1,IF(COUNTIFS($A$5:$A$404,A160,$D$5:$D$404,"Có")&lt;&gt;0,"Choice tương tác không được đánh dấu đáp án đúng",""),"Choice chưa chọn loại")))))))</f>
        <v/>
      </c>
    </row>
    <row r="161" spans="1:11">
      <c r="A161" s="13"/>
      <c r="B161" s="13"/>
      <c r="C161" s="5"/>
      <c r="D161" s="13"/>
      <c r="E161" s="13"/>
      <c r="F161" s="13"/>
      <c r="G161" s="13"/>
      <c r="H161" s="5"/>
      <c r="I161" s="5"/>
      <c r="J161" s="6" t="str">
        <f t="shared" si="2"/>
        <v/>
      </c>
      <c r="K161" s="6" t="str">
        <f>IF(A161="","",IF(COUNTIFS('02_KICH_BAN_NODES'!$B$5:$B$204,A161,'02_KICH_BAN_NODES'!$D$5:$D$204,"choice")=0,"ChoiceNodeId không tồn tại hoặc không phải choice",IF(COUNTIFS($A$5:$A$404,A161,$B$5:$B$404,B161)&gt;1,"Trùng OptionOrder trong cùng choice",IF(OR(B161="",C161="",D161="",F161="",H161=""),"Thiếu trường bắt buộc",IF(OR(COUNTIF($A$5:$A$404,A161)&lt;2,COUNTIF($A$5:$A$404,A161)&gt;4),"Mỗi choice cần 2–4 option",IF(COUNTIFS('02_KICH_BAN_NODES'!$B$5:$B$204,A161,'02_KICH_BAN_NODES'!$E$5:$E$204,"Kiến thức")=1,IF(COUNTIFS($A$5:$A$404,A161,$D$5:$D$404,"Có")&lt;&gt;1,"Choice kiến thức cần đúng 1 đáp án đúng",""),IF(COUNTIFS('02_KICH_BAN_NODES'!$B$5:$B$204,A161,'02_KICH_BAN_NODES'!$E$5:$E$204,"Tương tác")=1,IF(COUNTIFS($A$5:$A$404,A161,$D$5:$D$404,"Có")&lt;&gt;0,"Choice tương tác không được đánh dấu đáp án đúng",""),"Choice chưa chọn loại")))))))</f>
        <v/>
      </c>
    </row>
    <row r="162" spans="1:11">
      <c r="A162" s="13"/>
      <c r="B162" s="13"/>
      <c r="C162" s="5"/>
      <c r="D162" s="13"/>
      <c r="E162" s="13"/>
      <c r="F162" s="13"/>
      <c r="G162" s="13"/>
      <c r="H162" s="5"/>
      <c r="I162" s="5"/>
      <c r="J162" s="6" t="str">
        <f t="shared" si="2"/>
        <v/>
      </c>
      <c r="K162" s="6" t="str">
        <f>IF(A162="","",IF(COUNTIFS('02_KICH_BAN_NODES'!$B$5:$B$204,A162,'02_KICH_BAN_NODES'!$D$5:$D$204,"choice")=0,"ChoiceNodeId không tồn tại hoặc không phải choice",IF(COUNTIFS($A$5:$A$404,A162,$B$5:$B$404,B162)&gt;1,"Trùng OptionOrder trong cùng choice",IF(OR(B162="",C162="",D162="",F162="",H162=""),"Thiếu trường bắt buộc",IF(OR(COUNTIF($A$5:$A$404,A162)&lt;2,COUNTIF($A$5:$A$404,A162)&gt;4),"Mỗi choice cần 2–4 option",IF(COUNTIFS('02_KICH_BAN_NODES'!$B$5:$B$204,A162,'02_KICH_BAN_NODES'!$E$5:$E$204,"Kiến thức")=1,IF(COUNTIFS($A$5:$A$404,A162,$D$5:$D$404,"Có")&lt;&gt;1,"Choice kiến thức cần đúng 1 đáp án đúng",""),IF(COUNTIFS('02_KICH_BAN_NODES'!$B$5:$B$204,A162,'02_KICH_BAN_NODES'!$E$5:$E$204,"Tương tác")=1,IF(COUNTIFS($A$5:$A$404,A162,$D$5:$D$404,"Có")&lt;&gt;0,"Choice tương tác không được đánh dấu đáp án đúng",""),"Choice chưa chọn loại")))))))</f>
        <v/>
      </c>
    </row>
    <row r="163" spans="1:11">
      <c r="A163" s="13"/>
      <c r="B163" s="13"/>
      <c r="C163" s="5"/>
      <c r="D163" s="13"/>
      <c r="E163" s="13"/>
      <c r="F163" s="13"/>
      <c r="G163" s="13"/>
      <c r="H163" s="5"/>
      <c r="I163" s="5"/>
      <c r="J163" s="6" t="str">
        <f t="shared" si="2"/>
        <v/>
      </c>
      <c r="K163" s="6" t="str">
        <f>IF(A163="","",IF(COUNTIFS('02_KICH_BAN_NODES'!$B$5:$B$204,A163,'02_KICH_BAN_NODES'!$D$5:$D$204,"choice")=0,"ChoiceNodeId không tồn tại hoặc không phải choice",IF(COUNTIFS($A$5:$A$404,A163,$B$5:$B$404,B163)&gt;1,"Trùng OptionOrder trong cùng choice",IF(OR(B163="",C163="",D163="",F163="",H163=""),"Thiếu trường bắt buộc",IF(OR(COUNTIF($A$5:$A$404,A163)&lt;2,COUNTIF($A$5:$A$404,A163)&gt;4),"Mỗi choice cần 2–4 option",IF(COUNTIFS('02_KICH_BAN_NODES'!$B$5:$B$204,A163,'02_KICH_BAN_NODES'!$E$5:$E$204,"Kiến thức")=1,IF(COUNTIFS($A$5:$A$404,A163,$D$5:$D$404,"Có")&lt;&gt;1,"Choice kiến thức cần đúng 1 đáp án đúng",""),IF(COUNTIFS('02_KICH_BAN_NODES'!$B$5:$B$204,A163,'02_KICH_BAN_NODES'!$E$5:$E$204,"Tương tác")=1,IF(COUNTIFS($A$5:$A$404,A163,$D$5:$D$404,"Có")&lt;&gt;0,"Choice tương tác không được đánh dấu đáp án đúng",""),"Choice chưa chọn loại")))))))</f>
        <v/>
      </c>
    </row>
    <row r="164" spans="1:11">
      <c r="A164" s="13"/>
      <c r="B164" s="13"/>
      <c r="C164" s="5"/>
      <c r="D164" s="13"/>
      <c r="E164" s="13"/>
      <c r="F164" s="13"/>
      <c r="G164" s="13"/>
      <c r="H164" s="5"/>
      <c r="I164" s="5"/>
      <c r="J164" s="6" t="str">
        <f t="shared" si="2"/>
        <v/>
      </c>
      <c r="K164" s="6" t="str">
        <f>IF(A164="","",IF(COUNTIFS('02_KICH_BAN_NODES'!$B$5:$B$204,A164,'02_KICH_BAN_NODES'!$D$5:$D$204,"choice")=0,"ChoiceNodeId không tồn tại hoặc không phải choice",IF(COUNTIFS($A$5:$A$404,A164,$B$5:$B$404,B164)&gt;1,"Trùng OptionOrder trong cùng choice",IF(OR(B164="",C164="",D164="",F164="",H164=""),"Thiếu trường bắt buộc",IF(OR(COUNTIF($A$5:$A$404,A164)&lt;2,COUNTIF($A$5:$A$404,A164)&gt;4),"Mỗi choice cần 2–4 option",IF(COUNTIFS('02_KICH_BAN_NODES'!$B$5:$B$204,A164,'02_KICH_BAN_NODES'!$E$5:$E$204,"Kiến thức")=1,IF(COUNTIFS($A$5:$A$404,A164,$D$5:$D$404,"Có")&lt;&gt;1,"Choice kiến thức cần đúng 1 đáp án đúng",""),IF(COUNTIFS('02_KICH_BAN_NODES'!$B$5:$B$204,A164,'02_KICH_BAN_NODES'!$E$5:$E$204,"Tương tác")=1,IF(COUNTIFS($A$5:$A$404,A164,$D$5:$D$404,"Có")&lt;&gt;0,"Choice tương tác không được đánh dấu đáp án đúng",""),"Choice chưa chọn loại")))))))</f>
        <v/>
      </c>
    </row>
    <row r="165" spans="1:11">
      <c r="A165" s="13"/>
      <c r="B165" s="13"/>
      <c r="C165" s="5"/>
      <c r="D165" s="13"/>
      <c r="E165" s="13"/>
      <c r="F165" s="13"/>
      <c r="G165" s="13"/>
      <c r="H165" s="5"/>
      <c r="I165" s="5"/>
      <c r="J165" s="6" t="str">
        <f t="shared" si="2"/>
        <v/>
      </c>
      <c r="K165" s="6" t="str">
        <f>IF(A165="","",IF(COUNTIFS('02_KICH_BAN_NODES'!$B$5:$B$204,A165,'02_KICH_BAN_NODES'!$D$5:$D$204,"choice")=0,"ChoiceNodeId không tồn tại hoặc không phải choice",IF(COUNTIFS($A$5:$A$404,A165,$B$5:$B$404,B165)&gt;1,"Trùng OptionOrder trong cùng choice",IF(OR(B165="",C165="",D165="",F165="",H165=""),"Thiếu trường bắt buộc",IF(OR(COUNTIF($A$5:$A$404,A165)&lt;2,COUNTIF($A$5:$A$404,A165)&gt;4),"Mỗi choice cần 2–4 option",IF(COUNTIFS('02_KICH_BAN_NODES'!$B$5:$B$204,A165,'02_KICH_BAN_NODES'!$E$5:$E$204,"Kiến thức")=1,IF(COUNTIFS($A$5:$A$404,A165,$D$5:$D$404,"Có")&lt;&gt;1,"Choice kiến thức cần đúng 1 đáp án đúng",""),IF(COUNTIFS('02_KICH_BAN_NODES'!$B$5:$B$204,A165,'02_KICH_BAN_NODES'!$E$5:$E$204,"Tương tác")=1,IF(COUNTIFS($A$5:$A$404,A165,$D$5:$D$404,"Có")&lt;&gt;0,"Choice tương tác không được đánh dấu đáp án đúng",""),"Choice chưa chọn loại")))))))</f>
        <v/>
      </c>
    </row>
    <row r="166" spans="1:11">
      <c r="A166" s="13"/>
      <c r="B166" s="13"/>
      <c r="C166" s="5"/>
      <c r="D166" s="13"/>
      <c r="E166" s="13"/>
      <c r="F166" s="13"/>
      <c r="G166" s="13"/>
      <c r="H166" s="5"/>
      <c r="I166" s="5"/>
      <c r="J166" s="6" t="str">
        <f t="shared" si="2"/>
        <v/>
      </c>
      <c r="K166" s="6" t="str">
        <f>IF(A166="","",IF(COUNTIFS('02_KICH_BAN_NODES'!$B$5:$B$204,A166,'02_KICH_BAN_NODES'!$D$5:$D$204,"choice")=0,"ChoiceNodeId không tồn tại hoặc không phải choice",IF(COUNTIFS($A$5:$A$404,A166,$B$5:$B$404,B166)&gt;1,"Trùng OptionOrder trong cùng choice",IF(OR(B166="",C166="",D166="",F166="",H166=""),"Thiếu trường bắt buộc",IF(OR(COUNTIF($A$5:$A$404,A166)&lt;2,COUNTIF($A$5:$A$404,A166)&gt;4),"Mỗi choice cần 2–4 option",IF(COUNTIFS('02_KICH_BAN_NODES'!$B$5:$B$204,A166,'02_KICH_BAN_NODES'!$E$5:$E$204,"Kiến thức")=1,IF(COUNTIFS($A$5:$A$404,A166,$D$5:$D$404,"Có")&lt;&gt;1,"Choice kiến thức cần đúng 1 đáp án đúng",""),IF(COUNTIFS('02_KICH_BAN_NODES'!$B$5:$B$204,A166,'02_KICH_BAN_NODES'!$E$5:$E$204,"Tương tác")=1,IF(COUNTIFS($A$5:$A$404,A166,$D$5:$D$404,"Có")&lt;&gt;0,"Choice tương tác không được đánh dấu đáp án đúng",""),"Choice chưa chọn loại")))))))</f>
        <v/>
      </c>
    </row>
    <row r="167" spans="1:11">
      <c r="A167" s="13"/>
      <c r="B167" s="13"/>
      <c r="C167" s="5"/>
      <c r="D167" s="13"/>
      <c r="E167" s="13"/>
      <c r="F167" s="13"/>
      <c r="G167" s="13"/>
      <c r="H167" s="5"/>
      <c r="I167" s="5"/>
      <c r="J167" s="6" t="str">
        <f t="shared" si="2"/>
        <v/>
      </c>
      <c r="K167" s="6" t="str">
        <f>IF(A167="","",IF(COUNTIFS('02_KICH_BAN_NODES'!$B$5:$B$204,A167,'02_KICH_BAN_NODES'!$D$5:$D$204,"choice")=0,"ChoiceNodeId không tồn tại hoặc không phải choice",IF(COUNTIFS($A$5:$A$404,A167,$B$5:$B$404,B167)&gt;1,"Trùng OptionOrder trong cùng choice",IF(OR(B167="",C167="",D167="",F167="",H167=""),"Thiếu trường bắt buộc",IF(OR(COUNTIF($A$5:$A$404,A167)&lt;2,COUNTIF($A$5:$A$404,A167)&gt;4),"Mỗi choice cần 2–4 option",IF(COUNTIFS('02_KICH_BAN_NODES'!$B$5:$B$204,A167,'02_KICH_BAN_NODES'!$E$5:$E$204,"Kiến thức")=1,IF(COUNTIFS($A$5:$A$404,A167,$D$5:$D$404,"Có")&lt;&gt;1,"Choice kiến thức cần đúng 1 đáp án đúng",""),IF(COUNTIFS('02_KICH_BAN_NODES'!$B$5:$B$204,A167,'02_KICH_BAN_NODES'!$E$5:$E$204,"Tương tác")=1,IF(COUNTIFS($A$5:$A$404,A167,$D$5:$D$404,"Có")&lt;&gt;0,"Choice tương tác không được đánh dấu đáp án đúng",""),"Choice chưa chọn loại")))))))</f>
        <v/>
      </c>
    </row>
    <row r="168" spans="1:11">
      <c r="A168" s="13"/>
      <c r="B168" s="13"/>
      <c r="C168" s="5"/>
      <c r="D168" s="13"/>
      <c r="E168" s="13"/>
      <c r="F168" s="13"/>
      <c r="G168" s="13"/>
      <c r="H168" s="5"/>
      <c r="I168" s="5"/>
      <c r="J168" s="6" t="str">
        <f t="shared" si="2"/>
        <v/>
      </c>
      <c r="K168" s="6" t="str">
        <f>IF(A168="","",IF(COUNTIFS('02_KICH_BAN_NODES'!$B$5:$B$204,A168,'02_KICH_BAN_NODES'!$D$5:$D$204,"choice")=0,"ChoiceNodeId không tồn tại hoặc không phải choice",IF(COUNTIFS($A$5:$A$404,A168,$B$5:$B$404,B168)&gt;1,"Trùng OptionOrder trong cùng choice",IF(OR(B168="",C168="",D168="",F168="",H168=""),"Thiếu trường bắt buộc",IF(OR(COUNTIF($A$5:$A$404,A168)&lt;2,COUNTIF($A$5:$A$404,A168)&gt;4),"Mỗi choice cần 2–4 option",IF(COUNTIFS('02_KICH_BAN_NODES'!$B$5:$B$204,A168,'02_KICH_BAN_NODES'!$E$5:$E$204,"Kiến thức")=1,IF(COUNTIFS($A$5:$A$404,A168,$D$5:$D$404,"Có")&lt;&gt;1,"Choice kiến thức cần đúng 1 đáp án đúng",""),IF(COUNTIFS('02_KICH_BAN_NODES'!$B$5:$B$204,A168,'02_KICH_BAN_NODES'!$E$5:$E$204,"Tương tác")=1,IF(COUNTIFS($A$5:$A$404,A168,$D$5:$D$404,"Có")&lt;&gt;0,"Choice tương tác không được đánh dấu đáp án đúng",""),"Choice chưa chọn loại")))))))</f>
        <v/>
      </c>
    </row>
    <row r="169" spans="1:11">
      <c r="A169" s="13"/>
      <c r="B169" s="13"/>
      <c r="C169" s="5"/>
      <c r="D169" s="13"/>
      <c r="E169" s="13"/>
      <c r="F169" s="13"/>
      <c r="G169" s="13"/>
      <c r="H169" s="5"/>
      <c r="I169" s="5"/>
      <c r="J169" s="6" t="str">
        <f t="shared" si="2"/>
        <v/>
      </c>
      <c r="K169" s="6" t="str">
        <f>IF(A169="","",IF(COUNTIFS('02_KICH_BAN_NODES'!$B$5:$B$204,A169,'02_KICH_BAN_NODES'!$D$5:$D$204,"choice")=0,"ChoiceNodeId không tồn tại hoặc không phải choice",IF(COUNTIFS($A$5:$A$404,A169,$B$5:$B$404,B169)&gt;1,"Trùng OptionOrder trong cùng choice",IF(OR(B169="",C169="",D169="",F169="",H169=""),"Thiếu trường bắt buộc",IF(OR(COUNTIF($A$5:$A$404,A169)&lt;2,COUNTIF($A$5:$A$404,A169)&gt;4),"Mỗi choice cần 2–4 option",IF(COUNTIFS('02_KICH_BAN_NODES'!$B$5:$B$204,A169,'02_KICH_BAN_NODES'!$E$5:$E$204,"Kiến thức")=1,IF(COUNTIFS($A$5:$A$404,A169,$D$5:$D$404,"Có")&lt;&gt;1,"Choice kiến thức cần đúng 1 đáp án đúng",""),IF(COUNTIFS('02_KICH_BAN_NODES'!$B$5:$B$204,A169,'02_KICH_BAN_NODES'!$E$5:$E$204,"Tương tác")=1,IF(COUNTIFS($A$5:$A$404,A169,$D$5:$D$404,"Có")&lt;&gt;0,"Choice tương tác không được đánh dấu đáp án đúng",""),"Choice chưa chọn loại")))))))</f>
        <v/>
      </c>
    </row>
    <row r="170" spans="1:11">
      <c r="A170" s="13"/>
      <c r="B170" s="13"/>
      <c r="C170" s="5"/>
      <c r="D170" s="13"/>
      <c r="E170" s="13"/>
      <c r="F170" s="13"/>
      <c r="G170" s="13"/>
      <c r="H170" s="5"/>
      <c r="I170" s="5"/>
      <c r="J170" s="6" t="str">
        <f t="shared" si="2"/>
        <v/>
      </c>
      <c r="K170" s="6" t="str">
        <f>IF(A170="","",IF(COUNTIFS('02_KICH_BAN_NODES'!$B$5:$B$204,A170,'02_KICH_BAN_NODES'!$D$5:$D$204,"choice")=0,"ChoiceNodeId không tồn tại hoặc không phải choice",IF(COUNTIFS($A$5:$A$404,A170,$B$5:$B$404,B170)&gt;1,"Trùng OptionOrder trong cùng choice",IF(OR(B170="",C170="",D170="",F170="",H170=""),"Thiếu trường bắt buộc",IF(OR(COUNTIF($A$5:$A$404,A170)&lt;2,COUNTIF($A$5:$A$404,A170)&gt;4),"Mỗi choice cần 2–4 option",IF(COUNTIFS('02_KICH_BAN_NODES'!$B$5:$B$204,A170,'02_KICH_BAN_NODES'!$E$5:$E$204,"Kiến thức")=1,IF(COUNTIFS($A$5:$A$404,A170,$D$5:$D$404,"Có")&lt;&gt;1,"Choice kiến thức cần đúng 1 đáp án đúng",""),IF(COUNTIFS('02_KICH_BAN_NODES'!$B$5:$B$204,A170,'02_KICH_BAN_NODES'!$E$5:$E$204,"Tương tác")=1,IF(COUNTIFS($A$5:$A$404,A170,$D$5:$D$404,"Có")&lt;&gt;0,"Choice tương tác không được đánh dấu đáp án đúng",""),"Choice chưa chọn loại")))))))</f>
        <v/>
      </c>
    </row>
    <row r="171" spans="1:11">
      <c r="A171" s="13"/>
      <c r="B171" s="13"/>
      <c r="C171" s="5"/>
      <c r="D171" s="13"/>
      <c r="E171" s="13"/>
      <c r="F171" s="13"/>
      <c r="G171" s="13"/>
      <c r="H171" s="5"/>
      <c r="I171" s="5"/>
      <c r="J171" s="6" t="str">
        <f t="shared" si="2"/>
        <v/>
      </c>
      <c r="K171" s="6" t="str">
        <f>IF(A171="","",IF(COUNTIFS('02_KICH_BAN_NODES'!$B$5:$B$204,A171,'02_KICH_BAN_NODES'!$D$5:$D$204,"choice")=0,"ChoiceNodeId không tồn tại hoặc không phải choice",IF(COUNTIFS($A$5:$A$404,A171,$B$5:$B$404,B171)&gt;1,"Trùng OptionOrder trong cùng choice",IF(OR(B171="",C171="",D171="",F171="",H171=""),"Thiếu trường bắt buộc",IF(OR(COUNTIF($A$5:$A$404,A171)&lt;2,COUNTIF($A$5:$A$404,A171)&gt;4),"Mỗi choice cần 2–4 option",IF(COUNTIFS('02_KICH_BAN_NODES'!$B$5:$B$204,A171,'02_KICH_BAN_NODES'!$E$5:$E$204,"Kiến thức")=1,IF(COUNTIFS($A$5:$A$404,A171,$D$5:$D$404,"Có")&lt;&gt;1,"Choice kiến thức cần đúng 1 đáp án đúng",""),IF(COUNTIFS('02_KICH_BAN_NODES'!$B$5:$B$204,A171,'02_KICH_BAN_NODES'!$E$5:$E$204,"Tương tác")=1,IF(COUNTIFS($A$5:$A$404,A171,$D$5:$D$404,"Có")&lt;&gt;0,"Choice tương tác không được đánh dấu đáp án đúng",""),"Choice chưa chọn loại")))))))</f>
        <v/>
      </c>
    </row>
    <row r="172" spans="1:11">
      <c r="A172" s="13"/>
      <c r="B172" s="13"/>
      <c r="C172" s="5"/>
      <c r="D172" s="13"/>
      <c r="E172" s="13"/>
      <c r="F172" s="13"/>
      <c r="G172" s="13"/>
      <c r="H172" s="5"/>
      <c r="I172" s="5"/>
      <c r="J172" s="6" t="str">
        <f t="shared" si="2"/>
        <v/>
      </c>
      <c r="K172" s="6" t="str">
        <f>IF(A172="","",IF(COUNTIFS('02_KICH_BAN_NODES'!$B$5:$B$204,A172,'02_KICH_BAN_NODES'!$D$5:$D$204,"choice")=0,"ChoiceNodeId không tồn tại hoặc không phải choice",IF(COUNTIFS($A$5:$A$404,A172,$B$5:$B$404,B172)&gt;1,"Trùng OptionOrder trong cùng choice",IF(OR(B172="",C172="",D172="",F172="",H172=""),"Thiếu trường bắt buộc",IF(OR(COUNTIF($A$5:$A$404,A172)&lt;2,COUNTIF($A$5:$A$404,A172)&gt;4),"Mỗi choice cần 2–4 option",IF(COUNTIFS('02_KICH_BAN_NODES'!$B$5:$B$204,A172,'02_KICH_BAN_NODES'!$E$5:$E$204,"Kiến thức")=1,IF(COUNTIFS($A$5:$A$404,A172,$D$5:$D$404,"Có")&lt;&gt;1,"Choice kiến thức cần đúng 1 đáp án đúng",""),IF(COUNTIFS('02_KICH_BAN_NODES'!$B$5:$B$204,A172,'02_KICH_BAN_NODES'!$E$5:$E$204,"Tương tác")=1,IF(COUNTIFS($A$5:$A$404,A172,$D$5:$D$404,"Có")&lt;&gt;0,"Choice tương tác không được đánh dấu đáp án đúng",""),"Choice chưa chọn loại")))))))</f>
        <v/>
      </c>
    </row>
    <row r="173" spans="1:11">
      <c r="A173" s="13"/>
      <c r="B173" s="13"/>
      <c r="C173" s="5"/>
      <c r="D173" s="13"/>
      <c r="E173" s="13"/>
      <c r="F173" s="13"/>
      <c r="G173" s="13"/>
      <c r="H173" s="5"/>
      <c r="I173" s="5"/>
      <c r="J173" s="6" t="str">
        <f t="shared" si="2"/>
        <v/>
      </c>
      <c r="K173" s="6" t="str">
        <f>IF(A173="","",IF(COUNTIFS('02_KICH_BAN_NODES'!$B$5:$B$204,A173,'02_KICH_BAN_NODES'!$D$5:$D$204,"choice")=0,"ChoiceNodeId không tồn tại hoặc không phải choice",IF(COUNTIFS($A$5:$A$404,A173,$B$5:$B$404,B173)&gt;1,"Trùng OptionOrder trong cùng choice",IF(OR(B173="",C173="",D173="",F173="",H173=""),"Thiếu trường bắt buộc",IF(OR(COUNTIF($A$5:$A$404,A173)&lt;2,COUNTIF($A$5:$A$404,A173)&gt;4),"Mỗi choice cần 2–4 option",IF(COUNTIFS('02_KICH_BAN_NODES'!$B$5:$B$204,A173,'02_KICH_BAN_NODES'!$E$5:$E$204,"Kiến thức")=1,IF(COUNTIFS($A$5:$A$404,A173,$D$5:$D$404,"Có")&lt;&gt;1,"Choice kiến thức cần đúng 1 đáp án đúng",""),IF(COUNTIFS('02_KICH_BAN_NODES'!$B$5:$B$204,A173,'02_KICH_BAN_NODES'!$E$5:$E$204,"Tương tác")=1,IF(COUNTIFS($A$5:$A$404,A173,$D$5:$D$404,"Có")&lt;&gt;0,"Choice tương tác không được đánh dấu đáp án đúng",""),"Choice chưa chọn loại")))))))</f>
        <v/>
      </c>
    </row>
    <row r="174" spans="1:11">
      <c r="A174" s="13"/>
      <c r="B174" s="13"/>
      <c r="C174" s="5"/>
      <c r="D174" s="13"/>
      <c r="E174" s="13"/>
      <c r="F174" s="13"/>
      <c r="G174" s="13"/>
      <c r="H174" s="5"/>
      <c r="I174" s="5"/>
      <c r="J174" s="6" t="str">
        <f t="shared" si="2"/>
        <v/>
      </c>
      <c r="K174" s="6" t="str">
        <f>IF(A174="","",IF(COUNTIFS('02_KICH_BAN_NODES'!$B$5:$B$204,A174,'02_KICH_BAN_NODES'!$D$5:$D$204,"choice")=0,"ChoiceNodeId không tồn tại hoặc không phải choice",IF(COUNTIFS($A$5:$A$404,A174,$B$5:$B$404,B174)&gt;1,"Trùng OptionOrder trong cùng choice",IF(OR(B174="",C174="",D174="",F174="",H174=""),"Thiếu trường bắt buộc",IF(OR(COUNTIF($A$5:$A$404,A174)&lt;2,COUNTIF($A$5:$A$404,A174)&gt;4),"Mỗi choice cần 2–4 option",IF(COUNTIFS('02_KICH_BAN_NODES'!$B$5:$B$204,A174,'02_KICH_BAN_NODES'!$E$5:$E$204,"Kiến thức")=1,IF(COUNTIFS($A$5:$A$404,A174,$D$5:$D$404,"Có")&lt;&gt;1,"Choice kiến thức cần đúng 1 đáp án đúng",""),IF(COUNTIFS('02_KICH_BAN_NODES'!$B$5:$B$204,A174,'02_KICH_BAN_NODES'!$E$5:$E$204,"Tương tác")=1,IF(COUNTIFS($A$5:$A$404,A174,$D$5:$D$404,"Có")&lt;&gt;0,"Choice tương tác không được đánh dấu đáp án đúng",""),"Choice chưa chọn loại")))))))</f>
        <v/>
      </c>
    </row>
    <row r="175" spans="1:11">
      <c r="A175" s="13"/>
      <c r="B175" s="13"/>
      <c r="C175" s="5"/>
      <c r="D175" s="13"/>
      <c r="E175" s="13"/>
      <c r="F175" s="13"/>
      <c r="G175" s="13"/>
      <c r="H175" s="5"/>
      <c r="I175" s="5"/>
      <c r="J175" s="6" t="str">
        <f t="shared" si="2"/>
        <v/>
      </c>
      <c r="K175" s="6" t="str">
        <f>IF(A175="","",IF(COUNTIFS('02_KICH_BAN_NODES'!$B$5:$B$204,A175,'02_KICH_BAN_NODES'!$D$5:$D$204,"choice")=0,"ChoiceNodeId không tồn tại hoặc không phải choice",IF(COUNTIFS($A$5:$A$404,A175,$B$5:$B$404,B175)&gt;1,"Trùng OptionOrder trong cùng choice",IF(OR(B175="",C175="",D175="",F175="",H175=""),"Thiếu trường bắt buộc",IF(OR(COUNTIF($A$5:$A$404,A175)&lt;2,COUNTIF($A$5:$A$404,A175)&gt;4),"Mỗi choice cần 2–4 option",IF(COUNTIFS('02_KICH_BAN_NODES'!$B$5:$B$204,A175,'02_KICH_BAN_NODES'!$E$5:$E$204,"Kiến thức")=1,IF(COUNTIFS($A$5:$A$404,A175,$D$5:$D$404,"Có")&lt;&gt;1,"Choice kiến thức cần đúng 1 đáp án đúng",""),IF(COUNTIFS('02_KICH_BAN_NODES'!$B$5:$B$204,A175,'02_KICH_BAN_NODES'!$E$5:$E$204,"Tương tác")=1,IF(COUNTIFS($A$5:$A$404,A175,$D$5:$D$404,"Có")&lt;&gt;0,"Choice tương tác không được đánh dấu đáp án đúng",""),"Choice chưa chọn loại")))))))</f>
        <v/>
      </c>
    </row>
    <row r="176" spans="1:11">
      <c r="A176" s="13"/>
      <c r="B176" s="13"/>
      <c r="C176" s="5"/>
      <c r="D176" s="13"/>
      <c r="E176" s="13"/>
      <c r="F176" s="13"/>
      <c r="G176" s="13"/>
      <c r="H176" s="5"/>
      <c r="I176" s="5"/>
      <c r="J176" s="6" t="str">
        <f t="shared" si="2"/>
        <v/>
      </c>
      <c r="K176" s="6" t="str">
        <f>IF(A176="","",IF(COUNTIFS('02_KICH_BAN_NODES'!$B$5:$B$204,A176,'02_KICH_BAN_NODES'!$D$5:$D$204,"choice")=0,"ChoiceNodeId không tồn tại hoặc không phải choice",IF(COUNTIFS($A$5:$A$404,A176,$B$5:$B$404,B176)&gt;1,"Trùng OptionOrder trong cùng choice",IF(OR(B176="",C176="",D176="",F176="",H176=""),"Thiếu trường bắt buộc",IF(OR(COUNTIF($A$5:$A$404,A176)&lt;2,COUNTIF($A$5:$A$404,A176)&gt;4),"Mỗi choice cần 2–4 option",IF(COUNTIFS('02_KICH_BAN_NODES'!$B$5:$B$204,A176,'02_KICH_BAN_NODES'!$E$5:$E$204,"Kiến thức")=1,IF(COUNTIFS($A$5:$A$404,A176,$D$5:$D$404,"Có")&lt;&gt;1,"Choice kiến thức cần đúng 1 đáp án đúng",""),IF(COUNTIFS('02_KICH_BAN_NODES'!$B$5:$B$204,A176,'02_KICH_BAN_NODES'!$E$5:$E$204,"Tương tác")=1,IF(COUNTIFS($A$5:$A$404,A176,$D$5:$D$404,"Có")&lt;&gt;0,"Choice tương tác không được đánh dấu đáp án đúng",""),"Choice chưa chọn loại")))))))</f>
        <v/>
      </c>
    </row>
    <row r="177" spans="1:11">
      <c r="A177" s="13"/>
      <c r="B177" s="13"/>
      <c r="C177" s="5"/>
      <c r="D177" s="13"/>
      <c r="E177" s="13"/>
      <c r="F177" s="13"/>
      <c r="G177" s="13"/>
      <c r="H177" s="5"/>
      <c r="I177" s="5"/>
      <c r="J177" s="6" t="str">
        <f t="shared" si="2"/>
        <v/>
      </c>
      <c r="K177" s="6" t="str">
        <f>IF(A177="","",IF(COUNTIFS('02_KICH_BAN_NODES'!$B$5:$B$204,A177,'02_KICH_BAN_NODES'!$D$5:$D$204,"choice")=0,"ChoiceNodeId không tồn tại hoặc không phải choice",IF(COUNTIFS($A$5:$A$404,A177,$B$5:$B$404,B177)&gt;1,"Trùng OptionOrder trong cùng choice",IF(OR(B177="",C177="",D177="",F177="",H177=""),"Thiếu trường bắt buộc",IF(OR(COUNTIF($A$5:$A$404,A177)&lt;2,COUNTIF($A$5:$A$404,A177)&gt;4),"Mỗi choice cần 2–4 option",IF(COUNTIFS('02_KICH_BAN_NODES'!$B$5:$B$204,A177,'02_KICH_BAN_NODES'!$E$5:$E$204,"Kiến thức")=1,IF(COUNTIFS($A$5:$A$404,A177,$D$5:$D$404,"Có")&lt;&gt;1,"Choice kiến thức cần đúng 1 đáp án đúng",""),IF(COUNTIFS('02_KICH_BAN_NODES'!$B$5:$B$204,A177,'02_KICH_BAN_NODES'!$E$5:$E$204,"Tương tác")=1,IF(COUNTIFS($A$5:$A$404,A177,$D$5:$D$404,"Có")&lt;&gt;0,"Choice tương tác không được đánh dấu đáp án đúng",""),"Choice chưa chọn loại")))))))</f>
        <v/>
      </c>
    </row>
    <row r="178" spans="1:11">
      <c r="A178" s="13"/>
      <c r="B178" s="13"/>
      <c r="C178" s="5"/>
      <c r="D178" s="13"/>
      <c r="E178" s="13"/>
      <c r="F178" s="13"/>
      <c r="G178" s="13"/>
      <c r="H178" s="5"/>
      <c r="I178" s="5"/>
      <c r="J178" s="6" t="str">
        <f t="shared" si="2"/>
        <v/>
      </c>
      <c r="K178" s="6" t="str">
        <f>IF(A178="","",IF(COUNTIFS('02_KICH_BAN_NODES'!$B$5:$B$204,A178,'02_KICH_BAN_NODES'!$D$5:$D$204,"choice")=0,"ChoiceNodeId không tồn tại hoặc không phải choice",IF(COUNTIFS($A$5:$A$404,A178,$B$5:$B$404,B178)&gt;1,"Trùng OptionOrder trong cùng choice",IF(OR(B178="",C178="",D178="",F178="",H178=""),"Thiếu trường bắt buộc",IF(OR(COUNTIF($A$5:$A$404,A178)&lt;2,COUNTIF($A$5:$A$404,A178)&gt;4),"Mỗi choice cần 2–4 option",IF(COUNTIFS('02_KICH_BAN_NODES'!$B$5:$B$204,A178,'02_KICH_BAN_NODES'!$E$5:$E$204,"Kiến thức")=1,IF(COUNTIFS($A$5:$A$404,A178,$D$5:$D$404,"Có")&lt;&gt;1,"Choice kiến thức cần đúng 1 đáp án đúng",""),IF(COUNTIFS('02_KICH_BAN_NODES'!$B$5:$B$204,A178,'02_KICH_BAN_NODES'!$E$5:$E$204,"Tương tác")=1,IF(COUNTIFS($A$5:$A$404,A178,$D$5:$D$404,"Có")&lt;&gt;0,"Choice tương tác không được đánh dấu đáp án đúng",""),"Choice chưa chọn loại")))))))</f>
        <v/>
      </c>
    </row>
    <row r="179" spans="1:11">
      <c r="A179" s="13"/>
      <c r="B179" s="13"/>
      <c r="C179" s="5"/>
      <c r="D179" s="13"/>
      <c r="E179" s="13"/>
      <c r="F179" s="13"/>
      <c r="G179" s="13"/>
      <c r="H179" s="5"/>
      <c r="I179" s="5"/>
      <c r="J179" s="6" t="str">
        <f t="shared" si="2"/>
        <v/>
      </c>
      <c r="K179" s="6" t="str">
        <f>IF(A179="","",IF(COUNTIFS('02_KICH_BAN_NODES'!$B$5:$B$204,A179,'02_KICH_BAN_NODES'!$D$5:$D$204,"choice")=0,"ChoiceNodeId không tồn tại hoặc không phải choice",IF(COUNTIFS($A$5:$A$404,A179,$B$5:$B$404,B179)&gt;1,"Trùng OptionOrder trong cùng choice",IF(OR(B179="",C179="",D179="",F179="",H179=""),"Thiếu trường bắt buộc",IF(OR(COUNTIF($A$5:$A$404,A179)&lt;2,COUNTIF($A$5:$A$404,A179)&gt;4),"Mỗi choice cần 2–4 option",IF(COUNTIFS('02_KICH_BAN_NODES'!$B$5:$B$204,A179,'02_KICH_BAN_NODES'!$E$5:$E$204,"Kiến thức")=1,IF(COUNTIFS($A$5:$A$404,A179,$D$5:$D$404,"Có")&lt;&gt;1,"Choice kiến thức cần đúng 1 đáp án đúng",""),IF(COUNTIFS('02_KICH_BAN_NODES'!$B$5:$B$204,A179,'02_KICH_BAN_NODES'!$E$5:$E$204,"Tương tác")=1,IF(COUNTIFS($A$5:$A$404,A179,$D$5:$D$404,"Có")&lt;&gt;0,"Choice tương tác không được đánh dấu đáp án đúng",""),"Choice chưa chọn loại")))))))</f>
        <v/>
      </c>
    </row>
    <row r="180" spans="1:11">
      <c r="A180" s="13"/>
      <c r="B180" s="13"/>
      <c r="C180" s="5"/>
      <c r="D180" s="13"/>
      <c r="E180" s="13"/>
      <c r="F180" s="13"/>
      <c r="G180" s="13"/>
      <c r="H180" s="5"/>
      <c r="I180" s="5"/>
      <c r="J180" s="6" t="str">
        <f t="shared" si="2"/>
        <v/>
      </c>
      <c r="K180" s="6" t="str">
        <f>IF(A180="","",IF(COUNTIFS('02_KICH_BAN_NODES'!$B$5:$B$204,A180,'02_KICH_BAN_NODES'!$D$5:$D$204,"choice")=0,"ChoiceNodeId không tồn tại hoặc không phải choice",IF(COUNTIFS($A$5:$A$404,A180,$B$5:$B$404,B180)&gt;1,"Trùng OptionOrder trong cùng choice",IF(OR(B180="",C180="",D180="",F180="",H180=""),"Thiếu trường bắt buộc",IF(OR(COUNTIF($A$5:$A$404,A180)&lt;2,COUNTIF($A$5:$A$404,A180)&gt;4),"Mỗi choice cần 2–4 option",IF(COUNTIFS('02_KICH_BAN_NODES'!$B$5:$B$204,A180,'02_KICH_BAN_NODES'!$E$5:$E$204,"Kiến thức")=1,IF(COUNTIFS($A$5:$A$404,A180,$D$5:$D$404,"Có")&lt;&gt;1,"Choice kiến thức cần đúng 1 đáp án đúng",""),IF(COUNTIFS('02_KICH_BAN_NODES'!$B$5:$B$204,A180,'02_KICH_BAN_NODES'!$E$5:$E$204,"Tương tác")=1,IF(COUNTIFS($A$5:$A$404,A180,$D$5:$D$404,"Có")&lt;&gt;0,"Choice tương tác không được đánh dấu đáp án đúng",""),"Choice chưa chọn loại")))))))</f>
        <v/>
      </c>
    </row>
    <row r="181" spans="1:11">
      <c r="A181" s="13"/>
      <c r="B181" s="13"/>
      <c r="C181" s="5"/>
      <c r="D181" s="13"/>
      <c r="E181" s="13"/>
      <c r="F181" s="13"/>
      <c r="G181" s="13"/>
      <c r="H181" s="5"/>
      <c r="I181" s="5"/>
      <c r="J181" s="6" t="str">
        <f t="shared" si="2"/>
        <v/>
      </c>
      <c r="K181" s="6" t="str">
        <f>IF(A181="","",IF(COUNTIFS('02_KICH_BAN_NODES'!$B$5:$B$204,A181,'02_KICH_BAN_NODES'!$D$5:$D$204,"choice")=0,"ChoiceNodeId không tồn tại hoặc không phải choice",IF(COUNTIFS($A$5:$A$404,A181,$B$5:$B$404,B181)&gt;1,"Trùng OptionOrder trong cùng choice",IF(OR(B181="",C181="",D181="",F181="",H181=""),"Thiếu trường bắt buộc",IF(OR(COUNTIF($A$5:$A$404,A181)&lt;2,COUNTIF($A$5:$A$404,A181)&gt;4),"Mỗi choice cần 2–4 option",IF(COUNTIFS('02_KICH_BAN_NODES'!$B$5:$B$204,A181,'02_KICH_BAN_NODES'!$E$5:$E$204,"Kiến thức")=1,IF(COUNTIFS($A$5:$A$404,A181,$D$5:$D$404,"Có")&lt;&gt;1,"Choice kiến thức cần đúng 1 đáp án đúng",""),IF(COUNTIFS('02_KICH_BAN_NODES'!$B$5:$B$204,A181,'02_KICH_BAN_NODES'!$E$5:$E$204,"Tương tác")=1,IF(COUNTIFS($A$5:$A$404,A181,$D$5:$D$404,"Có")&lt;&gt;0,"Choice tương tác không được đánh dấu đáp án đúng",""),"Choice chưa chọn loại")))))))</f>
        <v/>
      </c>
    </row>
    <row r="182" spans="1:11">
      <c r="A182" s="13"/>
      <c r="B182" s="13"/>
      <c r="C182" s="5"/>
      <c r="D182" s="13"/>
      <c r="E182" s="13"/>
      <c r="F182" s="13"/>
      <c r="G182" s="13"/>
      <c r="H182" s="5"/>
      <c r="I182" s="5"/>
      <c r="J182" s="6" t="str">
        <f t="shared" si="2"/>
        <v/>
      </c>
      <c r="K182" s="6" t="str">
        <f>IF(A182="","",IF(COUNTIFS('02_KICH_BAN_NODES'!$B$5:$B$204,A182,'02_KICH_BAN_NODES'!$D$5:$D$204,"choice")=0,"ChoiceNodeId không tồn tại hoặc không phải choice",IF(COUNTIFS($A$5:$A$404,A182,$B$5:$B$404,B182)&gt;1,"Trùng OptionOrder trong cùng choice",IF(OR(B182="",C182="",D182="",F182="",H182=""),"Thiếu trường bắt buộc",IF(OR(COUNTIF($A$5:$A$404,A182)&lt;2,COUNTIF($A$5:$A$404,A182)&gt;4),"Mỗi choice cần 2–4 option",IF(COUNTIFS('02_KICH_BAN_NODES'!$B$5:$B$204,A182,'02_KICH_BAN_NODES'!$E$5:$E$204,"Kiến thức")=1,IF(COUNTIFS($A$5:$A$404,A182,$D$5:$D$404,"Có")&lt;&gt;1,"Choice kiến thức cần đúng 1 đáp án đúng",""),IF(COUNTIFS('02_KICH_BAN_NODES'!$B$5:$B$204,A182,'02_KICH_BAN_NODES'!$E$5:$E$204,"Tương tác")=1,IF(COUNTIFS($A$5:$A$404,A182,$D$5:$D$404,"Có")&lt;&gt;0,"Choice tương tác không được đánh dấu đáp án đúng",""),"Choice chưa chọn loại")))))))</f>
        <v/>
      </c>
    </row>
    <row r="183" spans="1:11">
      <c r="A183" s="13"/>
      <c r="B183" s="13"/>
      <c r="C183" s="5"/>
      <c r="D183" s="13"/>
      <c r="E183" s="13"/>
      <c r="F183" s="13"/>
      <c r="G183" s="13"/>
      <c r="H183" s="5"/>
      <c r="I183" s="5"/>
      <c r="J183" s="6" t="str">
        <f t="shared" si="2"/>
        <v/>
      </c>
      <c r="K183" s="6" t="str">
        <f>IF(A183="","",IF(COUNTIFS('02_KICH_BAN_NODES'!$B$5:$B$204,A183,'02_KICH_BAN_NODES'!$D$5:$D$204,"choice")=0,"ChoiceNodeId không tồn tại hoặc không phải choice",IF(COUNTIFS($A$5:$A$404,A183,$B$5:$B$404,B183)&gt;1,"Trùng OptionOrder trong cùng choice",IF(OR(B183="",C183="",D183="",F183="",H183=""),"Thiếu trường bắt buộc",IF(OR(COUNTIF($A$5:$A$404,A183)&lt;2,COUNTIF($A$5:$A$404,A183)&gt;4),"Mỗi choice cần 2–4 option",IF(COUNTIFS('02_KICH_BAN_NODES'!$B$5:$B$204,A183,'02_KICH_BAN_NODES'!$E$5:$E$204,"Kiến thức")=1,IF(COUNTIFS($A$5:$A$404,A183,$D$5:$D$404,"Có")&lt;&gt;1,"Choice kiến thức cần đúng 1 đáp án đúng",""),IF(COUNTIFS('02_KICH_BAN_NODES'!$B$5:$B$204,A183,'02_KICH_BAN_NODES'!$E$5:$E$204,"Tương tác")=1,IF(COUNTIFS($A$5:$A$404,A183,$D$5:$D$404,"Có")&lt;&gt;0,"Choice tương tác không được đánh dấu đáp án đúng",""),"Choice chưa chọn loại")))))))</f>
        <v/>
      </c>
    </row>
    <row r="184" spans="1:11">
      <c r="A184" s="13"/>
      <c r="B184" s="13"/>
      <c r="C184" s="5"/>
      <c r="D184" s="13"/>
      <c r="E184" s="13"/>
      <c r="F184" s="13"/>
      <c r="G184" s="13"/>
      <c r="H184" s="5"/>
      <c r="I184" s="5"/>
      <c r="J184" s="6" t="str">
        <f t="shared" si="2"/>
        <v/>
      </c>
      <c r="K184" s="6" t="str">
        <f>IF(A184="","",IF(COUNTIFS('02_KICH_BAN_NODES'!$B$5:$B$204,A184,'02_KICH_BAN_NODES'!$D$5:$D$204,"choice")=0,"ChoiceNodeId không tồn tại hoặc không phải choice",IF(COUNTIFS($A$5:$A$404,A184,$B$5:$B$404,B184)&gt;1,"Trùng OptionOrder trong cùng choice",IF(OR(B184="",C184="",D184="",F184="",H184=""),"Thiếu trường bắt buộc",IF(OR(COUNTIF($A$5:$A$404,A184)&lt;2,COUNTIF($A$5:$A$404,A184)&gt;4),"Mỗi choice cần 2–4 option",IF(COUNTIFS('02_KICH_BAN_NODES'!$B$5:$B$204,A184,'02_KICH_BAN_NODES'!$E$5:$E$204,"Kiến thức")=1,IF(COUNTIFS($A$5:$A$404,A184,$D$5:$D$404,"Có")&lt;&gt;1,"Choice kiến thức cần đúng 1 đáp án đúng",""),IF(COUNTIFS('02_KICH_BAN_NODES'!$B$5:$B$204,A184,'02_KICH_BAN_NODES'!$E$5:$E$204,"Tương tác")=1,IF(COUNTIFS($A$5:$A$404,A184,$D$5:$D$404,"Có")&lt;&gt;0,"Choice tương tác không được đánh dấu đáp án đúng",""),"Choice chưa chọn loại")))))))</f>
        <v/>
      </c>
    </row>
    <row r="185" spans="1:11">
      <c r="A185" s="13"/>
      <c r="B185" s="13"/>
      <c r="C185" s="5"/>
      <c r="D185" s="13"/>
      <c r="E185" s="13"/>
      <c r="F185" s="13"/>
      <c r="G185" s="13"/>
      <c r="H185" s="5"/>
      <c r="I185" s="5"/>
      <c r="J185" s="6" t="str">
        <f t="shared" si="2"/>
        <v/>
      </c>
      <c r="K185" s="6" t="str">
        <f>IF(A185="","",IF(COUNTIFS('02_KICH_BAN_NODES'!$B$5:$B$204,A185,'02_KICH_BAN_NODES'!$D$5:$D$204,"choice")=0,"ChoiceNodeId không tồn tại hoặc không phải choice",IF(COUNTIFS($A$5:$A$404,A185,$B$5:$B$404,B185)&gt;1,"Trùng OptionOrder trong cùng choice",IF(OR(B185="",C185="",D185="",F185="",H185=""),"Thiếu trường bắt buộc",IF(OR(COUNTIF($A$5:$A$404,A185)&lt;2,COUNTIF($A$5:$A$404,A185)&gt;4),"Mỗi choice cần 2–4 option",IF(COUNTIFS('02_KICH_BAN_NODES'!$B$5:$B$204,A185,'02_KICH_BAN_NODES'!$E$5:$E$204,"Kiến thức")=1,IF(COUNTIFS($A$5:$A$404,A185,$D$5:$D$404,"Có")&lt;&gt;1,"Choice kiến thức cần đúng 1 đáp án đúng",""),IF(COUNTIFS('02_KICH_BAN_NODES'!$B$5:$B$204,A185,'02_KICH_BAN_NODES'!$E$5:$E$204,"Tương tác")=1,IF(COUNTIFS($A$5:$A$404,A185,$D$5:$D$404,"Có")&lt;&gt;0,"Choice tương tác không được đánh dấu đáp án đúng",""),"Choice chưa chọn loại")))))))</f>
        <v/>
      </c>
    </row>
    <row r="186" spans="1:11">
      <c r="A186" s="13"/>
      <c r="B186" s="13"/>
      <c r="C186" s="5"/>
      <c r="D186" s="13"/>
      <c r="E186" s="13"/>
      <c r="F186" s="13"/>
      <c r="G186" s="13"/>
      <c r="H186" s="5"/>
      <c r="I186" s="5"/>
      <c r="J186" s="6" t="str">
        <f t="shared" si="2"/>
        <v/>
      </c>
      <c r="K186" s="6" t="str">
        <f>IF(A186="","",IF(COUNTIFS('02_KICH_BAN_NODES'!$B$5:$B$204,A186,'02_KICH_BAN_NODES'!$D$5:$D$204,"choice")=0,"ChoiceNodeId không tồn tại hoặc không phải choice",IF(COUNTIFS($A$5:$A$404,A186,$B$5:$B$404,B186)&gt;1,"Trùng OptionOrder trong cùng choice",IF(OR(B186="",C186="",D186="",F186="",H186=""),"Thiếu trường bắt buộc",IF(OR(COUNTIF($A$5:$A$404,A186)&lt;2,COUNTIF($A$5:$A$404,A186)&gt;4),"Mỗi choice cần 2–4 option",IF(COUNTIFS('02_KICH_BAN_NODES'!$B$5:$B$204,A186,'02_KICH_BAN_NODES'!$E$5:$E$204,"Kiến thức")=1,IF(COUNTIFS($A$5:$A$404,A186,$D$5:$D$404,"Có")&lt;&gt;1,"Choice kiến thức cần đúng 1 đáp án đúng",""),IF(COUNTIFS('02_KICH_BAN_NODES'!$B$5:$B$204,A186,'02_KICH_BAN_NODES'!$E$5:$E$204,"Tương tác")=1,IF(COUNTIFS($A$5:$A$404,A186,$D$5:$D$404,"Có")&lt;&gt;0,"Choice tương tác không được đánh dấu đáp án đúng",""),"Choice chưa chọn loại")))))))</f>
        <v/>
      </c>
    </row>
    <row r="187" spans="1:11">
      <c r="A187" s="13"/>
      <c r="B187" s="13"/>
      <c r="C187" s="5"/>
      <c r="D187" s="13"/>
      <c r="E187" s="13"/>
      <c r="F187" s="13"/>
      <c r="G187" s="13"/>
      <c r="H187" s="5"/>
      <c r="I187" s="5"/>
      <c r="J187" s="6" t="str">
        <f t="shared" si="2"/>
        <v/>
      </c>
      <c r="K187" s="6" t="str">
        <f>IF(A187="","",IF(COUNTIFS('02_KICH_BAN_NODES'!$B$5:$B$204,A187,'02_KICH_BAN_NODES'!$D$5:$D$204,"choice")=0,"ChoiceNodeId không tồn tại hoặc không phải choice",IF(COUNTIFS($A$5:$A$404,A187,$B$5:$B$404,B187)&gt;1,"Trùng OptionOrder trong cùng choice",IF(OR(B187="",C187="",D187="",F187="",H187=""),"Thiếu trường bắt buộc",IF(OR(COUNTIF($A$5:$A$404,A187)&lt;2,COUNTIF($A$5:$A$404,A187)&gt;4),"Mỗi choice cần 2–4 option",IF(COUNTIFS('02_KICH_BAN_NODES'!$B$5:$B$204,A187,'02_KICH_BAN_NODES'!$E$5:$E$204,"Kiến thức")=1,IF(COUNTIFS($A$5:$A$404,A187,$D$5:$D$404,"Có")&lt;&gt;1,"Choice kiến thức cần đúng 1 đáp án đúng",""),IF(COUNTIFS('02_KICH_BAN_NODES'!$B$5:$B$204,A187,'02_KICH_BAN_NODES'!$E$5:$E$204,"Tương tác")=1,IF(COUNTIFS($A$5:$A$404,A187,$D$5:$D$404,"Có")&lt;&gt;0,"Choice tương tác không được đánh dấu đáp án đúng",""),"Choice chưa chọn loại")))))))</f>
        <v/>
      </c>
    </row>
    <row r="188" spans="1:11">
      <c r="A188" s="13"/>
      <c r="B188" s="13"/>
      <c r="C188" s="5"/>
      <c r="D188" s="13"/>
      <c r="E188" s="13"/>
      <c r="F188" s="13"/>
      <c r="G188" s="13"/>
      <c r="H188" s="5"/>
      <c r="I188" s="5"/>
      <c r="J188" s="6" t="str">
        <f t="shared" si="2"/>
        <v/>
      </c>
      <c r="K188" s="6" t="str">
        <f>IF(A188="","",IF(COUNTIFS('02_KICH_BAN_NODES'!$B$5:$B$204,A188,'02_KICH_BAN_NODES'!$D$5:$D$204,"choice")=0,"ChoiceNodeId không tồn tại hoặc không phải choice",IF(COUNTIFS($A$5:$A$404,A188,$B$5:$B$404,B188)&gt;1,"Trùng OptionOrder trong cùng choice",IF(OR(B188="",C188="",D188="",F188="",H188=""),"Thiếu trường bắt buộc",IF(OR(COUNTIF($A$5:$A$404,A188)&lt;2,COUNTIF($A$5:$A$404,A188)&gt;4),"Mỗi choice cần 2–4 option",IF(COUNTIFS('02_KICH_BAN_NODES'!$B$5:$B$204,A188,'02_KICH_BAN_NODES'!$E$5:$E$204,"Kiến thức")=1,IF(COUNTIFS($A$5:$A$404,A188,$D$5:$D$404,"Có")&lt;&gt;1,"Choice kiến thức cần đúng 1 đáp án đúng",""),IF(COUNTIFS('02_KICH_BAN_NODES'!$B$5:$B$204,A188,'02_KICH_BAN_NODES'!$E$5:$E$204,"Tương tác")=1,IF(COUNTIFS($A$5:$A$404,A188,$D$5:$D$404,"Có")&lt;&gt;0,"Choice tương tác không được đánh dấu đáp án đúng",""),"Choice chưa chọn loại")))))))</f>
        <v/>
      </c>
    </row>
    <row r="189" spans="1:11">
      <c r="A189" s="13"/>
      <c r="B189" s="13"/>
      <c r="C189" s="5"/>
      <c r="D189" s="13"/>
      <c r="E189" s="13"/>
      <c r="F189" s="13"/>
      <c r="G189" s="13"/>
      <c r="H189" s="5"/>
      <c r="I189" s="5"/>
      <c r="J189" s="6" t="str">
        <f t="shared" si="2"/>
        <v/>
      </c>
      <c r="K189" s="6" t="str">
        <f>IF(A189="","",IF(COUNTIFS('02_KICH_BAN_NODES'!$B$5:$B$204,A189,'02_KICH_BAN_NODES'!$D$5:$D$204,"choice")=0,"ChoiceNodeId không tồn tại hoặc không phải choice",IF(COUNTIFS($A$5:$A$404,A189,$B$5:$B$404,B189)&gt;1,"Trùng OptionOrder trong cùng choice",IF(OR(B189="",C189="",D189="",F189="",H189=""),"Thiếu trường bắt buộc",IF(OR(COUNTIF($A$5:$A$404,A189)&lt;2,COUNTIF($A$5:$A$404,A189)&gt;4),"Mỗi choice cần 2–4 option",IF(COUNTIFS('02_KICH_BAN_NODES'!$B$5:$B$204,A189,'02_KICH_BAN_NODES'!$E$5:$E$204,"Kiến thức")=1,IF(COUNTIFS($A$5:$A$404,A189,$D$5:$D$404,"Có")&lt;&gt;1,"Choice kiến thức cần đúng 1 đáp án đúng",""),IF(COUNTIFS('02_KICH_BAN_NODES'!$B$5:$B$204,A189,'02_KICH_BAN_NODES'!$E$5:$E$204,"Tương tác")=1,IF(COUNTIFS($A$5:$A$404,A189,$D$5:$D$404,"Có")&lt;&gt;0,"Choice tương tác không được đánh dấu đáp án đúng",""),"Choice chưa chọn loại")))))))</f>
        <v/>
      </c>
    </row>
    <row r="190" spans="1:11">
      <c r="A190" s="13"/>
      <c r="B190" s="13"/>
      <c r="C190" s="5"/>
      <c r="D190" s="13"/>
      <c r="E190" s="13"/>
      <c r="F190" s="13"/>
      <c r="G190" s="13"/>
      <c r="H190" s="5"/>
      <c r="I190" s="5"/>
      <c r="J190" s="6" t="str">
        <f t="shared" si="2"/>
        <v/>
      </c>
      <c r="K190" s="6" t="str">
        <f>IF(A190="","",IF(COUNTIFS('02_KICH_BAN_NODES'!$B$5:$B$204,A190,'02_KICH_BAN_NODES'!$D$5:$D$204,"choice")=0,"ChoiceNodeId không tồn tại hoặc không phải choice",IF(COUNTIFS($A$5:$A$404,A190,$B$5:$B$404,B190)&gt;1,"Trùng OptionOrder trong cùng choice",IF(OR(B190="",C190="",D190="",F190="",H190=""),"Thiếu trường bắt buộc",IF(OR(COUNTIF($A$5:$A$404,A190)&lt;2,COUNTIF($A$5:$A$404,A190)&gt;4),"Mỗi choice cần 2–4 option",IF(COUNTIFS('02_KICH_BAN_NODES'!$B$5:$B$204,A190,'02_KICH_BAN_NODES'!$E$5:$E$204,"Kiến thức")=1,IF(COUNTIFS($A$5:$A$404,A190,$D$5:$D$404,"Có")&lt;&gt;1,"Choice kiến thức cần đúng 1 đáp án đúng",""),IF(COUNTIFS('02_KICH_BAN_NODES'!$B$5:$B$204,A190,'02_KICH_BAN_NODES'!$E$5:$E$204,"Tương tác")=1,IF(COUNTIFS($A$5:$A$404,A190,$D$5:$D$404,"Có")&lt;&gt;0,"Choice tương tác không được đánh dấu đáp án đúng",""),"Choice chưa chọn loại")))))))</f>
        <v/>
      </c>
    </row>
    <row r="191" spans="1:11">
      <c r="A191" s="13"/>
      <c r="B191" s="13"/>
      <c r="C191" s="5"/>
      <c r="D191" s="13"/>
      <c r="E191" s="13"/>
      <c r="F191" s="13"/>
      <c r="G191" s="13"/>
      <c r="H191" s="5"/>
      <c r="I191" s="5"/>
      <c r="J191" s="6" t="str">
        <f t="shared" si="2"/>
        <v/>
      </c>
      <c r="K191" s="6" t="str">
        <f>IF(A191="","",IF(COUNTIFS('02_KICH_BAN_NODES'!$B$5:$B$204,A191,'02_KICH_BAN_NODES'!$D$5:$D$204,"choice")=0,"ChoiceNodeId không tồn tại hoặc không phải choice",IF(COUNTIFS($A$5:$A$404,A191,$B$5:$B$404,B191)&gt;1,"Trùng OptionOrder trong cùng choice",IF(OR(B191="",C191="",D191="",F191="",H191=""),"Thiếu trường bắt buộc",IF(OR(COUNTIF($A$5:$A$404,A191)&lt;2,COUNTIF($A$5:$A$404,A191)&gt;4),"Mỗi choice cần 2–4 option",IF(COUNTIFS('02_KICH_BAN_NODES'!$B$5:$B$204,A191,'02_KICH_BAN_NODES'!$E$5:$E$204,"Kiến thức")=1,IF(COUNTIFS($A$5:$A$404,A191,$D$5:$D$404,"Có")&lt;&gt;1,"Choice kiến thức cần đúng 1 đáp án đúng",""),IF(COUNTIFS('02_KICH_BAN_NODES'!$B$5:$B$204,A191,'02_KICH_BAN_NODES'!$E$5:$E$204,"Tương tác")=1,IF(COUNTIFS($A$5:$A$404,A191,$D$5:$D$404,"Có")&lt;&gt;0,"Choice tương tác không được đánh dấu đáp án đúng",""),"Choice chưa chọn loại")))))))</f>
        <v/>
      </c>
    </row>
    <row r="192" spans="1:11">
      <c r="A192" s="13"/>
      <c r="B192" s="13"/>
      <c r="C192" s="5"/>
      <c r="D192" s="13"/>
      <c r="E192" s="13"/>
      <c r="F192" s="13"/>
      <c r="G192" s="13"/>
      <c r="H192" s="5"/>
      <c r="I192" s="5"/>
      <c r="J192" s="6" t="str">
        <f t="shared" si="2"/>
        <v/>
      </c>
      <c r="K192" s="6" t="str">
        <f>IF(A192="","",IF(COUNTIFS('02_KICH_BAN_NODES'!$B$5:$B$204,A192,'02_KICH_BAN_NODES'!$D$5:$D$204,"choice")=0,"ChoiceNodeId không tồn tại hoặc không phải choice",IF(COUNTIFS($A$5:$A$404,A192,$B$5:$B$404,B192)&gt;1,"Trùng OptionOrder trong cùng choice",IF(OR(B192="",C192="",D192="",F192="",H192=""),"Thiếu trường bắt buộc",IF(OR(COUNTIF($A$5:$A$404,A192)&lt;2,COUNTIF($A$5:$A$404,A192)&gt;4),"Mỗi choice cần 2–4 option",IF(COUNTIFS('02_KICH_BAN_NODES'!$B$5:$B$204,A192,'02_KICH_BAN_NODES'!$E$5:$E$204,"Kiến thức")=1,IF(COUNTIFS($A$5:$A$404,A192,$D$5:$D$404,"Có")&lt;&gt;1,"Choice kiến thức cần đúng 1 đáp án đúng",""),IF(COUNTIFS('02_KICH_BAN_NODES'!$B$5:$B$204,A192,'02_KICH_BAN_NODES'!$E$5:$E$204,"Tương tác")=1,IF(COUNTIFS($A$5:$A$404,A192,$D$5:$D$404,"Có")&lt;&gt;0,"Choice tương tác không được đánh dấu đáp án đúng",""),"Choice chưa chọn loại")))))))</f>
        <v/>
      </c>
    </row>
    <row r="193" spans="1:11">
      <c r="A193" s="13"/>
      <c r="B193" s="13"/>
      <c r="C193" s="5"/>
      <c r="D193" s="13"/>
      <c r="E193" s="13"/>
      <c r="F193" s="13"/>
      <c r="G193" s="13"/>
      <c r="H193" s="5"/>
      <c r="I193" s="5"/>
      <c r="J193" s="6" t="str">
        <f t="shared" si="2"/>
        <v/>
      </c>
      <c r="K193" s="6" t="str">
        <f>IF(A193="","",IF(COUNTIFS('02_KICH_BAN_NODES'!$B$5:$B$204,A193,'02_KICH_BAN_NODES'!$D$5:$D$204,"choice")=0,"ChoiceNodeId không tồn tại hoặc không phải choice",IF(COUNTIFS($A$5:$A$404,A193,$B$5:$B$404,B193)&gt;1,"Trùng OptionOrder trong cùng choice",IF(OR(B193="",C193="",D193="",F193="",H193=""),"Thiếu trường bắt buộc",IF(OR(COUNTIF($A$5:$A$404,A193)&lt;2,COUNTIF($A$5:$A$404,A193)&gt;4),"Mỗi choice cần 2–4 option",IF(COUNTIFS('02_KICH_BAN_NODES'!$B$5:$B$204,A193,'02_KICH_BAN_NODES'!$E$5:$E$204,"Kiến thức")=1,IF(COUNTIFS($A$5:$A$404,A193,$D$5:$D$404,"Có")&lt;&gt;1,"Choice kiến thức cần đúng 1 đáp án đúng",""),IF(COUNTIFS('02_KICH_BAN_NODES'!$B$5:$B$204,A193,'02_KICH_BAN_NODES'!$E$5:$E$204,"Tương tác")=1,IF(COUNTIFS($A$5:$A$404,A193,$D$5:$D$404,"Có")&lt;&gt;0,"Choice tương tác không được đánh dấu đáp án đúng",""),"Choice chưa chọn loại")))))))</f>
        <v/>
      </c>
    </row>
    <row r="194" spans="1:11">
      <c r="A194" s="13"/>
      <c r="B194" s="13"/>
      <c r="C194" s="5"/>
      <c r="D194" s="13"/>
      <c r="E194" s="13"/>
      <c r="F194" s="13"/>
      <c r="G194" s="13"/>
      <c r="H194" s="5"/>
      <c r="I194" s="5"/>
      <c r="J194" s="6" t="str">
        <f t="shared" si="2"/>
        <v/>
      </c>
      <c r="K194" s="6" t="str">
        <f>IF(A194="","",IF(COUNTIFS('02_KICH_BAN_NODES'!$B$5:$B$204,A194,'02_KICH_BAN_NODES'!$D$5:$D$204,"choice")=0,"ChoiceNodeId không tồn tại hoặc không phải choice",IF(COUNTIFS($A$5:$A$404,A194,$B$5:$B$404,B194)&gt;1,"Trùng OptionOrder trong cùng choice",IF(OR(B194="",C194="",D194="",F194="",H194=""),"Thiếu trường bắt buộc",IF(OR(COUNTIF($A$5:$A$404,A194)&lt;2,COUNTIF($A$5:$A$404,A194)&gt;4),"Mỗi choice cần 2–4 option",IF(COUNTIFS('02_KICH_BAN_NODES'!$B$5:$B$204,A194,'02_KICH_BAN_NODES'!$E$5:$E$204,"Kiến thức")=1,IF(COUNTIFS($A$5:$A$404,A194,$D$5:$D$404,"Có")&lt;&gt;1,"Choice kiến thức cần đúng 1 đáp án đúng",""),IF(COUNTIFS('02_KICH_BAN_NODES'!$B$5:$B$204,A194,'02_KICH_BAN_NODES'!$E$5:$E$204,"Tương tác")=1,IF(COUNTIFS($A$5:$A$404,A194,$D$5:$D$404,"Có")&lt;&gt;0,"Choice tương tác không được đánh dấu đáp án đúng",""),"Choice chưa chọn loại")))))))</f>
        <v/>
      </c>
    </row>
    <row r="195" spans="1:11">
      <c r="A195" s="13"/>
      <c r="B195" s="13"/>
      <c r="C195" s="5"/>
      <c r="D195" s="13"/>
      <c r="E195" s="13"/>
      <c r="F195" s="13"/>
      <c r="G195" s="13"/>
      <c r="H195" s="5"/>
      <c r="I195" s="5"/>
      <c r="J195" s="6" t="str">
        <f t="shared" si="2"/>
        <v/>
      </c>
      <c r="K195" s="6" t="str">
        <f>IF(A195="","",IF(COUNTIFS('02_KICH_BAN_NODES'!$B$5:$B$204,A195,'02_KICH_BAN_NODES'!$D$5:$D$204,"choice")=0,"ChoiceNodeId không tồn tại hoặc không phải choice",IF(COUNTIFS($A$5:$A$404,A195,$B$5:$B$404,B195)&gt;1,"Trùng OptionOrder trong cùng choice",IF(OR(B195="",C195="",D195="",F195="",H195=""),"Thiếu trường bắt buộc",IF(OR(COUNTIF($A$5:$A$404,A195)&lt;2,COUNTIF($A$5:$A$404,A195)&gt;4),"Mỗi choice cần 2–4 option",IF(COUNTIFS('02_KICH_BAN_NODES'!$B$5:$B$204,A195,'02_KICH_BAN_NODES'!$E$5:$E$204,"Kiến thức")=1,IF(COUNTIFS($A$5:$A$404,A195,$D$5:$D$404,"Có")&lt;&gt;1,"Choice kiến thức cần đúng 1 đáp án đúng",""),IF(COUNTIFS('02_KICH_BAN_NODES'!$B$5:$B$204,A195,'02_KICH_BAN_NODES'!$E$5:$E$204,"Tương tác")=1,IF(COUNTIFS($A$5:$A$404,A195,$D$5:$D$404,"Có")&lt;&gt;0,"Choice tương tác không được đánh dấu đáp án đúng",""),"Choice chưa chọn loại")))))))</f>
        <v/>
      </c>
    </row>
    <row r="196" spans="1:11">
      <c r="A196" s="13"/>
      <c r="B196" s="13"/>
      <c r="C196" s="5"/>
      <c r="D196" s="13"/>
      <c r="E196" s="13"/>
      <c r="F196" s="13"/>
      <c r="G196" s="13"/>
      <c r="H196" s="5"/>
      <c r="I196" s="5"/>
      <c r="J196" s="6" t="str">
        <f t="shared" si="2"/>
        <v/>
      </c>
      <c r="K196" s="6" t="str">
        <f>IF(A196="","",IF(COUNTIFS('02_KICH_BAN_NODES'!$B$5:$B$204,A196,'02_KICH_BAN_NODES'!$D$5:$D$204,"choice")=0,"ChoiceNodeId không tồn tại hoặc không phải choice",IF(COUNTIFS($A$5:$A$404,A196,$B$5:$B$404,B196)&gt;1,"Trùng OptionOrder trong cùng choice",IF(OR(B196="",C196="",D196="",F196="",H196=""),"Thiếu trường bắt buộc",IF(OR(COUNTIF($A$5:$A$404,A196)&lt;2,COUNTIF($A$5:$A$404,A196)&gt;4),"Mỗi choice cần 2–4 option",IF(COUNTIFS('02_KICH_BAN_NODES'!$B$5:$B$204,A196,'02_KICH_BAN_NODES'!$E$5:$E$204,"Kiến thức")=1,IF(COUNTIFS($A$5:$A$404,A196,$D$5:$D$404,"Có")&lt;&gt;1,"Choice kiến thức cần đúng 1 đáp án đúng",""),IF(COUNTIFS('02_KICH_BAN_NODES'!$B$5:$B$204,A196,'02_KICH_BAN_NODES'!$E$5:$E$204,"Tương tác")=1,IF(COUNTIFS($A$5:$A$404,A196,$D$5:$D$404,"Có")&lt;&gt;0,"Choice tương tác không được đánh dấu đáp án đúng",""),"Choice chưa chọn loại")))))))</f>
        <v/>
      </c>
    </row>
    <row r="197" spans="1:11">
      <c r="A197" s="13"/>
      <c r="B197" s="13"/>
      <c r="C197" s="5"/>
      <c r="D197" s="13"/>
      <c r="E197" s="13"/>
      <c r="F197" s="13"/>
      <c r="G197" s="13"/>
      <c r="H197" s="5"/>
      <c r="I197" s="5"/>
      <c r="J197" s="6" t="str">
        <f t="shared" ref="J197:J260" si="3">IF(A197="","",IF(K197="","HỢP LỆ","CẦN SỬA"))</f>
        <v/>
      </c>
      <c r="K197" s="6" t="str">
        <f>IF(A197="","",IF(COUNTIFS('02_KICH_BAN_NODES'!$B$5:$B$204,A197,'02_KICH_BAN_NODES'!$D$5:$D$204,"choice")=0,"ChoiceNodeId không tồn tại hoặc không phải choice",IF(COUNTIFS($A$5:$A$404,A197,$B$5:$B$404,B197)&gt;1,"Trùng OptionOrder trong cùng choice",IF(OR(B197="",C197="",D197="",F197="",H197=""),"Thiếu trường bắt buộc",IF(OR(COUNTIF($A$5:$A$404,A197)&lt;2,COUNTIF($A$5:$A$404,A197)&gt;4),"Mỗi choice cần 2–4 option",IF(COUNTIFS('02_KICH_BAN_NODES'!$B$5:$B$204,A197,'02_KICH_BAN_NODES'!$E$5:$E$204,"Kiến thức")=1,IF(COUNTIFS($A$5:$A$404,A197,$D$5:$D$404,"Có")&lt;&gt;1,"Choice kiến thức cần đúng 1 đáp án đúng",""),IF(COUNTIFS('02_KICH_BAN_NODES'!$B$5:$B$204,A197,'02_KICH_BAN_NODES'!$E$5:$E$204,"Tương tác")=1,IF(COUNTIFS($A$5:$A$404,A197,$D$5:$D$404,"Có")&lt;&gt;0,"Choice tương tác không được đánh dấu đáp án đúng",""),"Choice chưa chọn loại")))))))</f>
        <v/>
      </c>
    </row>
    <row r="198" spans="1:11">
      <c r="A198" s="13"/>
      <c r="B198" s="13"/>
      <c r="C198" s="5"/>
      <c r="D198" s="13"/>
      <c r="E198" s="13"/>
      <c r="F198" s="13"/>
      <c r="G198" s="13"/>
      <c r="H198" s="5"/>
      <c r="I198" s="5"/>
      <c r="J198" s="6" t="str">
        <f t="shared" si="3"/>
        <v/>
      </c>
      <c r="K198" s="6" t="str">
        <f>IF(A198="","",IF(COUNTIFS('02_KICH_BAN_NODES'!$B$5:$B$204,A198,'02_KICH_BAN_NODES'!$D$5:$D$204,"choice")=0,"ChoiceNodeId không tồn tại hoặc không phải choice",IF(COUNTIFS($A$5:$A$404,A198,$B$5:$B$404,B198)&gt;1,"Trùng OptionOrder trong cùng choice",IF(OR(B198="",C198="",D198="",F198="",H198=""),"Thiếu trường bắt buộc",IF(OR(COUNTIF($A$5:$A$404,A198)&lt;2,COUNTIF($A$5:$A$404,A198)&gt;4),"Mỗi choice cần 2–4 option",IF(COUNTIFS('02_KICH_BAN_NODES'!$B$5:$B$204,A198,'02_KICH_BAN_NODES'!$E$5:$E$204,"Kiến thức")=1,IF(COUNTIFS($A$5:$A$404,A198,$D$5:$D$404,"Có")&lt;&gt;1,"Choice kiến thức cần đúng 1 đáp án đúng",""),IF(COUNTIFS('02_KICH_BAN_NODES'!$B$5:$B$204,A198,'02_KICH_BAN_NODES'!$E$5:$E$204,"Tương tác")=1,IF(COUNTIFS($A$5:$A$404,A198,$D$5:$D$404,"Có")&lt;&gt;0,"Choice tương tác không được đánh dấu đáp án đúng",""),"Choice chưa chọn loại")))))))</f>
        <v/>
      </c>
    </row>
    <row r="199" spans="1:11">
      <c r="A199" s="13"/>
      <c r="B199" s="13"/>
      <c r="C199" s="5"/>
      <c r="D199" s="13"/>
      <c r="E199" s="13"/>
      <c r="F199" s="13"/>
      <c r="G199" s="13"/>
      <c r="H199" s="5"/>
      <c r="I199" s="5"/>
      <c r="J199" s="6" t="str">
        <f t="shared" si="3"/>
        <v/>
      </c>
      <c r="K199" s="6" t="str">
        <f>IF(A199="","",IF(COUNTIFS('02_KICH_BAN_NODES'!$B$5:$B$204,A199,'02_KICH_BAN_NODES'!$D$5:$D$204,"choice")=0,"ChoiceNodeId không tồn tại hoặc không phải choice",IF(COUNTIFS($A$5:$A$404,A199,$B$5:$B$404,B199)&gt;1,"Trùng OptionOrder trong cùng choice",IF(OR(B199="",C199="",D199="",F199="",H199=""),"Thiếu trường bắt buộc",IF(OR(COUNTIF($A$5:$A$404,A199)&lt;2,COUNTIF($A$5:$A$404,A199)&gt;4),"Mỗi choice cần 2–4 option",IF(COUNTIFS('02_KICH_BAN_NODES'!$B$5:$B$204,A199,'02_KICH_BAN_NODES'!$E$5:$E$204,"Kiến thức")=1,IF(COUNTIFS($A$5:$A$404,A199,$D$5:$D$404,"Có")&lt;&gt;1,"Choice kiến thức cần đúng 1 đáp án đúng",""),IF(COUNTIFS('02_KICH_BAN_NODES'!$B$5:$B$204,A199,'02_KICH_BAN_NODES'!$E$5:$E$204,"Tương tác")=1,IF(COUNTIFS($A$5:$A$404,A199,$D$5:$D$404,"Có")&lt;&gt;0,"Choice tương tác không được đánh dấu đáp án đúng",""),"Choice chưa chọn loại")))))))</f>
        <v/>
      </c>
    </row>
    <row r="200" spans="1:11">
      <c r="A200" s="13"/>
      <c r="B200" s="13"/>
      <c r="C200" s="5"/>
      <c r="D200" s="13"/>
      <c r="E200" s="13"/>
      <c r="F200" s="13"/>
      <c r="G200" s="13"/>
      <c r="H200" s="5"/>
      <c r="I200" s="5"/>
      <c r="J200" s="6" t="str">
        <f t="shared" si="3"/>
        <v/>
      </c>
      <c r="K200" s="6" t="str">
        <f>IF(A200="","",IF(COUNTIFS('02_KICH_BAN_NODES'!$B$5:$B$204,A200,'02_KICH_BAN_NODES'!$D$5:$D$204,"choice")=0,"ChoiceNodeId không tồn tại hoặc không phải choice",IF(COUNTIFS($A$5:$A$404,A200,$B$5:$B$404,B200)&gt;1,"Trùng OptionOrder trong cùng choice",IF(OR(B200="",C200="",D200="",F200="",H200=""),"Thiếu trường bắt buộc",IF(OR(COUNTIF($A$5:$A$404,A200)&lt;2,COUNTIF($A$5:$A$404,A200)&gt;4),"Mỗi choice cần 2–4 option",IF(COUNTIFS('02_KICH_BAN_NODES'!$B$5:$B$204,A200,'02_KICH_BAN_NODES'!$E$5:$E$204,"Kiến thức")=1,IF(COUNTIFS($A$5:$A$404,A200,$D$5:$D$404,"Có")&lt;&gt;1,"Choice kiến thức cần đúng 1 đáp án đúng",""),IF(COUNTIFS('02_KICH_BAN_NODES'!$B$5:$B$204,A200,'02_KICH_BAN_NODES'!$E$5:$E$204,"Tương tác")=1,IF(COUNTIFS($A$5:$A$404,A200,$D$5:$D$404,"Có")&lt;&gt;0,"Choice tương tác không được đánh dấu đáp án đúng",""),"Choice chưa chọn loại")))))))</f>
        <v/>
      </c>
    </row>
    <row r="201" spans="1:11">
      <c r="A201" s="13"/>
      <c r="B201" s="13"/>
      <c r="C201" s="5"/>
      <c r="D201" s="13"/>
      <c r="E201" s="13"/>
      <c r="F201" s="13"/>
      <c r="G201" s="13"/>
      <c r="H201" s="5"/>
      <c r="I201" s="5"/>
      <c r="J201" s="6" t="str">
        <f t="shared" si="3"/>
        <v/>
      </c>
      <c r="K201" s="6" t="str">
        <f>IF(A201="","",IF(COUNTIFS('02_KICH_BAN_NODES'!$B$5:$B$204,A201,'02_KICH_BAN_NODES'!$D$5:$D$204,"choice")=0,"ChoiceNodeId không tồn tại hoặc không phải choice",IF(COUNTIFS($A$5:$A$404,A201,$B$5:$B$404,B201)&gt;1,"Trùng OptionOrder trong cùng choice",IF(OR(B201="",C201="",D201="",F201="",H201=""),"Thiếu trường bắt buộc",IF(OR(COUNTIF($A$5:$A$404,A201)&lt;2,COUNTIF($A$5:$A$404,A201)&gt;4),"Mỗi choice cần 2–4 option",IF(COUNTIFS('02_KICH_BAN_NODES'!$B$5:$B$204,A201,'02_KICH_BAN_NODES'!$E$5:$E$204,"Kiến thức")=1,IF(COUNTIFS($A$5:$A$404,A201,$D$5:$D$404,"Có")&lt;&gt;1,"Choice kiến thức cần đúng 1 đáp án đúng",""),IF(COUNTIFS('02_KICH_BAN_NODES'!$B$5:$B$204,A201,'02_KICH_BAN_NODES'!$E$5:$E$204,"Tương tác")=1,IF(COUNTIFS($A$5:$A$404,A201,$D$5:$D$404,"Có")&lt;&gt;0,"Choice tương tác không được đánh dấu đáp án đúng",""),"Choice chưa chọn loại")))))))</f>
        <v/>
      </c>
    </row>
    <row r="202" spans="1:11">
      <c r="A202" s="13"/>
      <c r="B202" s="13"/>
      <c r="C202" s="5"/>
      <c r="D202" s="13"/>
      <c r="E202" s="13"/>
      <c r="F202" s="13"/>
      <c r="G202" s="13"/>
      <c r="H202" s="5"/>
      <c r="I202" s="5"/>
      <c r="J202" s="6" t="str">
        <f t="shared" si="3"/>
        <v/>
      </c>
      <c r="K202" s="6" t="str">
        <f>IF(A202="","",IF(COUNTIFS('02_KICH_BAN_NODES'!$B$5:$B$204,A202,'02_KICH_BAN_NODES'!$D$5:$D$204,"choice")=0,"ChoiceNodeId không tồn tại hoặc không phải choice",IF(COUNTIFS($A$5:$A$404,A202,$B$5:$B$404,B202)&gt;1,"Trùng OptionOrder trong cùng choice",IF(OR(B202="",C202="",D202="",F202="",H202=""),"Thiếu trường bắt buộc",IF(OR(COUNTIF($A$5:$A$404,A202)&lt;2,COUNTIF($A$5:$A$404,A202)&gt;4),"Mỗi choice cần 2–4 option",IF(COUNTIFS('02_KICH_BAN_NODES'!$B$5:$B$204,A202,'02_KICH_BAN_NODES'!$E$5:$E$204,"Kiến thức")=1,IF(COUNTIFS($A$5:$A$404,A202,$D$5:$D$404,"Có")&lt;&gt;1,"Choice kiến thức cần đúng 1 đáp án đúng",""),IF(COUNTIFS('02_KICH_BAN_NODES'!$B$5:$B$204,A202,'02_KICH_BAN_NODES'!$E$5:$E$204,"Tương tác")=1,IF(COUNTIFS($A$5:$A$404,A202,$D$5:$D$404,"Có")&lt;&gt;0,"Choice tương tác không được đánh dấu đáp án đúng",""),"Choice chưa chọn loại")))))))</f>
        <v/>
      </c>
    </row>
    <row r="203" spans="1:11">
      <c r="A203" s="13"/>
      <c r="B203" s="13"/>
      <c r="C203" s="5"/>
      <c r="D203" s="13"/>
      <c r="E203" s="13"/>
      <c r="F203" s="13"/>
      <c r="G203" s="13"/>
      <c r="H203" s="5"/>
      <c r="I203" s="5"/>
      <c r="J203" s="6" t="str">
        <f t="shared" si="3"/>
        <v/>
      </c>
      <c r="K203" s="6" t="str">
        <f>IF(A203="","",IF(COUNTIFS('02_KICH_BAN_NODES'!$B$5:$B$204,A203,'02_KICH_BAN_NODES'!$D$5:$D$204,"choice")=0,"ChoiceNodeId không tồn tại hoặc không phải choice",IF(COUNTIFS($A$5:$A$404,A203,$B$5:$B$404,B203)&gt;1,"Trùng OptionOrder trong cùng choice",IF(OR(B203="",C203="",D203="",F203="",H203=""),"Thiếu trường bắt buộc",IF(OR(COUNTIF($A$5:$A$404,A203)&lt;2,COUNTIF($A$5:$A$404,A203)&gt;4),"Mỗi choice cần 2–4 option",IF(COUNTIFS('02_KICH_BAN_NODES'!$B$5:$B$204,A203,'02_KICH_BAN_NODES'!$E$5:$E$204,"Kiến thức")=1,IF(COUNTIFS($A$5:$A$404,A203,$D$5:$D$404,"Có")&lt;&gt;1,"Choice kiến thức cần đúng 1 đáp án đúng",""),IF(COUNTIFS('02_KICH_BAN_NODES'!$B$5:$B$204,A203,'02_KICH_BAN_NODES'!$E$5:$E$204,"Tương tác")=1,IF(COUNTIFS($A$5:$A$404,A203,$D$5:$D$404,"Có")&lt;&gt;0,"Choice tương tác không được đánh dấu đáp án đúng",""),"Choice chưa chọn loại")))))))</f>
        <v/>
      </c>
    </row>
    <row r="204" spans="1:11">
      <c r="A204" s="13"/>
      <c r="B204" s="13"/>
      <c r="C204" s="5"/>
      <c r="D204" s="13"/>
      <c r="E204" s="13"/>
      <c r="F204" s="13"/>
      <c r="G204" s="13"/>
      <c r="H204" s="5"/>
      <c r="I204" s="5"/>
      <c r="J204" s="6" t="str">
        <f t="shared" si="3"/>
        <v/>
      </c>
      <c r="K204" s="6" t="str">
        <f>IF(A204="","",IF(COUNTIFS('02_KICH_BAN_NODES'!$B$5:$B$204,A204,'02_KICH_BAN_NODES'!$D$5:$D$204,"choice")=0,"ChoiceNodeId không tồn tại hoặc không phải choice",IF(COUNTIFS($A$5:$A$404,A204,$B$5:$B$404,B204)&gt;1,"Trùng OptionOrder trong cùng choice",IF(OR(B204="",C204="",D204="",F204="",H204=""),"Thiếu trường bắt buộc",IF(OR(COUNTIF($A$5:$A$404,A204)&lt;2,COUNTIF($A$5:$A$404,A204)&gt;4),"Mỗi choice cần 2–4 option",IF(COUNTIFS('02_KICH_BAN_NODES'!$B$5:$B$204,A204,'02_KICH_BAN_NODES'!$E$5:$E$204,"Kiến thức")=1,IF(COUNTIFS($A$5:$A$404,A204,$D$5:$D$404,"Có")&lt;&gt;1,"Choice kiến thức cần đúng 1 đáp án đúng",""),IF(COUNTIFS('02_KICH_BAN_NODES'!$B$5:$B$204,A204,'02_KICH_BAN_NODES'!$E$5:$E$204,"Tương tác")=1,IF(COUNTIFS($A$5:$A$404,A204,$D$5:$D$404,"Có")&lt;&gt;0,"Choice tương tác không được đánh dấu đáp án đúng",""),"Choice chưa chọn loại")))))))</f>
        <v/>
      </c>
    </row>
    <row r="205" spans="1:11">
      <c r="A205" s="13"/>
      <c r="B205" s="13"/>
      <c r="C205" s="5"/>
      <c r="D205" s="13"/>
      <c r="E205" s="13"/>
      <c r="F205" s="13"/>
      <c r="G205" s="13"/>
      <c r="H205" s="5"/>
      <c r="I205" s="5"/>
      <c r="J205" s="6" t="str">
        <f t="shared" si="3"/>
        <v/>
      </c>
      <c r="K205" s="6" t="str">
        <f>IF(A205="","",IF(COUNTIFS('02_KICH_BAN_NODES'!$B$5:$B$204,A205,'02_KICH_BAN_NODES'!$D$5:$D$204,"choice")=0,"ChoiceNodeId không tồn tại hoặc không phải choice",IF(COUNTIFS($A$5:$A$404,A205,$B$5:$B$404,B205)&gt;1,"Trùng OptionOrder trong cùng choice",IF(OR(B205="",C205="",D205="",F205="",H205=""),"Thiếu trường bắt buộc",IF(OR(COUNTIF($A$5:$A$404,A205)&lt;2,COUNTIF($A$5:$A$404,A205)&gt;4),"Mỗi choice cần 2–4 option",IF(COUNTIFS('02_KICH_BAN_NODES'!$B$5:$B$204,A205,'02_KICH_BAN_NODES'!$E$5:$E$204,"Kiến thức")=1,IF(COUNTIFS($A$5:$A$404,A205,$D$5:$D$404,"Có")&lt;&gt;1,"Choice kiến thức cần đúng 1 đáp án đúng",""),IF(COUNTIFS('02_KICH_BAN_NODES'!$B$5:$B$204,A205,'02_KICH_BAN_NODES'!$E$5:$E$204,"Tương tác")=1,IF(COUNTIFS($A$5:$A$404,A205,$D$5:$D$404,"Có")&lt;&gt;0,"Choice tương tác không được đánh dấu đáp án đúng",""),"Choice chưa chọn loại")))))))</f>
        <v/>
      </c>
    </row>
    <row r="206" spans="1:11">
      <c r="A206" s="13"/>
      <c r="B206" s="13"/>
      <c r="C206" s="5"/>
      <c r="D206" s="13"/>
      <c r="E206" s="13"/>
      <c r="F206" s="13"/>
      <c r="G206" s="13"/>
      <c r="H206" s="5"/>
      <c r="I206" s="5"/>
      <c r="J206" s="6" t="str">
        <f t="shared" si="3"/>
        <v/>
      </c>
      <c r="K206" s="6" t="str">
        <f>IF(A206="","",IF(COUNTIFS('02_KICH_BAN_NODES'!$B$5:$B$204,A206,'02_KICH_BAN_NODES'!$D$5:$D$204,"choice")=0,"ChoiceNodeId không tồn tại hoặc không phải choice",IF(COUNTIFS($A$5:$A$404,A206,$B$5:$B$404,B206)&gt;1,"Trùng OptionOrder trong cùng choice",IF(OR(B206="",C206="",D206="",F206="",H206=""),"Thiếu trường bắt buộc",IF(OR(COUNTIF($A$5:$A$404,A206)&lt;2,COUNTIF($A$5:$A$404,A206)&gt;4),"Mỗi choice cần 2–4 option",IF(COUNTIFS('02_KICH_BAN_NODES'!$B$5:$B$204,A206,'02_KICH_BAN_NODES'!$E$5:$E$204,"Kiến thức")=1,IF(COUNTIFS($A$5:$A$404,A206,$D$5:$D$404,"Có")&lt;&gt;1,"Choice kiến thức cần đúng 1 đáp án đúng",""),IF(COUNTIFS('02_KICH_BAN_NODES'!$B$5:$B$204,A206,'02_KICH_BAN_NODES'!$E$5:$E$204,"Tương tác")=1,IF(COUNTIFS($A$5:$A$404,A206,$D$5:$D$404,"Có")&lt;&gt;0,"Choice tương tác không được đánh dấu đáp án đúng",""),"Choice chưa chọn loại")))))))</f>
        <v/>
      </c>
    </row>
    <row r="207" spans="1:11">
      <c r="A207" s="13"/>
      <c r="B207" s="13"/>
      <c r="C207" s="5"/>
      <c r="D207" s="13"/>
      <c r="E207" s="13"/>
      <c r="F207" s="13"/>
      <c r="G207" s="13"/>
      <c r="H207" s="5"/>
      <c r="I207" s="5"/>
      <c r="J207" s="6" t="str">
        <f t="shared" si="3"/>
        <v/>
      </c>
      <c r="K207" s="6" t="str">
        <f>IF(A207="","",IF(COUNTIFS('02_KICH_BAN_NODES'!$B$5:$B$204,A207,'02_KICH_BAN_NODES'!$D$5:$D$204,"choice")=0,"ChoiceNodeId không tồn tại hoặc không phải choice",IF(COUNTIFS($A$5:$A$404,A207,$B$5:$B$404,B207)&gt;1,"Trùng OptionOrder trong cùng choice",IF(OR(B207="",C207="",D207="",F207="",H207=""),"Thiếu trường bắt buộc",IF(OR(COUNTIF($A$5:$A$404,A207)&lt;2,COUNTIF($A$5:$A$404,A207)&gt;4),"Mỗi choice cần 2–4 option",IF(COUNTIFS('02_KICH_BAN_NODES'!$B$5:$B$204,A207,'02_KICH_BAN_NODES'!$E$5:$E$204,"Kiến thức")=1,IF(COUNTIFS($A$5:$A$404,A207,$D$5:$D$404,"Có")&lt;&gt;1,"Choice kiến thức cần đúng 1 đáp án đúng",""),IF(COUNTIFS('02_KICH_BAN_NODES'!$B$5:$B$204,A207,'02_KICH_BAN_NODES'!$E$5:$E$204,"Tương tác")=1,IF(COUNTIFS($A$5:$A$404,A207,$D$5:$D$404,"Có")&lt;&gt;0,"Choice tương tác không được đánh dấu đáp án đúng",""),"Choice chưa chọn loại")))))))</f>
        <v/>
      </c>
    </row>
    <row r="208" spans="1:11">
      <c r="A208" s="13"/>
      <c r="B208" s="13"/>
      <c r="C208" s="5"/>
      <c r="D208" s="13"/>
      <c r="E208" s="13"/>
      <c r="F208" s="13"/>
      <c r="G208" s="13"/>
      <c r="H208" s="5"/>
      <c r="I208" s="5"/>
      <c r="J208" s="6" t="str">
        <f t="shared" si="3"/>
        <v/>
      </c>
      <c r="K208" s="6" t="str">
        <f>IF(A208="","",IF(COUNTIFS('02_KICH_BAN_NODES'!$B$5:$B$204,A208,'02_KICH_BAN_NODES'!$D$5:$D$204,"choice")=0,"ChoiceNodeId không tồn tại hoặc không phải choice",IF(COUNTIFS($A$5:$A$404,A208,$B$5:$B$404,B208)&gt;1,"Trùng OptionOrder trong cùng choice",IF(OR(B208="",C208="",D208="",F208="",H208=""),"Thiếu trường bắt buộc",IF(OR(COUNTIF($A$5:$A$404,A208)&lt;2,COUNTIF($A$5:$A$404,A208)&gt;4),"Mỗi choice cần 2–4 option",IF(COUNTIFS('02_KICH_BAN_NODES'!$B$5:$B$204,A208,'02_KICH_BAN_NODES'!$E$5:$E$204,"Kiến thức")=1,IF(COUNTIFS($A$5:$A$404,A208,$D$5:$D$404,"Có")&lt;&gt;1,"Choice kiến thức cần đúng 1 đáp án đúng",""),IF(COUNTIFS('02_KICH_BAN_NODES'!$B$5:$B$204,A208,'02_KICH_BAN_NODES'!$E$5:$E$204,"Tương tác")=1,IF(COUNTIFS($A$5:$A$404,A208,$D$5:$D$404,"Có")&lt;&gt;0,"Choice tương tác không được đánh dấu đáp án đúng",""),"Choice chưa chọn loại")))))))</f>
        <v/>
      </c>
    </row>
    <row r="209" spans="1:11">
      <c r="A209" s="13"/>
      <c r="B209" s="13"/>
      <c r="C209" s="5"/>
      <c r="D209" s="13"/>
      <c r="E209" s="13"/>
      <c r="F209" s="13"/>
      <c r="G209" s="13"/>
      <c r="H209" s="5"/>
      <c r="I209" s="5"/>
      <c r="J209" s="6" t="str">
        <f t="shared" si="3"/>
        <v/>
      </c>
      <c r="K209" s="6" t="str">
        <f>IF(A209="","",IF(COUNTIFS('02_KICH_BAN_NODES'!$B$5:$B$204,A209,'02_KICH_BAN_NODES'!$D$5:$D$204,"choice")=0,"ChoiceNodeId không tồn tại hoặc không phải choice",IF(COUNTIFS($A$5:$A$404,A209,$B$5:$B$404,B209)&gt;1,"Trùng OptionOrder trong cùng choice",IF(OR(B209="",C209="",D209="",F209="",H209=""),"Thiếu trường bắt buộc",IF(OR(COUNTIF($A$5:$A$404,A209)&lt;2,COUNTIF($A$5:$A$404,A209)&gt;4),"Mỗi choice cần 2–4 option",IF(COUNTIFS('02_KICH_BAN_NODES'!$B$5:$B$204,A209,'02_KICH_BAN_NODES'!$E$5:$E$204,"Kiến thức")=1,IF(COUNTIFS($A$5:$A$404,A209,$D$5:$D$404,"Có")&lt;&gt;1,"Choice kiến thức cần đúng 1 đáp án đúng",""),IF(COUNTIFS('02_KICH_BAN_NODES'!$B$5:$B$204,A209,'02_KICH_BAN_NODES'!$E$5:$E$204,"Tương tác")=1,IF(COUNTIFS($A$5:$A$404,A209,$D$5:$D$404,"Có")&lt;&gt;0,"Choice tương tác không được đánh dấu đáp án đúng",""),"Choice chưa chọn loại")))))))</f>
        <v/>
      </c>
    </row>
    <row r="210" spans="1:11">
      <c r="A210" s="13"/>
      <c r="B210" s="13"/>
      <c r="C210" s="5"/>
      <c r="D210" s="13"/>
      <c r="E210" s="13"/>
      <c r="F210" s="13"/>
      <c r="G210" s="13"/>
      <c r="H210" s="5"/>
      <c r="I210" s="5"/>
      <c r="J210" s="6" t="str">
        <f t="shared" si="3"/>
        <v/>
      </c>
      <c r="K210" s="6" t="str">
        <f>IF(A210="","",IF(COUNTIFS('02_KICH_BAN_NODES'!$B$5:$B$204,A210,'02_KICH_BAN_NODES'!$D$5:$D$204,"choice")=0,"ChoiceNodeId không tồn tại hoặc không phải choice",IF(COUNTIFS($A$5:$A$404,A210,$B$5:$B$404,B210)&gt;1,"Trùng OptionOrder trong cùng choice",IF(OR(B210="",C210="",D210="",F210="",H210=""),"Thiếu trường bắt buộc",IF(OR(COUNTIF($A$5:$A$404,A210)&lt;2,COUNTIF($A$5:$A$404,A210)&gt;4),"Mỗi choice cần 2–4 option",IF(COUNTIFS('02_KICH_BAN_NODES'!$B$5:$B$204,A210,'02_KICH_BAN_NODES'!$E$5:$E$204,"Kiến thức")=1,IF(COUNTIFS($A$5:$A$404,A210,$D$5:$D$404,"Có")&lt;&gt;1,"Choice kiến thức cần đúng 1 đáp án đúng",""),IF(COUNTIFS('02_KICH_BAN_NODES'!$B$5:$B$204,A210,'02_KICH_BAN_NODES'!$E$5:$E$204,"Tương tác")=1,IF(COUNTIFS($A$5:$A$404,A210,$D$5:$D$404,"Có")&lt;&gt;0,"Choice tương tác không được đánh dấu đáp án đúng",""),"Choice chưa chọn loại")))))))</f>
        <v/>
      </c>
    </row>
    <row r="211" spans="1:11">
      <c r="A211" s="13"/>
      <c r="B211" s="13"/>
      <c r="C211" s="5"/>
      <c r="D211" s="13"/>
      <c r="E211" s="13"/>
      <c r="F211" s="13"/>
      <c r="G211" s="13"/>
      <c r="H211" s="5"/>
      <c r="I211" s="5"/>
      <c r="J211" s="6" t="str">
        <f t="shared" si="3"/>
        <v/>
      </c>
      <c r="K211" s="6" t="str">
        <f>IF(A211="","",IF(COUNTIFS('02_KICH_BAN_NODES'!$B$5:$B$204,A211,'02_KICH_BAN_NODES'!$D$5:$D$204,"choice")=0,"ChoiceNodeId không tồn tại hoặc không phải choice",IF(COUNTIFS($A$5:$A$404,A211,$B$5:$B$404,B211)&gt;1,"Trùng OptionOrder trong cùng choice",IF(OR(B211="",C211="",D211="",F211="",H211=""),"Thiếu trường bắt buộc",IF(OR(COUNTIF($A$5:$A$404,A211)&lt;2,COUNTIF($A$5:$A$404,A211)&gt;4),"Mỗi choice cần 2–4 option",IF(COUNTIFS('02_KICH_BAN_NODES'!$B$5:$B$204,A211,'02_KICH_BAN_NODES'!$E$5:$E$204,"Kiến thức")=1,IF(COUNTIFS($A$5:$A$404,A211,$D$5:$D$404,"Có")&lt;&gt;1,"Choice kiến thức cần đúng 1 đáp án đúng",""),IF(COUNTIFS('02_KICH_BAN_NODES'!$B$5:$B$204,A211,'02_KICH_BAN_NODES'!$E$5:$E$204,"Tương tác")=1,IF(COUNTIFS($A$5:$A$404,A211,$D$5:$D$404,"Có")&lt;&gt;0,"Choice tương tác không được đánh dấu đáp án đúng",""),"Choice chưa chọn loại")))))))</f>
        <v/>
      </c>
    </row>
    <row r="212" spans="1:11">
      <c r="A212" s="13"/>
      <c r="B212" s="13"/>
      <c r="C212" s="5"/>
      <c r="D212" s="13"/>
      <c r="E212" s="13"/>
      <c r="F212" s="13"/>
      <c r="G212" s="13"/>
      <c r="H212" s="5"/>
      <c r="I212" s="5"/>
      <c r="J212" s="6" t="str">
        <f t="shared" si="3"/>
        <v/>
      </c>
      <c r="K212" s="6" t="str">
        <f>IF(A212="","",IF(COUNTIFS('02_KICH_BAN_NODES'!$B$5:$B$204,A212,'02_KICH_BAN_NODES'!$D$5:$D$204,"choice")=0,"ChoiceNodeId không tồn tại hoặc không phải choice",IF(COUNTIFS($A$5:$A$404,A212,$B$5:$B$404,B212)&gt;1,"Trùng OptionOrder trong cùng choice",IF(OR(B212="",C212="",D212="",F212="",H212=""),"Thiếu trường bắt buộc",IF(OR(COUNTIF($A$5:$A$404,A212)&lt;2,COUNTIF($A$5:$A$404,A212)&gt;4),"Mỗi choice cần 2–4 option",IF(COUNTIFS('02_KICH_BAN_NODES'!$B$5:$B$204,A212,'02_KICH_BAN_NODES'!$E$5:$E$204,"Kiến thức")=1,IF(COUNTIFS($A$5:$A$404,A212,$D$5:$D$404,"Có")&lt;&gt;1,"Choice kiến thức cần đúng 1 đáp án đúng",""),IF(COUNTIFS('02_KICH_BAN_NODES'!$B$5:$B$204,A212,'02_KICH_BAN_NODES'!$E$5:$E$204,"Tương tác")=1,IF(COUNTIFS($A$5:$A$404,A212,$D$5:$D$404,"Có")&lt;&gt;0,"Choice tương tác không được đánh dấu đáp án đúng",""),"Choice chưa chọn loại")))))))</f>
        <v/>
      </c>
    </row>
    <row r="213" spans="1:11">
      <c r="A213" s="13"/>
      <c r="B213" s="13"/>
      <c r="C213" s="5"/>
      <c r="D213" s="13"/>
      <c r="E213" s="13"/>
      <c r="F213" s="13"/>
      <c r="G213" s="13"/>
      <c r="H213" s="5"/>
      <c r="I213" s="5"/>
      <c r="J213" s="6" t="str">
        <f t="shared" si="3"/>
        <v/>
      </c>
      <c r="K213" s="6" t="str">
        <f>IF(A213="","",IF(COUNTIFS('02_KICH_BAN_NODES'!$B$5:$B$204,A213,'02_KICH_BAN_NODES'!$D$5:$D$204,"choice")=0,"ChoiceNodeId không tồn tại hoặc không phải choice",IF(COUNTIFS($A$5:$A$404,A213,$B$5:$B$404,B213)&gt;1,"Trùng OptionOrder trong cùng choice",IF(OR(B213="",C213="",D213="",F213="",H213=""),"Thiếu trường bắt buộc",IF(OR(COUNTIF($A$5:$A$404,A213)&lt;2,COUNTIF($A$5:$A$404,A213)&gt;4),"Mỗi choice cần 2–4 option",IF(COUNTIFS('02_KICH_BAN_NODES'!$B$5:$B$204,A213,'02_KICH_BAN_NODES'!$E$5:$E$204,"Kiến thức")=1,IF(COUNTIFS($A$5:$A$404,A213,$D$5:$D$404,"Có")&lt;&gt;1,"Choice kiến thức cần đúng 1 đáp án đúng",""),IF(COUNTIFS('02_KICH_BAN_NODES'!$B$5:$B$204,A213,'02_KICH_BAN_NODES'!$E$5:$E$204,"Tương tác")=1,IF(COUNTIFS($A$5:$A$404,A213,$D$5:$D$404,"Có")&lt;&gt;0,"Choice tương tác không được đánh dấu đáp án đúng",""),"Choice chưa chọn loại")))))))</f>
        <v/>
      </c>
    </row>
    <row r="214" spans="1:11">
      <c r="A214" s="13"/>
      <c r="B214" s="13"/>
      <c r="C214" s="5"/>
      <c r="D214" s="13"/>
      <c r="E214" s="13"/>
      <c r="F214" s="13"/>
      <c r="G214" s="13"/>
      <c r="H214" s="5"/>
      <c r="I214" s="5"/>
      <c r="J214" s="6" t="str">
        <f t="shared" si="3"/>
        <v/>
      </c>
      <c r="K214" s="6" t="str">
        <f>IF(A214="","",IF(COUNTIFS('02_KICH_BAN_NODES'!$B$5:$B$204,A214,'02_KICH_BAN_NODES'!$D$5:$D$204,"choice")=0,"ChoiceNodeId không tồn tại hoặc không phải choice",IF(COUNTIFS($A$5:$A$404,A214,$B$5:$B$404,B214)&gt;1,"Trùng OptionOrder trong cùng choice",IF(OR(B214="",C214="",D214="",F214="",H214=""),"Thiếu trường bắt buộc",IF(OR(COUNTIF($A$5:$A$404,A214)&lt;2,COUNTIF($A$5:$A$404,A214)&gt;4),"Mỗi choice cần 2–4 option",IF(COUNTIFS('02_KICH_BAN_NODES'!$B$5:$B$204,A214,'02_KICH_BAN_NODES'!$E$5:$E$204,"Kiến thức")=1,IF(COUNTIFS($A$5:$A$404,A214,$D$5:$D$404,"Có")&lt;&gt;1,"Choice kiến thức cần đúng 1 đáp án đúng",""),IF(COUNTIFS('02_KICH_BAN_NODES'!$B$5:$B$204,A214,'02_KICH_BAN_NODES'!$E$5:$E$204,"Tương tác")=1,IF(COUNTIFS($A$5:$A$404,A214,$D$5:$D$404,"Có")&lt;&gt;0,"Choice tương tác không được đánh dấu đáp án đúng",""),"Choice chưa chọn loại")))))))</f>
        <v/>
      </c>
    </row>
    <row r="215" spans="1:11">
      <c r="A215" s="13"/>
      <c r="B215" s="13"/>
      <c r="C215" s="5"/>
      <c r="D215" s="13"/>
      <c r="E215" s="13"/>
      <c r="F215" s="13"/>
      <c r="G215" s="13"/>
      <c r="H215" s="5"/>
      <c r="I215" s="5"/>
      <c r="J215" s="6" t="str">
        <f t="shared" si="3"/>
        <v/>
      </c>
      <c r="K215" s="6" t="str">
        <f>IF(A215="","",IF(COUNTIFS('02_KICH_BAN_NODES'!$B$5:$B$204,A215,'02_KICH_BAN_NODES'!$D$5:$D$204,"choice")=0,"ChoiceNodeId không tồn tại hoặc không phải choice",IF(COUNTIFS($A$5:$A$404,A215,$B$5:$B$404,B215)&gt;1,"Trùng OptionOrder trong cùng choice",IF(OR(B215="",C215="",D215="",F215="",H215=""),"Thiếu trường bắt buộc",IF(OR(COUNTIF($A$5:$A$404,A215)&lt;2,COUNTIF($A$5:$A$404,A215)&gt;4),"Mỗi choice cần 2–4 option",IF(COUNTIFS('02_KICH_BAN_NODES'!$B$5:$B$204,A215,'02_KICH_BAN_NODES'!$E$5:$E$204,"Kiến thức")=1,IF(COUNTIFS($A$5:$A$404,A215,$D$5:$D$404,"Có")&lt;&gt;1,"Choice kiến thức cần đúng 1 đáp án đúng",""),IF(COUNTIFS('02_KICH_BAN_NODES'!$B$5:$B$204,A215,'02_KICH_BAN_NODES'!$E$5:$E$204,"Tương tác")=1,IF(COUNTIFS($A$5:$A$404,A215,$D$5:$D$404,"Có")&lt;&gt;0,"Choice tương tác không được đánh dấu đáp án đúng",""),"Choice chưa chọn loại")))))))</f>
        <v/>
      </c>
    </row>
    <row r="216" spans="1:11">
      <c r="A216" s="13"/>
      <c r="B216" s="13"/>
      <c r="C216" s="5"/>
      <c r="D216" s="13"/>
      <c r="E216" s="13"/>
      <c r="F216" s="13"/>
      <c r="G216" s="13"/>
      <c r="H216" s="5"/>
      <c r="I216" s="5"/>
      <c r="J216" s="6" t="str">
        <f t="shared" si="3"/>
        <v/>
      </c>
      <c r="K216" s="6" t="str">
        <f>IF(A216="","",IF(COUNTIFS('02_KICH_BAN_NODES'!$B$5:$B$204,A216,'02_KICH_BAN_NODES'!$D$5:$D$204,"choice")=0,"ChoiceNodeId không tồn tại hoặc không phải choice",IF(COUNTIFS($A$5:$A$404,A216,$B$5:$B$404,B216)&gt;1,"Trùng OptionOrder trong cùng choice",IF(OR(B216="",C216="",D216="",F216="",H216=""),"Thiếu trường bắt buộc",IF(OR(COUNTIF($A$5:$A$404,A216)&lt;2,COUNTIF($A$5:$A$404,A216)&gt;4),"Mỗi choice cần 2–4 option",IF(COUNTIFS('02_KICH_BAN_NODES'!$B$5:$B$204,A216,'02_KICH_BAN_NODES'!$E$5:$E$204,"Kiến thức")=1,IF(COUNTIFS($A$5:$A$404,A216,$D$5:$D$404,"Có")&lt;&gt;1,"Choice kiến thức cần đúng 1 đáp án đúng",""),IF(COUNTIFS('02_KICH_BAN_NODES'!$B$5:$B$204,A216,'02_KICH_BAN_NODES'!$E$5:$E$204,"Tương tác")=1,IF(COUNTIFS($A$5:$A$404,A216,$D$5:$D$404,"Có")&lt;&gt;0,"Choice tương tác không được đánh dấu đáp án đúng",""),"Choice chưa chọn loại")))))))</f>
        <v/>
      </c>
    </row>
    <row r="217" spans="1:11">
      <c r="A217" s="13"/>
      <c r="B217" s="13"/>
      <c r="C217" s="5"/>
      <c r="D217" s="13"/>
      <c r="E217" s="13"/>
      <c r="F217" s="13"/>
      <c r="G217" s="13"/>
      <c r="H217" s="5"/>
      <c r="I217" s="5"/>
      <c r="J217" s="6" t="str">
        <f t="shared" si="3"/>
        <v/>
      </c>
      <c r="K217" s="6" t="str">
        <f>IF(A217="","",IF(COUNTIFS('02_KICH_BAN_NODES'!$B$5:$B$204,A217,'02_KICH_BAN_NODES'!$D$5:$D$204,"choice")=0,"ChoiceNodeId không tồn tại hoặc không phải choice",IF(COUNTIFS($A$5:$A$404,A217,$B$5:$B$404,B217)&gt;1,"Trùng OptionOrder trong cùng choice",IF(OR(B217="",C217="",D217="",F217="",H217=""),"Thiếu trường bắt buộc",IF(OR(COUNTIF($A$5:$A$404,A217)&lt;2,COUNTIF($A$5:$A$404,A217)&gt;4),"Mỗi choice cần 2–4 option",IF(COUNTIFS('02_KICH_BAN_NODES'!$B$5:$B$204,A217,'02_KICH_BAN_NODES'!$E$5:$E$204,"Kiến thức")=1,IF(COUNTIFS($A$5:$A$404,A217,$D$5:$D$404,"Có")&lt;&gt;1,"Choice kiến thức cần đúng 1 đáp án đúng",""),IF(COUNTIFS('02_KICH_BAN_NODES'!$B$5:$B$204,A217,'02_KICH_BAN_NODES'!$E$5:$E$204,"Tương tác")=1,IF(COUNTIFS($A$5:$A$404,A217,$D$5:$D$404,"Có")&lt;&gt;0,"Choice tương tác không được đánh dấu đáp án đúng",""),"Choice chưa chọn loại")))))))</f>
        <v/>
      </c>
    </row>
    <row r="218" spans="1:11">
      <c r="A218" s="13"/>
      <c r="B218" s="13"/>
      <c r="C218" s="5"/>
      <c r="D218" s="13"/>
      <c r="E218" s="13"/>
      <c r="F218" s="13"/>
      <c r="G218" s="13"/>
      <c r="H218" s="5"/>
      <c r="I218" s="5"/>
      <c r="J218" s="6" t="str">
        <f t="shared" si="3"/>
        <v/>
      </c>
      <c r="K218" s="6" t="str">
        <f>IF(A218="","",IF(COUNTIFS('02_KICH_BAN_NODES'!$B$5:$B$204,A218,'02_KICH_BAN_NODES'!$D$5:$D$204,"choice")=0,"ChoiceNodeId không tồn tại hoặc không phải choice",IF(COUNTIFS($A$5:$A$404,A218,$B$5:$B$404,B218)&gt;1,"Trùng OptionOrder trong cùng choice",IF(OR(B218="",C218="",D218="",F218="",H218=""),"Thiếu trường bắt buộc",IF(OR(COUNTIF($A$5:$A$404,A218)&lt;2,COUNTIF($A$5:$A$404,A218)&gt;4),"Mỗi choice cần 2–4 option",IF(COUNTIFS('02_KICH_BAN_NODES'!$B$5:$B$204,A218,'02_KICH_BAN_NODES'!$E$5:$E$204,"Kiến thức")=1,IF(COUNTIFS($A$5:$A$404,A218,$D$5:$D$404,"Có")&lt;&gt;1,"Choice kiến thức cần đúng 1 đáp án đúng",""),IF(COUNTIFS('02_KICH_BAN_NODES'!$B$5:$B$204,A218,'02_KICH_BAN_NODES'!$E$5:$E$204,"Tương tác")=1,IF(COUNTIFS($A$5:$A$404,A218,$D$5:$D$404,"Có")&lt;&gt;0,"Choice tương tác không được đánh dấu đáp án đúng",""),"Choice chưa chọn loại")))))))</f>
        <v/>
      </c>
    </row>
    <row r="219" spans="1:11">
      <c r="A219" s="13"/>
      <c r="B219" s="13"/>
      <c r="C219" s="5"/>
      <c r="D219" s="13"/>
      <c r="E219" s="13"/>
      <c r="F219" s="13"/>
      <c r="G219" s="13"/>
      <c r="H219" s="5"/>
      <c r="I219" s="5"/>
      <c r="J219" s="6" t="str">
        <f t="shared" si="3"/>
        <v/>
      </c>
      <c r="K219" s="6" t="str">
        <f>IF(A219="","",IF(COUNTIFS('02_KICH_BAN_NODES'!$B$5:$B$204,A219,'02_KICH_BAN_NODES'!$D$5:$D$204,"choice")=0,"ChoiceNodeId không tồn tại hoặc không phải choice",IF(COUNTIFS($A$5:$A$404,A219,$B$5:$B$404,B219)&gt;1,"Trùng OptionOrder trong cùng choice",IF(OR(B219="",C219="",D219="",F219="",H219=""),"Thiếu trường bắt buộc",IF(OR(COUNTIF($A$5:$A$404,A219)&lt;2,COUNTIF($A$5:$A$404,A219)&gt;4),"Mỗi choice cần 2–4 option",IF(COUNTIFS('02_KICH_BAN_NODES'!$B$5:$B$204,A219,'02_KICH_BAN_NODES'!$E$5:$E$204,"Kiến thức")=1,IF(COUNTIFS($A$5:$A$404,A219,$D$5:$D$404,"Có")&lt;&gt;1,"Choice kiến thức cần đúng 1 đáp án đúng",""),IF(COUNTIFS('02_KICH_BAN_NODES'!$B$5:$B$204,A219,'02_KICH_BAN_NODES'!$E$5:$E$204,"Tương tác")=1,IF(COUNTIFS($A$5:$A$404,A219,$D$5:$D$404,"Có")&lt;&gt;0,"Choice tương tác không được đánh dấu đáp án đúng",""),"Choice chưa chọn loại")))))))</f>
        <v/>
      </c>
    </row>
    <row r="220" spans="1:11">
      <c r="A220" s="13"/>
      <c r="B220" s="13"/>
      <c r="C220" s="5"/>
      <c r="D220" s="13"/>
      <c r="E220" s="13"/>
      <c r="F220" s="13"/>
      <c r="G220" s="13"/>
      <c r="H220" s="5"/>
      <c r="I220" s="5"/>
      <c r="J220" s="6" t="str">
        <f t="shared" si="3"/>
        <v/>
      </c>
      <c r="K220" s="6" t="str">
        <f>IF(A220="","",IF(COUNTIFS('02_KICH_BAN_NODES'!$B$5:$B$204,A220,'02_KICH_BAN_NODES'!$D$5:$D$204,"choice")=0,"ChoiceNodeId không tồn tại hoặc không phải choice",IF(COUNTIFS($A$5:$A$404,A220,$B$5:$B$404,B220)&gt;1,"Trùng OptionOrder trong cùng choice",IF(OR(B220="",C220="",D220="",F220="",H220=""),"Thiếu trường bắt buộc",IF(OR(COUNTIF($A$5:$A$404,A220)&lt;2,COUNTIF($A$5:$A$404,A220)&gt;4),"Mỗi choice cần 2–4 option",IF(COUNTIFS('02_KICH_BAN_NODES'!$B$5:$B$204,A220,'02_KICH_BAN_NODES'!$E$5:$E$204,"Kiến thức")=1,IF(COUNTIFS($A$5:$A$404,A220,$D$5:$D$404,"Có")&lt;&gt;1,"Choice kiến thức cần đúng 1 đáp án đúng",""),IF(COUNTIFS('02_KICH_BAN_NODES'!$B$5:$B$204,A220,'02_KICH_BAN_NODES'!$E$5:$E$204,"Tương tác")=1,IF(COUNTIFS($A$5:$A$404,A220,$D$5:$D$404,"Có")&lt;&gt;0,"Choice tương tác không được đánh dấu đáp án đúng",""),"Choice chưa chọn loại")))))))</f>
        <v/>
      </c>
    </row>
    <row r="221" spans="1:11">
      <c r="A221" s="13"/>
      <c r="B221" s="13"/>
      <c r="C221" s="5"/>
      <c r="D221" s="13"/>
      <c r="E221" s="13"/>
      <c r="F221" s="13"/>
      <c r="G221" s="13"/>
      <c r="H221" s="5"/>
      <c r="I221" s="5"/>
      <c r="J221" s="6" t="str">
        <f t="shared" si="3"/>
        <v/>
      </c>
      <c r="K221" s="6" t="str">
        <f>IF(A221="","",IF(COUNTIFS('02_KICH_BAN_NODES'!$B$5:$B$204,A221,'02_KICH_BAN_NODES'!$D$5:$D$204,"choice")=0,"ChoiceNodeId không tồn tại hoặc không phải choice",IF(COUNTIFS($A$5:$A$404,A221,$B$5:$B$404,B221)&gt;1,"Trùng OptionOrder trong cùng choice",IF(OR(B221="",C221="",D221="",F221="",H221=""),"Thiếu trường bắt buộc",IF(OR(COUNTIF($A$5:$A$404,A221)&lt;2,COUNTIF($A$5:$A$404,A221)&gt;4),"Mỗi choice cần 2–4 option",IF(COUNTIFS('02_KICH_BAN_NODES'!$B$5:$B$204,A221,'02_KICH_BAN_NODES'!$E$5:$E$204,"Kiến thức")=1,IF(COUNTIFS($A$5:$A$404,A221,$D$5:$D$404,"Có")&lt;&gt;1,"Choice kiến thức cần đúng 1 đáp án đúng",""),IF(COUNTIFS('02_KICH_BAN_NODES'!$B$5:$B$204,A221,'02_KICH_BAN_NODES'!$E$5:$E$204,"Tương tác")=1,IF(COUNTIFS($A$5:$A$404,A221,$D$5:$D$404,"Có")&lt;&gt;0,"Choice tương tác không được đánh dấu đáp án đúng",""),"Choice chưa chọn loại")))))))</f>
        <v/>
      </c>
    </row>
    <row r="222" spans="1:11">
      <c r="A222" s="13"/>
      <c r="B222" s="13"/>
      <c r="C222" s="5"/>
      <c r="D222" s="13"/>
      <c r="E222" s="13"/>
      <c r="F222" s="13"/>
      <c r="G222" s="13"/>
      <c r="H222" s="5"/>
      <c r="I222" s="5"/>
      <c r="J222" s="6" t="str">
        <f t="shared" si="3"/>
        <v/>
      </c>
      <c r="K222" s="6" t="str">
        <f>IF(A222="","",IF(COUNTIFS('02_KICH_BAN_NODES'!$B$5:$B$204,A222,'02_KICH_BAN_NODES'!$D$5:$D$204,"choice")=0,"ChoiceNodeId không tồn tại hoặc không phải choice",IF(COUNTIFS($A$5:$A$404,A222,$B$5:$B$404,B222)&gt;1,"Trùng OptionOrder trong cùng choice",IF(OR(B222="",C222="",D222="",F222="",H222=""),"Thiếu trường bắt buộc",IF(OR(COUNTIF($A$5:$A$404,A222)&lt;2,COUNTIF($A$5:$A$404,A222)&gt;4),"Mỗi choice cần 2–4 option",IF(COUNTIFS('02_KICH_BAN_NODES'!$B$5:$B$204,A222,'02_KICH_BAN_NODES'!$E$5:$E$204,"Kiến thức")=1,IF(COUNTIFS($A$5:$A$404,A222,$D$5:$D$404,"Có")&lt;&gt;1,"Choice kiến thức cần đúng 1 đáp án đúng",""),IF(COUNTIFS('02_KICH_BAN_NODES'!$B$5:$B$204,A222,'02_KICH_BAN_NODES'!$E$5:$E$204,"Tương tác")=1,IF(COUNTIFS($A$5:$A$404,A222,$D$5:$D$404,"Có")&lt;&gt;0,"Choice tương tác không được đánh dấu đáp án đúng",""),"Choice chưa chọn loại")))))))</f>
        <v/>
      </c>
    </row>
    <row r="223" spans="1:11">
      <c r="A223" s="13"/>
      <c r="B223" s="13"/>
      <c r="C223" s="5"/>
      <c r="D223" s="13"/>
      <c r="E223" s="13"/>
      <c r="F223" s="13"/>
      <c r="G223" s="13"/>
      <c r="H223" s="5"/>
      <c r="I223" s="5"/>
      <c r="J223" s="6" t="str">
        <f t="shared" si="3"/>
        <v/>
      </c>
      <c r="K223" s="6" t="str">
        <f>IF(A223="","",IF(COUNTIFS('02_KICH_BAN_NODES'!$B$5:$B$204,A223,'02_KICH_BAN_NODES'!$D$5:$D$204,"choice")=0,"ChoiceNodeId không tồn tại hoặc không phải choice",IF(COUNTIFS($A$5:$A$404,A223,$B$5:$B$404,B223)&gt;1,"Trùng OptionOrder trong cùng choice",IF(OR(B223="",C223="",D223="",F223="",H223=""),"Thiếu trường bắt buộc",IF(OR(COUNTIF($A$5:$A$404,A223)&lt;2,COUNTIF($A$5:$A$404,A223)&gt;4),"Mỗi choice cần 2–4 option",IF(COUNTIFS('02_KICH_BAN_NODES'!$B$5:$B$204,A223,'02_KICH_BAN_NODES'!$E$5:$E$204,"Kiến thức")=1,IF(COUNTIFS($A$5:$A$404,A223,$D$5:$D$404,"Có")&lt;&gt;1,"Choice kiến thức cần đúng 1 đáp án đúng",""),IF(COUNTIFS('02_KICH_BAN_NODES'!$B$5:$B$204,A223,'02_KICH_BAN_NODES'!$E$5:$E$204,"Tương tác")=1,IF(COUNTIFS($A$5:$A$404,A223,$D$5:$D$404,"Có")&lt;&gt;0,"Choice tương tác không được đánh dấu đáp án đúng",""),"Choice chưa chọn loại")))))))</f>
        <v/>
      </c>
    </row>
    <row r="224" spans="1:11">
      <c r="A224" s="13"/>
      <c r="B224" s="13"/>
      <c r="C224" s="5"/>
      <c r="D224" s="13"/>
      <c r="E224" s="13"/>
      <c r="F224" s="13"/>
      <c r="G224" s="13"/>
      <c r="H224" s="5"/>
      <c r="I224" s="5"/>
      <c r="J224" s="6" t="str">
        <f t="shared" si="3"/>
        <v/>
      </c>
      <c r="K224" s="6" t="str">
        <f>IF(A224="","",IF(COUNTIFS('02_KICH_BAN_NODES'!$B$5:$B$204,A224,'02_KICH_BAN_NODES'!$D$5:$D$204,"choice")=0,"ChoiceNodeId không tồn tại hoặc không phải choice",IF(COUNTIFS($A$5:$A$404,A224,$B$5:$B$404,B224)&gt;1,"Trùng OptionOrder trong cùng choice",IF(OR(B224="",C224="",D224="",F224="",H224=""),"Thiếu trường bắt buộc",IF(OR(COUNTIF($A$5:$A$404,A224)&lt;2,COUNTIF($A$5:$A$404,A224)&gt;4),"Mỗi choice cần 2–4 option",IF(COUNTIFS('02_KICH_BAN_NODES'!$B$5:$B$204,A224,'02_KICH_BAN_NODES'!$E$5:$E$204,"Kiến thức")=1,IF(COUNTIFS($A$5:$A$404,A224,$D$5:$D$404,"Có")&lt;&gt;1,"Choice kiến thức cần đúng 1 đáp án đúng",""),IF(COUNTIFS('02_KICH_BAN_NODES'!$B$5:$B$204,A224,'02_KICH_BAN_NODES'!$E$5:$E$204,"Tương tác")=1,IF(COUNTIFS($A$5:$A$404,A224,$D$5:$D$404,"Có")&lt;&gt;0,"Choice tương tác không được đánh dấu đáp án đúng",""),"Choice chưa chọn loại")))))))</f>
        <v/>
      </c>
    </row>
    <row r="225" spans="1:11">
      <c r="A225" s="13"/>
      <c r="B225" s="13"/>
      <c r="C225" s="5"/>
      <c r="D225" s="13"/>
      <c r="E225" s="13"/>
      <c r="F225" s="13"/>
      <c r="G225" s="13"/>
      <c r="H225" s="5"/>
      <c r="I225" s="5"/>
      <c r="J225" s="6" t="str">
        <f t="shared" si="3"/>
        <v/>
      </c>
      <c r="K225" s="6" t="str">
        <f>IF(A225="","",IF(COUNTIFS('02_KICH_BAN_NODES'!$B$5:$B$204,A225,'02_KICH_BAN_NODES'!$D$5:$D$204,"choice")=0,"ChoiceNodeId không tồn tại hoặc không phải choice",IF(COUNTIFS($A$5:$A$404,A225,$B$5:$B$404,B225)&gt;1,"Trùng OptionOrder trong cùng choice",IF(OR(B225="",C225="",D225="",F225="",H225=""),"Thiếu trường bắt buộc",IF(OR(COUNTIF($A$5:$A$404,A225)&lt;2,COUNTIF($A$5:$A$404,A225)&gt;4),"Mỗi choice cần 2–4 option",IF(COUNTIFS('02_KICH_BAN_NODES'!$B$5:$B$204,A225,'02_KICH_BAN_NODES'!$E$5:$E$204,"Kiến thức")=1,IF(COUNTIFS($A$5:$A$404,A225,$D$5:$D$404,"Có")&lt;&gt;1,"Choice kiến thức cần đúng 1 đáp án đúng",""),IF(COUNTIFS('02_KICH_BAN_NODES'!$B$5:$B$204,A225,'02_KICH_BAN_NODES'!$E$5:$E$204,"Tương tác")=1,IF(COUNTIFS($A$5:$A$404,A225,$D$5:$D$404,"Có")&lt;&gt;0,"Choice tương tác không được đánh dấu đáp án đúng",""),"Choice chưa chọn loại")))))))</f>
        <v/>
      </c>
    </row>
    <row r="226" spans="1:11">
      <c r="A226" s="13"/>
      <c r="B226" s="13"/>
      <c r="C226" s="5"/>
      <c r="D226" s="13"/>
      <c r="E226" s="13"/>
      <c r="F226" s="13"/>
      <c r="G226" s="13"/>
      <c r="H226" s="5"/>
      <c r="I226" s="5"/>
      <c r="J226" s="6" t="str">
        <f t="shared" si="3"/>
        <v/>
      </c>
      <c r="K226" s="6" t="str">
        <f>IF(A226="","",IF(COUNTIFS('02_KICH_BAN_NODES'!$B$5:$B$204,A226,'02_KICH_BAN_NODES'!$D$5:$D$204,"choice")=0,"ChoiceNodeId không tồn tại hoặc không phải choice",IF(COUNTIFS($A$5:$A$404,A226,$B$5:$B$404,B226)&gt;1,"Trùng OptionOrder trong cùng choice",IF(OR(B226="",C226="",D226="",F226="",H226=""),"Thiếu trường bắt buộc",IF(OR(COUNTIF($A$5:$A$404,A226)&lt;2,COUNTIF($A$5:$A$404,A226)&gt;4),"Mỗi choice cần 2–4 option",IF(COUNTIFS('02_KICH_BAN_NODES'!$B$5:$B$204,A226,'02_KICH_BAN_NODES'!$E$5:$E$204,"Kiến thức")=1,IF(COUNTIFS($A$5:$A$404,A226,$D$5:$D$404,"Có")&lt;&gt;1,"Choice kiến thức cần đúng 1 đáp án đúng",""),IF(COUNTIFS('02_KICH_BAN_NODES'!$B$5:$B$204,A226,'02_KICH_BAN_NODES'!$E$5:$E$204,"Tương tác")=1,IF(COUNTIFS($A$5:$A$404,A226,$D$5:$D$404,"Có")&lt;&gt;0,"Choice tương tác không được đánh dấu đáp án đúng",""),"Choice chưa chọn loại")))))))</f>
        <v/>
      </c>
    </row>
    <row r="227" spans="1:11">
      <c r="A227" s="13"/>
      <c r="B227" s="13"/>
      <c r="C227" s="5"/>
      <c r="D227" s="13"/>
      <c r="E227" s="13"/>
      <c r="F227" s="13"/>
      <c r="G227" s="13"/>
      <c r="H227" s="5"/>
      <c r="I227" s="5"/>
      <c r="J227" s="6" t="str">
        <f t="shared" si="3"/>
        <v/>
      </c>
      <c r="K227" s="6" t="str">
        <f>IF(A227="","",IF(COUNTIFS('02_KICH_BAN_NODES'!$B$5:$B$204,A227,'02_KICH_BAN_NODES'!$D$5:$D$204,"choice")=0,"ChoiceNodeId không tồn tại hoặc không phải choice",IF(COUNTIFS($A$5:$A$404,A227,$B$5:$B$404,B227)&gt;1,"Trùng OptionOrder trong cùng choice",IF(OR(B227="",C227="",D227="",F227="",H227=""),"Thiếu trường bắt buộc",IF(OR(COUNTIF($A$5:$A$404,A227)&lt;2,COUNTIF($A$5:$A$404,A227)&gt;4),"Mỗi choice cần 2–4 option",IF(COUNTIFS('02_KICH_BAN_NODES'!$B$5:$B$204,A227,'02_KICH_BAN_NODES'!$E$5:$E$204,"Kiến thức")=1,IF(COUNTIFS($A$5:$A$404,A227,$D$5:$D$404,"Có")&lt;&gt;1,"Choice kiến thức cần đúng 1 đáp án đúng",""),IF(COUNTIFS('02_KICH_BAN_NODES'!$B$5:$B$204,A227,'02_KICH_BAN_NODES'!$E$5:$E$204,"Tương tác")=1,IF(COUNTIFS($A$5:$A$404,A227,$D$5:$D$404,"Có")&lt;&gt;0,"Choice tương tác không được đánh dấu đáp án đúng",""),"Choice chưa chọn loại")))))))</f>
        <v/>
      </c>
    </row>
    <row r="228" spans="1:11">
      <c r="A228" s="13"/>
      <c r="B228" s="13"/>
      <c r="C228" s="5"/>
      <c r="D228" s="13"/>
      <c r="E228" s="13"/>
      <c r="F228" s="13"/>
      <c r="G228" s="13"/>
      <c r="H228" s="5"/>
      <c r="I228" s="5"/>
      <c r="J228" s="6" t="str">
        <f t="shared" si="3"/>
        <v/>
      </c>
      <c r="K228" s="6" t="str">
        <f>IF(A228="","",IF(COUNTIFS('02_KICH_BAN_NODES'!$B$5:$B$204,A228,'02_KICH_BAN_NODES'!$D$5:$D$204,"choice")=0,"ChoiceNodeId không tồn tại hoặc không phải choice",IF(COUNTIFS($A$5:$A$404,A228,$B$5:$B$404,B228)&gt;1,"Trùng OptionOrder trong cùng choice",IF(OR(B228="",C228="",D228="",F228="",H228=""),"Thiếu trường bắt buộc",IF(OR(COUNTIF($A$5:$A$404,A228)&lt;2,COUNTIF($A$5:$A$404,A228)&gt;4),"Mỗi choice cần 2–4 option",IF(COUNTIFS('02_KICH_BAN_NODES'!$B$5:$B$204,A228,'02_KICH_BAN_NODES'!$E$5:$E$204,"Kiến thức")=1,IF(COUNTIFS($A$5:$A$404,A228,$D$5:$D$404,"Có")&lt;&gt;1,"Choice kiến thức cần đúng 1 đáp án đúng",""),IF(COUNTIFS('02_KICH_BAN_NODES'!$B$5:$B$204,A228,'02_KICH_BAN_NODES'!$E$5:$E$204,"Tương tác")=1,IF(COUNTIFS($A$5:$A$404,A228,$D$5:$D$404,"Có")&lt;&gt;0,"Choice tương tác không được đánh dấu đáp án đúng",""),"Choice chưa chọn loại")))))))</f>
        <v/>
      </c>
    </row>
    <row r="229" spans="1:11">
      <c r="A229" s="13"/>
      <c r="B229" s="13"/>
      <c r="C229" s="5"/>
      <c r="D229" s="13"/>
      <c r="E229" s="13"/>
      <c r="F229" s="13"/>
      <c r="G229" s="13"/>
      <c r="H229" s="5"/>
      <c r="I229" s="5"/>
      <c r="J229" s="6" t="str">
        <f t="shared" si="3"/>
        <v/>
      </c>
      <c r="K229" s="6" t="str">
        <f>IF(A229="","",IF(COUNTIFS('02_KICH_BAN_NODES'!$B$5:$B$204,A229,'02_KICH_BAN_NODES'!$D$5:$D$204,"choice")=0,"ChoiceNodeId không tồn tại hoặc không phải choice",IF(COUNTIFS($A$5:$A$404,A229,$B$5:$B$404,B229)&gt;1,"Trùng OptionOrder trong cùng choice",IF(OR(B229="",C229="",D229="",F229="",H229=""),"Thiếu trường bắt buộc",IF(OR(COUNTIF($A$5:$A$404,A229)&lt;2,COUNTIF($A$5:$A$404,A229)&gt;4),"Mỗi choice cần 2–4 option",IF(COUNTIFS('02_KICH_BAN_NODES'!$B$5:$B$204,A229,'02_KICH_BAN_NODES'!$E$5:$E$204,"Kiến thức")=1,IF(COUNTIFS($A$5:$A$404,A229,$D$5:$D$404,"Có")&lt;&gt;1,"Choice kiến thức cần đúng 1 đáp án đúng",""),IF(COUNTIFS('02_KICH_BAN_NODES'!$B$5:$B$204,A229,'02_KICH_BAN_NODES'!$E$5:$E$204,"Tương tác")=1,IF(COUNTIFS($A$5:$A$404,A229,$D$5:$D$404,"Có")&lt;&gt;0,"Choice tương tác không được đánh dấu đáp án đúng",""),"Choice chưa chọn loại")))))))</f>
        <v/>
      </c>
    </row>
    <row r="230" spans="1:11">
      <c r="A230" s="13"/>
      <c r="B230" s="13"/>
      <c r="C230" s="5"/>
      <c r="D230" s="13"/>
      <c r="E230" s="13"/>
      <c r="F230" s="13"/>
      <c r="G230" s="13"/>
      <c r="H230" s="5"/>
      <c r="I230" s="5"/>
      <c r="J230" s="6" t="str">
        <f t="shared" si="3"/>
        <v/>
      </c>
      <c r="K230" s="6" t="str">
        <f>IF(A230="","",IF(COUNTIFS('02_KICH_BAN_NODES'!$B$5:$B$204,A230,'02_KICH_BAN_NODES'!$D$5:$D$204,"choice")=0,"ChoiceNodeId không tồn tại hoặc không phải choice",IF(COUNTIFS($A$5:$A$404,A230,$B$5:$B$404,B230)&gt;1,"Trùng OptionOrder trong cùng choice",IF(OR(B230="",C230="",D230="",F230="",H230=""),"Thiếu trường bắt buộc",IF(OR(COUNTIF($A$5:$A$404,A230)&lt;2,COUNTIF($A$5:$A$404,A230)&gt;4),"Mỗi choice cần 2–4 option",IF(COUNTIFS('02_KICH_BAN_NODES'!$B$5:$B$204,A230,'02_KICH_BAN_NODES'!$E$5:$E$204,"Kiến thức")=1,IF(COUNTIFS($A$5:$A$404,A230,$D$5:$D$404,"Có")&lt;&gt;1,"Choice kiến thức cần đúng 1 đáp án đúng",""),IF(COUNTIFS('02_KICH_BAN_NODES'!$B$5:$B$204,A230,'02_KICH_BAN_NODES'!$E$5:$E$204,"Tương tác")=1,IF(COUNTIFS($A$5:$A$404,A230,$D$5:$D$404,"Có")&lt;&gt;0,"Choice tương tác không được đánh dấu đáp án đúng",""),"Choice chưa chọn loại")))))))</f>
        <v/>
      </c>
    </row>
    <row r="231" spans="1:11">
      <c r="A231" s="13"/>
      <c r="B231" s="13"/>
      <c r="C231" s="5"/>
      <c r="D231" s="13"/>
      <c r="E231" s="13"/>
      <c r="F231" s="13"/>
      <c r="G231" s="13"/>
      <c r="H231" s="5"/>
      <c r="I231" s="5"/>
      <c r="J231" s="6" t="str">
        <f t="shared" si="3"/>
        <v/>
      </c>
      <c r="K231" s="6" t="str">
        <f>IF(A231="","",IF(COUNTIFS('02_KICH_BAN_NODES'!$B$5:$B$204,A231,'02_KICH_BAN_NODES'!$D$5:$D$204,"choice")=0,"ChoiceNodeId không tồn tại hoặc không phải choice",IF(COUNTIFS($A$5:$A$404,A231,$B$5:$B$404,B231)&gt;1,"Trùng OptionOrder trong cùng choice",IF(OR(B231="",C231="",D231="",F231="",H231=""),"Thiếu trường bắt buộc",IF(OR(COUNTIF($A$5:$A$404,A231)&lt;2,COUNTIF($A$5:$A$404,A231)&gt;4),"Mỗi choice cần 2–4 option",IF(COUNTIFS('02_KICH_BAN_NODES'!$B$5:$B$204,A231,'02_KICH_BAN_NODES'!$E$5:$E$204,"Kiến thức")=1,IF(COUNTIFS($A$5:$A$404,A231,$D$5:$D$404,"Có")&lt;&gt;1,"Choice kiến thức cần đúng 1 đáp án đúng",""),IF(COUNTIFS('02_KICH_BAN_NODES'!$B$5:$B$204,A231,'02_KICH_BAN_NODES'!$E$5:$E$204,"Tương tác")=1,IF(COUNTIFS($A$5:$A$404,A231,$D$5:$D$404,"Có")&lt;&gt;0,"Choice tương tác không được đánh dấu đáp án đúng",""),"Choice chưa chọn loại")))))))</f>
        <v/>
      </c>
    </row>
    <row r="232" spans="1:11">
      <c r="A232" s="13"/>
      <c r="B232" s="13"/>
      <c r="C232" s="5"/>
      <c r="D232" s="13"/>
      <c r="E232" s="13"/>
      <c r="F232" s="13"/>
      <c r="G232" s="13"/>
      <c r="H232" s="5"/>
      <c r="I232" s="5"/>
      <c r="J232" s="6" t="str">
        <f t="shared" si="3"/>
        <v/>
      </c>
      <c r="K232" s="6" t="str">
        <f>IF(A232="","",IF(COUNTIFS('02_KICH_BAN_NODES'!$B$5:$B$204,A232,'02_KICH_BAN_NODES'!$D$5:$D$204,"choice")=0,"ChoiceNodeId không tồn tại hoặc không phải choice",IF(COUNTIFS($A$5:$A$404,A232,$B$5:$B$404,B232)&gt;1,"Trùng OptionOrder trong cùng choice",IF(OR(B232="",C232="",D232="",F232="",H232=""),"Thiếu trường bắt buộc",IF(OR(COUNTIF($A$5:$A$404,A232)&lt;2,COUNTIF($A$5:$A$404,A232)&gt;4),"Mỗi choice cần 2–4 option",IF(COUNTIFS('02_KICH_BAN_NODES'!$B$5:$B$204,A232,'02_KICH_BAN_NODES'!$E$5:$E$204,"Kiến thức")=1,IF(COUNTIFS($A$5:$A$404,A232,$D$5:$D$404,"Có")&lt;&gt;1,"Choice kiến thức cần đúng 1 đáp án đúng",""),IF(COUNTIFS('02_KICH_BAN_NODES'!$B$5:$B$204,A232,'02_KICH_BAN_NODES'!$E$5:$E$204,"Tương tác")=1,IF(COUNTIFS($A$5:$A$404,A232,$D$5:$D$404,"Có")&lt;&gt;0,"Choice tương tác không được đánh dấu đáp án đúng",""),"Choice chưa chọn loại")))))))</f>
        <v/>
      </c>
    </row>
    <row r="233" spans="1:11">
      <c r="A233" s="13"/>
      <c r="B233" s="13"/>
      <c r="C233" s="5"/>
      <c r="D233" s="13"/>
      <c r="E233" s="13"/>
      <c r="F233" s="13"/>
      <c r="G233" s="13"/>
      <c r="H233" s="5"/>
      <c r="I233" s="5"/>
      <c r="J233" s="6" t="str">
        <f t="shared" si="3"/>
        <v/>
      </c>
      <c r="K233" s="6" t="str">
        <f>IF(A233="","",IF(COUNTIFS('02_KICH_BAN_NODES'!$B$5:$B$204,A233,'02_KICH_BAN_NODES'!$D$5:$D$204,"choice")=0,"ChoiceNodeId không tồn tại hoặc không phải choice",IF(COUNTIFS($A$5:$A$404,A233,$B$5:$B$404,B233)&gt;1,"Trùng OptionOrder trong cùng choice",IF(OR(B233="",C233="",D233="",F233="",H233=""),"Thiếu trường bắt buộc",IF(OR(COUNTIF($A$5:$A$404,A233)&lt;2,COUNTIF($A$5:$A$404,A233)&gt;4),"Mỗi choice cần 2–4 option",IF(COUNTIFS('02_KICH_BAN_NODES'!$B$5:$B$204,A233,'02_KICH_BAN_NODES'!$E$5:$E$204,"Kiến thức")=1,IF(COUNTIFS($A$5:$A$404,A233,$D$5:$D$404,"Có")&lt;&gt;1,"Choice kiến thức cần đúng 1 đáp án đúng",""),IF(COUNTIFS('02_KICH_BAN_NODES'!$B$5:$B$204,A233,'02_KICH_BAN_NODES'!$E$5:$E$204,"Tương tác")=1,IF(COUNTIFS($A$5:$A$404,A233,$D$5:$D$404,"Có")&lt;&gt;0,"Choice tương tác không được đánh dấu đáp án đúng",""),"Choice chưa chọn loại")))))))</f>
        <v/>
      </c>
    </row>
    <row r="234" spans="1:11">
      <c r="A234" s="13"/>
      <c r="B234" s="13"/>
      <c r="C234" s="5"/>
      <c r="D234" s="13"/>
      <c r="E234" s="13"/>
      <c r="F234" s="13"/>
      <c r="G234" s="13"/>
      <c r="H234" s="5"/>
      <c r="I234" s="5"/>
      <c r="J234" s="6" t="str">
        <f t="shared" si="3"/>
        <v/>
      </c>
      <c r="K234" s="6" t="str">
        <f>IF(A234="","",IF(COUNTIFS('02_KICH_BAN_NODES'!$B$5:$B$204,A234,'02_KICH_BAN_NODES'!$D$5:$D$204,"choice")=0,"ChoiceNodeId không tồn tại hoặc không phải choice",IF(COUNTIFS($A$5:$A$404,A234,$B$5:$B$404,B234)&gt;1,"Trùng OptionOrder trong cùng choice",IF(OR(B234="",C234="",D234="",F234="",H234=""),"Thiếu trường bắt buộc",IF(OR(COUNTIF($A$5:$A$404,A234)&lt;2,COUNTIF($A$5:$A$404,A234)&gt;4),"Mỗi choice cần 2–4 option",IF(COUNTIFS('02_KICH_BAN_NODES'!$B$5:$B$204,A234,'02_KICH_BAN_NODES'!$E$5:$E$204,"Kiến thức")=1,IF(COUNTIFS($A$5:$A$404,A234,$D$5:$D$404,"Có")&lt;&gt;1,"Choice kiến thức cần đúng 1 đáp án đúng",""),IF(COUNTIFS('02_KICH_BAN_NODES'!$B$5:$B$204,A234,'02_KICH_BAN_NODES'!$E$5:$E$204,"Tương tác")=1,IF(COUNTIFS($A$5:$A$404,A234,$D$5:$D$404,"Có")&lt;&gt;0,"Choice tương tác không được đánh dấu đáp án đúng",""),"Choice chưa chọn loại")))))))</f>
        <v/>
      </c>
    </row>
    <row r="235" spans="1:11">
      <c r="A235" s="13"/>
      <c r="B235" s="13"/>
      <c r="C235" s="5"/>
      <c r="D235" s="13"/>
      <c r="E235" s="13"/>
      <c r="F235" s="13"/>
      <c r="G235" s="13"/>
      <c r="H235" s="5"/>
      <c r="I235" s="5"/>
      <c r="J235" s="6" t="str">
        <f t="shared" si="3"/>
        <v/>
      </c>
      <c r="K235" s="6" t="str">
        <f>IF(A235="","",IF(COUNTIFS('02_KICH_BAN_NODES'!$B$5:$B$204,A235,'02_KICH_BAN_NODES'!$D$5:$D$204,"choice")=0,"ChoiceNodeId không tồn tại hoặc không phải choice",IF(COUNTIFS($A$5:$A$404,A235,$B$5:$B$404,B235)&gt;1,"Trùng OptionOrder trong cùng choice",IF(OR(B235="",C235="",D235="",F235="",H235=""),"Thiếu trường bắt buộc",IF(OR(COUNTIF($A$5:$A$404,A235)&lt;2,COUNTIF($A$5:$A$404,A235)&gt;4),"Mỗi choice cần 2–4 option",IF(COUNTIFS('02_KICH_BAN_NODES'!$B$5:$B$204,A235,'02_KICH_BAN_NODES'!$E$5:$E$204,"Kiến thức")=1,IF(COUNTIFS($A$5:$A$404,A235,$D$5:$D$404,"Có")&lt;&gt;1,"Choice kiến thức cần đúng 1 đáp án đúng",""),IF(COUNTIFS('02_KICH_BAN_NODES'!$B$5:$B$204,A235,'02_KICH_BAN_NODES'!$E$5:$E$204,"Tương tác")=1,IF(COUNTIFS($A$5:$A$404,A235,$D$5:$D$404,"Có")&lt;&gt;0,"Choice tương tác không được đánh dấu đáp án đúng",""),"Choice chưa chọn loại")))))))</f>
        <v/>
      </c>
    </row>
    <row r="236" spans="1:11">
      <c r="A236" s="13"/>
      <c r="B236" s="13"/>
      <c r="C236" s="5"/>
      <c r="D236" s="13"/>
      <c r="E236" s="13"/>
      <c r="F236" s="13"/>
      <c r="G236" s="13"/>
      <c r="H236" s="5"/>
      <c r="I236" s="5"/>
      <c r="J236" s="6" t="str">
        <f t="shared" si="3"/>
        <v/>
      </c>
      <c r="K236" s="6" t="str">
        <f>IF(A236="","",IF(COUNTIFS('02_KICH_BAN_NODES'!$B$5:$B$204,A236,'02_KICH_BAN_NODES'!$D$5:$D$204,"choice")=0,"ChoiceNodeId không tồn tại hoặc không phải choice",IF(COUNTIFS($A$5:$A$404,A236,$B$5:$B$404,B236)&gt;1,"Trùng OptionOrder trong cùng choice",IF(OR(B236="",C236="",D236="",F236="",H236=""),"Thiếu trường bắt buộc",IF(OR(COUNTIF($A$5:$A$404,A236)&lt;2,COUNTIF($A$5:$A$404,A236)&gt;4),"Mỗi choice cần 2–4 option",IF(COUNTIFS('02_KICH_BAN_NODES'!$B$5:$B$204,A236,'02_KICH_BAN_NODES'!$E$5:$E$204,"Kiến thức")=1,IF(COUNTIFS($A$5:$A$404,A236,$D$5:$D$404,"Có")&lt;&gt;1,"Choice kiến thức cần đúng 1 đáp án đúng",""),IF(COUNTIFS('02_KICH_BAN_NODES'!$B$5:$B$204,A236,'02_KICH_BAN_NODES'!$E$5:$E$204,"Tương tác")=1,IF(COUNTIFS($A$5:$A$404,A236,$D$5:$D$404,"Có")&lt;&gt;0,"Choice tương tác không được đánh dấu đáp án đúng",""),"Choice chưa chọn loại")))))))</f>
        <v/>
      </c>
    </row>
    <row r="237" spans="1:11">
      <c r="A237" s="13"/>
      <c r="B237" s="13"/>
      <c r="C237" s="5"/>
      <c r="D237" s="13"/>
      <c r="E237" s="13"/>
      <c r="F237" s="13"/>
      <c r="G237" s="13"/>
      <c r="H237" s="5"/>
      <c r="I237" s="5"/>
      <c r="J237" s="6" t="str">
        <f t="shared" si="3"/>
        <v/>
      </c>
      <c r="K237" s="6" t="str">
        <f>IF(A237="","",IF(COUNTIFS('02_KICH_BAN_NODES'!$B$5:$B$204,A237,'02_KICH_BAN_NODES'!$D$5:$D$204,"choice")=0,"ChoiceNodeId không tồn tại hoặc không phải choice",IF(COUNTIFS($A$5:$A$404,A237,$B$5:$B$404,B237)&gt;1,"Trùng OptionOrder trong cùng choice",IF(OR(B237="",C237="",D237="",F237="",H237=""),"Thiếu trường bắt buộc",IF(OR(COUNTIF($A$5:$A$404,A237)&lt;2,COUNTIF($A$5:$A$404,A237)&gt;4),"Mỗi choice cần 2–4 option",IF(COUNTIFS('02_KICH_BAN_NODES'!$B$5:$B$204,A237,'02_KICH_BAN_NODES'!$E$5:$E$204,"Kiến thức")=1,IF(COUNTIFS($A$5:$A$404,A237,$D$5:$D$404,"Có")&lt;&gt;1,"Choice kiến thức cần đúng 1 đáp án đúng",""),IF(COUNTIFS('02_KICH_BAN_NODES'!$B$5:$B$204,A237,'02_KICH_BAN_NODES'!$E$5:$E$204,"Tương tác")=1,IF(COUNTIFS($A$5:$A$404,A237,$D$5:$D$404,"Có")&lt;&gt;0,"Choice tương tác không được đánh dấu đáp án đúng",""),"Choice chưa chọn loại")))))))</f>
        <v/>
      </c>
    </row>
    <row r="238" spans="1:11">
      <c r="A238" s="13"/>
      <c r="B238" s="13"/>
      <c r="C238" s="5"/>
      <c r="D238" s="13"/>
      <c r="E238" s="13"/>
      <c r="F238" s="13"/>
      <c r="G238" s="13"/>
      <c r="H238" s="5"/>
      <c r="I238" s="5"/>
      <c r="J238" s="6" t="str">
        <f t="shared" si="3"/>
        <v/>
      </c>
      <c r="K238" s="6" t="str">
        <f>IF(A238="","",IF(COUNTIFS('02_KICH_BAN_NODES'!$B$5:$B$204,A238,'02_KICH_BAN_NODES'!$D$5:$D$204,"choice")=0,"ChoiceNodeId không tồn tại hoặc không phải choice",IF(COUNTIFS($A$5:$A$404,A238,$B$5:$B$404,B238)&gt;1,"Trùng OptionOrder trong cùng choice",IF(OR(B238="",C238="",D238="",F238="",H238=""),"Thiếu trường bắt buộc",IF(OR(COUNTIF($A$5:$A$404,A238)&lt;2,COUNTIF($A$5:$A$404,A238)&gt;4),"Mỗi choice cần 2–4 option",IF(COUNTIFS('02_KICH_BAN_NODES'!$B$5:$B$204,A238,'02_KICH_BAN_NODES'!$E$5:$E$204,"Kiến thức")=1,IF(COUNTIFS($A$5:$A$404,A238,$D$5:$D$404,"Có")&lt;&gt;1,"Choice kiến thức cần đúng 1 đáp án đúng",""),IF(COUNTIFS('02_KICH_BAN_NODES'!$B$5:$B$204,A238,'02_KICH_BAN_NODES'!$E$5:$E$204,"Tương tác")=1,IF(COUNTIFS($A$5:$A$404,A238,$D$5:$D$404,"Có")&lt;&gt;0,"Choice tương tác không được đánh dấu đáp án đúng",""),"Choice chưa chọn loại")))))))</f>
        <v/>
      </c>
    </row>
    <row r="239" spans="1:11">
      <c r="A239" s="13"/>
      <c r="B239" s="13"/>
      <c r="C239" s="5"/>
      <c r="D239" s="13"/>
      <c r="E239" s="13"/>
      <c r="F239" s="13"/>
      <c r="G239" s="13"/>
      <c r="H239" s="5"/>
      <c r="I239" s="5"/>
      <c r="J239" s="6" t="str">
        <f t="shared" si="3"/>
        <v/>
      </c>
      <c r="K239" s="6" t="str">
        <f>IF(A239="","",IF(COUNTIFS('02_KICH_BAN_NODES'!$B$5:$B$204,A239,'02_KICH_BAN_NODES'!$D$5:$D$204,"choice")=0,"ChoiceNodeId không tồn tại hoặc không phải choice",IF(COUNTIFS($A$5:$A$404,A239,$B$5:$B$404,B239)&gt;1,"Trùng OptionOrder trong cùng choice",IF(OR(B239="",C239="",D239="",F239="",H239=""),"Thiếu trường bắt buộc",IF(OR(COUNTIF($A$5:$A$404,A239)&lt;2,COUNTIF($A$5:$A$404,A239)&gt;4),"Mỗi choice cần 2–4 option",IF(COUNTIFS('02_KICH_BAN_NODES'!$B$5:$B$204,A239,'02_KICH_BAN_NODES'!$E$5:$E$204,"Kiến thức")=1,IF(COUNTIFS($A$5:$A$404,A239,$D$5:$D$404,"Có")&lt;&gt;1,"Choice kiến thức cần đúng 1 đáp án đúng",""),IF(COUNTIFS('02_KICH_BAN_NODES'!$B$5:$B$204,A239,'02_KICH_BAN_NODES'!$E$5:$E$204,"Tương tác")=1,IF(COUNTIFS($A$5:$A$404,A239,$D$5:$D$404,"Có")&lt;&gt;0,"Choice tương tác không được đánh dấu đáp án đúng",""),"Choice chưa chọn loại")))))))</f>
        <v/>
      </c>
    </row>
    <row r="240" spans="1:11">
      <c r="A240" s="13"/>
      <c r="B240" s="13"/>
      <c r="C240" s="5"/>
      <c r="D240" s="13"/>
      <c r="E240" s="13"/>
      <c r="F240" s="13"/>
      <c r="G240" s="13"/>
      <c r="H240" s="5"/>
      <c r="I240" s="5"/>
      <c r="J240" s="6" t="str">
        <f t="shared" si="3"/>
        <v/>
      </c>
      <c r="K240" s="6" t="str">
        <f>IF(A240="","",IF(COUNTIFS('02_KICH_BAN_NODES'!$B$5:$B$204,A240,'02_KICH_BAN_NODES'!$D$5:$D$204,"choice")=0,"ChoiceNodeId không tồn tại hoặc không phải choice",IF(COUNTIFS($A$5:$A$404,A240,$B$5:$B$404,B240)&gt;1,"Trùng OptionOrder trong cùng choice",IF(OR(B240="",C240="",D240="",F240="",H240=""),"Thiếu trường bắt buộc",IF(OR(COUNTIF($A$5:$A$404,A240)&lt;2,COUNTIF($A$5:$A$404,A240)&gt;4),"Mỗi choice cần 2–4 option",IF(COUNTIFS('02_KICH_BAN_NODES'!$B$5:$B$204,A240,'02_KICH_BAN_NODES'!$E$5:$E$204,"Kiến thức")=1,IF(COUNTIFS($A$5:$A$404,A240,$D$5:$D$404,"Có")&lt;&gt;1,"Choice kiến thức cần đúng 1 đáp án đúng",""),IF(COUNTIFS('02_KICH_BAN_NODES'!$B$5:$B$204,A240,'02_KICH_BAN_NODES'!$E$5:$E$204,"Tương tác")=1,IF(COUNTIFS($A$5:$A$404,A240,$D$5:$D$404,"Có")&lt;&gt;0,"Choice tương tác không được đánh dấu đáp án đúng",""),"Choice chưa chọn loại")))))))</f>
        <v/>
      </c>
    </row>
    <row r="241" spans="1:11">
      <c r="A241" s="13"/>
      <c r="B241" s="13"/>
      <c r="C241" s="5"/>
      <c r="D241" s="13"/>
      <c r="E241" s="13"/>
      <c r="F241" s="13"/>
      <c r="G241" s="13"/>
      <c r="H241" s="5"/>
      <c r="I241" s="5"/>
      <c r="J241" s="6" t="str">
        <f t="shared" si="3"/>
        <v/>
      </c>
      <c r="K241" s="6" t="str">
        <f>IF(A241="","",IF(COUNTIFS('02_KICH_BAN_NODES'!$B$5:$B$204,A241,'02_KICH_BAN_NODES'!$D$5:$D$204,"choice")=0,"ChoiceNodeId không tồn tại hoặc không phải choice",IF(COUNTIFS($A$5:$A$404,A241,$B$5:$B$404,B241)&gt;1,"Trùng OptionOrder trong cùng choice",IF(OR(B241="",C241="",D241="",F241="",H241=""),"Thiếu trường bắt buộc",IF(OR(COUNTIF($A$5:$A$404,A241)&lt;2,COUNTIF($A$5:$A$404,A241)&gt;4),"Mỗi choice cần 2–4 option",IF(COUNTIFS('02_KICH_BAN_NODES'!$B$5:$B$204,A241,'02_KICH_BAN_NODES'!$E$5:$E$204,"Kiến thức")=1,IF(COUNTIFS($A$5:$A$404,A241,$D$5:$D$404,"Có")&lt;&gt;1,"Choice kiến thức cần đúng 1 đáp án đúng",""),IF(COUNTIFS('02_KICH_BAN_NODES'!$B$5:$B$204,A241,'02_KICH_BAN_NODES'!$E$5:$E$204,"Tương tác")=1,IF(COUNTIFS($A$5:$A$404,A241,$D$5:$D$404,"Có")&lt;&gt;0,"Choice tương tác không được đánh dấu đáp án đúng",""),"Choice chưa chọn loại")))))))</f>
        <v/>
      </c>
    </row>
    <row r="242" spans="1:11">
      <c r="A242" s="13"/>
      <c r="B242" s="13"/>
      <c r="C242" s="5"/>
      <c r="D242" s="13"/>
      <c r="E242" s="13"/>
      <c r="F242" s="13"/>
      <c r="G242" s="13"/>
      <c r="H242" s="5"/>
      <c r="I242" s="5"/>
      <c r="J242" s="6" t="str">
        <f t="shared" si="3"/>
        <v/>
      </c>
      <c r="K242" s="6" t="str">
        <f>IF(A242="","",IF(COUNTIFS('02_KICH_BAN_NODES'!$B$5:$B$204,A242,'02_KICH_BAN_NODES'!$D$5:$D$204,"choice")=0,"ChoiceNodeId không tồn tại hoặc không phải choice",IF(COUNTIFS($A$5:$A$404,A242,$B$5:$B$404,B242)&gt;1,"Trùng OptionOrder trong cùng choice",IF(OR(B242="",C242="",D242="",F242="",H242=""),"Thiếu trường bắt buộc",IF(OR(COUNTIF($A$5:$A$404,A242)&lt;2,COUNTIF($A$5:$A$404,A242)&gt;4),"Mỗi choice cần 2–4 option",IF(COUNTIFS('02_KICH_BAN_NODES'!$B$5:$B$204,A242,'02_KICH_BAN_NODES'!$E$5:$E$204,"Kiến thức")=1,IF(COUNTIFS($A$5:$A$404,A242,$D$5:$D$404,"Có")&lt;&gt;1,"Choice kiến thức cần đúng 1 đáp án đúng",""),IF(COUNTIFS('02_KICH_BAN_NODES'!$B$5:$B$204,A242,'02_KICH_BAN_NODES'!$E$5:$E$204,"Tương tác")=1,IF(COUNTIFS($A$5:$A$404,A242,$D$5:$D$404,"Có")&lt;&gt;0,"Choice tương tác không được đánh dấu đáp án đúng",""),"Choice chưa chọn loại")))))))</f>
        <v/>
      </c>
    </row>
    <row r="243" spans="1:11">
      <c r="A243" s="13"/>
      <c r="B243" s="13"/>
      <c r="C243" s="5"/>
      <c r="D243" s="13"/>
      <c r="E243" s="13"/>
      <c r="F243" s="13"/>
      <c r="G243" s="13"/>
      <c r="H243" s="5"/>
      <c r="I243" s="5"/>
      <c r="J243" s="6" t="str">
        <f t="shared" si="3"/>
        <v/>
      </c>
      <c r="K243" s="6" t="str">
        <f>IF(A243="","",IF(COUNTIFS('02_KICH_BAN_NODES'!$B$5:$B$204,A243,'02_KICH_BAN_NODES'!$D$5:$D$204,"choice")=0,"ChoiceNodeId không tồn tại hoặc không phải choice",IF(COUNTIFS($A$5:$A$404,A243,$B$5:$B$404,B243)&gt;1,"Trùng OptionOrder trong cùng choice",IF(OR(B243="",C243="",D243="",F243="",H243=""),"Thiếu trường bắt buộc",IF(OR(COUNTIF($A$5:$A$404,A243)&lt;2,COUNTIF($A$5:$A$404,A243)&gt;4),"Mỗi choice cần 2–4 option",IF(COUNTIFS('02_KICH_BAN_NODES'!$B$5:$B$204,A243,'02_KICH_BAN_NODES'!$E$5:$E$204,"Kiến thức")=1,IF(COUNTIFS($A$5:$A$404,A243,$D$5:$D$404,"Có")&lt;&gt;1,"Choice kiến thức cần đúng 1 đáp án đúng",""),IF(COUNTIFS('02_KICH_BAN_NODES'!$B$5:$B$204,A243,'02_KICH_BAN_NODES'!$E$5:$E$204,"Tương tác")=1,IF(COUNTIFS($A$5:$A$404,A243,$D$5:$D$404,"Có")&lt;&gt;0,"Choice tương tác không được đánh dấu đáp án đúng",""),"Choice chưa chọn loại")))))))</f>
        <v/>
      </c>
    </row>
    <row r="244" spans="1:11">
      <c r="A244" s="13"/>
      <c r="B244" s="13"/>
      <c r="C244" s="5"/>
      <c r="D244" s="13"/>
      <c r="E244" s="13"/>
      <c r="F244" s="13"/>
      <c r="G244" s="13"/>
      <c r="H244" s="5"/>
      <c r="I244" s="5"/>
      <c r="J244" s="6" t="str">
        <f t="shared" si="3"/>
        <v/>
      </c>
      <c r="K244" s="6" t="str">
        <f>IF(A244="","",IF(COUNTIFS('02_KICH_BAN_NODES'!$B$5:$B$204,A244,'02_KICH_BAN_NODES'!$D$5:$D$204,"choice")=0,"ChoiceNodeId không tồn tại hoặc không phải choice",IF(COUNTIFS($A$5:$A$404,A244,$B$5:$B$404,B244)&gt;1,"Trùng OptionOrder trong cùng choice",IF(OR(B244="",C244="",D244="",F244="",H244=""),"Thiếu trường bắt buộc",IF(OR(COUNTIF($A$5:$A$404,A244)&lt;2,COUNTIF($A$5:$A$404,A244)&gt;4),"Mỗi choice cần 2–4 option",IF(COUNTIFS('02_KICH_BAN_NODES'!$B$5:$B$204,A244,'02_KICH_BAN_NODES'!$E$5:$E$204,"Kiến thức")=1,IF(COUNTIFS($A$5:$A$404,A244,$D$5:$D$404,"Có")&lt;&gt;1,"Choice kiến thức cần đúng 1 đáp án đúng",""),IF(COUNTIFS('02_KICH_BAN_NODES'!$B$5:$B$204,A244,'02_KICH_BAN_NODES'!$E$5:$E$204,"Tương tác")=1,IF(COUNTIFS($A$5:$A$404,A244,$D$5:$D$404,"Có")&lt;&gt;0,"Choice tương tác không được đánh dấu đáp án đúng",""),"Choice chưa chọn loại")))))))</f>
        <v/>
      </c>
    </row>
    <row r="245" spans="1:11">
      <c r="A245" s="13"/>
      <c r="B245" s="13"/>
      <c r="C245" s="5"/>
      <c r="D245" s="13"/>
      <c r="E245" s="13"/>
      <c r="F245" s="13"/>
      <c r="G245" s="13"/>
      <c r="H245" s="5"/>
      <c r="I245" s="5"/>
      <c r="J245" s="6" t="str">
        <f t="shared" si="3"/>
        <v/>
      </c>
      <c r="K245" s="6" t="str">
        <f>IF(A245="","",IF(COUNTIFS('02_KICH_BAN_NODES'!$B$5:$B$204,A245,'02_KICH_BAN_NODES'!$D$5:$D$204,"choice")=0,"ChoiceNodeId không tồn tại hoặc không phải choice",IF(COUNTIFS($A$5:$A$404,A245,$B$5:$B$404,B245)&gt;1,"Trùng OptionOrder trong cùng choice",IF(OR(B245="",C245="",D245="",F245="",H245=""),"Thiếu trường bắt buộc",IF(OR(COUNTIF($A$5:$A$404,A245)&lt;2,COUNTIF($A$5:$A$404,A245)&gt;4),"Mỗi choice cần 2–4 option",IF(COUNTIFS('02_KICH_BAN_NODES'!$B$5:$B$204,A245,'02_KICH_BAN_NODES'!$E$5:$E$204,"Kiến thức")=1,IF(COUNTIFS($A$5:$A$404,A245,$D$5:$D$404,"Có")&lt;&gt;1,"Choice kiến thức cần đúng 1 đáp án đúng",""),IF(COUNTIFS('02_KICH_BAN_NODES'!$B$5:$B$204,A245,'02_KICH_BAN_NODES'!$E$5:$E$204,"Tương tác")=1,IF(COUNTIFS($A$5:$A$404,A245,$D$5:$D$404,"Có")&lt;&gt;0,"Choice tương tác không được đánh dấu đáp án đúng",""),"Choice chưa chọn loại")))))))</f>
        <v/>
      </c>
    </row>
    <row r="246" spans="1:11">
      <c r="A246" s="13"/>
      <c r="B246" s="13"/>
      <c r="C246" s="5"/>
      <c r="D246" s="13"/>
      <c r="E246" s="13"/>
      <c r="F246" s="13"/>
      <c r="G246" s="13"/>
      <c r="H246" s="5"/>
      <c r="I246" s="5"/>
      <c r="J246" s="6" t="str">
        <f t="shared" si="3"/>
        <v/>
      </c>
      <c r="K246" s="6" t="str">
        <f>IF(A246="","",IF(COUNTIFS('02_KICH_BAN_NODES'!$B$5:$B$204,A246,'02_KICH_BAN_NODES'!$D$5:$D$204,"choice")=0,"ChoiceNodeId không tồn tại hoặc không phải choice",IF(COUNTIFS($A$5:$A$404,A246,$B$5:$B$404,B246)&gt;1,"Trùng OptionOrder trong cùng choice",IF(OR(B246="",C246="",D246="",F246="",H246=""),"Thiếu trường bắt buộc",IF(OR(COUNTIF($A$5:$A$404,A246)&lt;2,COUNTIF($A$5:$A$404,A246)&gt;4),"Mỗi choice cần 2–4 option",IF(COUNTIFS('02_KICH_BAN_NODES'!$B$5:$B$204,A246,'02_KICH_BAN_NODES'!$E$5:$E$204,"Kiến thức")=1,IF(COUNTIFS($A$5:$A$404,A246,$D$5:$D$404,"Có")&lt;&gt;1,"Choice kiến thức cần đúng 1 đáp án đúng",""),IF(COUNTIFS('02_KICH_BAN_NODES'!$B$5:$B$204,A246,'02_KICH_BAN_NODES'!$E$5:$E$204,"Tương tác")=1,IF(COUNTIFS($A$5:$A$404,A246,$D$5:$D$404,"Có")&lt;&gt;0,"Choice tương tác không được đánh dấu đáp án đúng",""),"Choice chưa chọn loại")))))))</f>
        <v/>
      </c>
    </row>
    <row r="247" spans="1:11">
      <c r="A247" s="13"/>
      <c r="B247" s="13"/>
      <c r="C247" s="5"/>
      <c r="D247" s="13"/>
      <c r="E247" s="13"/>
      <c r="F247" s="13"/>
      <c r="G247" s="13"/>
      <c r="H247" s="5"/>
      <c r="I247" s="5"/>
      <c r="J247" s="6" t="str">
        <f t="shared" si="3"/>
        <v/>
      </c>
      <c r="K247" s="6" t="str">
        <f>IF(A247="","",IF(COUNTIFS('02_KICH_BAN_NODES'!$B$5:$B$204,A247,'02_KICH_BAN_NODES'!$D$5:$D$204,"choice")=0,"ChoiceNodeId không tồn tại hoặc không phải choice",IF(COUNTIFS($A$5:$A$404,A247,$B$5:$B$404,B247)&gt;1,"Trùng OptionOrder trong cùng choice",IF(OR(B247="",C247="",D247="",F247="",H247=""),"Thiếu trường bắt buộc",IF(OR(COUNTIF($A$5:$A$404,A247)&lt;2,COUNTIF($A$5:$A$404,A247)&gt;4),"Mỗi choice cần 2–4 option",IF(COUNTIFS('02_KICH_BAN_NODES'!$B$5:$B$204,A247,'02_KICH_BAN_NODES'!$E$5:$E$204,"Kiến thức")=1,IF(COUNTIFS($A$5:$A$404,A247,$D$5:$D$404,"Có")&lt;&gt;1,"Choice kiến thức cần đúng 1 đáp án đúng",""),IF(COUNTIFS('02_KICH_BAN_NODES'!$B$5:$B$204,A247,'02_KICH_BAN_NODES'!$E$5:$E$204,"Tương tác")=1,IF(COUNTIFS($A$5:$A$404,A247,$D$5:$D$404,"Có")&lt;&gt;0,"Choice tương tác không được đánh dấu đáp án đúng",""),"Choice chưa chọn loại")))))))</f>
        <v/>
      </c>
    </row>
    <row r="248" spans="1:11">
      <c r="A248" s="13"/>
      <c r="B248" s="13"/>
      <c r="C248" s="5"/>
      <c r="D248" s="13"/>
      <c r="E248" s="13"/>
      <c r="F248" s="13"/>
      <c r="G248" s="13"/>
      <c r="H248" s="5"/>
      <c r="I248" s="5"/>
      <c r="J248" s="6" t="str">
        <f t="shared" si="3"/>
        <v/>
      </c>
      <c r="K248" s="6" t="str">
        <f>IF(A248="","",IF(COUNTIFS('02_KICH_BAN_NODES'!$B$5:$B$204,A248,'02_KICH_BAN_NODES'!$D$5:$D$204,"choice")=0,"ChoiceNodeId không tồn tại hoặc không phải choice",IF(COUNTIFS($A$5:$A$404,A248,$B$5:$B$404,B248)&gt;1,"Trùng OptionOrder trong cùng choice",IF(OR(B248="",C248="",D248="",F248="",H248=""),"Thiếu trường bắt buộc",IF(OR(COUNTIF($A$5:$A$404,A248)&lt;2,COUNTIF($A$5:$A$404,A248)&gt;4),"Mỗi choice cần 2–4 option",IF(COUNTIFS('02_KICH_BAN_NODES'!$B$5:$B$204,A248,'02_KICH_BAN_NODES'!$E$5:$E$204,"Kiến thức")=1,IF(COUNTIFS($A$5:$A$404,A248,$D$5:$D$404,"Có")&lt;&gt;1,"Choice kiến thức cần đúng 1 đáp án đúng",""),IF(COUNTIFS('02_KICH_BAN_NODES'!$B$5:$B$204,A248,'02_KICH_BAN_NODES'!$E$5:$E$204,"Tương tác")=1,IF(COUNTIFS($A$5:$A$404,A248,$D$5:$D$404,"Có")&lt;&gt;0,"Choice tương tác không được đánh dấu đáp án đúng",""),"Choice chưa chọn loại")))))))</f>
        <v/>
      </c>
    </row>
    <row r="249" spans="1:11">
      <c r="A249" s="13"/>
      <c r="B249" s="13"/>
      <c r="C249" s="5"/>
      <c r="D249" s="13"/>
      <c r="E249" s="13"/>
      <c r="F249" s="13"/>
      <c r="G249" s="13"/>
      <c r="H249" s="5"/>
      <c r="I249" s="5"/>
      <c r="J249" s="6" t="str">
        <f t="shared" si="3"/>
        <v/>
      </c>
      <c r="K249" s="6" t="str">
        <f>IF(A249="","",IF(COUNTIFS('02_KICH_BAN_NODES'!$B$5:$B$204,A249,'02_KICH_BAN_NODES'!$D$5:$D$204,"choice")=0,"ChoiceNodeId không tồn tại hoặc không phải choice",IF(COUNTIFS($A$5:$A$404,A249,$B$5:$B$404,B249)&gt;1,"Trùng OptionOrder trong cùng choice",IF(OR(B249="",C249="",D249="",F249="",H249=""),"Thiếu trường bắt buộc",IF(OR(COUNTIF($A$5:$A$404,A249)&lt;2,COUNTIF($A$5:$A$404,A249)&gt;4),"Mỗi choice cần 2–4 option",IF(COUNTIFS('02_KICH_BAN_NODES'!$B$5:$B$204,A249,'02_KICH_BAN_NODES'!$E$5:$E$204,"Kiến thức")=1,IF(COUNTIFS($A$5:$A$404,A249,$D$5:$D$404,"Có")&lt;&gt;1,"Choice kiến thức cần đúng 1 đáp án đúng",""),IF(COUNTIFS('02_KICH_BAN_NODES'!$B$5:$B$204,A249,'02_KICH_BAN_NODES'!$E$5:$E$204,"Tương tác")=1,IF(COUNTIFS($A$5:$A$404,A249,$D$5:$D$404,"Có")&lt;&gt;0,"Choice tương tác không được đánh dấu đáp án đúng",""),"Choice chưa chọn loại")))))))</f>
        <v/>
      </c>
    </row>
    <row r="250" spans="1:11">
      <c r="A250" s="13"/>
      <c r="B250" s="13"/>
      <c r="C250" s="5"/>
      <c r="D250" s="13"/>
      <c r="E250" s="13"/>
      <c r="F250" s="13"/>
      <c r="G250" s="13"/>
      <c r="H250" s="5"/>
      <c r="I250" s="5"/>
      <c r="J250" s="6" t="str">
        <f t="shared" si="3"/>
        <v/>
      </c>
      <c r="K250" s="6" t="str">
        <f>IF(A250="","",IF(COUNTIFS('02_KICH_BAN_NODES'!$B$5:$B$204,A250,'02_KICH_BAN_NODES'!$D$5:$D$204,"choice")=0,"ChoiceNodeId không tồn tại hoặc không phải choice",IF(COUNTIFS($A$5:$A$404,A250,$B$5:$B$404,B250)&gt;1,"Trùng OptionOrder trong cùng choice",IF(OR(B250="",C250="",D250="",F250="",H250=""),"Thiếu trường bắt buộc",IF(OR(COUNTIF($A$5:$A$404,A250)&lt;2,COUNTIF($A$5:$A$404,A250)&gt;4),"Mỗi choice cần 2–4 option",IF(COUNTIFS('02_KICH_BAN_NODES'!$B$5:$B$204,A250,'02_KICH_BAN_NODES'!$E$5:$E$204,"Kiến thức")=1,IF(COUNTIFS($A$5:$A$404,A250,$D$5:$D$404,"Có")&lt;&gt;1,"Choice kiến thức cần đúng 1 đáp án đúng",""),IF(COUNTIFS('02_KICH_BAN_NODES'!$B$5:$B$204,A250,'02_KICH_BAN_NODES'!$E$5:$E$204,"Tương tác")=1,IF(COUNTIFS($A$5:$A$404,A250,$D$5:$D$404,"Có")&lt;&gt;0,"Choice tương tác không được đánh dấu đáp án đúng",""),"Choice chưa chọn loại")))))))</f>
        <v/>
      </c>
    </row>
    <row r="251" spans="1:11">
      <c r="A251" s="13"/>
      <c r="B251" s="13"/>
      <c r="C251" s="5"/>
      <c r="D251" s="13"/>
      <c r="E251" s="13"/>
      <c r="F251" s="13"/>
      <c r="G251" s="13"/>
      <c r="H251" s="5"/>
      <c r="I251" s="5"/>
      <c r="J251" s="6" t="str">
        <f t="shared" si="3"/>
        <v/>
      </c>
      <c r="K251" s="6" t="str">
        <f>IF(A251="","",IF(COUNTIFS('02_KICH_BAN_NODES'!$B$5:$B$204,A251,'02_KICH_BAN_NODES'!$D$5:$D$204,"choice")=0,"ChoiceNodeId không tồn tại hoặc không phải choice",IF(COUNTIFS($A$5:$A$404,A251,$B$5:$B$404,B251)&gt;1,"Trùng OptionOrder trong cùng choice",IF(OR(B251="",C251="",D251="",F251="",H251=""),"Thiếu trường bắt buộc",IF(OR(COUNTIF($A$5:$A$404,A251)&lt;2,COUNTIF($A$5:$A$404,A251)&gt;4),"Mỗi choice cần 2–4 option",IF(COUNTIFS('02_KICH_BAN_NODES'!$B$5:$B$204,A251,'02_KICH_BAN_NODES'!$E$5:$E$204,"Kiến thức")=1,IF(COUNTIFS($A$5:$A$404,A251,$D$5:$D$404,"Có")&lt;&gt;1,"Choice kiến thức cần đúng 1 đáp án đúng",""),IF(COUNTIFS('02_KICH_BAN_NODES'!$B$5:$B$204,A251,'02_KICH_BAN_NODES'!$E$5:$E$204,"Tương tác")=1,IF(COUNTIFS($A$5:$A$404,A251,$D$5:$D$404,"Có")&lt;&gt;0,"Choice tương tác không được đánh dấu đáp án đúng",""),"Choice chưa chọn loại")))))))</f>
        <v/>
      </c>
    </row>
    <row r="252" spans="1:11">
      <c r="A252" s="13"/>
      <c r="B252" s="13"/>
      <c r="C252" s="5"/>
      <c r="D252" s="13"/>
      <c r="E252" s="13"/>
      <c r="F252" s="13"/>
      <c r="G252" s="13"/>
      <c r="H252" s="5"/>
      <c r="I252" s="5"/>
      <c r="J252" s="6" t="str">
        <f t="shared" si="3"/>
        <v/>
      </c>
      <c r="K252" s="6" t="str">
        <f>IF(A252="","",IF(COUNTIFS('02_KICH_BAN_NODES'!$B$5:$B$204,A252,'02_KICH_BAN_NODES'!$D$5:$D$204,"choice")=0,"ChoiceNodeId không tồn tại hoặc không phải choice",IF(COUNTIFS($A$5:$A$404,A252,$B$5:$B$404,B252)&gt;1,"Trùng OptionOrder trong cùng choice",IF(OR(B252="",C252="",D252="",F252="",H252=""),"Thiếu trường bắt buộc",IF(OR(COUNTIF($A$5:$A$404,A252)&lt;2,COUNTIF($A$5:$A$404,A252)&gt;4),"Mỗi choice cần 2–4 option",IF(COUNTIFS('02_KICH_BAN_NODES'!$B$5:$B$204,A252,'02_KICH_BAN_NODES'!$E$5:$E$204,"Kiến thức")=1,IF(COUNTIFS($A$5:$A$404,A252,$D$5:$D$404,"Có")&lt;&gt;1,"Choice kiến thức cần đúng 1 đáp án đúng",""),IF(COUNTIFS('02_KICH_BAN_NODES'!$B$5:$B$204,A252,'02_KICH_BAN_NODES'!$E$5:$E$204,"Tương tác")=1,IF(COUNTIFS($A$5:$A$404,A252,$D$5:$D$404,"Có")&lt;&gt;0,"Choice tương tác không được đánh dấu đáp án đúng",""),"Choice chưa chọn loại")))))))</f>
        <v/>
      </c>
    </row>
    <row r="253" spans="1:11">
      <c r="A253" s="13"/>
      <c r="B253" s="13"/>
      <c r="C253" s="5"/>
      <c r="D253" s="13"/>
      <c r="E253" s="13"/>
      <c r="F253" s="13"/>
      <c r="G253" s="13"/>
      <c r="H253" s="5"/>
      <c r="I253" s="5"/>
      <c r="J253" s="6" t="str">
        <f t="shared" si="3"/>
        <v/>
      </c>
      <c r="K253" s="6" t="str">
        <f>IF(A253="","",IF(COUNTIFS('02_KICH_BAN_NODES'!$B$5:$B$204,A253,'02_KICH_BAN_NODES'!$D$5:$D$204,"choice")=0,"ChoiceNodeId không tồn tại hoặc không phải choice",IF(COUNTIFS($A$5:$A$404,A253,$B$5:$B$404,B253)&gt;1,"Trùng OptionOrder trong cùng choice",IF(OR(B253="",C253="",D253="",F253="",H253=""),"Thiếu trường bắt buộc",IF(OR(COUNTIF($A$5:$A$404,A253)&lt;2,COUNTIF($A$5:$A$404,A253)&gt;4),"Mỗi choice cần 2–4 option",IF(COUNTIFS('02_KICH_BAN_NODES'!$B$5:$B$204,A253,'02_KICH_BAN_NODES'!$E$5:$E$204,"Kiến thức")=1,IF(COUNTIFS($A$5:$A$404,A253,$D$5:$D$404,"Có")&lt;&gt;1,"Choice kiến thức cần đúng 1 đáp án đúng",""),IF(COUNTIFS('02_KICH_BAN_NODES'!$B$5:$B$204,A253,'02_KICH_BAN_NODES'!$E$5:$E$204,"Tương tác")=1,IF(COUNTIFS($A$5:$A$404,A253,$D$5:$D$404,"Có")&lt;&gt;0,"Choice tương tác không được đánh dấu đáp án đúng",""),"Choice chưa chọn loại")))))))</f>
        <v/>
      </c>
    </row>
    <row r="254" spans="1:11">
      <c r="A254" s="13"/>
      <c r="B254" s="13"/>
      <c r="C254" s="5"/>
      <c r="D254" s="13"/>
      <c r="E254" s="13"/>
      <c r="F254" s="13"/>
      <c r="G254" s="13"/>
      <c r="H254" s="5"/>
      <c r="I254" s="5"/>
      <c r="J254" s="6" t="str">
        <f t="shared" si="3"/>
        <v/>
      </c>
      <c r="K254" s="6" t="str">
        <f>IF(A254="","",IF(COUNTIFS('02_KICH_BAN_NODES'!$B$5:$B$204,A254,'02_KICH_BAN_NODES'!$D$5:$D$204,"choice")=0,"ChoiceNodeId không tồn tại hoặc không phải choice",IF(COUNTIFS($A$5:$A$404,A254,$B$5:$B$404,B254)&gt;1,"Trùng OptionOrder trong cùng choice",IF(OR(B254="",C254="",D254="",F254="",H254=""),"Thiếu trường bắt buộc",IF(OR(COUNTIF($A$5:$A$404,A254)&lt;2,COUNTIF($A$5:$A$404,A254)&gt;4),"Mỗi choice cần 2–4 option",IF(COUNTIFS('02_KICH_BAN_NODES'!$B$5:$B$204,A254,'02_KICH_BAN_NODES'!$E$5:$E$204,"Kiến thức")=1,IF(COUNTIFS($A$5:$A$404,A254,$D$5:$D$404,"Có")&lt;&gt;1,"Choice kiến thức cần đúng 1 đáp án đúng",""),IF(COUNTIFS('02_KICH_BAN_NODES'!$B$5:$B$204,A254,'02_KICH_BAN_NODES'!$E$5:$E$204,"Tương tác")=1,IF(COUNTIFS($A$5:$A$404,A254,$D$5:$D$404,"Có")&lt;&gt;0,"Choice tương tác không được đánh dấu đáp án đúng",""),"Choice chưa chọn loại")))))))</f>
        <v/>
      </c>
    </row>
    <row r="255" spans="1:11">
      <c r="A255" s="13"/>
      <c r="B255" s="13"/>
      <c r="C255" s="5"/>
      <c r="D255" s="13"/>
      <c r="E255" s="13"/>
      <c r="F255" s="13"/>
      <c r="G255" s="13"/>
      <c r="H255" s="5"/>
      <c r="I255" s="5"/>
      <c r="J255" s="6" t="str">
        <f t="shared" si="3"/>
        <v/>
      </c>
      <c r="K255" s="6" t="str">
        <f>IF(A255="","",IF(COUNTIFS('02_KICH_BAN_NODES'!$B$5:$B$204,A255,'02_KICH_BAN_NODES'!$D$5:$D$204,"choice")=0,"ChoiceNodeId không tồn tại hoặc không phải choice",IF(COUNTIFS($A$5:$A$404,A255,$B$5:$B$404,B255)&gt;1,"Trùng OptionOrder trong cùng choice",IF(OR(B255="",C255="",D255="",F255="",H255=""),"Thiếu trường bắt buộc",IF(OR(COUNTIF($A$5:$A$404,A255)&lt;2,COUNTIF($A$5:$A$404,A255)&gt;4),"Mỗi choice cần 2–4 option",IF(COUNTIFS('02_KICH_BAN_NODES'!$B$5:$B$204,A255,'02_KICH_BAN_NODES'!$E$5:$E$204,"Kiến thức")=1,IF(COUNTIFS($A$5:$A$404,A255,$D$5:$D$404,"Có")&lt;&gt;1,"Choice kiến thức cần đúng 1 đáp án đúng",""),IF(COUNTIFS('02_KICH_BAN_NODES'!$B$5:$B$204,A255,'02_KICH_BAN_NODES'!$E$5:$E$204,"Tương tác")=1,IF(COUNTIFS($A$5:$A$404,A255,$D$5:$D$404,"Có")&lt;&gt;0,"Choice tương tác không được đánh dấu đáp án đúng",""),"Choice chưa chọn loại")))))))</f>
        <v/>
      </c>
    </row>
    <row r="256" spans="1:11">
      <c r="A256" s="13"/>
      <c r="B256" s="13"/>
      <c r="C256" s="5"/>
      <c r="D256" s="13"/>
      <c r="E256" s="13"/>
      <c r="F256" s="13"/>
      <c r="G256" s="13"/>
      <c r="H256" s="5"/>
      <c r="I256" s="5"/>
      <c r="J256" s="6" t="str">
        <f t="shared" si="3"/>
        <v/>
      </c>
      <c r="K256" s="6" t="str">
        <f>IF(A256="","",IF(COUNTIFS('02_KICH_BAN_NODES'!$B$5:$B$204,A256,'02_KICH_BAN_NODES'!$D$5:$D$204,"choice")=0,"ChoiceNodeId không tồn tại hoặc không phải choice",IF(COUNTIFS($A$5:$A$404,A256,$B$5:$B$404,B256)&gt;1,"Trùng OptionOrder trong cùng choice",IF(OR(B256="",C256="",D256="",F256="",H256=""),"Thiếu trường bắt buộc",IF(OR(COUNTIF($A$5:$A$404,A256)&lt;2,COUNTIF($A$5:$A$404,A256)&gt;4),"Mỗi choice cần 2–4 option",IF(COUNTIFS('02_KICH_BAN_NODES'!$B$5:$B$204,A256,'02_KICH_BAN_NODES'!$E$5:$E$204,"Kiến thức")=1,IF(COUNTIFS($A$5:$A$404,A256,$D$5:$D$404,"Có")&lt;&gt;1,"Choice kiến thức cần đúng 1 đáp án đúng",""),IF(COUNTIFS('02_KICH_BAN_NODES'!$B$5:$B$204,A256,'02_KICH_BAN_NODES'!$E$5:$E$204,"Tương tác")=1,IF(COUNTIFS($A$5:$A$404,A256,$D$5:$D$404,"Có")&lt;&gt;0,"Choice tương tác không được đánh dấu đáp án đúng",""),"Choice chưa chọn loại")))))))</f>
        <v/>
      </c>
    </row>
    <row r="257" spans="1:11">
      <c r="A257" s="13"/>
      <c r="B257" s="13"/>
      <c r="C257" s="5"/>
      <c r="D257" s="13"/>
      <c r="E257" s="13"/>
      <c r="F257" s="13"/>
      <c r="G257" s="13"/>
      <c r="H257" s="5"/>
      <c r="I257" s="5"/>
      <c r="J257" s="6" t="str">
        <f t="shared" si="3"/>
        <v/>
      </c>
      <c r="K257" s="6" t="str">
        <f>IF(A257="","",IF(COUNTIFS('02_KICH_BAN_NODES'!$B$5:$B$204,A257,'02_KICH_BAN_NODES'!$D$5:$D$204,"choice")=0,"ChoiceNodeId không tồn tại hoặc không phải choice",IF(COUNTIFS($A$5:$A$404,A257,$B$5:$B$404,B257)&gt;1,"Trùng OptionOrder trong cùng choice",IF(OR(B257="",C257="",D257="",F257="",H257=""),"Thiếu trường bắt buộc",IF(OR(COUNTIF($A$5:$A$404,A257)&lt;2,COUNTIF($A$5:$A$404,A257)&gt;4),"Mỗi choice cần 2–4 option",IF(COUNTIFS('02_KICH_BAN_NODES'!$B$5:$B$204,A257,'02_KICH_BAN_NODES'!$E$5:$E$204,"Kiến thức")=1,IF(COUNTIFS($A$5:$A$404,A257,$D$5:$D$404,"Có")&lt;&gt;1,"Choice kiến thức cần đúng 1 đáp án đúng",""),IF(COUNTIFS('02_KICH_BAN_NODES'!$B$5:$B$204,A257,'02_KICH_BAN_NODES'!$E$5:$E$204,"Tương tác")=1,IF(COUNTIFS($A$5:$A$404,A257,$D$5:$D$404,"Có")&lt;&gt;0,"Choice tương tác không được đánh dấu đáp án đúng",""),"Choice chưa chọn loại")))))))</f>
        <v/>
      </c>
    </row>
    <row r="258" spans="1:11">
      <c r="A258" s="13"/>
      <c r="B258" s="13"/>
      <c r="C258" s="5"/>
      <c r="D258" s="13"/>
      <c r="E258" s="13"/>
      <c r="F258" s="13"/>
      <c r="G258" s="13"/>
      <c r="H258" s="5"/>
      <c r="I258" s="5"/>
      <c r="J258" s="6" t="str">
        <f t="shared" si="3"/>
        <v/>
      </c>
      <c r="K258" s="6" t="str">
        <f>IF(A258="","",IF(COUNTIFS('02_KICH_BAN_NODES'!$B$5:$B$204,A258,'02_KICH_BAN_NODES'!$D$5:$D$204,"choice")=0,"ChoiceNodeId không tồn tại hoặc không phải choice",IF(COUNTIFS($A$5:$A$404,A258,$B$5:$B$404,B258)&gt;1,"Trùng OptionOrder trong cùng choice",IF(OR(B258="",C258="",D258="",F258="",H258=""),"Thiếu trường bắt buộc",IF(OR(COUNTIF($A$5:$A$404,A258)&lt;2,COUNTIF($A$5:$A$404,A258)&gt;4),"Mỗi choice cần 2–4 option",IF(COUNTIFS('02_KICH_BAN_NODES'!$B$5:$B$204,A258,'02_KICH_BAN_NODES'!$E$5:$E$204,"Kiến thức")=1,IF(COUNTIFS($A$5:$A$404,A258,$D$5:$D$404,"Có")&lt;&gt;1,"Choice kiến thức cần đúng 1 đáp án đúng",""),IF(COUNTIFS('02_KICH_BAN_NODES'!$B$5:$B$204,A258,'02_KICH_BAN_NODES'!$E$5:$E$204,"Tương tác")=1,IF(COUNTIFS($A$5:$A$404,A258,$D$5:$D$404,"Có")&lt;&gt;0,"Choice tương tác không được đánh dấu đáp án đúng",""),"Choice chưa chọn loại")))))))</f>
        <v/>
      </c>
    </row>
    <row r="259" spans="1:11">
      <c r="A259" s="13"/>
      <c r="B259" s="13"/>
      <c r="C259" s="5"/>
      <c r="D259" s="13"/>
      <c r="E259" s="13"/>
      <c r="F259" s="13"/>
      <c r="G259" s="13"/>
      <c r="H259" s="5"/>
      <c r="I259" s="5"/>
      <c r="J259" s="6" t="str">
        <f t="shared" si="3"/>
        <v/>
      </c>
      <c r="K259" s="6" t="str">
        <f>IF(A259="","",IF(COUNTIFS('02_KICH_BAN_NODES'!$B$5:$B$204,A259,'02_KICH_BAN_NODES'!$D$5:$D$204,"choice")=0,"ChoiceNodeId không tồn tại hoặc không phải choice",IF(COUNTIFS($A$5:$A$404,A259,$B$5:$B$404,B259)&gt;1,"Trùng OptionOrder trong cùng choice",IF(OR(B259="",C259="",D259="",F259="",H259=""),"Thiếu trường bắt buộc",IF(OR(COUNTIF($A$5:$A$404,A259)&lt;2,COUNTIF($A$5:$A$404,A259)&gt;4),"Mỗi choice cần 2–4 option",IF(COUNTIFS('02_KICH_BAN_NODES'!$B$5:$B$204,A259,'02_KICH_BAN_NODES'!$E$5:$E$204,"Kiến thức")=1,IF(COUNTIFS($A$5:$A$404,A259,$D$5:$D$404,"Có")&lt;&gt;1,"Choice kiến thức cần đúng 1 đáp án đúng",""),IF(COUNTIFS('02_KICH_BAN_NODES'!$B$5:$B$204,A259,'02_KICH_BAN_NODES'!$E$5:$E$204,"Tương tác")=1,IF(COUNTIFS($A$5:$A$404,A259,$D$5:$D$404,"Có")&lt;&gt;0,"Choice tương tác không được đánh dấu đáp án đúng",""),"Choice chưa chọn loại")))))))</f>
        <v/>
      </c>
    </row>
    <row r="260" spans="1:11">
      <c r="A260" s="13"/>
      <c r="B260" s="13"/>
      <c r="C260" s="5"/>
      <c r="D260" s="13"/>
      <c r="E260" s="13"/>
      <c r="F260" s="13"/>
      <c r="G260" s="13"/>
      <c r="H260" s="5"/>
      <c r="I260" s="5"/>
      <c r="J260" s="6" t="str">
        <f t="shared" si="3"/>
        <v/>
      </c>
      <c r="K260" s="6" t="str">
        <f>IF(A260="","",IF(COUNTIFS('02_KICH_BAN_NODES'!$B$5:$B$204,A260,'02_KICH_BAN_NODES'!$D$5:$D$204,"choice")=0,"ChoiceNodeId không tồn tại hoặc không phải choice",IF(COUNTIFS($A$5:$A$404,A260,$B$5:$B$404,B260)&gt;1,"Trùng OptionOrder trong cùng choice",IF(OR(B260="",C260="",D260="",F260="",H260=""),"Thiếu trường bắt buộc",IF(OR(COUNTIF($A$5:$A$404,A260)&lt;2,COUNTIF($A$5:$A$404,A260)&gt;4),"Mỗi choice cần 2–4 option",IF(COUNTIFS('02_KICH_BAN_NODES'!$B$5:$B$204,A260,'02_KICH_BAN_NODES'!$E$5:$E$204,"Kiến thức")=1,IF(COUNTIFS($A$5:$A$404,A260,$D$5:$D$404,"Có")&lt;&gt;1,"Choice kiến thức cần đúng 1 đáp án đúng",""),IF(COUNTIFS('02_KICH_BAN_NODES'!$B$5:$B$204,A260,'02_KICH_BAN_NODES'!$E$5:$E$204,"Tương tác")=1,IF(COUNTIFS($A$5:$A$404,A260,$D$5:$D$404,"Có")&lt;&gt;0,"Choice tương tác không được đánh dấu đáp án đúng",""),"Choice chưa chọn loại")))))))</f>
        <v/>
      </c>
    </row>
    <row r="261" spans="1:11">
      <c r="A261" s="13"/>
      <c r="B261" s="13"/>
      <c r="C261" s="5"/>
      <c r="D261" s="13"/>
      <c r="E261" s="13"/>
      <c r="F261" s="13"/>
      <c r="G261" s="13"/>
      <c r="H261" s="5"/>
      <c r="I261" s="5"/>
      <c r="J261" s="6" t="str">
        <f t="shared" ref="J261:J324" si="4">IF(A261="","",IF(K261="","HỢP LỆ","CẦN SỬA"))</f>
        <v/>
      </c>
      <c r="K261" s="6" t="str">
        <f>IF(A261="","",IF(COUNTIFS('02_KICH_BAN_NODES'!$B$5:$B$204,A261,'02_KICH_BAN_NODES'!$D$5:$D$204,"choice")=0,"ChoiceNodeId không tồn tại hoặc không phải choice",IF(COUNTIFS($A$5:$A$404,A261,$B$5:$B$404,B261)&gt;1,"Trùng OptionOrder trong cùng choice",IF(OR(B261="",C261="",D261="",F261="",H261=""),"Thiếu trường bắt buộc",IF(OR(COUNTIF($A$5:$A$404,A261)&lt;2,COUNTIF($A$5:$A$404,A261)&gt;4),"Mỗi choice cần 2–4 option",IF(COUNTIFS('02_KICH_BAN_NODES'!$B$5:$B$204,A261,'02_KICH_BAN_NODES'!$E$5:$E$204,"Kiến thức")=1,IF(COUNTIFS($A$5:$A$404,A261,$D$5:$D$404,"Có")&lt;&gt;1,"Choice kiến thức cần đúng 1 đáp án đúng",""),IF(COUNTIFS('02_KICH_BAN_NODES'!$B$5:$B$204,A261,'02_KICH_BAN_NODES'!$E$5:$E$204,"Tương tác")=1,IF(COUNTIFS($A$5:$A$404,A261,$D$5:$D$404,"Có")&lt;&gt;0,"Choice tương tác không được đánh dấu đáp án đúng",""),"Choice chưa chọn loại")))))))</f>
        <v/>
      </c>
    </row>
    <row r="262" spans="1:11">
      <c r="A262" s="13"/>
      <c r="B262" s="13"/>
      <c r="C262" s="5"/>
      <c r="D262" s="13"/>
      <c r="E262" s="13"/>
      <c r="F262" s="13"/>
      <c r="G262" s="13"/>
      <c r="H262" s="5"/>
      <c r="I262" s="5"/>
      <c r="J262" s="6" t="str">
        <f t="shared" si="4"/>
        <v/>
      </c>
      <c r="K262" s="6" t="str">
        <f>IF(A262="","",IF(COUNTIFS('02_KICH_BAN_NODES'!$B$5:$B$204,A262,'02_KICH_BAN_NODES'!$D$5:$D$204,"choice")=0,"ChoiceNodeId không tồn tại hoặc không phải choice",IF(COUNTIFS($A$5:$A$404,A262,$B$5:$B$404,B262)&gt;1,"Trùng OptionOrder trong cùng choice",IF(OR(B262="",C262="",D262="",F262="",H262=""),"Thiếu trường bắt buộc",IF(OR(COUNTIF($A$5:$A$404,A262)&lt;2,COUNTIF($A$5:$A$404,A262)&gt;4),"Mỗi choice cần 2–4 option",IF(COUNTIFS('02_KICH_BAN_NODES'!$B$5:$B$204,A262,'02_KICH_BAN_NODES'!$E$5:$E$204,"Kiến thức")=1,IF(COUNTIFS($A$5:$A$404,A262,$D$5:$D$404,"Có")&lt;&gt;1,"Choice kiến thức cần đúng 1 đáp án đúng",""),IF(COUNTIFS('02_KICH_BAN_NODES'!$B$5:$B$204,A262,'02_KICH_BAN_NODES'!$E$5:$E$204,"Tương tác")=1,IF(COUNTIFS($A$5:$A$404,A262,$D$5:$D$404,"Có")&lt;&gt;0,"Choice tương tác không được đánh dấu đáp án đúng",""),"Choice chưa chọn loại")))))))</f>
        <v/>
      </c>
    </row>
    <row r="263" spans="1:11">
      <c r="A263" s="13"/>
      <c r="B263" s="13"/>
      <c r="C263" s="5"/>
      <c r="D263" s="13"/>
      <c r="E263" s="13"/>
      <c r="F263" s="13"/>
      <c r="G263" s="13"/>
      <c r="H263" s="5"/>
      <c r="I263" s="5"/>
      <c r="J263" s="6" t="str">
        <f t="shared" si="4"/>
        <v/>
      </c>
      <c r="K263" s="6" t="str">
        <f>IF(A263="","",IF(COUNTIFS('02_KICH_BAN_NODES'!$B$5:$B$204,A263,'02_KICH_BAN_NODES'!$D$5:$D$204,"choice")=0,"ChoiceNodeId không tồn tại hoặc không phải choice",IF(COUNTIFS($A$5:$A$404,A263,$B$5:$B$404,B263)&gt;1,"Trùng OptionOrder trong cùng choice",IF(OR(B263="",C263="",D263="",F263="",H263=""),"Thiếu trường bắt buộc",IF(OR(COUNTIF($A$5:$A$404,A263)&lt;2,COUNTIF($A$5:$A$404,A263)&gt;4),"Mỗi choice cần 2–4 option",IF(COUNTIFS('02_KICH_BAN_NODES'!$B$5:$B$204,A263,'02_KICH_BAN_NODES'!$E$5:$E$204,"Kiến thức")=1,IF(COUNTIFS($A$5:$A$404,A263,$D$5:$D$404,"Có")&lt;&gt;1,"Choice kiến thức cần đúng 1 đáp án đúng",""),IF(COUNTIFS('02_KICH_BAN_NODES'!$B$5:$B$204,A263,'02_KICH_BAN_NODES'!$E$5:$E$204,"Tương tác")=1,IF(COUNTIFS($A$5:$A$404,A263,$D$5:$D$404,"Có")&lt;&gt;0,"Choice tương tác không được đánh dấu đáp án đúng",""),"Choice chưa chọn loại")))))))</f>
        <v/>
      </c>
    </row>
    <row r="264" spans="1:11">
      <c r="A264" s="13"/>
      <c r="B264" s="13"/>
      <c r="C264" s="5"/>
      <c r="D264" s="13"/>
      <c r="E264" s="13"/>
      <c r="F264" s="13"/>
      <c r="G264" s="13"/>
      <c r="H264" s="5"/>
      <c r="I264" s="5"/>
      <c r="J264" s="6" t="str">
        <f t="shared" si="4"/>
        <v/>
      </c>
      <c r="K264" s="6" t="str">
        <f>IF(A264="","",IF(COUNTIFS('02_KICH_BAN_NODES'!$B$5:$B$204,A264,'02_KICH_BAN_NODES'!$D$5:$D$204,"choice")=0,"ChoiceNodeId không tồn tại hoặc không phải choice",IF(COUNTIFS($A$5:$A$404,A264,$B$5:$B$404,B264)&gt;1,"Trùng OptionOrder trong cùng choice",IF(OR(B264="",C264="",D264="",F264="",H264=""),"Thiếu trường bắt buộc",IF(OR(COUNTIF($A$5:$A$404,A264)&lt;2,COUNTIF($A$5:$A$404,A264)&gt;4),"Mỗi choice cần 2–4 option",IF(COUNTIFS('02_KICH_BAN_NODES'!$B$5:$B$204,A264,'02_KICH_BAN_NODES'!$E$5:$E$204,"Kiến thức")=1,IF(COUNTIFS($A$5:$A$404,A264,$D$5:$D$404,"Có")&lt;&gt;1,"Choice kiến thức cần đúng 1 đáp án đúng",""),IF(COUNTIFS('02_KICH_BAN_NODES'!$B$5:$B$204,A264,'02_KICH_BAN_NODES'!$E$5:$E$204,"Tương tác")=1,IF(COUNTIFS($A$5:$A$404,A264,$D$5:$D$404,"Có")&lt;&gt;0,"Choice tương tác không được đánh dấu đáp án đúng",""),"Choice chưa chọn loại")))))))</f>
        <v/>
      </c>
    </row>
    <row r="265" spans="1:11">
      <c r="A265" s="13"/>
      <c r="B265" s="13"/>
      <c r="C265" s="5"/>
      <c r="D265" s="13"/>
      <c r="E265" s="13"/>
      <c r="F265" s="13"/>
      <c r="G265" s="13"/>
      <c r="H265" s="5"/>
      <c r="I265" s="5"/>
      <c r="J265" s="6" t="str">
        <f t="shared" si="4"/>
        <v/>
      </c>
      <c r="K265" s="6" t="str">
        <f>IF(A265="","",IF(COUNTIFS('02_KICH_BAN_NODES'!$B$5:$B$204,A265,'02_KICH_BAN_NODES'!$D$5:$D$204,"choice")=0,"ChoiceNodeId không tồn tại hoặc không phải choice",IF(COUNTIFS($A$5:$A$404,A265,$B$5:$B$404,B265)&gt;1,"Trùng OptionOrder trong cùng choice",IF(OR(B265="",C265="",D265="",F265="",H265=""),"Thiếu trường bắt buộc",IF(OR(COUNTIF($A$5:$A$404,A265)&lt;2,COUNTIF($A$5:$A$404,A265)&gt;4),"Mỗi choice cần 2–4 option",IF(COUNTIFS('02_KICH_BAN_NODES'!$B$5:$B$204,A265,'02_KICH_BAN_NODES'!$E$5:$E$204,"Kiến thức")=1,IF(COUNTIFS($A$5:$A$404,A265,$D$5:$D$404,"Có")&lt;&gt;1,"Choice kiến thức cần đúng 1 đáp án đúng",""),IF(COUNTIFS('02_KICH_BAN_NODES'!$B$5:$B$204,A265,'02_KICH_BAN_NODES'!$E$5:$E$204,"Tương tác")=1,IF(COUNTIFS($A$5:$A$404,A265,$D$5:$D$404,"Có")&lt;&gt;0,"Choice tương tác không được đánh dấu đáp án đúng",""),"Choice chưa chọn loại")))))))</f>
        <v/>
      </c>
    </row>
    <row r="266" spans="1:11">
      <c r="A266" s="13"/>
      <c r="B266" s="13"/>
      <c r="C266" s="5"/>
      <c r="D266" s="13"/>
      <c r="E266" s="13"/>
      <c r="F266" s="13"/>
      <c r="G266" s="13"/>
      <c r="H266" s="5"/>
      <c r="I266" s="5"/>
      <c r="J266" s="6" t="str">
        <f t="shared" si="4"/>
        <v/>
      </c>
      <c r="K266" s="6" t="str">
        <f>IF(A266="","",IF(COUNTIFS('02_KICH_BAN_NODES'!$B$5:$B$204,A266,'02_KICH_BAN_NODES'!$D$5:$D$204,"choice")=0,"ChoiceNodeId không tồn tại hoặc không phải choice",IF(COUNTIFS($A$5:$A$404,A266,$B$5:$B$404,B266)&gt;1,"Trùng OptionOrder trong cùng choice",IF(OR(B266="",C266="",D266="",F266="",H266=""),"Thiếu trường bắt buộc",IF(OR(COUNTIF($A$5:$A$404,A266)&lt;2,COUNTIF($A$5:$A$404,A266)&gt;4),"Mỗi choice cần 2–4 option",IF(COUNTIFS('02_KICH_BAN_NODES'!$B$5:$B$204,A266,'02_KICH_BAN_NODES'!$E$5:$E$204,"Kiến thức")=1,IF(COUNTIFS($A$5:$A$404,A266,$D$5:$D$404,"Có")&lt;&gt;1,"Choice kiến thức cần đúng 1 đáp án đúng",""),IF(COUNTIFS('02_KICH_BAN_NODES'!$B$5:$B$204,A266,'02_KICH_BAN_NODES'!$E$5:$E$204,"Tương tác")=1,IF(COUNTIFS($A$5:$A$404,A266,$D$5:$D$404,"Có")&lt;&gt;0,"Choice tương tác không được đánh dấu đáp án đúng",""),"Choice chưa chọn loại")))))))</f>
        <v/>
      </c>
    </row>
    <row r="267" spans="1:11">
      <c r="A267" s="13"/>
      <c r="B267" s="13"/>
      <c r="C267" s="5"/>
      <c r="D267" s="13"/>
      <c r="E267" s="13"/>
      <c r="F267" s="13"/>
      <c r="G267" s="13"/>
      <c r="H267" s="5"/>
      <c r="I267" s="5"/>
      <c r="J267" s="6" t="str">
        <f t="shared" si="4"/>
        <v/>
      </c>
      <c r="K267" s="6" t="str">
        <f>IF(A267="","",IF(COUNTIFS('02_KICH_BAN_NODES'!$B$5:$B$204,A267,'02_KICH_BAN_NODES'!$D$5:$D$204,"choice")=0,"ChoiceNodeId không tồn tại hoặc không phải choice",IF(COUNTIFS($A$5:$A$404,A267,$B$5:$B$404,B267)&gt;1,"Trùng OptionOrder trong cùng choice",IF(OR(B267="",C267="",D267="",F267="",H267=""),"Thiếu trường bắt buộc",IF(OR(COUNTIF($A$5:$A$404,A267)&lt;2,COUNTIF($A$5:$A$404,A267)&gt;4),"Mỗi choice cần 2–4 option",IF(COUNTIFS('02_KICH_BAN_NODES'!$B$5:$B$204,A267,'02_KICH_BAN_NODES'!$E$5:$E$204,"Kiến thức")=1,IF(COUNTIFS($A$5:$A$404,A267,$D$5:$D$404,"Có")&lt;&gt;1,"Choice kiến thức cần đúng 1 đáp án đúng",""),IF(COUNTIFS('02_KICH_BAN_NODES'!$B$5:$B$204,A267,'02_KICH_BAN_NODES'!$E$5:$E$204,"Tương tác")=1,IF(COUNTIFS($A$5:$A$404,A267,$D$5:$D$404,"Có")&lt;&gt;0,"Choice tương tác không được đánh dấu đáp án đúng",""),"Choice chưa chọn loại")))))))</f>
        <v/>
      </c>
    </row>
    <row r="268" spans="1:11">
      <c r="A268" s="13"/>
      <c r="B268" s="13"/>
      <c r="C268" s="5"/>
      <c r="D268" s="13"/>
      <c r="E268" s="13"/>
      <c r="F268" s="13"/>
      <c r="G268" s="13"/>
      <c r="H268" s="5"/>
      <c r="I268" s="5"/>
      <c r="J268" s="6" t="str">
        <f t="shared" si="4"/>
        <v/>
      </c>
      <c r="K268" s="6" t="str">
        <f>IF(A268="","",IF(COUNTIFS('02_KICH_BAN_NODES'!$B$5:$B$204,A268,'02_KICH_BAN_NODES'!$D$5:$D$204,"choice")=0,"ChoiceNodeId không tồn tại hoặc không phải choice",IF(COUNTIFS($A$5:$A$404,A268,$B$5:$B$404,B268)&gt;1,"Trùng OptionOrder trong cùng choice",IF(OR(B268="",C268="",D268="",F268="",H268=""),"Thiếu trường bắt buộc",IF(OR(COUNTIF($A$5:$A$404,A268)&lt;2,COUNTIF($A$5:$A$404,A268)&gt;4),"Mỗi choice cần 2–4 option",IF(COUNTIFS('02_KICH_BAN_NODES'!$B$5:$B$204,A268,'02_KICH_BAN_NODES'!$E$5:$E$204,"Kiến thức")=1,IF(COUNTIFS($A$5:$A$404,A268,$D$5:$D$404,"Có")&lt;&gt;1,"Choice kiến thức cần đúng 1 đáp án đúng",""),IF(COUNTIFS('02_KICH_BAN_NODES'!$B$5:$B$204,A268,'02_KICH_BAN_NODES'!$E$5:$E$204,"Tương tác")=1,IF(COUNTIFS($A$5:$A$404,A268,$D$5:$D$404,"Có")&lt;&gt;0,"Choice tương tác không được đánh dấu đáp án đúng",""),"Choice chưa chọn loại")))))))</f>
        <v/>
      </c>
    </row>
    <row r="269" spans="1:11">
      <c r="A269" s="13"/>
      <c r="B269" s="13"/>
      <c r="C269" s="5"/>
      <c r="D269" s="13"/>
      <c r="E269" s="13"/>
      <c r="F269" s="13"/>
      <c r="G269" s="13"/>
      <c r="H269" s="5"/>
      <c r="I269" s="5"/>
      <c r="J269" s="6" t="str">
        <f t="shared" si="4"/>
        <v/>
      </c>
      <c r="K269" s="6" t="str">
        <f>IF(A269="","",IF(COUNTIFS('02_KICH_BAN_NODES'!$B$5:$B$204,A269,'02_KICH_BAN_NODES'!$D$5:$D$204,"choice")=0,"ChoiceNodeId không tồn tại hoặc không phải choice",IF(COUNTIFS($A$5:$A$404,A269,$B$5:$B$404,B269)&gt;1,"Trùng OptionOrder trong cùng choice",IF(OR(B269="",C269="",D269="",F269="",H269=""),"Thiếu trường bắt buộc",IF(OR(COUNTIF($A$5:$A$404,A269)&lt;2,COUNTIF($A$5:$A$404,A269)&gt;4),"Mỗi choice cần 2–4 option",IF(COUNTIFS('02_KICH_BAN_NODES'!$B$5:$B$204,A269,'02_KICH_BAN_NODES'!$E$5:$E$204,"Kiến thức")=1,IF(COUNTIFS($A$5:$A$404,A269,$D$5:$D$404,"Có")&lt;&gt;1,"Choice kiến thức cần đúng 1 đáp án đúng",""),IF(COUNTIFS('02_KICH_BAN_NODES'!$B$5:$B$204,A269,'02_KICH_BAN_NODES'!$E$5:$E$204,"Tương tác")=1,IF(COUNTIFS($A$5:$A$404,A269,$D$5:$D$404,"Có")&lt;&gt;0,"Choice tương tác không được đánh dấu đáp án đúng",""),"Choice chưa chọn loại")))))))</f>
        <v/>
      </c>
    </row>
    <row r="270" spans="1:11">
      <c r="A270" s="13"/>
      <c r="B270" s="13"/>
      <c r="C270" s="5"/>
      <c r="D270" s="13"/>
      <c r="E270" s="13"/>
      <c r="F270" s="13"/>
      <c r="G270" s="13"/>
      <c r="H270" s="5"/>
      <c r="I270" s="5"/>
      <c r="J270" s="6" t="str">
        <f t="shared" si="4"/>
        <v/>
      </c>
      <c r="K270" s="6" t="str">
        <f>IF(A270="","",IF(COUNTIFS('02_KICH_BAN_NODES'!$B$5:$B$204,A270,'02_KICH_BAN_NODES'!$D$5:$D$204,"choice")=0,"ChoiceNodeId không tồn tại hoặc không phải choice",IF(COUNTIFS($A$5:$A$404,A270,$B$5:$B$404,B270)&gt;1,"Trùng OptionOrder trong cùng choice",IF(OR(B270="",C270="",D270="",F270="",H270=""),"Thiếu trường bắt buộc",IF(OR(COUNTIF($A$5:$A$404,A270)&lt;2,COUNTIF($A$5:$A$404,A270)&gt;4),"Mỗi choice cần 2–4 option",IF(COUNTIFS('02_KICH_BAN_NODES'!$B$5:$B$204,A270,'02_KICH_BAN_NODES'!$E$5:$E$204,"Kiến thức")=1,IF(COUNTIFS($A$5:$A$404,A270,$D$5:$D$404,"Có")&lt;&gt;1,"Choice kiến thức cần đúng 1 đáp án đúng",""),IF(COUNTIFS('02_KICH_BAN_NODES'!$B$5:$B$204,A270,'02_KICH_BAN_NODES'!$E$5:$E$204,"Tương tác")=1,IF(COUNTIFS($A$5:$A$404,A270,$D$5:$D$404,"Có")&lt;&gt;0,"Choice tương tác không được đánh dấu đáp án đúng",""),"Choice chưa chọn loại")))))))</f>
        <v/>
      </c>
    </row>
    <row r="271" spans="1:11">
      <c r="A271" s="13"/>
      <c r="B271" s="13"/>
      <c r="C271" s="5"/>
      <c r="D271" s="13"/>
      <c r="E271" s="13"/>
      <c r="F271" s="13"/>
      <c r="G271" s="13"/>
      <c r="H271" s="5"/>
      <c r="I271" s="5"/>
      <c r="J271" s="6" t="str">
        <f t="shared" si="4"/>
        <v/>
      </c>
      <c r="K271" s="6" t="str">
        <f>IF(A271="","",IF(COUNTIFS('02_KICH_BAN_NODES'!$B$5:$B$204,A271,'02_KICH_BAN_NODES'!$D$5:$D$204,"choice")=0,"ChoiceNodeId không tồn tại hoặc không phải choice",IF(COUNTIFS($A$5:$A$404,A271,$B$5:$B$404,B271)&gt;1,"Trùng OptionOrder trong cùng choice",IF(OR(B271="",C271="",D271="",F271="",H271=""),"Thiếu trường bắt buộc",IF(OR(COUNTIF($A$5:$A$404,A271)&lt;2,COUNTIF($A$5:$A$404,A271)&gt;4),"Mỗi choice cần 2–4 option",IF(COUNTIFS('02_KICH_BAN_NODES'!$B$5:$B$204,A271,'02_KICH_BAN_NODES'!$E$5:$E$204,"Kiến thức")=1,IF(COUNTIFS($A$5:$A$404,A271,$D$5:$D$404,"Có")&lt;&gt;1,"Choice kiến thức cần đúng 1 đáp án đúng",""),IF(COUNTIFS('02_KICH_BAN_NODES'!$B$5:$B$204,A271,'02_KICH_BAN_NODES'!$E$5:$E$204,"Tương tác")=1,IF(COUNTIFS($A$5:$A$404,A271,$D$5:$D$404,"Có")&lt;&gt;0,"Choice tương tác không được đánh dấu đáp án đúng",""),"Choice chưa chọn loại")))))))</f>
        <v/>
      </c>
    </row>
    <row r="272" spans="1:11">
      <c r="A272" s="13"/>
      <c r="B272" s="13"/>
      <c r="C272" s="5"/>
      <c r="D272" s="13"/>
      <c r="E272" s="13"/>
      <c r="F272" s="13"/>
      <c r="G272" s="13"/>
      <c r="H272" s="5"/>
      <c r="I272" s="5"/>
      <c r="J272" s="6" t="str">
        <f t="shared" si="4"/>
        <v/>
      </c>
      <c r="K272" s="6" t="str">
        <f>IF(A272="","",IF(COUNTIFS('02_KICH_BAN_NODES'!$B$5:$B$204,A272,'02_KICH_BAN_NODES'!$D$5:$D$204,"choice")=0,"ChoiceNodeId không tồn tại hoặc không phải choice",IF(COUNTIFS($A$5:$A$404,A272,$B$5:$B$404,B272)&gt;1,"Trùng OptionOrder trong cùng choice",IF(OR(B272="",C272="",D272="",F272="",H272=""),"Thiếu trường bắt buộc",IF(OR(COUNTIF($A$5:$A$404,A272)&lt;2,COUNTIF($A$5:$A$404,A272)&gt;4),"Mỗi choice cần 2–4 option",IF(COUNTIFS('02_KICH_BAN_NODES'!$B$5:$B$204,A272,'02_KICH_BAN_NODES'!$E$5:$E$204,"Kiến thức")=1,IF(COUNTIFS($A$5:$A$404,A272,$D$5:$D$404,"Có")&lt;&gt;1,"Choice kiến thức cần đúng 1 đáp án đúng",""),IF(COUNTIFS('02_KICH_BAN_NODES'!$B$5:$B$204,A272,'02_KICH_BAN_NODES'!$E$5:$E$204,"Tương tác")=1,IF(COUNTIFS($A$5:$A$404,A272,$D$5:$D$404,"Có")&lt;&gt;0,"Choice tương tác không được đánh dấu đáp án đúng",""),"Choice chưa chọn loại")))))))</f>
        <v/>
      </c>
    </row>
    <row r="273" spans="1:11">
      <c r="A273" s="13"/>
      <c r="B273" s="13"/>
      <c r="C273" s="5"/>
      <c r="D273" s="13"/>
      <c r="E273" s="13"/>
      <c r="F273" s="13"/>
      <c r="G273" s="13"/>
      <c r="H273" s="5"/>
      <c r="I273" s="5"/>
      <c r="J273" s="6" t="str">
        <f t="shared" si="4"/>
        <v/>
      </c>
      <c r="K273" s="6" t="str">
        <f>IF(A273="","",IF(COUNTIFS('02_KICH_BAN_NODES'!$B$5:$B$204,A273,'02_KICH_BAN_NODES'!$D$5:$D$204,"choice")=0,"ChoiceNodeId không tồn tại hoặc không phải choice",IF(COUNTIFS($A$5:$A$404,A273,$B$5:$B$404,B273)&gt;1,"Trùng OptionOrder trong cùng choice",IF(OR(B273="",C273="",D273="",F273="",H273=""),"Thiếu trường bắt buộc",IF(OR(COUNTIF($A$5:$A$404,A273)&lt;2,COUNTIF($A$5:$A$404,A273)&gt;4),"Mỗi choice cần 2–4 option",IF(COUNTIFS('02_KICH_BAN_NODES'!$B$5:$B$204,A273,'02_KICH_BAN_NODES'!$E$5:$E$204,"Kiến thức")=1,IF(COUNTIFS($A$5:$A$404,A273,$D$5:$D$404,"Có")&lt;&gt;1,"Choice kiến thức cần đúng 1 đáp án đúng",""),IF(COUNTIFS('02_KICH_BAN_NODES'!$B$5:$B$204,A273,'02_KICH_BAN_NODES'!$E$5:$E$204,"Tương tác")=1,IF(COUNTIFS($A$5:$A$404,A273,$D$5:$D$404,"Có")&lt;&gt;0,"Choice tương tác không được đánh dấu đáp án đúng",""),"Choice chưa chọn loại")))))))</f>
        <v/>
      </c>
    </row>
    <row r="274" spans="1:11">
      <c r="A274" s="13"/>
      <c r="B274" s="13"/>
      <c r="C274" s="5"/>
      <c r="D274" s="13"/>
      <c r="E274" s="13"/>
      <c r="F274" s="13"/>
      <c r="G274" s="13"/>
      <c r="H274" s="5"/>
      <c r="I274" s="5"/>
      <c r="J274" s="6" t="str">
        <f t="shared" si="4"/>
        <v/>
      </c>
      <c r="K274" s="6" t="str">
        <f>IF(A274="","",IF(COUNTIFS('02_KICH_BAN_NODES'!$B$5:$B$204,A274,'02_KICH_BAN_NODES'!$D$5:$D$204,"choice")=0,"ChoiceNodeId không tồn tại hoặc không phải choice",IF(COUNTIFS($A$5:$A$404,A274,$B$5:$B$404,B274)&gt;1,"Trùng OptionOrder trong cùng choice",IF(OR(B274="",C274="",D274="",F274="",H274=""),"Thiếu trường bắt buộc",IF(OR(COUNTIF($A$5:$A$404,A274)&lt;2,COUNTIF($A$5:$A$404,A274)&gt;4),"Mỗi choice cần 2–4 option",IF(COUNTIFS('02_KICH_BAN_NODES'!$B$5:$B$204,A274,'02_KICH_BAN_NODES'!$E$5:$E$204,"Kiến thức")=1,IF(COUNTIFS($A$5:$A$404,A274,$D$5:$D$404,"Có")&lt;&gt;1,"Choice kiến thức cần đúng 1 đáp án đúng",""),IF(COUNTIFS('02_KICH_BAN_NODES'!$B$5:$B$204,A274,'02_KICH_BAN_NODES'!$E$5:$E$204,"Tương tác")=1,IF(COUNTIFS($A$5:$A$404,A274,$D$5:$D$404,"Có")&lt;&gt;0,"Choice tương tác không được đánh dấu đáp án đúng",""),"Choice chưa chọn loại")))))))</f>
        <v/>
      </c>
    </row>
    <row r="275" spans="1:11">
      <c r="A275" s="13"/>
      <c r="B275" s="13"/>
      <c r="C275" s="5"/>
      <c r="D275" s="13"/>
      <c r="E275" s="13"/>
      <c r="F275" s="13"/>
      <c r="G275" s="13"/>
      <c r="H275" s="5"/>
      <c r="I275" s="5"/>
      <c r="J275" s="6" t="str">
        <f t="shared" si="4"/>
        <v/>
      </c>
      <c r="K275" s="6" t="str">
        <f>IF(A275="","",IF(COUNTIFS('02_KICH_BAN_NODES'!$B$5:$B$204,A275,'02_KICH_BAN_NODES'!$D$5:$D$204,"choice")=0,"ChoiceNodeId không tồn tại hoặc không phải choice",IF(COUNTIFS($A$5:$A$404,A275,$B$5:$B$404,B275)&gt;1,"Trùng OptionOrder trong cùng choice",IF(OR(B275="",C275="",D275="",F275="",H275=""),"Thiếu trường bắt buộc",IF(OR(COUNTIF($A$5:$A$404,A275)&lt;2,COUNTIF($A$5:$A$404,A275)&gt;4),"Mỗi choice cần 2–4 option",IF(COUNTIFS('02_KICH_BAN_NODES'!$B$5:$B$204,A275,'02_KICH_BAN_NODES'!$E$5:$E$204,"Kiến thức")=1,IF(COUNTIFS($A$5:$A$404,A275,$D$5:$D$404,"Có")&lt;&gt;1,"Choice kiến thức cần đúng 1 đáp án đúng",""),IF(COUNTIFS('02_KICH_BAN_NODES'!$B$5:$B$204,A275,'02_KICH_BAN_NODES'!$E$5:$E$204,"Tương tác")=1,IF(COUNTIFS($A$5:$A$404,A275,$D$5:$D$404,"Có")&lt;&gt;0,"Choice tương tác không được đánh dấu đáp án đúng",""),"Choice chưa chọn loại")))))))</f>
        <v/>
      </c>
    </row>
    <row r="276" spans="1:11">
      <c r="A276" s="13"/>
      <c r="B276" s="13"/>
      <c r="C276" s="5"/>
      <c r="D276" s="13"/>
      <c r="E276" s="13"/>
      <c r="F276" s="13"/>
      <c r="G276" s="13"/>
      <c r="H276" s="5"/>
      <c r="I276" s="5"/>
      <c r="J276" s="6" t="str">
        <f t="shared" si="4"/>
        <v/>
      </c>
      <c r="K276" s="6" t="str">
        <f>IF(A276="","",IF(COUNTIFS('02_KICH_BAN_NODES'!$B$5:$B$204,A276,'02_KICH_BAN_NODES'!$D$5:$D$204,"choice")=0,"ChoiceNodeId không tồn tại hoặc không phải choice",IF(COUNTIFS($A$5:$A$404,A276,$B$5:$B$404,B276)&gt;1,"Trùng OptionOrder trong cùng choice",IF(OR(B276="",C276="",D276="",F276="",H276=""),"Thiếu trường bắt buộc",IF(OR(COUNTIF($A$5:$A$404,A276)&lt;2,COUNTIF($A$5:$A$404,A276)&gt;4),"Mỗi choice cần 2–4 option",IF(COUNTIFS('02_KICH_BAN_NODES'!$B$5:$B$204,A276,'02_KICH_BAN_NODES'!$E$5:$E$204,"Kiến thức")=1,IF(COUNTIFS($A$5:$A$404,A276,$D$5:$D$404,"Có")&lt;&gt;1,"Choice kiến thức cần đúng 1 đáp án đúng",""),IF(COUNTIFS('02_KICH_BAN_NODES'!$B$5:$B$204,A276,'02_KICH_BAN_NODES'!$E$5:$E$204,"Tương tác")=1,IF(COUNTIFS($A$5:$A$404,A276,$D$5:$D$404,"Có")&lt;&gt;0,"Choice tương tác không được đánh dấu đáp án đúng",""),"Choice chưa chọn loại")))))))</f>
        <v/>
      </c>
    </row>
    <row r="277" spans="1:11">
      <c r="A277" s="13"/>
      <c r="B277" s="13"/>
      <c r="C277" s="5"/>
      <c r="D277" s="13"/>
      <c r="E277" s="13"/>
      <c r="F277" s="13"/>
      <c r="G277" s="13"/>
      <c r="H277" s="5"/>
      <c r="I277" s="5"/>
      <c r="J277" s="6" t="str">
        <f t="shared" si="4"/>
        <v/>
      </c>
      <c r="K277" s="6" t="str">
        <f>IF(A277="","",IF(COUNTIFS('02_KICH_BAN_NODES'!$B$5:$B$204,A277,'02_KICH_BAN_NODES'!$D$5:$D$204,"choice")=0,"ChoiceNodeId không tồn tại hoặc không phải choice",IF(COUNTIFS($A$5:$A$404,A277,$B$5:$B$404,B277)&gt;1,"Trùng OptionOrder trong cùng choice",IF(OR(B277="",C277="",D277="",F277="",H277=""),"Thiếu trường bắt buộc",IF(OR(COUNTIF($A$5:$A$404,A277)&lt;2,COUNTIF($A$5:$A$404,A277)&gt;4),"Mỗi choice cần 2–4 option",IF(COUNTIFS('02_KICH_BAN_NODES'!$B$5:$B$204,A277,'02_KICH_BAN_NODES'!$E$5:$E$204,"Kiến thức")=1,IF(COUNTIFS($A$5:$A$404,A277,$D$5:$D$404,"Có")&lt;&gt;1,"Choice kiến thức cần đúng 1 đáp án đúng",""),IF(COUNTIFS('02_KICH_BAN_NODES'!$B$5:$B$204,A277,'02_KICH_BAN_NODES'!$E$5:$E$204,"Tương tác")=1,IF(COUNTIFS($A$5:$A$404,A277,$D$5:$D$404,"Có")&lt;&gt;0,"Choice tương tác không được đánh dấu đáp án đúng",""),"Choice chưa chọn loại")))))))</f>
        <v/>
      </c>
    </row>
    <row r="278" spans="1:11">
      <c r="A278" s="13"/>
      <c r="B278" s="13"/>
      <c r="C278" s="5"/>
      <c r="D278" s="13"/>
      <c r="E278" s="13"/>
      <c r="F278" s="13"/>
      <c r="G278" s="13"/>
      <c r="H278" s="5"/>
      <c r="I278" s="5"/>
      <c r="J278" s="6" t="str">
        <f t="shared" si="4"/>
        <v/>
      </c>
      <c r="K278" s="6" t="str">
        <f>IF(A278="","",IF(COUNTIFS('02_KICH_BAN_NODES'!$B$5:$B$204,A278,'02_KICH_BAN_NODES'!$D$5:$D$204,"choice")=0,"ChoiceNodeId không tồn tại hoặc không phải choice",IF(COUNTIFS($A$5:$A$404,A278,$B$5:$B$404,B278)&gt;1,"Trùng OptionOrder trong cùng choice",IF(OR(B278="",C278="",D278="",F278="",H278=""),"Thiếu trường bắt buộc",IF(OR(COUNTIF($A$5:$A$404,A278)&lt;2,COUNTIF($A$5:$A$404,A278)&gt;4),"Mỗi choice cần 2–4 option",IF(COUNTIFS('02_KICH_BAN_NODES'!$B$5:$B$204,A278,'02_KICH_BAN_NODES'!$E$5:$E$204,"Kiến thức")=1,IF(COUNTIFS($A$5:$A$404,A278,$D$5:$D$404,"Có")&lt;&gt;1,"Choice kiến thức cần đúng 1 đáp án đúng",""),IF(COUNTIFS('02_KICH_BAN_NODES'!$B$5:$B$204,A278,'02_KICH_BAN_NODES'!$E$5:$E$204,"Tương tác")=1,IF(COUNTIFS($A$5:$A$404,A278,$D$5:$D$404,"Có")&lt;&gt;0,"Choice tương tác không được đánh dấu đáp án đúng",""),"Choice chưa chọn loại")))))))</f>
        <v/>
      </c>
    </row>
    <row r="279" spans="1:11">
      <c r="A279" s="13"/>
      <c r="B279" s="13"/>
      <c r="C279" s="5"/>
      <c r="D279" s="13"/>
      <c r="E279" s="13"/>
      <c r="F279" s="13"/>
      <c r="G279" s="13"/>
      <c r="H279" s="5"/>
      <c r="I279" s="5"/>
      <c r="J279" s="6" t="str">
        <f t="shared" si="4"/>
        <v/>
      </c>
      <c r="K279" s="6" t="str">
        <f>IF(A279="","",IF(COUNTIFS('02_KICH_BAN_NODES'!$B$5:$B$204,A279,'02_KICH_BAN_NODES'!$D$5:$D$204,"choice")=0,"ChoiceNodeId không tồn tại hoặc không phải choice",IF(COUNTIFS($A$5:$A$404,A279,$B$5:$B$404,B279)&gt;1,"Trùng OptionOrder trong cùng choice",IF(OR(B279="",C279="",D279="",F279="",H279=""),"Thiếu trường bắt buộc",IF(OR(COUNTIF($A$5:$A$404,A279)&lt;2,COUNTIF($A$5:$A$404,A279)&gt;4),"Mỗi choice cần 2–4 option",IF(COUNTIFS('02_KICH_BAN_NODES'!$B$5:$B$204,A279,'02_KICH_BAN_NODES'!$E$5:$E$204,"Kiến thức")=1,IF(COUNTIFS($A$5:$A$404,A279,$D$5:$D$404,"Có")&lt;&gt;1,"Choice kiến thức cần đúng 1 đáp án đúng",""),IF(COUNTIFS('02_KICH_BAN_NODES'!$B$5:$B$204,A279,'02_KICH_BAN_NODES'!$E$5:$E$204,"Tương tác")=1,IF(COUNTIFS($A$5:$A$404,A279,$D$5:$D$404,"Có")&lt;&gt;0,"Choice tương tác không được đánh dấu đáp án đúng",""),"Choice chưa chọn loại")))))))</f>
        <v/>
      </c>
    </row>
    <row r="280" spans="1:11">
      <c r="A280" s="13"/>
      <c r="B280" s="13"/>
      <c r="C280" s="5"/>
      <c r="D280" s="13"/>
      <c r="E280" s="13"/>
      <c r="F280" s="13"/>
      <c r="G280" s="13"/>
      <c r="H280" s="5"/>
      <c r="I280" s="5"/>
      <c r="J280" s="6" t="str">
        <f t="shared" si="4"/>
        <v/>
      </c>
      <c r="K280" s="6" t="str">
        <f>IF(A280="","",IF(COUNTIFS('02_KICH_BAN_NODES'!$B$5:$B$204,A280,'02_KICH_BAN_NODES'!$D$5:$D$204,"choice")=0,"ChoiceNodeId không tồn tại hoặc không phải choice",IF(COUNTIFS($A$5:$A$404,A280,$B$5:$B$404,B280)&gt;1,"Trùng OptionOrder trong cùng choice",IF(OR(B280="",C280="",D280="",F280="",H280=""),"Thiếu trường bắt buộc",IF(OR(COUNTIF($A$5:$A$404,A280)&lt;2,COUNTIF($A$5:$A$404,A280)&gt;4),"Mỗi choice cần 2–4 option",IF(COUNTIFS('02_KICH_BAN_NODES'!$B$5:$B$204,A280,'02_KICH_BAN_NODES'!$E$5:$E$204,"Kiến thức")=1,IF(COUNTIFS($A$5:$A$404,A280,$D$5:$D$404,"Có")&lt;&gt;1,"Choice kiến thức cần đúng 1 đáp án đúng",""),IF(COUNTIFS('02_KICH_BAN_NODES'!$B$5:$B$204,A280,'02_KICH_BAN_NODES'!$E$5:$E$204,"Tương tác")=1,IF(COUNTIFS($A$5:$A$404,A280,$D$5:$D$404,"Có")&lt;&gt;0,"Choice tương tác không được đánh dấu đáp án đúng",""),"Choice chưa chọn loại")))))))</f>
        <v/>
      </c>
    </row>
    <row r="281" spans="1:11">
      <c r="A281" s="13"/>
      <c r="B281" s="13"/>
      <c r="C281" s="5"/>
      <c r="D281" s="13"/>
      <c r="E281" s="13"/>
      <c r="F281" s="13"/>
      <c r="G281" s="13"/>
      <c r="H281" s="5"/>
      <c r="I281" s="5"/>
      <c r="J281" s="6" t="str">
        <f t="shared" si="4"/>
        <v/>
      </c>
      <c r="K281" s="6" t="str">
        <f>IF(A281="","",IF(COUNTIFS('02_KICH_BAN_NODES'!$B$5:$B$204,A281,'02_KICH_BAN_NODES'!$D$5:$D$204,"choice")=0,"ChoiceNodeId không tồn tại hoặc không phải choice",IF(COUNTIFS($A$5:$A$404,A281,$B$5:$B$404,B281)&gt;1,"Trùng OptionOrder trong cùng choice",IF(OR(B281="",C281="",D281="",F281="",H281=""),"Thiếu trường bắt buộc",IF(OR(COUNTIF($A$5:$A$404,A281)&lt;2,COUNTIF($A$5:$A$404,A281)&gt;4),"Mỗi choice cần 2–4 option",IF(COUNTIFS('02_KICH_BAN_NODES'!$B$5:$B$204,A281,'02_KICH_BAN_NODES'!$E$5:$E$204,"Kiến thức")=1,IF(COUNTIFS($A$5:$A$404,A281,$D$5:$D$404,"Có")&lt;&gt;1,"Choice kiến thức cần đúng 1 đáp án đúng",""),IF(COUNTIFS('02_KICH_BAN_NODES'!$B$5:$B$204,A281,'02_KICH_BAN_NODES'!$E$5:$E$204,"Tương tác")=1,IF(COUNTIFS($A$5:$A$404,A281,$D$5:$D$404,"Có")&lt;&gt;0,"Choice tương tác không được đánh dấu đáp án đúng",""),"Choice chưa chọn loại")))))))</f>
        <v/>
      </c>
    </row>
    <row r="282" spans="1:11">
      <c r="A282" s="13"/>
      <c r="B282" s="13"/>
      <c r="C282" s="5"/>
      <c r="D282" s="13"/>
      <c r="E282" s="13"/>
      <c r="F282" s="13"/>
      <c r="G282" s="13"/>
      <c r="H282" s="5"/>
      <c r="I282" s="5"/>
      <c r="J282" s="6" t="str">
        <f t="shared" si="4"/>
        <v/>
      </c>
      <c r="K282" s="6" t="str">
        <f>IF(A282="","",IF(COUNTIFS('02_KICH_BAN_NODES'!$B$5:$B$204,A282,'02_KICH_BAN_NODES'!$D$5:$D$204,"choice")=0,"ChoiceNodeId không tồn tại hoặc không phải choice",IF(COUNTIFS($A$5:$A$404,A282,$B$5:$B$404,B282)&gt;1,"Trùng OptionOrder trong cùng choice",IF(OR(B282="",C282="",D282="",F282="",H282=""),"Thiếu trường bắt buộc",IF(OR(COUNTIF($A$5:$A$404,A282)&lt;2,COUNTIF($A$5:$A$404,A282)&gt;4),"Mỗi choice cần 2–4 option",IF(COUNTIFS('02_KICH_BAN_NODES'!$B$5:$B$204,A282,'02_KICH_BAN_NODES'!$E$5:$E$204,"Kiến thức")=1,IF(COUNTIFS($A$5:$A$404,A282,$D$5:$D$404,"Có")&lt;&gt;1,"Choice kiến thức cần đúng 1 đáp án đúng",""),IF(COUNTIFS('02_KICH_BAN_NODES'!$B$5:$B$204,A282,'02_KICH_BAN_NODES'!$E$5:$E$204,"Tương tác")=1,IF(COUNTIFS($A$5:$A$404,A282,$D$5:$D$404,"Có")&lt;&gt;0,"Choice tương tác không được đánh dấu đáp án đúng",""),"Choice chưa chọn loại")))))))</f>
        <v/>
      </c>
    </row>
    <row r="283" spans="1:11">
      <c r="A283" s="13"/>
      <c r="B283" s="13"/>
      <c r="C283" s="5"/>
      <c r="D283" s="13"/>
      <c r="E283" s="13"/>
      <c r="F283" s="13"/>
      <c r="G283" s="13"/>
      <c r="H283" s="5"/>
      <c r="I283" s="5"/>
      <c r="J283" s="6" t="str">
        <f t="shared" si="4"/>
        <v/>
      </c>
      <c r="K283" s="6" t="str">
        <f>IF(A283="","",IF(COUNTIFS('02_KICH_BAN_NODES'!$B$5:$B$204,A283,'02_KICH_BAN_NODES'!$D$5:$D$204,"choice")=0,"ChoiceNodeId không tồn tại hoặc không phải choice",IF(COUNTIFS($A$5:$A$404,A283,$B$5:$B$404,B283)&gt;1,"Trùng OptionOrder trong cùng choice",IF(OR(B283="",C283="",D283="",F283="",H283=""),"Thiếu trường bắt buộc",IF(OR(COUNTIF($A$5:$A$404,A283)&lt;2,COUNTIF($A$5:$A$404,A283)&gt;4),"Mỗi choice cần 2–4 option",IF(COUNTIFS('02_KICH_BAN_NODES'!$B$5:$B$204,A283,'02_KICH_BAN_NODES'!$E$5:$E$204,"Kiến thức")=1,IF(COUNTIFS($A$5:$A$404,A283,$D$5:$D$404,"Có")&lt;&gt;1,"Choice kiến thức cần đúng 1 đáp án đúng",""),IF(COUNTIFS('02_KICH_BAN_NODES'!$B$5:$B$204,A283,'02_KICH_BAN_NODES'!$E$5:$E$204,"Tương tác")=1,IF(COUNTIFS($A$5:$A$404,A283,$D$5:$D$404,"Có")&lt;&gt;0,"Choice tương tác không được đánh dấu đáp án đúng",""),"Choice chưa chọn loại")))))))</f>
        <v/>
      </c>
    </row>
    <row r="284" spans="1:11">
      <c r="A284" s="13"/>
      <c r="B284" s="13"/>
      <c r="C284" s="5"/>
      <c r="D284" s="13"/>
      <c r="E284" s="13"/>
      <c r="F284" s="13"/>
      <c r="G284" s="13"/>
      <c r="H284" s="5"/>
      <c r="I284" s="5"/>
      <c r="J284" s="6" t="str">
        <f t="shared" si="4"/>
        <v/>
      </c>
      <c r="K284" s="6" t="str">
        <f>IF(A284="","",IF(COUNTIFS('02_KICH_BAN_NODES'!$B$5:$B$204,A284,'02_KICH_BAN_NODES'!$D$5:$D$204,"choice")=0,"ChoiceNodeId không tồn tại hoặc không phải choice",IF(COUNTIFS($A$5:$A$404,A284,$B$5:$B$404,B284)&gt;1,"Trùng OptionOrder trong cùng choice",IF(OR(B284="",C284="",D284="",F284="",H284=""),"Thiếu trường bắt buộc",IF(OR(COUNTIF($A$5:$A$404,A284)&lt;2,COUNTIF($A$5:$A$404,A284)&gt;4),"Mỗi choice cần 2–4 option",IF(COUNTIFS('02_KICH_BAN_NODES'!$B$5:$B$204,A284,'02_KICH_BAN_NODES'!$E$5:$E$204,"Kiến thức")=1,IF(COUNTIFS($A$5:$A$404,A284,$D$5:$D$404,"Có")&lt;&gt;1,"Choice kiến thức cần đúng 1 đáp án đúng",""),IF(COUNTIFS('02_KICH_BAN_NODES'!$B$5:$B$204,A284,'02_KICH_BAN_NODES'!$E$5:$E$204,"Tương tác")=1,IF(COUNTIFS($A$5:$A$404,A284,$D$5:$D$404,"Có")&lt;&gt;0,"Choice tương tác không được đánh dấu đáp án đúng",""),"Choice chưa chọn loại")))))))</f>
        <v/>
      </c>
    </row>
    <row r="285" spans="1:11">
      <c r="A285" s="13"/>
      <c r="B285" s="13"/>
      <c r="C285" s="5"/>
      <c r="D285" s="13"/>
      <c r="E285" s="13"/>
      <c r="F285" s="13"/>
      <c r="G285" s="13"/>
      <c r="H285" s="5"/>
      <c r="I285" s="5"/>
      <c r="J285" s="6" t="str">
        <f t="shared" si="4"/>
        <v/>
      </c>
      <c r="K285" s="6" t="str">
        <f>IF(A285="","",IF(COUNTIFS('02_KICH_BAN_NODES'!$B$5:$B$204,A285,'02_KICH_BAN_NODES'!$D$5:$D$204,"choice")=0,"ChoiceNodeId không tồn tại hoặc không phải choice",IF(COUNTIFS($A$5:$A$404,A285,$B$5:$B$404,B285)&gt;1,"Trùng OptionOrder trong cùng choice",IF(OR(B285="",C285="",D285="",F285="",H285=""),"Thiếu trường bắt buộc",IF(OR(COUNTIF($A$5:$A$404,A285)&lt;2,COUNTIF($A$5:$A$404,A285)&gt;4),"Mỗi choice cần 2–4 option",IF(COUNTIFS('02_KICH_BAN_NODES'!$B$5:$B$204,A285,'02_KICH_BAN_NODES'!$E$5:$E$204,"Kiến thức")=1,IF(COUNTIFS($A$5:$A$404,A285,$D$5:$D$404,"Có")&lt;&gt;1,"Choice kiến thức cần đúng 1 đáp án đúng",""),IF(COUNTIFS('02_KICH_BAN_NODES'!$B$5:$B$204,A285,'02_KICH_BAN_NODES'!$E$5:$E$204,"Tương tác")=1,IF(COUNTIFS($A$5:$A$404,A285,$D$5:$D$404,"Có")&lt;&gt;0,"Choice tương tác không được đánh dấu đáp án đúng",""),"Choice chưa chọn loại")))))))</f>
        <v/>
      </c>
    </row>
    <row r="286" spans="1:11">
      <c r="A286" s="13"/>
      <c r="B286" s="13"/>
      <c r="C286" s="5"/>
      <c r="D286" s="13"/>
      <c r="E286" s="13"/>
      <c r="F286" s="13"/>
      <c r="G286" s="13"/>
      <c r="H286" s="5"/>
      <c r="I286" s="5"/>
      <c r="J286" s="6" t="str">
        <f t="shared" si="4"/>
        <v/>
      </c>
      <c r="K286" s="6" t="str">
        <f>IF(A286="","",IF(COUNTIFS('02_KICH_BAN_NODES'!$B$5:$B$204,A286,'02_KICH_BAN_NODES'!$D$5:$D$204,"choice")=0,"ChoiceNodeId không tồn tại hoặc không phải choice",IF(COUNTIFS($A$5:$A$404,A286,$B$5:$B$404,B286)&gt;1,"Trùng OptionOrder trong cùng choice",IF(OR(B286="",C286="",D286="",F286="",H286=""),"Thiếu trường bắt buộc",IF(OR(COUNTIF($A$5:$A$404,A286)&lt;2,COUNTIF($A$5:$A$404,A286)&gt;4),"Mỗi choice cần 2–4 option",IF(COUNTIFS('02_KICH_BAN_NODES'!$B$5:$B$204,A286,'02_KICH_BAN_NODES'!$E$5:$E$204,"Kiến thức")=1,IF(COUNTIFS($A$5:$A$404,A286,$D$5:$D$404,"Có")&lt;&gt;1,"Choice kiến thức cần đúng 1 đáp án đúng",""),IF(COUNTIFS('02_KICH_BAN_NODES'!$B$5:$B$204,A286,'02_KICH_BAN_NODES'!$E$5:$E$204,"Tương tác")=1,IF(COUNTIFS($A$5:$A$404,A286,$D$5:$D$404,"Có")&lt;&gt;0,"Choice tương tác không được đánh dấu đáp án đúng",""),"Choice chưa chọn loại")))))))</f>
        <v/>
      </c>
    </row>
    <row r="287" spans="1:11">
      <c r="A287" s="13"/>
      <c r="B287" s="13"/>
      <c r="C287" s="5"/>
      <c r="D287" s="13"/>
      <c r="E287" s="13"/>
      <c r="F287" s="13"/>
      <c r="G287" s="13"/>
      <c r="H287" s="5"/>
      <c r="I287" s="5"/>
      <c r="J287" s="6" t="str">
        <f t="shared" si="4"/>
        <v/>
      </c>
      <c r="K287" s="6" t="str">
        <f>IF(A287="","",IF(COUNTIFS('02_KICH_BAN_NODES'!$B$5:$B$204,A287,'02_KICH_BAN_NODES'!$D$5:$D$204,"choice")=0,"ChoiceNodeId không tồn tại hoặc không phải choice",IF(COUNTIFS($A$5:$A$404,A287,$B$5:$B$404,B287)&gt;1,"Trùng OptionOrder trong cùng choice",IF(OR(B287="",C287="",D287="",F287="",H287=""),"Thiếu trường bắt buộc",IF(OR(COUNTIF($A$5:$A$404,A287)&lt;2,COUNTIF($A$5:$A$404,A287)&gt;4),"Mỗi choice cần 2–4 option",IF(COUNTIFS('02_KICH_BAN_NODES'!$B$5:$B$204,A287,'02_KICH_BAN_NODES'!$E$5:$E$204,"Kiến thức")=1,IF(COUNTIFS($A$5:$A$404,A287,$D$5:$D$404,"Có")&lt;&gt;1,"Choice kiến thức cần đúng 1 đáp án đúng",""),IF(COUNTIFS('02_KICH_BAN_NODES'!$B$5:$B$204,A287,'02_KICH_BAN_NODES'!$E$5:$E$204,"Tương tác")=1,IF(COUNTIFS($A$5:$A$404,A287,$D$5:$D$404,"Có")&lt;&gt;0,"Choice tương tác không được đánh dấu đáp án đúng",""),"Choice chưa chọn loại")))))))</f>
        <v/>
      </c>
    </row>
    <row r="288" spans="1:11">
      <c r="A288" s="13"/>
      <c r="B288" s="13"/>
      <c r="C288" s="5"/>
      <c r="D288" s="13"/>
      <c r="E288" s="13"/>
      <c r="F288" s="13"/>
      <c r="G288" s="13"/>
      <c r="H288" s="5"/>
      <c r="I288" s="5"/>
      <c r="J288" s="6" t="str">
        <f t="shared" si="4"/>
        <v/>
      </c>
      <c r="K288" s="6" t="str">
        <f>IF(A288="","",IF(COUNTIFS('02_KICH_BAN_NODES'!$B$5:$B$204,A288,'02_KICH_BAN_NODES'!$D$5:$D$204,"choice")=0,"ChoiceNodeId không tồn tại hoặc không phải choice",IF(COUNTIFS($A$5:$A$404,A288,$B$5:$B$404,B288)&gt;1,"Trùng OptionOrder trong cùng choice",IF(OR(B288="",C288="",D288="",F288="",H288=""),"Thiếu trường bắt buộc",IF(OR(COUNTIF($A$5:$A$404,A288)&lt;2,COUNTIF($A$5:$A$404,A288)&gt;4),"Mỗi choice cần 2–4 option",IF(COUNTIFS('02_KICH_BAN_NODES'!$B$5:$B$204,A288,'02_KICH_BAN_NODES'!$E$5:$E$204,"Kiến thức")=1,IF(COUNTIFS($A$5:$A$404,A288,$D$5:$D$404,"Có")&lt;&gt;1,"Choice kiến thức cần đúng 1 đáp án đúng",""),IF(COUNTIFS('02_KICH_BAN_NODES'!$B$5:$B$204,A288,'02_KICH_BAN_NODES'!$E$5:$E$204,"Tương tác")=1,IF(COUNTIFS($A$5:$A$404,A288,$D$5:$D$404,"Có")&lt;&gt;0,"Choice tương tác không được đánh dấu đáp án đúng",""),"Choice chưa chọn loại")))))))</f>
        <v/>
      </c>
    </row>
    <row r="289" spans="1:11">
      <c r="A289" s="13"/>
      <c r="B289" s="13"/>
      <c r="C289" s="5"/>
      <c r="D289" s="13"/>
      <c r="E289" s="13"/>
      <c r="F289" s="13"/>
      <c r="G289" s="13"/>
      <c r="H289" s="5"/>
      <c r="I289" s="5"/>
      <c r="J289" s="6" t="str">
        <f t="shared" si="4"/>
        <v/>
      </c>
      <c r="K289" s="6" t="str">
        <f>IF(A289="","",IF(COUNTIFS('02_KICH_BAN_NODES'!$B$5:$B$204,A289,'02_KICH_BAN_NODES'!$D$5:$D$204,"choice")=0,"ChoiceNodeId không tồn tại hoặc không phải choice",IF(COUNTIFS($A$5:$A$404,A289,$B$5:$B$404,B289)&gt;1,"Trùng OptionOrder trong cùng choice",IF(OR(B289="",C289="",D289="",F289="",H289=""),"Thiếu trường bắt buộc",IF(OR(COUNTIF($A$5:$A$404,A289)&lt;2,COUNTIF($A$5:$A$404,A289)&gt;4),"Mỗi choice cần 2–4 option",IF(COUNTIFS('02_KICH_BAN_NODES'!$B$5:$B$204,A289,'02_KICH_BAN_NODES'!$E$5:$E$204,"Kiến thức")=1,IF(COUNTIFS($A$5:$A$404,A289,$D$5:$D$404,"Có")&lt;&gt;1,"Choice kiến thức cần đúng 1 đáp án đúng",""),IF(COUNTIFS('02_KICH_BAN_NODES'!$B$5:$B$204,A289,'02_KICH_BAN_NODES'!$E$5:$E$204,"Tương tác")=1,IF(COUNTIFS($A$5:$A$404,A289,$D$5:$D$404,"Có")&lt;&gt;0,"Choice tương tác không được đánh dấu đáp án đúng",""),"Choice chưa chọn loại")))))))</f>
        <v/>
      </c>
    </row>
    <row r="290" spans="1:11">
      <c r="A290" s="13"/>
      <c r="B290" s="13"/>
      <c r="C290" s="5"/>
      <c r="D290" s="13"/>
      <c r="E290" s="13"/>
      <c r="F290" s="13"/>
      <c r="G290" s="13"/>
      <c r="H290" s="5"/>
      <c r="I290" s="5"/>
      <c r="J290" s="6" t="str">
        <f t="shared" si="4"/>
        <v/>
      </c>
      <c r="K290" s="6" t="str">
        <f>IF(A290="","",IF(COUNTIFS('02_KICH_BAN_NODES'!$B$5:$B$204,A290,'02_KICH_BAN_NODES'!$D$5:$D$204,"choice")=0,"ChoiceNodeId không tồn tại hoặc không phải choice",IF(COUNTIFS($A$5:$A$404,A290,$B$5:$B$404,B290)&gt;1,"Trùng OptionOrder trong cùng choice",IF(OR(B290="",C290="",D290="",F290="",H290=""),"Thiếu trường bắt buộc",IF(OR(COUNTIF($A$5:$A$404,A290)&lt;2,COUNTIF($A$5:$A$404,A290)&gt;4),"Mỗi choice cần 2–4 option",IF(COUNTIFS('02_KICH_BAN_NODES'!$B$5:$B$204,A290,'02_KICH_BAN_NODES'!$E$5:$E$204,"Kiến thức")=1,IF(COUNTIFS($A$5:$A$404,A290,$D$5:$D$404,"Có")&lt;&gt;1,"Choice kiến thức cần đúng 1 đáp án đúng",""),IF(COUNTIFS('02_KICH_BAN_NODES'!$B$5:$B$204,A290,'02_KICH_BAN_NODES'!$E$5:$E$204,"Tương tác")=1,IF(COUNTIFS($A$5:$A$404,A290,$D$5:$D$404,"Có")&lt;&gt;0,"Choice tương tác không được đánh dấu đáp án đúng",""),"Choice chưa chọn loại")))))))</f>
        <v/>
      </c>
    </row>
    <row r="291" spans="1:11">
      <c r="A291" s="13"/>
      <c r="B291" s="13"/>
      <c r="C291" s="5"/>
      <c r="D291" s="13"/>
      <c r="E291" s="13"/>
      <c r="F291" s="13"/>
      <c r="G291" s="13"/>
      <c r="H291" s="5"/>
      <c r="I291" s="5"/>
      <c r="J291" s="6" t="str">
        <f t="shared" si="4"/>
        <v/>
      </c>
      <c r="K291" s="6" t="str">
        <f>IF(A291="","",IF(COUNTIFS('02_KICH_BAN_NODES'!$B$5:$B$204,A291,'02_KICH_BAN_NODES'!$D$5:$D$204,"choice")=0,"ChoiceNodeId không tồn tại hoặc không phải choice",IF(COUNTIFS($A$5:$A$404,A291,$B$5:$B$404,B291)&gt;1,"Trùng OptionOrder trong cùng choice",IF(OR(B291="",C291="",D291="",F291="",H291=""),"Thiếu trường bắt buộc",IF(OR(COUNTIF($A$5:$A$404,A291)&lt;2,COUNTIF($A$5:$A$404,A291)&gt;4),"Mỗi choice cần 2–4 option",IF(COUNTIFS('02_KICH_BAN_NODES'!$B$5:$B$204,A291,'02_KICH_BAN_NODES'!$E$5:$E$204,"Kiến thức")=1,IF(COUNTIFS($A$5:$A$404,A291,$D$5:$D$404,"Có")&lt;&gt;1,"Choice kiến thức cần đúng 1 đáp án đúng",""),IF(COUNTIFS('02_KICH_BAN_NODES'!$B$5:$B$204,A291,'02_KICH_BAN_NODES'!$E$5:$E$204,"Tương tác")=1,IF(COUNTIFS($A$5:$A$404,A291,$D$5:$D$404,"Có")&lt;&gt;0,"Choice tương tác không được đánh dấu đáp án đúng",""),"Choice chưa chọn loại")))))))</f>
        <v/>
      </c>
    </row>
    <row r="292" spans="1:11">
      <c r="A292" s="13"/>
      <c r="B292" s="13"/>
      <c r="C292" s="5"/>
      <c r="D292" s="13"/>
      <c r="E292" s="13"/>
      <c r="F292" s="13"/>
      <c r="G292" s="13"/>
      <c r="H292" s="5"/>
      <c r="I292" s="5"/>
      <c r="J292" s="6" t="str">
        <f t="shared" si="4"/>
        <v/>
      </c>
      <c r="K292" s="6" t="str">
        <f>IF(A292="","",IF(COUNTIFS('02_KICH_BAN_NODES'!$B$5:$B$204,A292,'02_KICH_BAN_NODES'!$D$5:$D$204,"choice")=0,"ChoiceNodeId không tồn tại hoặc không phải choice",IF(COUNTIFS($A$5:$A$404,A292,$B$5:$B$404,B292)&gt;1,"Trùng OptionOrder trong cùng choice",IF(OR(B292="",C292="",D292="",F292="",H292=""),"Thiếu trường bắt buộc",IF(OR(COUNTIF($A$5:$A$404,A292)&lt;2,COUNTIF($A$5:$A$404,A292)&gt;4),"Mỗi choice cần 2–4 option",IF(COUNTIFS('02_KICH_BAN_NODES'!$B$5:$B$204,A292,'02_KICH_BAN_NODES'!$E$5:$E$204,"Kiến thức")=1,IF(COUNTIFS($A$5:$A$404,A292,$D$5:$D$404,"Có")&lt;&gt;1,"Choice kiến thức cần đúng 1 đáp án đúng",""),IF(COUNTIFS('02_KICH_BAN_NODES'!$B$5:$B$204,A292,'02_KICH_BAN_NODES'!$E$5:$E$204,"Tương tác")=1,IF(COUNTIFS($A$5:$A$404,A292,$D$5:$D$404,"Có")&lt;&gt;0,"Choice tương tác không được đánh dấu đáp án đúng",""),"Choice chưa chọn loại")))))))</f>
        <v/>
      </c>
    </row>
    <row r="293" spans="1:11">
      <c r="A293" s="13"/>
      <c r="B293" s="13"/>
      <c r="C293" s="5"/>
      <c r="D293" s="13"/>
      <c r="E293" s="13"/>
      <c r="F293" s="13"/>
      <c r="G293" s="13"/>
      <c r="H293" s="5"/>
      <c r="I293" s="5"/>
      <c r="J293" s="6" t="str">
        <f t="shared" si="4"/>
        <v/>
      </c>
      <c r="K293" s="6" t="str">
        <f>IF(A293="","",IF(COUNTIFS('02_KICH_BAN_NODES'!$B$5:$B$204,A293,'02_KICH_BAN_NODES'!$D$5:$D$204,"choice")=0,"ChoiceNodeId không tồn tại hoặc không phải choice",IF(COUNTIFS($A$5:$A$404,A293,$B$5:$B$404,B293)&gt;1,"Trùng OptionOrder trong cùng choice",IF(OR(B293="",C293="",D293="",F293="",H293=""),"Thiếu trường bắt buộc",IF(OR(COUNTIF($A$5:$A$404,A293)&lt;2,COUNTIF($A$5:$A$404,A293)&gt;4),"Mỗi choice cần 2–4 option",IF(COUNTIFS('02_KICH_BAN_NODES'!$B$5:$B$204,A293,'02_KICH_BAN_NODES'!$E$5:$E$204,"Kiến thức")=1,IF(COUNTIFS($A$5:$A$404,A293,$D$5:$D$404,"Có")&lt;&gt;1,"Choice kiến thức cần đúng 1 đáp án đúng",""),IF(COUNTIFS('02_KICH_BAN_NODES'!$B$5:$B$204,A293,'02_KICH_BAN_NODES'!$E$5:$E$204,"Tương tác")=1,IF(COUNTIFS($A$5:$A$404,A293,$D$5:$D$404,"Có")&lt;&gt;0,"Choice tương tác không được đánh dấu đáp án đúng",""),"Choice chưa chọn loại")))))))</f>
        <v/>
      </c>
    </row>
    <row r="294" spans="1:11">
      <c r="A294" s="13"/>
      <c r="B294" s="13"/>
      <c r="C294" s="5"/>
      <c r="D294" s="13"/>
      <c r="E294" s="13"/>
      <c r="F294" s="13"/>
      <c r="G294" s="13"/>
      <c r="H294" s="5"/>
      <c r="I294" s="5"/>
      <c r="J294" s="6" t="str">
        <f t="shared" si="4"/>
        <v/>
      </c>
      <c r="K294" s="6" t="str">
        <f>IF(A294="","",IF(COUNTIFS('02_KICH_BAN_NODES'!$B$5:$B$204,A294,'02_KICH_BAN_NODES'!$D$5:$D$204,"choice")=0,"ChoiceNodeId không tồn tại hoặc không phải choice",IF(COUNTIFS($A$5:$A$404,A294,$B$5:$B$404,B294)&gt;1,"Trùng OptionOrder trong cùng choice",IF(OR(B294="",C294="",D294="",F294="",H294=""),"Thiếu trường bắt buộc",IF(OR(COUNTIF($A$5:$A$404,A294)&lt;2,COUNTIF($A$5:$A$404,A294)&gt;4),"Mỗi choice cần 2–4 option",IF(COUNTIFS('02_KICH_BAN_NODES'!$B$5:$B$204,A294,'02_KICH_BAN_NODES'!$E$5:$E$204,"Kiến thức")=1,IF(COUNTIFS($A$5:$A$404,A294,$D$5:$D$404,"Có")&lt;&gt;1,"Choice kiến thức cần đúng 1 đáp án đúng",""),IF(COUNTIFS('02_KICH_BAN_NODES'!$B$5:$B$204,A294,'02_KICH_BAN_NODES'!$E$5:$E$204,"Tương tác")=1,IF(COUNTIFS($A$5:$A$404,A294,$D$5:$D$404,"Có")&lt;&gt;0,"Choice tương tác không được đánh dấu đáp án đúng",""),"Choice chưa chọn loại")))))))</f>
        <v/>
      </c>
    </row>
    <row r="295" spans="1:11">
      <c r="A295" s="13"/>
      <c r="B295" s="13"/>
      <c r="C295" s="5"/>
      <c r="D295" s="13"/>
      <c r="E295" s="13"/>
      <c r="F295" s="13"/>
      <c r="G295" s="13"/>
      <c r="H295" s="5"/>
      <c r="I295" s="5"/>
      <c r="J295" s="6" t="str">
        <f t="shared" si="4"/>
        <v/>
      </c>
      <c r="K295" s="6" t="str">
        <f>IF(A295="","",IF(COUNTIFS('02_KICH_BAN_NODES'!$B$5:$B$204,A295,'02_KICH_BAN_NODES'!$D$5:$D$204,"choice")=0,"ChoiceNodeId không tồn tại hoặc không phải choice",IF(COUNTIFS($A$5:$A$404,A295,$B$5:$B$404,B295)&gt;1,"Trùng OptionOrder trong cùng choice",IF(OR(B295="",C295="",D295="",F295="",H295=""),"Thiếu trường bắt buộc",IF(OR(COUNTIF($A$5:$A$404,A295)&lt;2,COUNTIF($A$5:$A$404,A295)&gt;4),"Mỗi choice cần 2–4 option",IF(COUNTIFS('02_KICH_BAN_NODES'!$B$5:$B$204,A295,'02_KICH_BAN_NODES'!$E$5:$E$204,"Kiến thức")=1,IF(COUNTIFS($A$5:$A$404,A295,$D$5:$D$404,"Có")&lt;&gt;1,"Choice kiến thức cần đúng 1 đáp án đúng",""),IF(COUNTIFS('02_KICH_BAN_NODES'!$B$5:$B$204,A295,'02_KICH_BAN_NODES'!$E$5:$E$204,"Tương tác")=1,IF(COUNTIFS($A$5:$A$404,A295,$D$5:$D$404,"Có")&lt;&gt;0,"Choice tương tác không được đánh dấu đáp án đúng",""),"Choice chưa chọn loại")))))))</f>
        <v/>
      </c>
    </row>
    <row r="296" spans="1:11">
      <c r="A296" s="13"/>
      <c r="B296" s="13"/>
      <c r="C296" s="5"/>
      <c r="D296" s="13"/>
      <c r="E296" s="13"/>
      <c r="F296" s="13"/>
      <c r="G296" s="13"/>
      <c r="H296" s="5"/>
      <c r="I296" s="5"/>
      <c r="J296" s="6" t="str">
        <f t="shared" si="4"/>
        <v/>
      </c>
      <c r="K296" s="6" t="str">
        <f>IF(A296="","",IF(COUNTIFS('02_KICH_BAN_NODES'!$B$5:$B$204,A296,'02_KICH_BAN_NODES'!$D$5:$D$204,"choice")=0,"ChoiceNodeId không tồn tại hoặc không phải choice",IF(COUNTIFS($A$5:$A$404,A296,$B$5:$B$404,B296)&gt;1,"Trùng OptionOrder trong cùng choice",IF(OR(B296="",C296="",D296="",F296="",H296=""),"Thiếu trường bắt buộc",IF(OR(COUNTIF($A$5:$A$404,A296)&lt;2,COUNTIF($A$5:$A$404,A296)&gt;4),"Mỗi choice cần 2–4 option",IF(COUNTIFS('02_KICH_BAN_NODES'!$B$5:$B$204,A296,'02_KICH_BAN_NODES'!$E$5:$E$204,"Kiến thức")=1,IF(COUNTIFS($A$5:$A$404,A296,$D$5:$D$404,"Có")&lt;&gt;1,"Choice kiến thức cần đúng 1 đáp án đúng",""),IF(COUNTIFS('02_KICH_BAN_NODES'!$B$5:$B$204,A296,'02_KICH_BAN_NODES'!$E$5:$E$204,"Tương tác")=1,IF(COUNTIFS($A$5:$A$404,A296,$D$5:$D$404,"Có")&lt;&gt;0,"Choice tương tác không được đánh dấu đáp án đúng",""),"Choice chưa chọn loại")))))))</f>
        <v/>
      </c>
    </row>
    <row r="297" spans="1:11">
      <c r="A297" s="13"/>
      <c r="B297" s="13"/>
      <c r="C297" s="5"/>
      <c r="D297" s="13"/>
      <c r="E297" s="13"/>
      <c r="F297" s="13"/>
      <c r="G297" s="13"/>
      <c r="H297" s="5"/>
      <c r="I297" s="5"/>
      <c r="J297" s="6" t="str">
        <f t="shared" si="4"/>
        <v/>
      </c>
      <c r="K297" s="6" t="str">
        <f>IF(A297="","",IF(COUNTIFS('02_KICH_BAN_NODES'!$B$5:$B$204,A297,'02_KICH_BAN_NODES'!$D$5:$D$204,"choice")=0,"ChoiceNodeId không tồn tại hoặc không phải choice",IF(COUNTIFS($A$5:$A$404,A297,$B$5:$B$404,B297)&gt;1,"Trùng OptionOrder trong cùng choice",IF(OR(B297="",C297="",D297="",F297="",H297=""),"Thiếu trường bắt buộc",IF(OR(COUNTIF($A$5:$A$404,A297)&lt;2,COUNTIF($A$5:$A$404,A297)&gt;4),"Mỗi choice cần 2–4 option",IF(COUNTIFS('02_KICH_BAN_NODES'!$B$5:$B$204,A297,'02_KICH_BAN_NODES'!$E$5:$E$204,"Kiến thức")=1,IF(COUNTIFS($A$5:$A$404,A297,$D$5:$D$404,"Có")&lt;&gt;1,"Choice kiến thức cần đúng 1 đáp án đúng",""),IF(COUNTIFS('02_KICH_BAN_NODES'!$B$5:$B$204,A297,'02_KICH_BAN_NODES'!$E$5:$E$204,"Tương tác")=1,IF(COUNTIFS($A$5:$A$404,A297,$D$5:$D$404,"Có")&lt;&gt;0,"Choice tương tác không được đánh dấu đáp án đúng",""),"Choice chưa chọn loại")))))))</f>
        <v/>
      </c>
    </row>
    <row r="298" spans="1:11">
      <c r="A298" s="13"/>
      <c r="B298" s="13"/>
      <c r="C298" s="5"/>
      <c r="D298" s="13"/>
      <c r="E298" s="13"/>
      <c r="F298" s="13"/>
      <c r="G298" s="13"/>
      <c r="H298" s="5"/>
      <c r="I298" s="5"/>
      <c r="J298" s="6" t="str">
        <f t="shared" si="4"/>
        <v/>
      </c>
      <c r="K298" s="6" t="str">
        <f>IF(A298="","",IF(COUNTIFS('02_KICH_BAN_NODES'!$B$5:$B$204,A298,'02_KICH_BAN_NODES'!$D$5:$D$204,"choice")=0,"ChoiceNodeId không tồn tại hoặc không phải choice",IF(COUNTIFS($A$5:$A$404,A298,$B$5:$B$404,B298)&gt;1,"Trùng OptionOrder trong cùng choice",IF(OR(B298="",C298="",D298="",F298="",H298=""),"Thiếu trường bắt buộc",IF(OR(COUNTIF($A$5:$A$404,A298)&lt;2,COUNTIF($A$5:$A$404,A298)&gt;4),"Mỗi choice cần 2–4 option",IF(COUNTIFS('02_KICH_BAN_NODES'!$B$5:$B$204,A298,'02_KICH_BAN_NODES'!$E$5:$E$204,"Kiến thức")=1,IF(COUNTIFS($A$5:$A$404,A298,$D$5:$D$404,"Có")&lt;&gt;1,"Choice kiến thức cần đúng 1 đáp án đúng",""),IF(COUNTIFS('02_KICH_BAN_NODES'!$B$5:$B$204,A298,'02_KICH_BAN_NODES'!$E$5:$E$204,"Tương tác")=1,IF(COUNTIFS($A$5:$A$404,A298,$D$5:$D$404,"Có")&lt;&gt;0,"Choice tương tác không được đánh dấu đáp án đúng",""),"Choice chưa chọn loại")))))))</f>
        <v/>
      </c>
    </row>
    <row r="299" spans="1:11">
      <c r="A299" s="13"/>
      <c r="B299" s="13"/>
      <c r="C299" s="5"/>
      <c r="D299" s="13"/>
      <c r="E299" s="13"/>
      <c r="F299" s="13"/>
      <c r="G299" s="13"/>
      <c r="H299" s="5"/>
      <c r="I299" s="5"/>
      <c r="J299" s="6" t="str">
        <f t="shared" si="4"/>
        <v/>
      </c>
      <c r="K299" s="6" t="str">
        <f>IF(A299="","",IF(COUNTIFS('02_KICH_BAN_NODES'!$B$5:$B$204,A299,'02_KICH_BAN_NODES'!$D$5:$D$204,"choice")=0,"ChoiceNodeId không tồn tại hoặc không phải choice",IF(COUNTIFS($A$5:$A$404,A299,$B$5:$B$404,B299)&gt;1,"Trùng OptionOrder trong cùng choice",IF(OR(B299="",C299="",D299="",F299="",H299=""),"Thiếu trường bắt buộc",IF(OR(COUNTIF($A$5:$A$404,A299)&lt;2,COUNTIF($A$5:$A$404,A299)&gt;4),"Mỗi choice cần 2–4 option",IF(COUNTIFS('02_KICH_BAN_NODES'!$B$5:$B$204,A299,'02_KICH_BAN_NODES'!$E$5:$E$204,"Kiến thức")=1,IF(COUNTIFS($A$5:$A$404,A299,$D$5:$D$404,"Có")&lt;&gt;1,"Choice kiến thức cần đúng 1 đáp án đúng",""),IF(COUNTIFS('02_KICH_BAN_NODES'!$B$5:$B$204,A299,'02_KICH_BAN_NODES'!$E$5:$E$204,"Tương tác")=1,IF(COUNTIFS($A$5:$A$404,A299,$D$5:$D$404,"Có")&lt;&gt;0,"Choice tương tác không được đánh dấu đáp án đúng",""),"Choice chưa chọn loại")))))))</f>
        <v/>
      </c>
    </row>
    <row r="300" spans="1:11">
      <c r="A300" s="13"/>
      <c r="B300" s="13"/>
      <c r="C300" s="5"/>
      <c r="D300" s="13"/>
      <c r="E300" s="13"/>
      <c r="F300" s="13"/>
      <c r="G300" s="13"/>
      <c r="H300" s="5"/>
      <c r="I300" s="5"/>
      <c r="J300" s="6" t="str">
        <f t="shared" si="4"/>
        <v/>
      </c>
      <c r="K300" s="6" t="str">
        <f>IF(A300="","",IF(COUNTIFS('02_KICH_BAN_NODES'!$B$5:$B$204,A300,'02_KICH_BAN_NODES'!$D$5:$D$204,"choice")=0,"ChoiceNodeId không tồn tại hoặc không phải choice",IF(COUNTIFS($A$5:$A$404,A300,$B$5:$B$404,B300)&gt;1,"Trùng OptionOrder trong cùng choice",IF(OR(B300="",C300="",D300="",F300="",H300=""),"Thiếu trường bắt buộc",IF(OR(COUNTIF($A$5:$A$404,A300)&lt;2,COUNTIF($A$5:$A$404,A300)&gt;4),"Mỗi choice cần 2–4 option",IF(COUNTIFS('02_KICH_BAN_NODES'!$B$5:$B$204,A300,'02_KICH_BAN_NODES'!$E$5:$E$204,"Kiến thức")=1,IF(COUNTIFS($A$5:$A$404,A300,$D$5:$D$404,"Có")&lt;&gt;1,"Choice kiến thức cần đúng 1 đáp án đúng",""),IF(COUNTIFS('02_KICH_BAN_NODES'!$B$5:$B$204,A300,'02_KICH_BAN_NODES'!$E$5:$E$204,"Tương tác")=1,IF(COUNTIFS($A$5:$A$404,A300,$D$5:$D$404,"Có")&lt;&gt;0,"Choice tương tác không được đánh dấu đáp án đúng",""),"Choice chưa chọn loại")))))))</f>
        <v/>
      </c>
    </row>
    <row r="301" spans="1:11">
      <c r="A301" s="13"/>
      <c r="B301" s="13"/>
      <c r="C301" s="5"/>
      <c r="D301" s="13"/>
      <c r="E301" s="13"/>
      <c r="F301" s="13"/>
      <c r="G301" s="13"/>
      <c r="H301" s="5"/>
      <c r="I301" s="5"/>
      <c r="J301" s="6" t="str">
        <f t="shared" si="4"/>
        <v/>
      </c>
      <c r="K301" s="6" t="str">
        <f>IF(A301="","",IF(COUNTIFS('02_KICH_BAN_NODES'!$B$5:$B$204,A301,'02_KICH_BAN_NODES'!$D$5:$D$204,"choice")=0,"ChoiceNodeId không tồn tại hoặc không phải choice",IF(COUNTIFS($A$5:$A$404,A301,$B$5:$B$404,B301)&gt;1,"Trùng OptionOrder trong cùng choice",IF(OR(B301="",C301="",D301="",F301="",H301=""),"Thiếu trường bắt buộc",IF(OR(COUNTIF($A$5:$A$404,A301)&lt;2,COUNTIF($A$5:$A$404,A301)&gt;4),"Mỗi choice cần 2–4 option",IF(COUNTIFS('02_KICH_BAN_NODES'!$B$5:$B$204,A301,'02_KICH_BAN_NODES'!$E$5:$E$204,"Kiến thức")=1,IF(COUNTIFS($A$5:$A$404,A301,$D$5:$D$404,"Có")&lt;&gt;1,"Choice kiến thức cần đúng 1 đáp án đúng",""),IF(COUNTIFS('02_KICH_BAN_NODES'!$B$5:$B$204,A301,'02_KICH_BAN_NODES'!$E$5:$E$204,"Tương tác")=1,IF(COUNTIFS($A$5:$A$404,A301,$D$5:$D$404,"Có")&lt;&gt;0,"Choice tương tác không được đánh dấu đáp án đúng",""),"Choice chưa chọn loại")))))))</f>
        <v/>
      </c>
    </row>
    <row r="302" spans="1:11">
      <c r="A302" s="13"/>
      <c r="B302" s="13"/>
      <c r="C302" s="5"/>
      <c r="D302" s="13"/>
      <c r="E302" s="13"/>
      <c r="F302" s="13"/>
      <c r="G302" s="13"/>
      <c r="H302" s="5"/>
      <c r="I302" s="5"/>
      <c r="J302" s="6" t="str">
        <f t="shared" si="4"/>
        <v/>
      </c>
      <c r="K302" s="6" t="str">
        <f>IF(A302="","",IF(COUNTIFS('02_KICH_BAN_NODES'!$B$5:$B$204,A302,'02_KICH_BAN_NODES'!$D$5:$D$204,"choice")=0,"ChoiceNodeId không tồn tại hoặc không phải choice",IF(COUNTIFS($A$5:$A$404,A302,$B$5:$B$404,B302)&gt;1,"Trùng OptionOrder trong cùng choice",IF(OR(B302="",C302="",D302="",F302="",H302=""),"Thiếu trường bắt buộc",IF(OR(COUNTIF($A$5:$A$404,A302)&lt;2,COUNTIF($A$5:$A$404,A302)&gt;4),"Mỗi choice cần 2–4 option",IF(COUNTIFS('02_KICH_BAN_NODES'!$B$5:$B$204,A302,'02_KICH_BAN_NODES'!$E$5:$E$204,"Kiến thức")=1,IF(COUNTIFS($A$5:$A$404,A302,$D$5:$D$404,"Có")&lt;&gt;1,"Choice kiến thức cần đúng 1 đáp án đúng",""),IF(COUNTIFS('02_KICH_BAN_NODES'!$B$5:$B$204,A302,'02_KICH_BAN_NODES'!$E$5:$E$204,"Tương tác")=1,IF(COUNTIFS($A$5:$A$404,A302,$D$5:$D$404,"Có")&lt;&gt;0,"Choice tương tác không được đánh dấu đáp án đúng",""),"Choice chưa chọn loại")))))))</f>
        <v/>
      </c>
    </row>
    <row r="303" spans="1:11">
      <c r="A303" s="13"/>
      <c r="B303" s="13"/>
      <c r="C303" s="5"/>
      <c r="D303" s="13"/>
      <c r="E303" s="13"/>
      <c r="F303" s="13"/>
      <c r="G303" s="13"/>
      <c r="H303" s="5"/>
      <c r="I303" s="5"/>
      <c r="J303" s="6" t="str">
        <f t="shared" si="4"/>
        <v/>
      </c>
      <c r="K303" s="6" t="str">
        <f>IF(A303="","",IF(COUNTIFS('02_KICH_BAN_NODES'!$B$5:$B$204,A303,'02_KICH_BAN_NODES'!$D$5:$D$204,"choice")=0,"ChoiceNodeId không tồn tại hoặc không phải choice",IF(COUNTIFS($A$5:$A$404,A303,$B$5:$B$404,B303)&gt;1,"Trùng OptionOrder trong cùng choice",IF(OR(B303="",C303="",D303="",F303="",H303=""),"Thiếu trường bắt buộc",IF(OR(COUNTIF($A$5:$A$404,A303)&lt;2,COUNTIF($A$5:$A$404,A303)&gt;4),"Mỗi choice cần 2–4 option",IF(COUNTIFS('02_KICH_BAN_NODES'!$B$5:$B$204,A303,'02_KICH_BAN_NODES'!$E$5:$E$204,"Kiến thức")=1,IF(COUNTIFS($A$5:$A$404,A303,$D$5:$D$404,"Có")&lt;&gt;1,"Choice kiến thức cần đúng 1 đáp án đúng",""),IF(COUNTIFS('02_KICH_BAN_NODES'!$B$5:$B$204,A303,'02_KICH_BAN_NODES'!$E$5:$E$204,"Tương tác")=1,IF(COUNTIFS($A$5:$A$404,A303,$D$5:$D$404,"Có")&lt;&gt;0,"Choice tương tác không được đánh dấu đáp án đúng",""),"Choice chưa chọn loại")))))))</f>
        <v/>
      </c>
    </row>
    <row r="304" spans="1:11">
      <c r="A304" s="13"/>
      <c r="B304" s="13"/>
      <c r="C304" s="5"/>
      <c r="D304" s="13"/>
      <c r="E304" s="13"/>
      <c r="F304" s="13"/>
      <c r="G304" s="13"/>
      <c r="H304" s="5"/>
      <c r="I304" s="5"/>
      <c r="J304" s="6" t="str">
        <f t="shared" si="4"/>
        <v/>
      </c>
      <c r="K304" s="6" t="str">
        <f>IF(A304="","",IF(COUNTIFS('02_KICH_BAN_NODES'!$B$5:$B$204,A304,'02_KICH_BAN_NODES'!$D$5:$D$204,"choice")=0,"ChoiceNodeId không tồn tại hoặc không phải choice",IF(COUNTIFS($A$5:$A$404,A304,$B$5:$B$404,B304)&gt;1,"Trùng OptionOrder trong cùng choice",IF(OR(B304="",C304="",D304="",F304="",H304=""),"Thiếu trường bắt buộc",IF(OR(COUNTIF($A$5:$A$404,A304)&lt;2,COUNTIF($A$5:$A$404,A304)&gt;4),"Mỗi choice cần 2–4 option",IF(COUNTIFS('02_KICH_BAN_NODES'!$B$5:$B$204,A304,'02_KICH_BAN_NODES'!$E$5:$E$204,"Kiến thức")=1,IF(COUNTIFS($A$5:$A$404,A304,$D$5:$D$404,"Có")&lt;&gt;1,"Choice kiến thức cần đúng 1 đáp án đúng",""),IF(COUNTIFS('02_KICH_BAN_NODES'!$B$5:$B$204,A304,'02_KICH_BAN_NODES'!$E$5:$E$204,"Tương tác")=1,IF(COUNTIFS($A$5:$A$404,A304,$D$5:$D$404,"Có")&lt;&gt;0,"Choice tương tác không được đánh dấu đáp án đúng",""),"Choice chưa chọn loại")))))))</f>
        <v/>
      </c>
    </row>
    <row r="305" spans="1:11">
      <c r="A305" s="13"/>
      <c r="B305" s="13"/>
      <c r="C305" s="5"/>
      <c r="D305" s="13"/>
      <c r="E305" s="13"/>
      <c r="F305" s="13"/>
      <c r="G305" s="13"/>
      <c r="H305" s="5"/>
      <c r="I305" s="5"/>
      <c r="J305" s="6" t="str">
        <f t="shared" si="4"/>
        <v/>
      </c>
      <c r="K305" s="6" t="str">
        <f>IF(A305="","",IF(COUNTIFS('02_KICH_BAN_NODES'!$B$5:$B$204,A305,'02_KICH_BAN_NODES'!$D$5:$D$204,"choice")=0,"ChoiceNodeId không tồn tại hoặc không phải choice",IF(COUNTIFS($A$5:$A$404,A305,$B$5:$B$404,B305)&gt;1,"Trùng OptionOrder trong cùng choice",IF(OR(B305="",C305="",D305="",F305="",H305=""),"Thiếu trường bắt buộc",IF(OR(COUNTIF($A$5:$A$404,A305)&lt;2,COUNTIF($A$5:$A$404,A305)&gt;4),"Mỗi choice cần 2–4 option",IF(COUNTIFS('02_KICH_BAN_NODES'!$B$5:$B$204,A305,'02_KICH_BAN_NODES'!$E$5:$E$204,"Kiến thức")=1,IF(COUNTIFS($A$5:$A$404,A305,$D$5:$D$404,"Có")&lt;&gt;1,"Choice kiến thức cần đúng 1 đáp án đúng",""),IF(COUNTIFS('02_KICH_BAN_NODES'!$B$5:$B$204,A305,'02_KICH_BAN_NODES'!$E$5:$E$204,"Tương tác")=1,IF(COUNTIFS($A$5:$A$404,A305,$D$5:$D$404,"Có")&lt;&gt;0,"Choice tương tác không được đánh dấu đáp án đúng",""),"Choice chưa chọn loại")))))))</f>
        <v/>
      </c>
    </row>
    <row r="306" spans="1:11">
      <c r="A306" s="13"/>
      <c r="B306" s="13"/>
      <c r="C306" s="5"/>
      <c r="D306" s="13"/>
      <c r="E306" s="13"/>
      <c r="F306" s="13"/>
      <c r="G306" s="13"/>
      <c r="H306" s="5"/>
      <c r="I306" s="5"/>
      <c r="J306" s="6" t="str">
        <f t="shared" si="4"/>
        <v/>
      </c>
      <c r="K306" s="6" t="str">
        <f>IF(A306="","",IF(COUNTIFS('02_KICH_BAN_NODES'!$B$5:$B$204,A306,'02_KICH_BAN_NODES'!$D$5:$D$204,"choice")=0,"ChoiceNodeId không tồn tại hoặc không phải choice",IF(COUNTIFS($A$5:$A$404,A306,$B$5:$B$404,B306)&gt;1,"Trùng OptionOrder trong cùng choice",IF(OR(B306="",C306="",D306="",F306="",H306=""),"Thiếu trường bắt buộc",IF(OR(COUNTIF($A$5:$A$404,A306)&lt;2,COUNTIF($A$5:$A$404,A306)&gt;4),"Mỗi choice cần 2–4 option",IF(COUNTIFS('02_KICH_BAN_NODES'!$B$5:$B$204,A306,'02_KICH_BAN_NODES'!$E$5:$E$204,"Kiến thức")=1,IF(COUNTIFS($A$5:$A$404,A306,$D$5:$D$404,"Có")&lt;&gt;1,"Choice kiến thức cần đúng 1 đáp án đúng",""),IF(COUNTIFS('02_KICH_BAN_NODES'!$B$5:$B$204,A306,'02_KICH_BAN_NODES'!$E$5:$E$204,"Tương tác")=1,IF(COUNTIFS($A$5:$A$404,A306,$D$5:$D$404,"Có")&lt;&gt;0,"Choice tương tác không được đánh dấu đáp án đúng",""),"Choice chưa chọn loại")))))))</f>
        <v/>
      </c>
    </row>
    <row r="307" spans="1:11">
      <c r="A307" s="13"/>
      <c r="B307" s="13"/>
      <c r="C307" s="5"/>
      <c r="D307" s="13"/>
      <c r="E307" s="13"/>
      <c r="F307" s="13"/>
      <c r="G307" s="13"/>
      <c r="H307" s="5"/>
      <c r="I307" s="5"/>
      <c r="J307" s="6" t="str">
        <f t="shared" si="4"/>
        <v/>
      </c>
      <c r="K307" s="6" t="str">
        <f>IF(A307="","",IF(COUNTIFS('02_KICH_BAN_NODES'!$B$5:$B$204,A307,'02_KICH_BAN_NODES'!$D$5:$D$204,"choice")=0,"ChoiceNodeId không tồn tại hoặc không phải choice",IF(COUNTIFS($A$5:$A$404,A307,$B$5:$B$404,B307)&gt;1,"Trùng OptionOrder trong cùng choice",IF(OR(B307="",C307="",D307="",F307="",H307=""),"Thiếu trường bắt buộc",IF(OR(COUNTIF($A$5:$A$404,A307)&lt;2,COUNTIF($A$5:$A$404,A307)&gt;4),"Mỗi choice cần 2–4 option",IF(COUNTIFS('02_KICH_BAN_NODES'!$B$5:$B$204,A307,'02_KICH_BAN_NODES'!$E$5:$E$204,"Kiến thức")=1,IF(COUNTIFS($A$5:$A$404,A307,$D$5:$D$404,"Có")&lt;&gt;1,"Choice kiến thức cần đúng 1 đáp án đúng",""),IF(COUNTIFS('02_KICH_BAN_NODES'!$B$5:$B$204,A307,'02_KICH_BAN_NODES'!$E$5:$E$204,"Tương tác")=1,IF(COUNTIFS($A$5:$A$404,A307,$D$5:$D$404,"Có")&lt;&gt;0,"Choice tương tác không được đánh dấu đáp án đúng",""),"Choice chưa chọn loại")))))))</f>
        <v/>
      </c>
    </row>
    <row r="308" spans="1:11">
      <c r="A308" s="13"/>
      <c r="B308" s="13"/>
      <c r="C308" s="5"/>
      <c r="D308" s="13"/>
      <c r="E308" s="13"/>
      <c r="F308" s="13"/>
      <c r="G308" s="13"/>
      <c r="H308" s="5"/>
      <c r="I308" s="5"/>
      <c r="J308" s="6" t="str">
        <f t="shared" si="4"/>
        <v/>
      </c>
      <c r="K308" s="6" t="str">
        <f>IF(A308="","",IF(COUNTIFS('02_KICH_BAN_NODES'!$B$5:$B$204,A308,'02_KICH_BAN_NODES'!$D$5:$D$204,"choice")=0,"ChoiceNodeId không tồn tại hoặc không phải choice",IF(COUNTIFS($A$5:$A$404,A308,$B$5:$B$404,B308)&gt;1,"Trùng OptionOrder trong cùng choice",IF(OR(B308="",C308="",D308="",F308="",H308=""),"Thiếu trường bắt buộc",IF(OR(COUNTIF($A$5:$A$404,A308)&lt;2,COUNTIF($A$5:$A$404,A308)&gt;4),"Mỗi choice cần 2–4 option",IF(COUNTIFS('02_KICH_BAN_NODES'!$B$5:$B$204,A308,'02_KICH_BAN_NODES'!$E$5:$E$204,"Kiến thức")=1,IF(COUNTIFS($A$5:$A$404,A308,$D$5:$D$404,"Có")&lt;&gt;1,"Choice kiến thức cần đúng 1 đáp án đúng",""),IF(COUNTIFS('02_KICH_BAN_NODES'!$B$5:$B$204,A308,'02_KICH_BAN_NODES'!$E$5:$E$204,"Tương tác")=1,IF(COUNTIFS($A$5:$A$404,A308,$D$5:$D$404,"Có")&lt;&gt;0,"Choice tương tác không được đánh dấu đáp án đúng",""),"Choice chưa chọn loại")))))))</f>
        <v/>
      </c>
    </row>
    <row r="309" spans="1:11">
      <c r="A309" s="13"/>
      <c r="B309" s="13"/>
      <c r="C309" s="5"/>
      <c r="D309" s="13"/>
      <c r="E309" s="13"/>
      <c r="F309" s="13"/>
      <c r="G309" s="13"/>
      <c r="H309" s="5"/>
      <c r="I309" s="5"/>
      <c r="J309" s="6" t="str">
        <f t="shared" si="4"/>
        <v/>
      </c>
      <c r="K309" s="6" t="str">
        <f>IF(A309="","",IF(COUNTIFS('02_KICH_BAN_NODES'!$B$5:$B$204,A309,'02_KICH_BAN_NODES'!$D$5:$D$204,"choice")=0,"ChoiceNodeId không tồn tại hoặc không phải choice",IF(COUNTIFS($A$5:$A$404,A309,$B$5:$B$404,B309)&gt;1,"Trùng OptionOrder trong cùng choice",IF(OR(B309="",C309="",D309="",F309="",H309=""),"Thiếu trường bắt buộc",IF(OR(COUNTIF($A$5:$A$404,A309)&lt;2,COUNTIF($A$5:$A$404,A309)&gt;4),"Mỗi choice cần 2–4 option",IF(COUNTIFS('02_KICH_BAN_NODES'!$B$5:$B$204,A309,'02_KICH_BAN_NODES'!$E$5:$E$204,"Kiến thức")=1,IF(COUNTIFS($A$5:$A$404,A309,$D$5:$D$404,"Có")&lt;&gt;1,"Choice kiến thức cần đúng 1 đáp án đúng",""),IF(COUNTIFS('02_KICH_BAN_NODES'!$B$5:$B$204,A309,'02_KICH_BAN_NODES'!$E$5:$E$204,"Tương tác")=1,IF(COUNTIFS($A$5:$A$404,A309,$D$5:$D$404,"Có")&lt;&gt;0,"Choice tương tác không được đánh dấu đáp án đúng",""),"Choice chưa chọn loại")))))))</f>
        <v/>
      </c>
    </row>
    <row r="310" spans="1:11">
      <c r="A310" s="13"/>
      <c r="B310" s="13"/>
      <c r="C310" s="5"/>
      <c r="D310" s="13"/>
      <c r="E310" s="13"/>
      <c r="F310" s="13"/>
      <c r="G310" s="13"/>
      <c r="H310" s="5"/>
      <c r="I310" s="5"/>
      <c r="J310" s="6" t="str">
        <f t="shared" si="4"/>
        <v/>
      </c>
      <c r="K310" s="6" t="str">
        <f>IF(A310="","",IF(COUNTIFS('02_KICH_BAN_NODES'!$B$5:$B$204,A310,'02_KICH_BAN_NODES'!$D$5:$D$204,"choice")=0,"ChoiceNodeId không tồn tại hoặc không phải choice",IF(COUNTIFS($A$5:$A$404,A310,$B$5:$B$404,B310)&gt;1,"Trùng OptionOrder trong cùng choice",IF(OR(B310="",C310="",D310="",F310="",H310=""),"Thiếu trường bắt buộc",IF(OR(COUNTIF($A$5:$A$404,A310)&lt;2,COUNTIF($A$5:$A$404,A310)&gt;4),"Mỗi choice cần 2–4 option",IF(COUNTIFS('02_KICH_BAN_NODES'!$B$5:$B$204,A310,'02_KICH_BAN_NODES'!$E$5:$E$204,"Kiến thức")=1,IF(COUNTIFS($A$5:$A$404,A310,$D$5:$D$404,"Có")&lt;&gt;1,"Choice kiến thức cần đúng 1 đáp án đúng",""),IF(COUNTIFS('02_KICH_BAN_NODES'!$B$5:$B$204,A310,'02_KICH_BAN_NODES'!$E$5:$E$204,"Tương tác")=1,IF(COUNTIFS($A$5:$A$404,A310,$D$5:$D$404,"Có")&lt;&gt;0,"Choice tương tác không được đánh dấu đáp án đúng",""),"Choice chưa chọn loại")))))))</f>
        <v/>
      </c>
    </row>
    <row r="311" spans="1:11">
      <c r="A311" s="13"/>
      <c r="B311" s="13"/>
      <c r="C311" s="5"/>
      <c r="D311" s="13"/>
      <c r="E311" s="13"/>
      <c r="F311" s="13"/>
      <c r="G311" s="13"/>
      <c r="H311" s="5"/>
      <c r="I311" s="5"/>
      <c r="J311" s="6" t="str">
        <f t="shared" si="4"/>
        <v/>
      </c>
      <c r="K311" s="6" t="str">
        <f>IF(A311="","",IF(COUNTIFS('02_KICH_BAN_NODES'!$B$5:$B$204,A311,'02_KICH_BAN_NODES'!$D$5:$D$204,"choice")=0,"ChoiceNodeId không tồn tại hoặc không phải choice",IF(COUNTIFS($A$5:$A$404,A311,$B$5:$B$404,B311)&gt;1,"Trùng OptionOrder trong cùng choice",IF(OR(B311="",C311="",D311="",F311="",H311=""),"Thiếu trường bắt buộc",IF(OR(COUNTIF($A$5:$A$404,A311)&lt;2,COUNTIF($A$5:$A$404,A311)&gt;4),"Mỗi choice cần 2–4 option",IF(COUNTIFS('02_KICH_BAN_NODES'!$B$5:$B$204,A311,'02_KICH_BAN_NODES'!$E$5:$E$204,"Kiến thức")=1,IF(COUNTIFS($A$5:$A$404,A311,$D$5:$D$404,"Có")&lt;&gt;1,"Choice kiến thức cần đúng 1 đáp án đúng",""),IF(COUNTIFS('02_KICH_BAN_NODES'!$B$5:$B$204,A311,'02_KICH_BAN_NODES'!$E$5:$E$204,"Tương tác")=1,IF(COUNTIFS($A$5:$A$404,A311,$D$5:$D$404,"Có")&lt;&gt;0,"Choice tương tác không được đánh dấu đáp án đúng",""),"Choice chưa chọn loại")))))))</f>
        <v/>
      </c>
    </row>
    <row r="312" spans="1:11">
      <c r="A312" s="13"/>
      <c r="B312" s="13"/>
      <c r="C312" s="5"/>
      <c r="D312" s="13"/>
      <c r="E312" s="13"/>
      <c r="F312" s="13"/>
      <c r="G312" s="13"/>
      <c r="H312" s="5"/>
      <c r="I312" s="5"/>
      <c r="J312" s="6" t="str">
        <f t="shared" si="4"/>
        <v/>
      </c>
      <c r="K312" s="6" t="str">
        <f>IF(A312="","",IF(COUNTIFS('02_KICH_BAN_NODES'!$B$5:$B$204,A312,'02_KICH_BAN_NODES'!$D$5:$D$204,"choice")=0,"ChoiceNodeId không tồn tại hoặc không phải choice",IF(COUNTIFS($A$5:$A$404,A312,$B$5:$B$404,B312)&gt;1,"Trùng OptionOrder trong cùng choice",IF(OR(B312="",C312="",D312="",F312="",H312=""),"Thiếu trường bắt buộc",IF(OR(COUNTIF($A$5:$A$404,A312)&lt;2,COUNTIF($A$5:$A$404,A312)&gt;4),"Mỗi choice cần 2–4 option",IF(COUNTIFS('02_KICH_BAN_NODES'!$B$5:$B$204,A312,'02_KICH_BAN_NODES'!$E$5:$E$204,"Kiến thức")=1,IF(COUNTIFS($A$5:$A$404,A312,$D$5:$D$404,"Có")&lt;&gt;1,"Choice kiến thức cần đúng 1 đáp án đúng",""),IF(COUNTIFS('02_KICH_BAN_NODES'!$B$5:$B$204,A312,'02_KICH_BAN_NODES'!$E$5:$E$204,"Tương tác")=1,IF(COUNTIFS($A$5:$A$404,A312,$D$5:$D$404,"Có")&lt;&gt;0,"Choice tương tác không được đánh dấu đáp án đúng",""),"Choice chưa chọn loại")))))))</f>
        <v/>
      </c>
    </row>
    <row r="313" spans="1:11">
      <c r="A313" s="13"/>
      <c r="B313" s="13"/>
      <c r="C313" s="5"/>
      <c r="D313" s="13"/>
      <c r="E313" s="13"/>
      <c r="F313" s="13"/>
      <c r="G313" s="13"/>
      <c r="H313" s="5"/>
      <c r="I313" s="5"/>
      <c r="J313" s="6" t="str">
        <f t="shared" si="4"/>
        <v/>
      </c>
      <c r="K313" s="6" t="str">
        <f>IF(A313="","",IF(COUNTIFS('02_KICH_BAN_NODES'!$B$5:$B$204,A313,'02_KICH_BAN_NODES'!$D$5:$D$204,"choice")=0,"ChoiceNodeId không tồn tại hoặc không phải choice",IF(COUNTIFS($A$5:$A$404,A313,$B$5:$B$404,B313)&gt;1,"Trùng OptionOrder trong cùng choice",IF(OR(B313="",C313="",D313="",F313="",H313=""),"Thiếu trường bắt buộc",IF(OR(COUNTIF($A$5:$A$404,A313)&lt;2,COUNTIF($A$5:$A$404,A313)&gt;4),"Mỗi choice cần 2–4 option",IF(COUNTIFS('02_KICH_BAN_NODES'!$B$5:$B$204,A313,'02_KICH_BAN_NODES'!$E$5:$E$204,"Kiến thức")=1,IF(COUNTIFS($A$5:$A$404,A313,$D$5:$D$404,"Có")&lt;&gt;1,"Choice kiến thức cần đúng 1 đáp án đúng",""),IF(COUNTIFS('02_KICH_BAN_NODES'!$B$5:$B$204,A313,'02_KICH_BAN_NODES'!$E$5:$E$204,"Tương tác")=1,IF(COUNTIFS($A$5:$A$404,A313,$D$5:$D$404,"Có")&lt;&gt;0,"Choice tương tác không được đánh dấu đáp án đúng",""),"Choice chưa chọn loại")))))))</f>
        <v/>
      </c>
    </row>
    <row r="314" spans="1:11">
      <c r="A314" s="13"/>
      <c r="B314" s="13"/>
      <c r="C314" s="5"/>
      <c r="D314" s="13"/>
      <c r="E314" s="13"/>
      <c r="F314" s="13"/>
      <c r="G314" s="13"/>
      <c r="H314" s="5"/>
      <c r="I314" s="5"/>
      <c r="J314" s="6" t="str">
        <f t="shared" si="4"/>
        <v/>
      </c>
      <c r="K314" s="6" t="str">
        <f>IF(A314="","",IF(COUNTIFS('02_KICH_BAN_NODES'!$B$5:$B$204,A314,'02_KICH_BAN_NODES'!$D$5:$D$204,"choice")=0,"ChoiceNodeId không tồn tại hoặc không phải choice",IF(COUNTIFS($A$5:$A$404,A314,$B$5:$B$404,B314)&gt;1,"Trùng OptionOrder trong cùng choice",IF(OR(B314="",C314="",D314="",F314="",H314=""),"Thiếu trường bắt buộc",IF(OR(COUNTIF($A$5:$A$404,A314)&lt;2,COUNTIF($A$5:$A$404,A314)&gt;4),"Mỗi choice cần 2–4 option",IF(COUNTIFS('02_KICH_BAN_NODES'!$B$5:$B$204,A314,'02_KICH_BAN_NODES'!$E$5:$E$204,"Kiến thức")=1,IF(COUNTIFS($A$5:$A$404,A314,$D$5:$D$404,"Có")&lt;&gt;1,"Choice kiến thức cần đúng 1 đáp án đúng",""),IF(COUNTIFS('02_KICH_BAN_NODES'!$B$5:$B$204,A314,'02_KICH_BAN_NODES'!$E$5:$E$204,"Tương tác")=1,IF(COUNTIFS($A$5:$A$404,A314,$D$5:$D$404,"Có")&lt;&gt;0,"Choice tương tác không được đánh dấu đáp án đúng",""),"Choice chưa chọn loại")))))))</f>
        <v/>
      </c>
    </row>
    <row r="315" spans="1:11">
      <c r="A315" s="13"/>
      <c r="B315" s="13"/>
      <c r="C315" s="5"/>
      <c r="D315" s="13"/>
      <c r="E315" s="13"/>
      <c r="F315" s="13"/>
      <c r="G315" s="13"/>
      <c r="H315" s="5"/>
      <c r="I315" s="5"/>
      <c r="J315" s="6" t="str">
        <f t="shared" si="4"/>
        <v/>
      </c>
      <c r="K315" s="6" t="str">
        <f>IF(A315="","",IF(COUNTIFS('02_KICH_BAN_NODES'!$B$5:$B$204,A315,'02_KICH_BAN_NODES'!$D$5:$D$204,"choice")=0,"ChoiceNodeId không tồn tại hoặc không phải choice",IF(COUNTIFS($A$5:$A$404,A315,$B$5:$B$404,B315)&gt;1,"Trùng OptionOrder trong cùng choice",IF(OR(B315="",C315="",D315="",F315="",H315=""),"Thiếu trường bắt buộc",IF(OR(COUNTIF($A$5:$A$404,A315)&lt;2,COUNTIF($A$5:$A$404,A315)&gt;4),"Mỗi choice cần 2–4 option",IF(COUNTIFS('02_KICH_BAN_NODES'!$B$5:$B$204,A315,'02_KICH_BAN_NODES'!$E$5:$E$204,"Kiến thức")=1,IF(COUNTIFS($A$5:$A$404,A315,$D$5:$D$404,"Có")&lt;&gt;1,"Choice kiến thức cần đúng 1 đáp án đúng",""),IF(COUNTIFS('02_KICH_BAN_NODES'!$B$5:$B$204,A315,'02_KICH_BAN_NODES'!$E$5:$E$204,"Tương tác")=1,IF(COUNTIFS($A$5:$A$404,A315,$D$5:$D$404,"Có")&lt;&gt;0,"Choice tương tác không được đánh dấu đáp án đúng",""),"Choice chưa chọn loại")))))))</f>
        <v/>
      </c>
    </row>
    <row r="316" spans="1:11">
      <c r="A316" s="13"/>
      <c r="B316" s="13"/>
      <c r="C316" s="5"/>
      <c r="D316" s="13"/>
      <c r="E316" s="13"/>
      <c r="F316" s="13"/>
      <c r="G316" s="13"/>
      <c r="H316" s="5"/>
      <c r="I316" s="5"/>
      <c r="J316" s="6" t="str">
        <f t="shared" si="4"/>
        <v/>
      </c>
      <c r="K316" s="6" t="str">
        <f>IF(A316="","",IF(COUNTIFS('02_KICH_BAN_NODES'!$B$5:$B$204,A316,'02_KICH_BAN_NODES'!$D$5:$D$204,"choice")=0,"ChoiceNodeId không tồn tại hoặc không phải choice",IF(COUNTIFS($A$5:$A$404,A316,$B$5:$B$404,B316)&gt;1,"Trùng OptionOrder trong cùng choice",IF(OR(B316="",C316="",D316="",F316="",H316=""),"Thiếu trường bắt buộc",IF(OR(COUNTIF($A$5:$A$404,A316)&lt;2,COUNTIF($A$5:$A$404,A316)&gt;4),"Mỗi choice cần 2–4 option",IF(COUNTIFS('02_KICH_BAN_NODES'!$B$5:$B$204,A316,'02_KICH_BAN_NODES'!$E$5:$E$204,"Kiến thức")=1,IF(COUNTIFS($A$5:$A$404,A316,$D$5:$D$404,"Có")&lt;&gt;1,"Choice kiến thức cần đúng 1 đáp án đúng",""),IF(COUNTIFS('02_KICH_BAN_NODES'!$B$5:$B$204,A316,'02_KICH_BAN_NODES'!$E$5:$E$204,"Tương tác")=1,IF(COUNTIFS($A$5:$A$404,A316,$D$5:$D$404,"Có")&lt;&gt;0,"Choice tương tác không được đánh dấu đáp án đúng",""),"Choice chưa chọn loại")))))))</f>
        <v/>
      </c>
    </row>
    <row r="317" spans="1:11">
      <c r="A317" s="13"/>
      <c r="B317" s="13"/>
      <c r="C317" s="5"/>
      <c r="D317" s="13"/>
      <c r="E317" s="13"/>
      <c r="F317" s="13"/>
      <c r="G317" s="13"/>
      <c r="H317" s="5"/>
      <c r="I317" s="5"/>
      <c r="J317" s="6" t="str">
        <f t="shared" si="4"/>
        <v/>
      </c>
      <c r="K317" s="6" t="str">
        <f>IF(A317="","",IF(COUNTIFS('02_KICH_BAN_NODES'!$B$5:$B$204,A317,'02_KICH_BAN_NODES'!$D$5:$D$204,"choice")=0,"ChoiceNodeId không tồn tại hoặc không phải choice",IF(COUNTIFS($A$5:$A$404,A317,$B$5:$B$404,B317)&gt;1,"Trùng OptionOrder trong cùng choice",IF(OR(B317="",C317="",D317="",F317="",H317=""),"Thiếu trường bắt buộc",IF(OR(COUNTIF($A$5:$A$404,A317)&lt;2,COUNTIF($A$5:$A$404,A317)&gt;4),"Mỗi choice cần 2–4 option",IF(COUNTIFS('02_KICH_BAN_NODES'!$B$5:$B$204,A317,'02_KICH_BAN_NODES'!$E$5:$E$204,"Kiến thức")=1,IF(COUNTIFS($A$5:$A$404,A317,$D$5:$D$404,"Có")&lt;&gt;1,"Choice kiến thức cần đúng 1 đáp án đúng",""),IF(COUNTIFS('02_KICH_BAN_NODES'!$B$5:$B$204,A317,'02_KICH_BAN_NODES'!$E$5:$E$204,"Tương tác")=1,IF(COUNTIFS($A$5:$A$404,A317,$D$5:$D$404,"Có")&lt;&gt;0,"Choice tương tác không được đánh dấu đáp án đúng",""),"Choice chưa chọn loại")))))))</f>
        <v/>
      </c>
    </row>
    <row r="318" spans="1:11">
      <c r="A318" s="13"/>
      <c r="B318" s="13"/>
      <c r="C318" s="5"/>
      <c r="D318" s="13"/>
      <c r="E318" s="13"/>
      <c r="F318" s="13"/>
      <c r="G318" s="13"/>
      <c r="H318" s="5"/>
      <c r="I318" s="5"/>
      <c r="J318" s="6" t="str">
        <f t="shared" si="4"/>
        <v/>
      </c>
      <c r="K318" s="6" t="str">
        <f>IF(A318="","",IF(COUNTIFS('02_KICH_BAN_NODES'!$B$5:$B$204,A318,'02_KICH_BAN_NODES'!$D$5:$D$204,"choice")=0,"ChoiceNodeId không tồn tại hoặc không phải choice",IF(COUNTIFS($A$5:$A$404,A318,$B$5:$B$404,B318)&gt;1,"Trùng OptionOrder trong cùng choice",IF(OR(B318="",C318="",D318="",F318="",H318=""),"Thiếu trường bắt buộc",IF(OR(COUNTIF($A$5:$A$404,A318)&lt;2,COUNTIF($A$5:$A$404,A318)&gt;4),"Mỗi choice cần 2–4 option",IF(COUNTIFS('02_KICH_BAN_NODES'!$B$5:$B$204,A318,'02_KICH_BAN_NODES'!$E$5:$E$204,"Kiến thức")=1,IF(COUNTIFS($A$5:$A$404,A318,$D$5:$D$404,"Có")&lt;&gt;1,"Choice kiến thức cần đúng 1 đáp án đúng",""),IF(COUNTIFS('02_KICH_BAN_NODES'!$B$5:$B$204,A318,'02_KICH_BAN_NODES'!$E$5:$E$204,"Tương tác")=1,IF(COUNTIFS($A$5:$A$404,A318,$D$5:$D$404,"Có")&lt;&gt;0,"Choice tương tác không được đánh dấu đáp án đúng",""),"Choice chưa chọn loại")))))))</f>
        <v/>
      </c>
    </row>
    <row r="319" spans="1:11">
      <c r="A319" s="13"/>
      <c r="B319" s="13"/>
      <c r="C319" s="5"/>
      <c r="D319" s="13"/>
      <c r="E319" s="13"/>
      <c r="F319" s="13"/>
      <c r="G319" s="13"/>
      <c r="H319" s="5"/>
      <c r="I319" s="5"/>
      <c r="J319" s="6" t="str">
        <f t="shared" si="4"/>
        <v/>
      </c>
      <c r="K319" s="6" t="str">
        <f>IF(A319="","",IF(COUNTIFS('02_KICH_BAN_NODES'!$B$5:$B$204,A319,'02_KICH_BAN_NODES'!$D$5:$D$204,"choice")=0,"ChoiceNodeId không tồn tại hoặc không phải choice",IF(COUNTIFS($A$5:$A$404,A319,$B$5:$B$404,B319)&gt;1,"Trùng OptionOrder trong cùng choice",IF(OR(B319="",C319="",D319="",F319="",H319=""),"Thiếu trường bắt buộc",IF(OR(COUNTIF($A$5:$A$404,A319)&lt;2,COUNTIF($A$5:$A$404,A319)&gt;4),"Mỗi choice cần 2–4 option",IF(COUNTIFS('02_KICH_BAN_NODES'!$B$5:$B$204,A319,'02_KICH_BAN_NODES'!$E$5:$E$204,"Kiến thức")=1,IF(COUNTIFS($A$5:$A$404,A319,$D$5:$D$404,"Có")&lt;&gt;1,"Choice kiến thức cần đúng 1 đáp án đúng",""),IF(COUNTIFS('02_KICH_BAN_NODES'!$B$5:$B$204,A319,'02_KICH_BAN_NODES'!$E$5:$E$204,"Tương tác")=1,IF(COUNTIFS($A$5:$A$404,A319,$D$5:$D$404,"Có")&lt;&gt;0,"Choice tương tác không được đánh dấu đáp án đúng",""),"Choice chưa chọn loại")))))))</f>
        <v/>
      </c>
    </row>
    <row r="320" spans="1:11">
      <c r="A320" s="13"/>
      <c r="B320" s="13"/>
      <c r="C320" s="5"/>
      <c r="D320" s="13"/>
      <c r="E320" s="13"/>
      <c r="F320" s="13"/>
      <c r="G320" s="13"/>
      <c r="H320" s="5"/>
      <c r="I320" s="5"/>
      <c r="J320" s="6" t="str">
        <f t="shared" si="4"/>
        <v/>
      </c>
      <c r="K320" s="6" t="str">
        <f>IF(A320="","",IF(COUNTIFS('02_KICH_BAN_NODES'!$B$5:$B$204,A320,'02_KICH_BAN_NODES'!$D$5:$D$204,"choice")=0,"ChoiceNodeId không tồn tại hoặc không phải choice",IF(COUNTIFS($A$5:$A$404,A320,$B$5:$B$404,B320)&gt;1,"Trùng OptionOrder trong cùng choice",IF(OR(B320="",C320="",D320="",F320="",H320=""),"Thiếu trường bắt buộc",IF(OR(COUNTIF($A$5:$A$404,A320)&lt;2,COUNTIF($A$5:$A$404,A320)&gt;4),"Mỗi choice cần 2–4 option",IF(COUNTIFS('02_KICH_BAN_NODES'!$B$5:$B$204,A320,'02_KICH_BAN_NODES'!$E$5:$E$204,"Kiến thức")=1,IF(COUNTIFS($A$5:$A$404,A320,$D$5:$D$404,"Có")&lt;&gt;1,"Choice kiến thức cần đúng 1 đáp án đúng",""),IF(COUNTIFS('02_KICH_BAN_NODES'!$B$5:$B$204,A320,'02_KICH_BAN_NODES'!$E$5:$E$204,"Tương tác")=1,IF(COUNTIFS($A$5:$A$404,A320,$D$5:$D$404,"Có")&lt;&gt;0,"Choice tương tác không được đánh dấu đáp án đúng",""),"Choice chưa chọn loại")))))))</f>
        <v/>
      </c>
    </row>
    <row r="321" spans="1:11">
      <c r="A321" s="13"/>
      <c r="B321" s="13"/>
      <c r="C321" s="5"/>
      <c r="D321" s="13"/>
      <c r="E321" s="13"/>
      <c r="F321" s="13"/>
      <c r="G321" s="13"/>
      <c r="H321" s="5"/>
      <c r="I321" s="5"/>
      <c r="J321" s="6" t="str">
        <f t="shared" si="4"/>
        <v/>
      </c>
      <c r="K321" s="6" t="str">
        <f>IF(A321="","",IF(COUNTIFS('02_KICH_BAN_NODES'!$B$5:$B$204,A321,'02_KICH_BAN_NODES'!$D$5:$D$204,"choice")=0,"ChoiceNodeId không tồn tại hoặc không phải choice",IF(COUNTIFS($A$5:$A$404,A321,$B$5:$B$404,B321)&gt;1,"Trùng OptionOrder trong cùng choice",IF(OR(B321="",C321="",D321="",F321="",H321=""),"Thiếu trường bắt buộc",IF(OR(COUNTIF($A$5:$A$404,A321)&lt;2,COUNTIF($A$5:$A$404,A321)&gt;4),"Mỗi choice cần 2–4 option",IF(COUNTIFS('02_KICH_BAN_NODES'!$B$5:$B$204,A321,'02_KICH_BAN_NODES'!$E$5:$E$204,"Kiến thức")=1,IF(COUNTIFS($A$5:$A$404,A321,$D$5:$D$404,"Có")&lt;&gt;1,"Choice kiến thức cần đúng 1 đáp án đúng",""),IF(COUNTIFS('02_KICH_BAN_NODES'!$B$5:$B$204,A321,'02_KICH_BAN_NODES'!$E$5:$E$204,"Tương tác")=1,IF(COUNTIFS($A$5:$A$404,A321,$D$5:$D$404,"Có")&lt;&gt;0,"Choice tương tác không được đánh dấu đáp án đúng",""),"Choice chưa chọn loại")))))))</f>
        <v/>
      </c>
    </row>
    <row r="322" spans="1:11">
      <c r="A322" s="13"/>
      <c r="B322" s="13"/>
      <c r="C322" s="5"/>
      <c r="D322" s="13"/>
      <c r="E322" s="13"/>
      <c r="F322" s="13"/>
      <c r="G322" s="13"/>
      <c r="H322" s="5"/>
      <c r="I322" s="5"/>
      <c r="J322" s="6" t="str">
        <f t="shared" si="4"/>
        <v/>
      </c>
      <c r="K322" s="6" t="str">
        <f>IF(A322="","",IF(COUNTIFS('02_KICH_BAN_NODES'!$B$5:$B$204,A322,'02_KICH_BAN_NODES'!$D$5:$D$204,"choice")=0,"ChoiceNodeId không tồn tại hoặc không phải choice",IF(COUNTIFS($A$5:$A$404,A322,$B$5:$B$404,B322)&gt;1,"Trùng OptionOrder trong cùng choice",IF(OR(B322="",C322="",D322="",F322="",H322=""),"Thiếu trường bắt buộc",IF(OR(COUNTIF($A$5:$A$404,A322)&lt;2,COUNTIF($A$5:$A$404,A322)&gt;4),"Mỗi choice cần 2–4 option",IF(COUNTIFS('02_KICH_BAN_NODES'!$B$5:$B$204,A322,'02_KICH_BAN_NODES'!$E$5:$E$204,"Kiến thức")=1,IF(COUNTIFS($A$5:$A$404,A322,$D$5:$D$404,"Có")&lt;&gt;1,"Choice kiến thức cần đúng 1 đáp án đúng",""),IF(COUNTIFS('02_KICH_BAN_NODES'!$B$5:$B$204,A322,'02_KICH_BAN_NODES'!$E$5:$E$204,"Tương tác")=1,IF(COUNTIFS($A$5:$A$404,A322,$D$5:$D$404,"Có")&lt;&gt;0,"Choice tương tác không được đánh dấu đáp án đúng",""),"Choice chưa chọn loại")))))))</f>
        <v/>
      </c>
    </row>
    <row r="323" spans="1:11">
      <c r="A323" s="13"/>
      <c r="B323" s="13"/>
      <c r="C323" s="5"/>
      <c r="D323" s="13"/>
      <c r="E323" s="13"/>
      <c r="F323" s="13"/>
      <c r="G323" s="13"/>
      <c r="H323" s="5"/>
      <c r="I323" s="5"/>
      <c r="J323" s="6" t="str">
        <f t="shared" si="4"/>
        <v/>
      </c>
      <c r="K323" s="6" t="str">
        <f>IF(A323="","",IF(COUNTIFS('02_KICH_BAN_NODES'!$B$5:$B$204,A323,'02_KICH_BAN_NODES'!$D$5:$D$204,"choice")=0,"ChoiceNodeId không tồn tại hoặc không phải choice",IF(COUNTIFS($A$5:$A$404,A323,$B$5:$B$404,B323)&gt;1,"Trùng OptionOrder trong cùng choice",IF(OR(B323="",C323="",D323="",F323="",H323=""),"Thiếu trường bắt buộc",IF(OR(COUNTIF($A$5:$A$404,A323)&lt;2,COUNTIF($A$5:$A$404,A323)&gt;4),"Mỗi choice cần 2–4 option",IF(COUNTIFS('02_KICH_BAN_NODES'!$B$5:$B$204,A323,'02_KICH_BAN_NODES'!$E$5:$E$204,"Kiến thức")=1,IF(COUNTIFS($A$5:$A$404,A323,$D$5:$D$404,"Có")&lt;&gt;1,"Choice kiến thức cần đúng 1 đáp án đúng",""),IF(COUNTIFS('02_KICH_BAN_NODES'!$B$5:$B$204,A323,'02_KICH_BAN_NODES'!$E$5:$E$204,"Tương tác")=1,IF(COUNTIFS($A$5:$A$404,A323,$D$5:$D$404,"Có")&lt;&gt;0,"Choice tương tác không được đánh dấu đáp án đúng",""),"Choice chưa chọn loại")))))))</f>
        <v/>
      </c>
    </row>
    <row r="324" spans="1:11">
      <c r="A324" s="13"/>
      <c r="B324" s="13"/>
      <c r="C324" s="5"/>
      <c r="D324" s="13"/>
      <c r="E324" s="13"/>
      <c r="F324" s="13"/>
      <c r="G324" s="13"/>
      <c r="H324" s="5"/>
      <c r="I324" s="5"/>
      <c r="J324" s="6" t="str">
        <f t="shared" si="4"/>
        <v/>
      </c>
      <c r="K324" s="6" t="str">
        <f>IF(A324="","",IF(COUNTIFS('02_KICH_BAN_NODES'!$B$5:$B$204,A324,'02_KICH_BAN_NODES'!$D$5:$D$204,"choice")=0,"ChoiceNodeId không tồn tại hoặc không phải choice",IF(COUNTIFS($A$5:$A$404,A324,$B$5:$B$404,B324)&gt;1,"Trùng OptionOrder trong cùng choice",IF(OR(B324="",C324="",D324="",F324="",H324=""),"Thiếu trường bắt buộc",IF(OR(COUNTIF($A$5:$A$404,A324)&lt;2,COUNTIF($A$5:$A$404,A324)&gt;4),"Mỗi choice cần 2–4 option",IF(COUNTIFS('02_KICH_BAN_NODES'!$B$5:$B$204,A324,'02_KICH_BAN_NODES'!$E$5:$E$204,"Kiến thức")=1,IF(COUNTIFS($A$5:$A$404,A324,$D$5:$D$404,"Có")&lt;&gt;1,"Choice kiến thức cần đúng 1 đáp án đúng",""),IF(COUNTIFS('02_KICH_BAN_NODES'!$B$5:$B$204,A324,'02_KICH_BAN_NODES'!$E$5:$E$204,"Tương tác")=1,IF(COUNTIFS($A$5:$A$404,A324,$D$5:$D$404,"Có")&lt;&gt;0,"Choice tương tác không được đánh dấu đáp án đúng",""),"Choice chưa chọn loại")))))))</f>
        <v/>
      </c>
    </row>
    <row r="325" spans="1:11">
      <c r="A325" s="13"/>
      <c r="B325" s="13"/>
      <c r="C325" s="5"/>
      <c r="D325" s="13"/>
      <c r="E325" s="13"/>
      <c r="F325" s="13"/>
      <c r="G325" s="13"/>
      <c r="H325" s="5"/>
      <c r="I325" s="5"/>
      <c r="J325" s="6" t="str">
        <f t="shared" ref="J325:J388" si="5">IF(A325="","",IF(K325="","HỢP LỆ","CẦN SỬA"))</f>
        <v/>
      </c>
      <c r="K325" s="6" t="str">
        <f>IF(A325="","",IF(COUNTIFS('02_KICH_BAN_NODES'!$B$5:$B$204,A325,'02_KICH_BAN_NODES'!$D$5:$D$204,"choice")=0,"ChoiceNodeId không tồn tại hoặc không phải choice",IF(COUNTIFS($A$5:$A$404,A325,$B$5:$B$404,B325)&gt;1,"Trùng OptionOrder trong cùng choice",IF(OR(B325="",C325="",D325="",F325="",H325=""),"Thiếu trường bắt buộc",IF(OR(COUNTIF($A$5:$A$404,A325)&lt;2,COUNTIF($A$5:$A$404,A325)&gt;4),"Mỗi choice cần 2–4 option",IF(COUNTIFS('02_KICH_BAN_NODES'!$B$5:$B$204,A325,'02_KICH_BAN_NODES'!$E$5:$E$204,"Kiến thức")=1,IF(COUNTIFS($A$5:$A$404,A325,$D$5:$D$404,"Có")&lt;&gt;1,"Choice kiến thức cần đúng 1 đáp án đúng",""),IF(COUNTIFS('02_KICH_BAN_NODES'!$B$5:$B$204,A325,'02_KICH_BAN_NODES'!$E$5:$E$204,"Tương tác")=1,IF(COUNTIFS($A$5:$A$404,A325,$D$5:$D$404,"Có")&lt;&gt;0,"Choice tương tác không được đánh dấu đáp án đúng",""),"Choice chưa chọn loại")))))))</f>
        <v/>
      </c>
    </row>
    <row r="326" spans="1:11">
      <c r="A326" s="13"/>
      <c r="B326" s="13"/>
      <c r="C326" s="5"/>
      <c r="D326" s="13"/>
      <c r="E326" s="13"/>
      <c r="F326" s="13"/>
      <c r="G326" s="13"/>
      <c r="H326" s="5"/>
      <c r="I326" s="5"/>
      <c r="J326" s="6" t="str">
        <f t="shared" si="5"/>
        <v/>
      </c>
      <c r="K326" s="6" t="str">
        <f>IF(A326="","",IF(COUNTIFS('02_KICH_BAN_NODES'!$B$5:$B$204,A326,'02_KICH_BAN_NODES'!$D$5:$D$204,"choice")=0,"ChoiceNodeId không tồn tại hoặc không phải choice",IF(COUNTIFS($A$5:$A$404,A326,$B$5:$B$404,B326)&gt;1,"Trùng OptionOrder trong cùng choice",IF(OR(B326="",C326="",D326="",F326="",H326=""),"Thiếu trường bắt buộc",IF(OR(COUNTIF($A$5:$A$404,A326)&lt;2,COUNTIF($A$5:$A$404,A326)&gt;4),"Mỗi choice cần 2–4 option",IF(COUNTIFS('02_KICH_BAN_NODES'!$B$5:$B$204,A326,'02_KICH_BAN_NODES'!$E$5:$E$204,"Kiến thức")=1,IF(COUNTIFS($A$5:$A$404,A326,$D$5:$D$404,"Có")&lt;&gt;1,"Choice kiến thức cần đúng 1 đáp án đúng",""),IF(COUNTIFS('02_KICH_BAN_NODES'!$B$5:$B$204,A326,'02_KICH_BAN_NODES'!$E$5:$E$204,"Tương tác")=1,IF(COUNTIFS($A$5:$A$404,A326,$D$5:$D$404,"Có")&lt;&gt;0,"Choice tương tác không được đánh dấu đáp án đúng",""),"Choice chưa chọn loại")))))))</f>
        <v/>
      </c>
    </row>
    <row r="327" spans="1:11">
      <c r="A327" s="13"/>
      <c r="B327" s="13"/>
      <c r="C327" s="5"/>
      <c r="D327" s="13"/>
      <c r="E327" s="13"/>
      <c r="F327" s="13"/>
      <c r="G327" s="13"/>
      <c r="H327" s="5"/>
      <c r="I327" s="5"/>
      <c r="J327" s="6" t="str">
        <f t="shared" si="5"/>
        <v/>
      </c>
      <c r="K327" s="6" t="str">
        <f>IF(A327="","",IF(COUNTIFS('02_KICH_BAN_NODES'!$B$5:$B$204,A327,'02_KICH_BAN_NODES'!$D$5:$D$204,"choice")=0,"ChoiceNodeId không tồn tại hoặc không phải choice",IF(COUNTIFS($A$5:$A$404,A327,$B$5:$B$404,B327)&gt;1,"Trùng OptionOrder trong cùng choice",IF(OR(B327="",C327="",D327="",F327="",H327=""),"Thiếu trường bắt buộc",IF(OR(COUNTIF($A$5:$A$404,A327)&lt;2,COUNTIF($A$5:$A$404,A327)&gt;4),"Mỗi choice cần 2–4 option",IF(COUNTIFS('02_KICH_BAN_NODES'!$B$5:$B$204,A327,'02_KICH_BAN_NODES'!$E$5:$E$204,"Kiến thức")=1,IF(COUNTIFS($A$5:$A$404,A327,$D$5:$D$404,"Có")&lt;&gt;1,"Choice kiến thức cần đúng 1 đáp án đúng",""),IF(COUNTIFS('02_KICH_BAN_NODES'!$B$5:$B$204,A327,'02_KICH_BAN_NODES'!$E$5:$E$204,"Tương tác")=1,IF(COUNTIFS($A$5:$A$404,A327,$D$5:$D$404,"Có")&lt;&gt;0,"Choice tương tác không được đánh dấu đáp án đúng",""),"Choice chưa chọn loại")))))))</f>
        <v/>
      </c>
    </row>
    <row r="328" spans="1:11">
      <c r="A328" s="13"/>
      <c r="B328" s="13"/>
      <c r="C328" s="5"/>
      <c r="D328" s="13"/>
      <c r="E328" s="13"/>
      <c r="F328" s="13"/>
      <c r="G328" s="13"/>
      <c r="H328" s="5"/>
      <c r="I328" s="5"/>
      <c r="J328" s="6" t="str">
        <f t="shared" si="5"/>
        <v/>
      </c>
      <c r="K328" s="6" t="str">
        <f>IF(A328="","",IF(COUNTIFS('02_KICH_BAN_NODES'!$B$5:$B$204,A328,'02_KICH_BAN_NODES'!$D$5:$D$204,"choice")=0,"ChoiceNodeId không tồn tại hoặc không phải choice",IF(COUNTIFS($A$5:$A$404,A328,$B$5:$B$404,B328)&gt;1,"Trùng OptionOrder trong cùng choice",IF(OR(B328="",C328="",D328="",F328="",H328=""),"Thiếu trường bắt buộc",IF(OR(COUNTIF($A$5:$A$404,A328)&lt;2,COUNTIF($A$5:$A$404,A328)&gt;4),"Mỗi choice cần 2–4 option",IF(COUNTIFS('02_KICH_BAN_NODES'!$B$5:$B$204,A328,'02_KICH_BAN_NODES'!$E$5:$E$204,"Kiến thức")=1,IF(COUNTIFS($A$5:$A$404,A328,$D$5:$D$404,"Có")&lt;&gt;1,"Choice kiến thức cần đúng 1 đáp án đúng",""),IF(COUNTIFS('02_KICH_BAN_NODES'!$B$5:$B$204,A328,'02_KICH_BAN_NODES'!$E$5:$E$204,"Tương tác")=1,IF(COUNTIFS($A$5:$A$404,A328,$D$5:$D$404,"Có")&lt;&gt;0,"Choice tương tác không được đánh dấu đáp án đúng",""),"Choice chưa chọn loại")))))))</f>
        <v/>
      </c>
    </row>
    <row r="329" spans="1:11">
      <c r="A329" s="13"/>
      <c r="B329" s="13"/>
      <c r="C329" s="5"/>
      <c r="D329" s="13"/>
      <c r="E329" s="13"/>
      <c r="F329" s="13"/>
      <c r="G329" s="13"/>
      <c r="H329" s="5"/>
      <c r="I329" s="5"/>
      <c r="J329" s="6" t="str">
        <f t="shared" si="5"/>
        <v/>
      </c>
      <c r="K329" s="6" t="str">
        <f>IF(A329="","",IF(COUNTIFS('02_KICH_BAN_NODES'!$B$5:$B$204,A329,'02_KICH_BAN_NODES'!$D$5:$D$204,"choice")=0,"ChoiceNodeId không tồn tại hoặc không phải choice",IF(COUNTIFS($A$5:$A$404,A329,$B$5:$B$404,B329)&gt;1,"Trùng OptionOrder trong cùng choice",IF(OR(B329="",C329="",D329="",F329="",H329=""),"Thiếu trường bắt buộc",IF(OR(COUNTIF($A$5:$A$404,A329)&lt;2,COUNTIF($A$5:$A$404,A329)&gt;4),"Mỗi choice cần 2–4 option",IF(COUNTIFS('02_KICH_BAN_NODES'!$B$5:$B$204,A329,'02_KICH_BAN_NODES'!$E$5:$E$204,"Kiến thức")=1,IF(COUNTIFS($A$5:$A$404,A329,$D$5:$D$404,"Có")&lt;&gt;1,"Choice kiến thức cần đúng 1 đáp án đúng",""),IF(COUNTIFS('02_KICH_BAN_NODES'!$B$5:$B$204,A329,'02_KICH_BAN_NODES'!$E$5:$E$204,"Tương tác")=1,IF(COUNTIFS($A$5:$A$404,A329,$D$5:$D$404,"Có")&lt;&gt;0,"Choice tương tác không được đánh dấu đáp án đúng",""),"Choice chưa chọn loại")))))))</f>
        <v/>
      </c>
    </row>
    <row r="330" spans="1:11">
      <c r="A330" s="13"/>
      <c r="B330" s="13"/>
      <c r="C330" s="5"/>
      <c r="D330" s="13"/>
      <c r="E330" s="13"/>
      <c r="F330" s="13"/>
      <c r="G330" s="13"/>
      <c r="H330" s="5"/>
      <c r="I330" s="5"/>
      <c r="J330" s="6" t="str">
        <f t="shared" si="5"/>
        <v/>
      </c>
      <c r="K330" s="6" t="str">
        <f>IF(A330="","",IF(COUNTIFS('02_KICH_BAN_NODES'!$B$5:$B$204,A330,'02_KICH_BAN_NODES'!$D$5:$D$204,"choice")=0,"ChoiceNodeId không tồn tại hoặc không phải choice",IF(COUNTIFS($A$5:$A$404,A330,$B$5:$B$404,B330)&gt;1,"Trùng OptionOrder trong cùng choice",IF(OR(B330="",C330="",D330="",F330="",H330=""),"Thiếu trường bắt buộc",IF(OR(COUNTIF($A$5:$A$404,A330)&lt;2,COUNTIF($A$5:$A$404,A330)&gt;4),"Mỗi choice cần 2–4 option",IF(COUNTIFS('02_KICH_BAN_NODES'!$B$5:$B$204,A330,'02_KICH_BAN_NODES'!$E$5:$E$204,"Kiến thức")=1,IF(COUNTIFS($A$5:$A$404,A330,$D$5:$D$404,"Có")&lt;&gt;1,"Choice kiến thức cần đúng 1 đáp án đúng",""),IF(COUNTIFS('02_KICH_BAN_NODES'!$B$5:$B$204,A330,'02_KICH_BAN_NODES'!$E$5:$E$204,"Tương tác")=1,IF(COUNTIFS($A$5:$A$404,A330,$D$5:$D$404,"Có")&lt;&gt;0,"Choice tương tác không được đánh dấu đáp án đúng",""),"Choice chưa chọn loại")))))))</f>
        <v/>
      </c>
    </row>
    <row r="331" spans="1:11">
      <c r="A331" s="13"/>
      <c r="B331" s="13"/>
      <c r="C331" s="5"/>
      <c r="D331" s="13"/>
      <c r="E331" s="13"/>
      <c r="F331" s="13"/>
      <c r="G331" s="13"/>
      <c r="H331" s="5"/>
      <c r="I331" s="5"/>
      <c r="J331" s="6" t="str">
        <f t="shared" si="5"/>
        <v/>
      </c>
      <c r="K331" s="6" t="str">
        <f>IF(A331="","",IF(COUNTIFS('02_KICH_BAN_NODES'!$B$5:$B$204,A331,'02_KICH_BAN_NODES'!$D$5:$D$204,"choice")=0,"ChoiceNodeId không tồn tại hoặc không phải choice",IF(COUNTIFS($A$5:$A$404,A331,$B$5:$B$404,B331)&gt;1,"Trùng OptionOrder trong cùng choice",IF(OR(B331="",C331="",D331="",F331="",H331=""),"Thiếu trường bắt buộc",IF(OR(COUNTIF($A$5:$A$404,A331)&lt;2,COUNTIF($A$5:$A$404,A331)&gt;4),"Mỗi choice cần 2–4 option",IF(COUNTIFS('02_KICH_BAN_NODES'!$B$5:$B$204,A331,'02_KICH_BAN_NODES'!$E$5:$E$204,"Kiến thức")=1,IF(COUNTIFS($A$5:$A$404,A331,$D$5:$D$404,"Có")&lt;&gt;1,"Choice kiến thức cần đúng 1 đáp án đúng",""),IF(COUNTIFS('02_KICH_BAN_NODES'!$B$5:$B$204,A331,'02_KICH_BAN_NODES'!$E$5:$E$204,"Tương tác")=1,IF(COUNTIFS($A$5:$A$404,A331,$D$5:$D$404,"Có")&lt;&gt;0,"Choice tương tác không được đánh dấu đáp án đúng",""),"Choice chưa chọn loại")))))))</f>
        <v/>
      </c>
    </row>
    <row r="332" spans="1:11">
      <c r="A332" s="13"/>
      <c r="B332" s="13"/>
      <c r="C332" s="5"/>
      <c r="D332" s="13"/>
      <c r="E332" s="13"/>
      <c r="F332" s="13"/>
      <c r="G332" s="13"/>
      <c r="H332" s="5"/>
      <c r="I332" s="5"/>
      <c r="J332" s="6" t="str">
        <f t="shared" si="5"/>
        <v/>
      </c>
      <c r="K332" s="6" t="str">
        <f>IF(A332="","",IF(COUNTIFS('02_KICH_BAN_NODES'!$B$5:$B$204,A332,'02_KICH_BAN_NODES'!$D$5:$D$204,"choice")=0,"ChoiceNodeId không tồn tại hoặc không phải choice",IF(COUNTIFS($A$5:$A$404,A332,$B$5:$B$404,B332)&gt;1,"Trùng OptionOrder trong cùng choice",IF(OR(B332="",C332="",D332="",F332="",H332=""),"Thiếu trường bắt buộc",IF(OR(COUNTIF($A$5:$A$404,A332)&lt;2,COUNTIF($A$5:$A$404,A332)&gt;4),"Mỗi choice cần 2–4 option",IF(COUNTIFS('02_KICH_BAN_NODES'!$B$5:$B$204,A332,'02_KICH_BAN_NODES'!$E$5:$E$204,"Kiến thức")=1,IF(COUNTIFS($A$5:$A$404,A332,$D$5:$D$404,"Có")&lt;&gt;1,"Choice kiến thức cần đúng 1 đáp án đúng",""),IF(COUNTIFS('02_KICH_BAN_NODES'!$B$5:$B$204,A332,'02_KICH_BAN_NODES'!$E$5:$E$204,"Tương tác")=1,IF(COUNTIFS($A$5:$A$404,A332,$D$5:$D$404,"Có")&lt;&gt;0,"Choice tương tác không được đánh dấu đáp án đúng",""),"Choice chưa chọn loại")))))))</f>
        <v/>
      </c>
    </row>
    <row r="333" spans="1:11">
      <c r="A333" s="13"/>
      <c r="B333" s="13"/>
      <c r="C333" s="5"/>
      <c r="D333" s="13"/>
      <c r="E333" s="13"/>
      <c r="F333" s="13"/>
      <c r="G333" s="13"/>
      <c r="H333" s="5"/>
      <c r="I333" s="5"/>
      <c r="J333" s="6" t="str">
        <f t="shared" si="5"/>
        <v/>
      </c>
      <c r="K333" s="6" t="str">
        <f>IF(A333="","",IF(COUNTIFS('02_KICH_BAN_NODES'!$B$5:$B$204,A333,'02_KICH_BAN_NODES'!$D$5:$D$204,"choice")=0,"ChoiceNodeId không tồn tại hoặc không phải choice",IF(COUNTIFS($A$5:$A$404,A333,$B$5:$B$404,B333)&gt;1,"Trùng OptionOrder trong cùng choice",IF(OR(B333="",C333="",D333="",F333="",H333=""),"Thiếu trường bắt buộc",IF(OR(COUNTIF($A$5:$A$404,A333)&lt;2,COUNTIF($A$5:$A$404,A333)&gt;4),"Mỗi choice cần 2–4 option",IF(COUNTIFS('02_KICH_BAN_NODES'!$B$5:$B$204,A333,'02_KICH_BAN_NODES'!$E$5:$E$204,"Kiến thức")=1,IF(COUNTIFS($A$5:$A$404,A333,$D$5:$D$404,"Có")&lt;&gt;1,"Choice kiến thức cần đúng 1 đáp án đúng",""),IF(COUNTIFS('02_KICH_BAN_NODES'!$B$5:$B$204,A333,'02_KICH_BAN_NODES'!$E$5:$E$204,"Tương tác")=1,IF(COUNTIFS($A$5:$A$404,A333,$D$5:$D$404,"Có")&lt;&gt;0,"Choice tương tác không được đánh dấu đáp án đúng",""),"Choice chưa chọn loại")))))))</f>
        <v/>
      </c>
    </row>
    <row r="334" spans="1:11">
      <c r="A334" s="13"/>
      <c r="B334" s="13"/>
      <c r="C334" s="5"/>
      <c r="D334" s="13"/>
      <c r="E334" s="13"/>
      <c r="F334" s="13"/>
      <c r="G334" s="13"/>
      <c r="H334" s="5"/>
      <c r="I334" s="5"/>
      <c r="J334" s="6" t="str">
        <f t="shared" si="5"/>
        <v/>
      </c>
      <c r="K334" s="6" t="str">
        <f>IF(A334="","",IF(COUNTIFS('02_KICH_BAN_NODES'!$B$5:$B$204,A334,'02_KICH_BAN_NODES'!$D$5:$D$204,"choice")=0,"ChoiceNodeId không tồn tại hoặc không phải choice",IF(COUNTIFS($A$5:$A$404,A334,$B$5:$B$404,B334)&gt;1,"Trùng OptionOrder trong cùng choice",IF(OR(B334="",C334="",D334="",F334="",H334=""),"Thiếu trường bắt buộc",IF(OR(COUNTIF($A$5:$A$404,A334)&lt;2,COUNTIF($A$5:$A$404,A334)&gt;4),"Mỗi choice cần 2–4 option",IF(COUNTIFS('02_KICH_BAN_NODES'!$B$5:$B$204,A334,'02_KICH_BAN_NODES'!$E$5:$E$204,"Kiến thức")=1,IF(COUNTIFS($A$5:$A$404,A334,$D$5:$D$404,"Có")&lt;&gt;1,"Choice kiến thức cần đúng 1 đáp án đúng",""),IF(COUNTIFS('02_KICH_BAN_NODES'!$B$5:$B$204,A334,'02_KICH_BAN_NODES'!$E$5:$E$204,"Tương tác")=1,IF(COUNTIFS($A$5:$A$404,A334,$D$5:$D$404,"Có")&lt;&gt;0,"Choice tương tác không được đánh dấu đáp án đúng",""),"Choice chưa chọn loại")))))))</f>
        <v/>
      </c>
    </row>
    <row r="335" spans="1:11">
      <c r="A335" s="13"/>
      <c r="B335" s="13"/>
      <c r="C335" s="5"/>
      <c r="D335" s="13"/>
      <c r="E335" s="13"/>
      <c r="F335" s="13"/>
      <c r="G335" s="13"/>
      <c r="H335" s="5"/>
      <c r="I335" s="5"/>
      <c r="J335" s="6" t="str">
        <f t="shared" si="5"/>
        <v/>
      </c>
      <c r="K335" s="6" t="str">
        <f>IF(A335="","",IF(COUNTIFS('02_KICH_BAN_NODES'!$B$5:$B$204,A335,'02_KICH_BAN_NODES'!$D$5:$D$204,"choice")=0,"ChoiceNodeId không tồn tại hoặc không phải choice",IF(COUNTIFS($A$5:$A$404,A335,$B$5:$B$404,B335)&gt;1,"Trùng OptionOrder trong cùng choice",IF(OR(B335="",C335="",D335="",F335="",H335=""),"Thiếu trường bắt buộc",IF(OR(COUNTIF($A$5:$A$404,A335)&lt;2,COUNTIF($A$5:$A$404,A335)&gt;4),"Mỗi choice cần 2–4 option",IF(COUNTIFS('02_KICH_BAN_NODES'!$B$5:$B$204,A335,'02_KICH_BAN_NODES'!$E$5:$E$204,"Kiến thức")=1,IF(COUNTIFS($A$5:$A$404,A335,$D$5:$D$404,"Có")&lt;&gt;1,"Choice kiến thức cần đúng 1 đáp án đúng",""),IF(COUNTIFS('02_KICH_BAN_NODES'!$B$5:$B$204,A335,'02_KICH_BAN_NODES'!$E$5:$E$204,"Tương tác")=1,IF(COUNTIFS($A$5:$A$404,A335,$D$5:$D$404,"Có")&lt;&gt;0,"Choice tương tác không được đánh dấu đáp án đúng",""),"Choice chưa chọn loại")))))))</f>
        <v/>
      </c>
    </row>
    <row r="336" spans="1:11">
      <c r="A336" s="13"/>
      <c r="B336" s="13"/>
      <c r="C336" s="5"/>
      <c r="D336" s="13"/>
      <c r="E336" s="13"/>
      <c r="F336" s="13"/>
      <c r="G336" s="13"/>
      <c r="H336" s="5"/>
      <c r="I336" s="5"/>
      <c r="J336" s="6" t="str">
        <f t="shared" si="5"/>
        <v/>
      </c>
      <c r="K336" s="6" t="str">
        <f>IF(A336="","",IF(COUNTIFS('02_KICH_BAN_NODES'!$B$5:$B$204,A336,'02_KICH_BAN_NODES'!$D$5:$D$204,"choice")=0,"ChoiceNodeId không tồn tại hoặc không phải choice",IF(COUNTIFS($A$5:$A$404,A336,$B$5:$B$404,B336)&gt;1,"Trùng OptionOrder trong cùng choice",IF(OR(B336="",C336="",D336="",F336="",H336=""),"Thiếu trường bắt buộc",IF(OR(COUNTIF($A$5:$A$404,A336)&lt;2,COUNTIF($A$5:$A$404,A336)&gt;4),"Mỗi choice cần 2–4 option",IF(COUNTIFS('02_KICH_BAN_NODES'!$B$5:$B$204,A336,'02_KICH_BAN_NODES'!$E$5:$E$204,"Kiến thức")=1,IF(COUNTIFS($A$5:$A$404,A336,$D$5:$D$404,"Có")&lt;&gt;1,"Choice kiến thức cần đúng 1 đáp án đúng",""),IF(COUNTIFS('02_KICH_BAN_NODES'!$B$5:$B$204,A336,'02_KICH_BAN_NODES'!$E$5:$E$204,"Tương tác")=1,IF(COUNTIFS($A$5:$A$404,A336,$D$5:$D$404,"Có")&lt;&gt;0,"Choice tương tác không được đánh dấu đáp án đúng",""),"Choice chưa chọn loại")))))))</f>
        <v/>
      </c>
    </row>
    <row r="337" spans="1:11">
      <c r="A337" s="13"/>
      <c r="B337" s="13"/>
      <c r="C337" s="5"/>
      <c r="D337" s="13"/>
      <c r="E337" s="13"/>
      <c r="F337" s="13"/>
      <c r="G337" s="13"/>
      <c r="H337" s="5"/>
      <c r="I337" s="5"/>
      <c r="J337" s="6" t="str">
        <f t="shared" si="5"/>
        <v/>
      </c>
      <c r="K337" s="6" t="str">
        <f>IF(A337="","",IF(COUNTIFS('02_KICH_BAN_NODES'!$B$5:$B$204,A337,'02_KICH_BAN_NODES'!$D$5:$D$204,"choice")=0,"ChoiceNodeId không tồn tại hoặc không phải choice",IF(COUNTIFS($A$5:$A$404,A337,$B$5:$B$404,B337)&gt;1,"Trùng OptionOrder trong cùng choice",IF(OR(B337="",C337="",D337="",F337="",H337=""),"Thiếu trường bắt buộc",IF(OR(COUNTIF($A$5:$A$404,A337)&lt;2,COUNTIF($A$5:$A$404,A337)&gt;4),"Mỗi choice cần 2–4 option",IF(COUNTIFS('02_KICH_BAN_NODES'!$B$5:$B$204,A337,'02_KICH_BAN_NODES'!$E$5:$E$204,"Kiến thức")=1,IF(COUNTIFS($A$5:$A$404,A337,$D$5:$D$404,"Có")&lt;&gt;1,"Choice kiến thức cần đúng 1 đáp án đúng",""),IF(COUNTIFS('02_KICH_BAN_NODES'!$B$5:$B$204,A337,'02_KICH_BAN_NODES'!$E$5:$E$204,"Tương tác")=1,IF(COUNTIFS($A$5:$A$404,A337,$D$5:$D$404,"Có")&lt;&gt;0,"Choice tương tác không được đánh dấu đáp án đúng",""),"Choice chưa chọn loại")))))))</f>
        <v/>
      </c>
    </row>
    <row r="338" spans="1:11">
      <c r="A338" s="13"/>
      <c r="B338" s="13"/>
      <c r="C338" s="5"/>
      <c r="D338" s="13"/>
      <c r="E338" s="13"/>
      <c r="F338" s="13"/>
      <c r="G338" s="13"/>
      <c r="H338" s="5"/>
      <c r="I338" s="5"/>
      <c r="J338" s="6" t="str">
        <f t="shared" si="5"/>
        <v/>
      </c>
      <c r="K338" s="6" t="str">
        <f>IF(A338="","",IF(COUNTIFS('02_KICH_BAN_NODES'!$B$5:$B$204,A338,'02_KICH_BAN_NODES'!$D$5:$D$204,"choice")=0,"ChoiceNodeId không tồn tại hoặc không phải choice",IF(COUNTIFS($A$5:$A$404,A338,$B$5:$B$404,B338)&gt;1,"Trùng OptionOrder trong cùng choice",IF(OR(B338="",C338="",D338="",F338="",H338=""),"Thiếu trường bắt buộc",IF(OR(COUNTIF($A$5:$A$404,A338)&lt;2,COUNTIF($A$5:$A$404,A338)&gt;4),"Mỗi choice cần 2–4 option",IF(COUNTIFS('02_KICH_BAN_NODES'!$B$5:$B$204,A338,'02_KICH_BAN_NODES'!$E$5:$E$204,"Kiến thức")=1,IF(COUNTIFS($A$5:$A$404,A338,$D$5:$D$404,"Có")&lt;&gt;1,"Choice kiến thức cần đúng 1 đáp án đúng",""),IF(COUNTIFS('02_KICH_BAN_NODES'!$B$5:$B$204,A338,'02_KICH_BAN_NODES'!$E$5:$E$204,"Tương tác")=1,IF(COUNTIFS($A$5:$A$404,A338,$D$5:$D$404,"Có")&lt;&gt;0,"Choice tương tác không được đánh dấu đáp án đúng",""),"Choice chưa chọn loại")))))))</f>
        <v/>
      </c>
    </row>
    <row r="339" spans="1:11">
      <c r="A339" s="13"/>
      <c r="B339" s="13"/>
      <c r="C339" s="5"/>
      <c r="D339" s="13"/>
      <c r="E339" s="13"/>
      <c r="F339" s="13"/>
      <c r="G339" s="13"/>
      <c r="H339" s="5"/>
      <c r="I339" s="5"/>
      <c r="J339" s="6" t="str">
        <f t="shared" si="5"/>
        <v/>
      </c>
      <c r="K339" s="6" t="str">
        <f>IF(A339="","",IF(COUNTIFS('02_KICH_BAN_NODES'!$B$5:$B$204,A339,'02_KICH_BAN_NODES'!$D$5:$D$204,"choice")=0,"ChoiceNodeId không tồn tại hoặc không phải choice",IF(COUNTIFS($A$5:$A$404,A339,$B$5:$B$404,B339)&gt;1,"Trùng OptionOrder trong cùng choice",IF(OR(B339="",C339="",D339="",F339="",H339=""),"Thiếu trường bắt buộc",IF(OR(COUNTIF($A$5:$A$404,A339)&lt;2,COUNTIF($A$5:$A$404,A339)&gt;4),"Mỗi choice cần 2–4 option",IF(COUNTIFS('02_KICH_BAN_NODES'!$B$5:$B$204,A339,'02_KICH_BAN_NODES'!$E$5:$E$204,"Kiến thức")=1,IF(COUNTIFS($A$5:$A$404,A339,$D$5:$D$404,"Có")&lt;&gt;1,"Choice kiến thức cần đúng 1 đáp án đúng",""),IF(COUNTIFS('02_KICH_BAN_NODES'!$B$5:$B$204,A339,'02_KICH_BAN_NODES'!$E$5:$E$204,"Tương tác")=1,IF(COUNTIFS($A$5:$A$404,A339,$D$5:$D$404,"Có")&lt;&gt;0,"Choice tương tác không được đánh dấu đáp án đúng",""),"Choice chưa chọn loại")))))))</f>
        <v/>
      </c>
    </row>
    <row r="340" spans="1:11">
      <c r="A340" s="13"/>
      <c r="B340" s="13"/>
      <c r="C340" s="5"/>
      <c r="D340" s="13"/>
      <c r="E340" s="13"/>
      <c r="F340" s="13"/>
      <c r="G340" s="13"/>
      <c r="H340" s="5"/>
      <c r="I340" s="5"/>
      <c r="J340" s="6" t="str">
        <f t="shared" si="5"/>
        <v/>
      </c>
      <c r="K340" s="6" t="str">
        <f>IF(A340="","",IF(COUNTIFS('02_KICH_BAN_NODES'!$B$5:$B$204,A340,'02_KICH_BAN_NODES'!$D$5:$D$204,"choice")=0,"ChoiceNodeId không tồn tại hoặc không phải choice",IF(COUNTIFS($A$5:$A$404,A340,$B$5:$B$404,B340)&gt;1,"Trùng OptionOrder trong cùng choice",IF(OR(B340="",C340="",D340="",F340="",H340=""),"Thiếu trường bắt buộc",IF(OR(COUNTIF($A$5:$A$404,A340)&lt;2,COUNTIF($A$5:$A$404,A340)&gt;4),"Mỗi choice cần 2–4 option",IF(COUNTIFS('02_KICH_BAN_NODES'!$B$5:$B$204,A340,'02_KICH_BAN_NODES'!$E$5:$E$204,"Kiến thức")=1,IF(COUNTIFS($A$5:$A$404,A340,$D$5:$D$404,"Có")&lt;&gt;1,"Choice kiến thức cần đúng 1 đáp án đúng",""),IF(COUNTIFS('02_KICH_BAN_NODES'!$B$5:$B$204,A340,'02_KICH_BAN_NODES'!$E$5:$E$204,"Tương tác")=1,IF(COUNTIFS($A$5:$A$404,A340,$D$5:$D$404,"Có")&lt;&gt;0,"Choice tương tác không được đánh dấu đáp án đúng",""),"Choice chưa chọn loại")))))))</f>
        <v/>
      </c>
    </row>
    <row r="341" spans="1:11">
      <c r="A341" s="13"/>
      <c r="B341" s="13"/>
      <c r="C341" s="5"/>
      <c r="D341" s="13"/>
      <c r="E341" s="13"/>
      <c r="F341" s="13"/>
      <c r="G341" s="13"/>
      <c r="H341" s="5"/>
      <c r="I341" s="5"/>
      <c r="J341" s="6" t="str">
        <f t="shared" si="5"/>
        <v/>
      </c>
      <c r="K341" s="6" t="str">
        <f>IF(A341="","",IF(COUNTIFS('02_KICH_BAN_NODES'!$B$5:$B$204,A341,'02_KICH_BAN_NODES'!$D$5:$D$204,"choice")=0,"ChoiceNodeId không tồn tại hoặc không phải choice",IF(COUNTIFS($A$5:$A$404,A341,$B$5:$B$404,B341)&gt;1,"Trùng OptionOrder trong cùng choice",IF(OR(B341="",C341="",D341="",F341="",H341=""),"Thiếu trường bắt buộc",IF(OR(COUNTIF($A$5:$A$404,A341)&lt;2,COUNTIF($A$5:$A$404,A341)&gt;4),"Mỗi choice cần 2–4 option",IF(COUNTIFS('02_KICH_BAN_NODES'!$B$5:$B$204,A341,'02_KICH_BAN_NODES'!$E$5:$E$204,"Kiến thức")=1,IF(COUNTIFS($A$5:$A$404,A341,$D$5:$D$404,"Có")&lt;&gt;1,"Choice kiến thức cần đúng 1 đáp án đúng",""),IF(COUNTIFS('02_KICH_BAN_NODES'!$B$5:$B$204,A341,'02_KICH_BAN_NODES'!$E$5:$E$204,"Tương tác")=1,IF(COUNTIFS($A$5:$A$404,A341,$D$5:$D$404,"Có")&lt;&gt;0,"Choice tương tác không được đánh dấu đáp án đúng",""),"Choice chưa chọn loại")))))))</f>
        <v/>
      </c>
    </row>
    <row r="342" spans="1:11">
      <c r="A342" s="13"/>
      <c r="B342" s="13"/>
      <c r="C342" s="5"/>
      <c r="D342" s="13"/>
      <c r="E342" s="13"/>
      <c r="F342" s="13"/>
      <c r="G342" s="13"/>
      <c r="H342" s="5"/>
      <c r="I342" s="5"/>
      <c r="J342" s="6" t="str">
        <f t="shared" si="5"/>
        <v/>
      </c>
      <c r="K342" s="6" t="str">
        <f>IF(A342="","",IF(COUNTIFS('02_KICH_BAN_NODES'!$B$5:$B$204,A342,'02_KICH_BAN_NODES'!$D$5:$D$204,"choice")=0,"ChoiceNodeId không tồn tại hoặc không phải choice",IF(COUNTIFS($A$5:$A$404,A342,$B$5:$B$404,B342)&gt;1,"Trùng OptionOrder trong cùng choice",IF(OR(B342="",C342="",D342="",F342="",H342=""),"Thiếu trường bắt buộc",IF(OR(COUNTIF($A$5:$A$404,A342)&lt;2,COUNTIF($A$5:$A$404,A342)&gt;4),"Mỗi choice cần 2–4 option",IF(COUNTIFS('02_KICH_BAN_NODES'!$B$5:$B$204,A342,'02_KICH_BAN_NODES'!$E$5:$E$204,"Kiến thức")=1,IF(COUNTIFS($A$5:$A$404,A342,$D$5:$D$404,"Có")&lt;&gt;1,"Choice kiến thức cần đúng 1 đáp án đúng",""),IF(COUNTIFS('02_KICH_BAN_NODES'!$B$5:$B$204,A342,'02_KICH_BAN_NODES'!$E$5:$E$204,"Tương tác")=1,IF(COUNTIFS($A$5:$A$404,A342,$D$5:$D$404,"Có")&lt;&gt;0,"Choice tương tác không được đánh dấu đáp án đúng",""),"Choice chưa chọn loại")))))))</f>
        <v/>
      </c>
    </row>
    <row r="343" spans="1:11">
      <c r="A343" s="13"/>
      <c r="B343" s="13"/>
      <c r="C343" s="5"/>
      <c r="D343" s="13"/>
      <c r="E343" s="13"/>
      <c r="F343" s="13"/>
      <c r="G343" s="13"/>
      <c r="H343" s="5"/>
      <c r="I343" s="5"/>
      <c r="J343" s="6" t="str">
        <f t="shared" si="5"/>
        <v/>
      </c>
      <c r="K343" s="6" t="str">
        <f>IF(A343="","",IF(COUNTIFS('02_KICH_BAN_NODES'!$B$5:$B$204,A343,'02_KICH_BAN_NODES'!$D$5:$D$204,"choice")=0,"ChoiceNodeId không tồn tại hoặc không phải choice",IF(COUNTIFS($A$5:$A$404,A343,$B$5:$B$404,B343)&gt;1,"Trùng OptionOrder trong cùng choice",IF(OR(B343="",C343="",D343="",F343="",H343=""),"Thiếu trường bắt buộc",IF(OR(COUNTIF($A$5:$A$404,A343)&lt;2,COUNTIF($A$5:$A$404,A343)&gt;4),"Mỗi choice cần 2–4 option",IF(COUNTIFS('02_KICH_BAN_NODES'!$B$5:$B$204,A343,'02_KICH_BAN_NODES'!$E$5:$E$204,"Kiến thức")=1,IF(COUNTIFS($A$5:$A$404,A343,$D$5:$D$404,"Có")&lt;&gt;1,"Choice kiến thức cần đúng 1 đáp án đúng",""),IF(COUNTIFS('02_KICH_BAN_NODES'!$B$5:$B$204,A343,'02_KICH_BAN_NODES'!$E$5:$E$204,"Tương tác")=1,IF(COUNTIFS($A$5:$A$404,A343,$D$5:$D$404,"Có")&lt;&gt;0,"Choice tương tác không được đánh dấu đáp án đúng",""),"Choice chưa chọn loại")))))))</f>
        <v/>
      </c>
    </row>
    <row r="344" spans="1:11">
      <c r="A344" s="13"/>
      <c r="B344" s="13"/>
      <c r="C344" s="5"/>
      <c r="D344" s="13"/>
      <c r="E344" s="13"/>
      <c r="F344" s="13"/>
      <c r="G344" s="13"/>
      <c r="H344" s="5"/>
      <c r="I344" s="5"/>
      <c r="J344" s="6" t="str">
        <f t="shared" si="5"/>
        <v/>
      </c>
      <c r="K344" s="6" t="str">
        <f>IF(A344="","",IF(COUNTIFS('02_KICH_BAN_NODES'!$B$5:$B$204,A344,'02_KICH_BAN_NODES'!$D$5:$D$204,"choice")=0,"ChoiceNodeId không tồn tại hoặc không phải choice",IF(COUNTIFS($A$5:$A$404,A344,$B$5:$B$404,B344)&gt;1,"Trùng OptionOrder trong cùng choice",IF(OR(B344="",C344="",D344="",F344="",H344=""),"Thiếu trường bắt buộc",IF(OR(COUNTIF($A$5:$A$404,A344)&lt;2,COUNTIF($A$5:$A$404,A344)&gt;4),"Mỗi choice cần 2–4 option",IF(COUNTIFS('02_KICH_BAN_NODES'!$B$5:$B$204,A344,'02_KICH_BAN_NODES'!$E$5:$E$204,"Kiến thức")=1,IF(COUNTIFS($A$5:$A$404,A344,$D$5:$D$404,"Có")&lt;&gt;1,"Choice kiến thức cần đúng 1 đáp án đúng",""),IF(COUNTIFS('02_KICH_BAN_NODES'!$B$5:$B$204,A344,'02_KICH_BAN_NODES'!$E$5:$E$204,"Tương tác")=1,IF(COUNTIFS($A$5:$A$404,A344,$D$5:$D$404,"Có")&lt;&gt;0,"Choice tương tác không được đánh dấu đáp án đúng",""),"Choice chưa chọn loại")))))))</f>
        <v/>
      </c>
    </row>
    <row r="345" spans="1:11">
      <c r="A345" s="13"/>
      <c r="B345" s="13"/>
      <c r="C345" s="5"/>
      <c r="D345" s="13"/>
      <c r="E345" s="13"/>
      <c r="F345" s="13"/>
      <c r="G345" s="13"/>
      <c r="H345" s="5"/>
      <c r="I345" s="5"/>
      <c r="J345" s="6" t="str">
        <f t="shared" si="5"/>
        <v/>
      </c>
      <c r="K345" s="6" t="str">
        <f>IF(A345="","",IF(COUNTIFS('02_KICH_BAN_NODES'!$B$5:$B$204,A345,'02_KICH_BAN_NODES'!$D$5:$D$204,"choice")=0,"ChoiceNodeId không tồn tại hoặc không phải choice",IF(COUNTIFS($A$5:$A$404,A345,$B$5:$B$404,B345)&gt;1,"Trùng OptionOrder trong cùng choice",IF(OR(B345="",C345="",D345="",F345="",H345=""),"Thiếu trường bắt buộc",IF(OR(COUNTIF($A$5:$A$404,A345)&lt;2,COUNTIF($A$5:$A$404,A345)&gt;4),"Mỗi choice cần 2–4 option",IF(COUNTIFS('02_KICH_BAN_NODES'!$B$5:$B$204,A345,'02_KICH_BAN_NODES'!$E$5:$E$204,"Kiến thức")=1,IF(COUNTIFS($A$5:$A$404,A345,$D$5:$D$404,"Có")&lt;&gt;1,"Choice kiến thức cần đúng 1 đáp án đúng",""),IF(COUNTIFS('02_KICH_BAN_NODES'!$B$5:$B$204,A345,'02_KICH_BAN_NODES'!$E$5:$E$204,"Tương tác")=1,IF(COUNTIFS($A$5:$A$404,A345,$D$5:$D$404,"Có")&lt;&gt;0,"Choice tương tác không được đánh dấu đáp án đúng",""),"Choice chưa chọn loại")))))))</f>
        <v/>
      </c>
    </row>
    <row r="346" spans="1:11">
      <c r="A346" s="13"/>
      <c r="B346" s="13"/>
      <c r="C346" s="5"/>
      <c r="D346" s="13"/>
      <c r="E346" s="13"/>
      <c r="F346" s="13"/>
      <c r="G346" s="13"/>
      <c r="H346" s="5"/>
      <c r="I346" s="5"/>
      <c r="J346" s="6" t="str">
        <f t="shared" si="5"/>
        <v/>
      </c>
      <c r="K346" s="6" t="str">
        <f>IF(A346="","",IF(COUNTIFS('02_KICH_BAN_NODES'!$B$5:$B$204,A346,'02_KICH_BAN_NODES'!$D$5:$D$204,"choice")=0,"ChoiceNodeId không tồn tại hoặc không phải choice",IF(COUNTIFS($A$5:$A$404,A346,$B$5:$B$404,B346)&gt;1,"Trùng OptionOrder trong cùng choice",IF(OR(B346="",C346="",D346="",F346="",H346=""),"Thiếu trường bắt buộc",IF(OR(COUNTIF($A$5:$A$404,A346)&lt;2,COUNTIF($A$5:$A$404,A346)&gt;4),"Mỗi choice cần 2–4 option",IF(COUNTIFS('02_KICH_BAN_NODES'!$B$5:$B$204,A346,'02_KICH_BAN_NODES'!$E$5:$E$204,"Kiến thức")=1,IF(COUNTIFS($A$5:$A$404,A346,$D$5:$D$404,"Có")&lt;&gt;1,"Choice kiến thức cần đúng 1 đáp án đúng",""),IF(COUNTIFS('02_KICH_BAN_NODES'!$B$5:$B$204,A346,'02_KICH_BAN_NODES'!$E$5:$E$204,"Tương tác")=1,IF(COUNTIFS($A$5:$A$404,A346,$D$5:$D$404,"Có")&lt;&gt;0,"Choice tương tác không được đánh dấu đáp án đúng",""),"Choice chưa chọn loại")))))))</f>
        <v/>
      </c>
    </row>
    <row r="347" spans="1:11">
      <c r="A347" s="13"/>
      <c r="B347" s="13"/>
      <c r="C347" s="5"/>
      <c r="D347" s="13"/>
      <c r="E347" s="13"/>
      <c r="F347" s="13"/>
      <c r="G347" s="13"/>
      <c r="H347" s="5"/>
      <c r="I347" s="5"/>
      <c r="J347" s="6" t="str">
        <f t="shared" si="5"/>
        <v/>
      </c>
      <c r="K347" s="6" t="str">
        <f>IF(A347="","",IF(COUNTIFS('02_KICH_BAN_NODES'!$B$5:$B$204,A347,'02_KICH_BAN_NODES'!$D$5:$D$204,"choice")=0,"ChoiceNodeId không tồn tại hoặc không phải choice",IF(COUNTIFS($A$5:$A$404,A347,$B$5:$B$404,B347)&gt;1,"Trùng OptionOrder trong cùng choice",IF(OR(B347="",C347="",D347="",F347="",H347=""),"Thiếu trường bắt buộc",IF(OR(COUNTIF($A$5:$A$404,A347)&lt;2,COUNTIF($A$5:$A$404,A347)&gt;4),"Mỗi choice cần 2–4 option",IF(COUNTIFS('02_KICH_BAN_NODES'!$B$5:$B$204,A347,'02_KICH_BAN_NODES'!$E$5:$E$204,"Kiến thức")=1,IF(COUNTIFS($A$5:$A$404,A347,$D$5:$D$404,"Có")&lt;&gt;1,"Choice kiến thức cần đúng 1 đáp án đúng",""),IF(COUNTIFS('02_KICH_BAN_NODES'!$B$5:$B$204,A347,'02_KICH_BAN_NODES'!$E$5:$E$204,"Tương tác")=1,IF(COUNTIFS($A$5:$A$404,A347,$D$5:$D$404,"Có")&lt;&gt;0,"Choice tương tác không được đánh dấu đáp án đúng",""),"Choice chưa chọn loại")))))))</f>
        <v/>
      </c>
    </row>
    <row r="348" spans="1:11">
      <c r="A348" s="13"/>
      <c r="B348" s="13"/>
      <c r="C348" s="5"/>
      <c r="D348" s="13"/>
      <c r="E348" s="13"/>
      <c r="F348" s="13"/>
      <c r="G348" s="13"/>
      <c r="H348" s="5"/>
      <c r="I348" s="5"/>
      <c r="J348" s="6" t="str">
        <f t="shared" si="5"/>
        <v/>
      </c>
      <c r="K348" s="6" t="str">
        <f>IF(A348="","",IF(COUNTIFS('02_KICH_BAN_NODES'!$B$5:$B$204,A348,'02_KICH_BAN_NODES'!$D$5:$D$204,"choice")=0,"ChoiceNodeId không tồn tại hoặc không phải choice",IF(COUNTIFS($A$5:$A$404,A348,$B$5:$B$404,B348)&gt;1,"Trùng OptionOrder trong cùng choice",IF(OR(B348="",C348="",D348="",F348="",H348=""),"Thiếu trường bắt buộc",IF(OR(COUNTIF($A$5:$A$404,A348)&lt;2,COUNTIF($A$5:$A$404,A348)&gt;4),"Mỗi choice cần 2–4 option",IF(COUNTIFS('02_KICH_BAN_NODES'!$B$5:$B$204,A348,'02_KICH_BAN_NODES'!$E$5:$E$204,"Kiến thức")=1,IF(COUNTIFS($A$5:$A$404,A348,$D$5:$D$404,"Có")&lt;&gt;1,"Choice kiến thức cần đúng 1 đáp án đúng",""),IF(COUNTIFS('02_KICH_BAN_NODES'!$B$5:$B$204,A348,'02_KICH_BAN_NODES'!$E$5:$E$204,"Tương tác")=1,IF(COUNTIFS($A$5:$A$404,A348,$D$5:$D$404,"Có")&lt;&gt;0,"Choice tương tác không được đánh dấu đáp án đúng",""),"Choice chưa chọn loại")))))))</f>
        <v/>
      </c>
    </row>
    <row r="349" spans="1:11">
      <c r="A349" s="13"/>
      <c r="B349" s="13"/>
      <c r="C349" s="5"/>
      <c r="D349" s="13"/>
      <c r="E349" s="13"/>
      <c r="F349" s="13"/>
      <c r="G349" s="13"/>
      <c r="H349" s="5"/>
      <c r="I349" s="5"/>
      <c r="J349" s="6" t="str">
        <f t="shared" si="5"/>
        <v/>
      </c>
      <c r="K349" s="6" t="str">
        <f>IF(A349="","",IF(COUNTIFS('02_KICH_BAN_NODES'!$B$5:$B$204,A349,'02_KICH_BAN_NODES'!$D$5:$D$204,"choice")=0,"ChoiceNodeId không tồn tại hoặc không phải choice",IF(COUNTIFS($A$5:$A$404,A349,$B$5:$B$404,B349)&gt;1,"Trùng OptionOrder trong cùng choice",IF(OR(B349="",C349="",D349="",F349="",H349=""),"Thiếu trường bắt buộc",IF(OR(COUNTIF($A$5:$A$404,A349)&lt;2,COUNTIF($A$5:$A$404,A349)&gt;4),"Mỗi choice cần 2–4 option",IF(COUNTIFS('02_KICH_BAN_NODES'!$B$5:$B$204,A349,'02_KICH_BAN_NODES'!$E$5:$E$204,"Kiến thức")=1,IF(COUNTIFS($A$5:$A$404,A349,$D$5:$D$404,"Có")&lt;&gt;1,"Choice kiến thức cần đúng 1 đáp án đúng",""),IF(COUNTIFS('02_KICH_BAN_NODES'!$B$5:$B$204,A349,'02_KICH_BAN_NODES'!$E$5:$E$204,"Tương tác")=1,IF(COUNTIFS($A$5:$A$404,A349,$D$5:$D$404,"Có")&lt;&gt;0,"Choice tương tác không được đánh dấu đáp án đúng",""),"Choice chưa chọn loại")))))))</f>
        <v/>
      </c>
    </row>
    <row r="350" spans="1:11">
      <c r="A350" s="13"/>
      <c r="B350" s="13"/>
      <c r="C350" s="5"/>
      <c r="D350" s="13"/>
      <c r="E350" s="13"/>
      <c r="F350" s="13"/>
      <c r="G350" s="13"/>
      <c r="H350" s="5"/>
      <c r="I350" s="5"/>
      <c r="J350" s="6" t="str">
        <f t="shared" si="5"/>
        <v/>
      </c>
      <c r="K350" s="6" t="str">
        <f>IF(A350="","",IF(COUNTIFS('02_KICH_BAN_NODES'!$B$5:$B$204,A350,'02_KICH_BAN_NODES'!$D$5:$D$204,"choice")=0,"ChoiceNodeId không tồn tại hoặc không phải choice",IF(COUNTIFS($A$5:$A$404,A350,$B$5:$B$404,B350)&gt;1,"Trùng OptionOrder trong cùng choice",IF(OR(B350="",C350="",D350="",F350="",H350=""),"Thiếu trường bắt buộc",IF(OR(COUNTIF($A$5:$A$404,A350)&lt;2,COUNTIF($A$5:$A$404,A350)&gt;4),"Mỗi choice cần 2–4 option",IF(COUNTIFS('02_KICH_BAN_NODES'!$B$5:$B$204,A350,'02_KICH_BAN_NODES'!$E$5:$E$204,"Kiến thức")=1,IF(COUNTIFS($A$5:$A$404,A350,$D$5:$D$404,"Có")&lt;&gt;1,"Choice kiến thức cần đúng 1 đáp án đúng",""),IF(COUNTIFS('02_KICH_BAN_NODES'!$B$5:$B$204,A350,'02_KICH_BAN_NODES'!$E$5:$E$204,"Tương tác")=1,IF(COUNTIFS($A$5:$A$404,A350,$D$5:$D$404,"Có")&lt;&gt;0,"Choice tương tác không được đánh dấu đáp án đúng",""),"Choice chưa chọn loại")))))))</f>
        <v/>
      </c>
    </row>
    <row r="351" spans="1:11">
      <c r="A351" s="13"/>
      <c r="B351" s="13"/>
      <c r="C351" s="5"/>
      <c r="D351" s="13"/>
      <c r="E351" s="13"/>
      <c r="F351" s="13"/>
      <c r="G351" s="13"/>
      <c r="H351" s="5"/>
      <c r="I351" s="5"/>
      <c r="J351" s="6" t="str">
        <f t="shared" si="5"/>
        <v/>
      </c>
      <c r="K351" s="6" t="str">
        <f>IF(A351="","",IF(COUNTIFS('02_KICH_BAN_NODES'!$B$5:$B$204,A351,'02_KICH_BAN_NODES'!$D$5:$D$204,"choice")=0,"ChoiceNodeId không tồn tại hoặc không phải choice",IF(COUNTIFS($A$5:$A$404,A351,$B$5:$B$404,B351)&gt;1,"Trùng OptionOrder trong cùng choice",IF(OR(B351="",C351="",D351="",F351="",H351=""),"Thiếu trường bắt buộc",IF(OR(COUNTIF($A$5:$A$404,A351)&lt;2,COUNTIF($A$5:$A$404,A351)&gt;4),"Mỗi choice cần 2–4 option",IF(COUNTIFS('02_KICH_BAN_NODES'!$B$5:$B$204,A351,'02_KICH_BAN_NODES'!$E$5:$E$204,"Kiến thức")=1,IF(COUNTIFS($A$5:$A$404,A351,$D$5:$D$404,"Có")&lt;&gt;1,"Choice kiến thức cần đúng 1 đáp án đúng",""),IF(COUNTIFS('02_KICH_BAN_NODES'!$B$5:$B$204,A351,'02_KICH_BAN_NODES'!$E$5:$E$204,"Tương tác")=1,IF(COUNTIFS($A$5:$A$404,A351,$D$5:$D$404,"Có")&lt;&gt;0,"Choice tương tác không được đánh dấu đáp án đúng",""),"Choice chưa chọn loại")))))))</f>
        <v/>
      </c>
    </row>
    <row r="352" spans="1:11">
      <c r="A352" s="13"/>
      <c r="B352" s="13"/>
      <c r="C352" s="5"/>
      <c r="D352" s="13"/>
      <c r="E352" s="13"/>
      <c r="F352" s="13"/>
      <c r="G352" s="13"/>
      <c r="H352" s="5"/>
      <c r="I352" s="5"/>
      <c r="J352" s="6" t="str">
        <f t="shared" si="5"/>
        <v/>
      </c>
      <c r="K352" s="6" t="str">
        <f>IF(A352="","",IF(COUNTIFS('02_KICH_BAN_NODES'!$B$5:$B$204,A352,'02_KICH_BAN_NODES'!$D$5:$D$204,"choice")=0,"ChoiceNodeId không tồn tại hoặc không phải choice",IF(COUNTIFS($A$5:$A$404,A352,$B$5:$B$404,B352)&gt;1,"Trùng OptionOrder trong cùng choice",IF(OR(B352="",C352="",D352="",F352="",H352=""),"Thiếu trường bắt buộc",IF(OR(COUNTIF($A$5:$A$404,A352)&lt;2,COUNTIF($A$5:$A$404,A352)&gt;4),"Mỗi choice cần 2–4 option",IF(COUNTIFS('02_KICH_BAN_NODES'!$B$5:$B$204,A352,'02_KICH_BAN_NODES'!$E$5:$E$204,"Kiến thức")=1,IF(COUNTIFS($A$5:$A$404,A352,$D$5:$D$404,"Có")&lt;&gt;1,"Choice kiến thức cần đúng 1 đáp án đúng",""),IF(COUNTIFS('02_KICH_BAN_NODES'!$B$5:$B$204,A352,'02_KICH_BAN_NODES'!$E$5:$E$204,"Tương tác")=1,IF(COUNTIFS($A$5:$A$404,A352,$D$5:$D$404,"Có")&lt;&gt;0,"Choice tương tác không được đánh dấu đáp án đúng",""),"Choice chưa chọn loại")))))))</f>
        <v/>
      </c>
    </row>
    <row r="353" spans="1:11">
      <c r="A353" s="13"/>
      <c r="B353" s="13"/>
      <c r="C353" s="5"/>
      <c r="D353" s="13"/>
      <c r="E353" s="13"/>
      <c r="F353" s="13"/>
      <c r="G353" s="13"/>
      <c r="H353" s="5"/>
      <c r="I353" s="5"/>
      <c r="J353" s="6" t="str">
        <f t="shared" si="5"/>
        <v/>
      </c>
      <c r="K353" s="6" t="str">
        <f>IF(A353="","",IF(COUNTIFS('02_KICH_BAN_NODES'!$B$5:$B$204,A353,'02_KICH_BAN_NODES'!$D$5:$D$204,"choice")=0,"ChoiceNodeId không tồn tại hoặc không phải choice",IF(COUNTIFS($A$5:$A$404,A353,$B$5:$B$404,B353)&gt;1,"Trùng OptionOrder trong cùng choice",IF(OR(B353="",C353="",D353="",F353="",H353=""),"Thiếu trường bắt buộc",IF(OR(COUNTIF($A$5:$A$404,A353)&lt;2,COUNTIF($A$5:$A$404,A353)&gt;4),"Mỗi choice cần 2–4 option",IF(COUNTIFS('02_KICH_BAN_NODES'!$B$5:$B$204,A353,'02_KICH_BAN_NODES'!$E$5:$E$204,"Kiến thức")=1,IF(COUNTIFS($A$5:$A$404,A353,$D$5:$D$404,"Có")&lt;&gt;1,"Choice kiến thức cần đúng 1 đáp án đúng",""),IF(COUNTIFS('02_KICH_BAN_NODES'!$B$5:$B$204,A353,'02_KICH_BAN_NODES'!$E$5:$E$204,"Tương tác")=1,IF(COUNTIFS($A$5:$A$404,A353,$D$5:$D$404,"Có")&lt;&gt;0,"Choice tương tác không được đánh dấu đáp án đúng",""),"Choice chưa chọn loại")))))))</f>
        <v/>
      </c>
    </row>
    <row r="354" spans="1:11">
      <c r="A354" s="13"/>
      <c r="B354" s="13"/>
      <c r="C354" s="5"/>
      <c r="D354" s="13"/>
      <c r="E354" s="13"/>
      <c r="F354" s="13"/>
      <c r="G354" s="13"/>
      <c r="H354" s="5"/>
      <c r="I354" s="5"/>
      <c r="J354" s="6" t="str">
        <f t="shared" si="5"/>
        <v/>
      </c>
      <c r="K354" s="6" t="str">
        <f>IF(A354="","",IF(COUNTIFS('02_KICH_BAN_NODES'!$B$5:$B$204,A354,'02_KICH_BAN_NODES'!$D$5:$D$204,"choice")=0,"ChoiceNodeId không tồn tại hoặc không phải choice",IF(COUNTIFS($A$5:$A$404,A354,$B$5:$B$404,B354)&gt;1,"Trùng OptionOrder trong cùng choice",IF(OR(B354="",C354="",D354="",F354="",H354=""),"Thiếu trường bắt buộc",IF(OR(COUNTIF($A$5:$A$404,A354)&lt;2,COUNTIF($A$5:$A$404,A354)&gt;4),"Mỗi choice cần 2–4 option",IF(COUNTIFS('02_KICH_BAN_NODES'!$B$5:$B$204,A354,'02_KICH_BAN_NODES'!$E$5:$E$204,"Kiến thức")=1,IF(COUNTIFS($A$5:$A$404,A354,$D$5:$D$404,"Có")&lt;&gt;1,"Choice kiến thức cần đúng 1 đáp án đúng",""),IF(COUNTIFS('02_KICH_BAN_NODES'!$B$5:$B$204,A354,'02_KICH_BAN_NODES'!$E$5:$E$204,"Tương tác")=1,IF(COUNTIFS($A$5:$A$404,A354,$D$5:$D$404,"Có")&lt;&gt;0,"Choice tương tác không được đánh dấu đáp án đúng",""),"Choice chưa chọn loại")))))))</f>
        <v/>
      </c>
    </row>
    <row r="355" spans="1:11">
      <c r="A355" s="13"/>
      <c r="B355" s="13"/>
      <c r="C355" s="5"/>
      <c r="D355" s="13"/>
      <c r="E355" s="13"/>
      <c r="F355" s="13"/>
      <c r="G355" s="13"/>
      <c r="H355" s="5"/>
      <c r="I355" s="5"/>
      <c r="J355" s="6" t="str">
        <f t="shared" si="5"/>
        <v/>
      </c>
      <c r="K355" s="6" t="str">
        <f>IF(A355="","",IF(COUNTIFS('02_KICH_BAN_NODES'!$B$5:$B$204,A355,'02_KICH_BAN_NODES'!$D$5:$D$204,"choice")=0,"ChoiceNodeId không tồn tại hoặc không phải choice",IF(COUNTIFS($A$5:$A$404,A355,$B$5:$B$404,B355)&gt;1,"Trùng OptionOrder trong cùng choice",IF(OR(B355="",C355="",D355="",F355="",H355=""),"Thiếu trường bắt buộc",IF(OR(COUNTIF($A$5:$A$404,A355)&lt;2,COUNTIF($A$5:$A$404,A355)&gt;4),"Mỗi choice cần 2–4 option",IF(COUNTIFS('02_KICH_BAN_NODES'!$B$5:$B$204,A355,'02_KICH_BAN_NODES'!$E$5:$E$204,"Kiến thức")=1,IF(COUNTIFS($A$5:$A$404,A355,$D$5:$D$404,"Có")&lt;&gt;1,"Choice kiến thức cần đúng 1 đáp án đúng",""),IF(COUNTIFS('02_KICH_BAN_NODES'!$B$5:$B$204,A355,'02_KICH_BAN_NODES'!$E$5:$E$204,"Tương tác")=1,IF(COUNTIFS($A$5:$A$404,A355,$D$5:$D$404,"Có")&lt;&gt;0,"Choice tương tác không được đánh dấu đáp án đúng",""),"Choice chưa chọn loại")))))))</f>
        <v/>
      </c>
    </row>
    <row r="356" spans="1:11">
      <c r="A356" s="13"/>
      <c r="B356" s="13"/>
      <c r="C356" s="5"/>
      <c r="D356" s="13"/>
      <c r="E356" s="13"/>
      <c r="F356" s="13"/>
      <c r="G356" s="13"/>
      <c r="H356" s="5"/>
      <c r="I356" s="5"/>
      <c r="J356" s="6" t="str">
        <f t="shared" si="5"/>
        <v/>
      </c>
      <c r="K356" s="6" t="str">
        <f>IF(A356="","",IF(COUNTIFS('02_KICH_BAN_NODES'!$B$5:$B$204,A356,'02_KICH_BAN_NODES'!$D$5:$D$204,"choice")=0,"ChoiceNodeId không tồn tại hoặc không phải choice",IF(COUNTIFS($A$5:$A$404,A356,$B$5:$B$404,B356)&gt;1,"Trùng OptionOrder trong cùng choice",IF(OR(B356="",C356="",D356="",F356="",H356=""),"Thiếu trường bắt buộc",IF(OR(COUNTIF($A$5:$A$404,A356)&lt;2,COUNTIF($A$5:$A$404,A356)&gt;4),"Mỗi choice cần 2–4 option",IF(COUNTIFS('02_KICH_BAN_NODES'!$B$5:$B$204,A356,'02_KICH_BAN_NODES'!$E$5:$E$204,"Kiến thức")=1,IF(COUNTIFS($A$5:$A$404,A356,$D$5:$D$404,"Có")&lt;&gt;1,"Choice kiến thức cần đúng 1 đáp án đúng",""),IF(COUNTIFS('02_KICH_BAN_NODES'!$B$5:$B$204,A356,'02_KICH_BAN_NODES'!$E$5:$E$204,"Tương tác")=1,IF(COUNTIFS($A$5:$A$404,A356,$D$5:$D$404,"Có")&lt;&gt;0,"Choice tương tác không được đánh dấu đáp án đúng",""),"Choice chưa chọn loại")))))))</f>
        <v/>
      </c>
    </row>
    <row r="357" spans="1:11">
      <c r="A357" s="13"/>
      <c r="B357" s="13"/>
      <c r="C357" s="5"/>
      <c r="D357" s="13"/>
      <c r="E357" s="13"/>
      <c r="F357" s="13"/>
      <c r="G357" s="13"/>
      <c r="H357" s="5"/>
      <c r="I357" s="5"/>
      <c r="J357" s="6" t="str">
        <f t="shared" si="5"/>
        <v/>
      </c>
      <c r="K357" s="6" t="str">
        <f>IF(A357="","",IF(COUNTIFS('02_KICH_BAN_NODES'!$B$5:$B$204,A357,'02_KICH_BAN_NODES'!$D$5:$D$204,"choice")=0,"ChoiceNodeId không tồn tại hoặc không phải choice",IF(COUNTIFS($A$5:$A$404,A357,$B$5:$B$404,B357)&gt;1,"Trùng OptionOrder trong cùng choice",IF(OR(B357="",C357="",D357="",F357="",H357=""),"Thiếu trường bắt buộc",IF(OR(COUNTIF($A$5:$A$404,A357)&lt;2,COUNTIF($A$5:$A$404,A357)&gt;4),"Mỗi choice cần 2–4 option",IF(COUNTIFS('02_KICH_BAN_NODES'!$B$5:$B$204,A357,'02_KICH_BAN_NODES'!$E$5:$E$204,"Kiến thức")=1,IF(COUNTIFS($A$5:$A$404,A357,$D$5:$D$404,"Có")&lt;&gt;1,"Choice kiến thức cần đúng 1 đáp án đúng",""),IF(COUNTIFS('02_KICH_BAN_NODES'!$B$5:$B$204,A357,'02_KICH_BAN_NODES'!$E$5:$E$204,"Tương tác")=1,IF(COUNTIFS($A$5:$A$404,A357,$D$5:$D$404,"Có")&lt;&gt;0,"Choice tương tác không được đánh dấu đáp án đúng",""),"Choice chưa chọn loại")))))))</f>
        <v/>
      </c>
    </row>
    <row r="358" spans="1:11">
      <c r="A358" s="13"/>
      <c r="B358" s="13"/>
      <c r="C358" s="5"/>
      <c r="D358" s="13"/>
      <c r="E358" s="13"/>
      <c r="F358" s="13"/>
      <c r="G358" s="13"/>
      <c r="H358" s="5"/>
      <c r="I358" s="5"/>
      <c r="J358" s="6" t="str">
        <f t="shared" si="5"/>
        <v/>
      </c>
      <c r="K358" s="6" t="str">
        <f>IF(A358="","",IF(COUNTIFS('02_KICH_BAN_NODES'!$B$5:$B$204,A358,'02_KICH_BAN_NODES'!$D$5:$D$204,"choice")=0,"ChoiceNodeId không tồn tại hoặc không phải choice",IF(COUNTIFS($A$5:$A$404,A358,$B$5:$B$404,B358)&gt;1,"Trùng OptionOrder trong cùng choice",IF(OR(B358="",C358="",D358="",F358="",H358=""),"Thiếu trường bắt buộc",IF(OR(COUNTIF($A$5:$A$404,A358)&lt;2,COUNTIF($A$5:$A$404,A358)&gt;4),"Mỗi choice cần 2–4 option",IF(COUNTIFS('02_KICH_BAN_NODES'!$B$5:$B$204,A358,'02_KICH_BAN_NODES'!$E$5:$E$204,"Kiến thức")=1,IF(COUNTIFS($A$5:$A$404,A358,$D$5:$D$404,"Có")&lt;&gt;1,"Choice kiến thức cần đúng 1 đáp án đúng",""),IF(COUNTIFS('02_KICH_BAN_NODES'!$B$5:$B$204,A358,'02_KICH_BAN_NODES'!$E$5:$E$204,"Tương tác")=1,IF(COUNTIFS($A$5:$A$404,A358,$D$5:$D$404,"Có")&lt;&gt;0,"Choice tương tác không được đánh dấu đáp án đúng",""),"Choice chưa chọn loại")))))))</f>
        <v/>
      </c>
    </row>
    <row r="359" spans="1:11">
      <c r="A359" s="13"/>
      <c r="B359" s="13"/>
      <c r="C359" s="5"/>
      <c r="D359" s="13"/>
      <c r="E359" s="13"/>
      <c r="F359" s="13"/>
      <c r="G359" s="13"/>
      <c r="H359" s="5"/>
      <c r="I359" s="5"/>
      <c r="J359" s="6" t="str">
        <f t="shared" si="5"/>
        <v/>
      </c>
      <c r="K359" s="6" t="str">
        <f>IF(A359="","",IF(COUNTIFS('02_KICH_BAN_NODES'!$B$5:$B$204,A359,'02_KICH_BAN_NODES'!$D$5:$D$204,"choice")=0,"ChoiceNodeId không tồn tại hoặc không phải choice",IF(COUNTIFS($A$5:$A$404,A359,$B$5:$B$404,B359)&gt;1,"Trùng OptionOrder trong cùng choice",IF(OR(B359="",C359="",D359="",F359="",H359=""),"Thiếu trường bắt buộc",IF(OR(COUNTIF($A$5:$A$404,A359)&lt;2,COUNTIF($A$5:$A$404,A359)&gt;4),"Mỗi choice cần 2–4 option",IF(COUNTIFS('02_KICH_BAN_NODES'!$B$5:$B$204,A359,'02_KICH_BAN_NODES'!$E$5:$E$204,"Kiến thức")=1,IF(COUNTIFS($A$5:$A$404,A359,$D$5:$D$404,"Có")&lt;&gt;1,"Choice kiến thức cần đúng 1 đáp án đúng",""),IF(COUNTIFS('02_KICH_BAN_NODES'!$B$5:$B$204,A359,'02_KICH_BAN_NODES'!$E$5:$E$204,"Tương tác")=1,IF(COUNTIFS($A$5:$A$404,A359,$D$5:$D$404,"Có")&lt;&gt;0,"Choice tương tác không được đánh dấu đáp án đúng",""),"Choice chưa chọn loại")))))))</f>
        <v/>
      </c>
    </row>
    <row r="360" spans="1:11">
      <c r="A360" s="13"/>
      <c r="B360" s="13"/>
      <c r="C360" s="5"/>
      <c r="D360" s="13"/>
      <c r="E360" s="13"/>
      <c r="F360" s="13"/>
      <c r="G360" s="13"/>
      <c r="H360" s="5"/>
      <c r="I360" s="5"/>
      <c r="J360" s="6" t="str">
        <f t="shared" si="5"/>
        <v/>
      </c>
      <c r="K360" s="6" t="str">
        <f>IF(A360="","",IF(COUNTIFS('02_KICH_BAN_NODES'!$B$5:$B$204,A360,'02_KICH_BAN_NODES'!$D$5:$D$204,"choice")=0,"ChoiceNodeId không tồn tại hoặc không phải choice",IF(COUNTIFS($A$5:$A$404,A360,$B$5:$B$404,B360)&gt;1,"Trùng OptionOrder trong cùng choice",IF(OR(B360="",C360="",D360="",F360="",H360=""),"Thiếu trường bắt buộc",IF(OR(COUNTIF($A$5:$A$404,A360)&lt;2,COUNTIF($A$5:$A$404,A360)&gt;4),"Mỗi choice cần 2–4 option",IF(COUNTIFS('02_KICH_BAN_NODES'!$B$5:$B$204,A360,'02_KICH_BAN_NODES'!$E$5:$E$204,"Kiến thức")=1,IF(COUNTIFS($A$5:$A$404,A360,$D$5:$D$404,"Có")&lt;&gt;1,"Choice kiến thức cần đúng 1 đáp án đúng",""),IF(COUNTIFS('02_KICH_BAN_NODES'!$B$5:$B$204,A360,'02_KICH_BAN_NODES'!$E$5:$E$204,"Tương tác")=1,IF(COUNTIFS($A$5:$A$404,A360,$D$5:$D$404,"Có")&lt;&gt;0,"Choice tương tác không được đánh dấu đáp án đúng",""),"Choice chưa chọn loại")))))))</f>
        <v/>
      </c>
    </row>
    <row r="361" spans="1:11">
      <c r="A361" s="13"/>
      <c r="B361" s="13"/>
      <c r="C361" s="5"/>
      <c r="D361" s="13"/>
      <c r="E361" s="13"/>
      <c r="F361" s="13"/>
      <c r="G361" s="13"/>
      <c r="H361" s="5"/>
      <c r="I361" s="5"/>
      <c r="J361" s="6" t="str">
        <f t="shared" si="5"/>
        <v/>
      </c>
      <c r="K361" s="6" t="str">
        <f>IF(A361="","",IF(COUNTIFS('02_KICH_BAN_NODES'!$B$5:$B$204,A361,'02_KICH_BAN_NODES'!$D$5:$D$204,"choice")=0,"ChoiceNodeId không tồn tại hoặc không phải choice",IF(COUNTIFS($A$5:$A$404,A361,$B$5:$B$404,B361)&gt;1,"Trùng OptionOrder trong cùng choice",IF(OR(B361="",C361="",D361="",F361="",H361=""),"Thiếu trường bắt buộc",IF(OR(COUNTIF($A$5:$A$404,A361)&lt;2,COUNTIF($A$5:$A$404,A361)&gt;4),"Mỗi choice cần 2–4 option",IF(COUNTIFS('02_KICH_BAN_NODES'!$B$5:$B$204,A361,'02_KICH_BAN_NODES'!$E$5:$E$204,"Kiến thức")=1,IF(COUNTIFS($A$5:$A$404,A361,$D$5:$D$404,"Có")&lt;&gt;1,"Choice kiến thức cần đúng 1 đáp án đúng",""),IF(COUNTIFS('02_KICH_BAN_NODES'!$B$5:$B$204,A361,'02_KICH_BAN_NODES'!$E$5:$E$204,"Tương tác")=1,IF(COUNTIFS($A$5:$A$404,A361,$D$5:$D$404,"Có")&lt;&gt;0,"Choice tương tác không được đánh dấu đáp án đúng",""),"Choice chưa chọn loại")))))))</f>
        <v/>
      </c>
    </row>
    <row r="362" spans="1:11">
      <c r="A362" s="13"/>
      <c r="B362" s="13"/>
      <c r="C362" s="5"/>
      <c r="D362" s="13"/>
      <c r="E362" s="13"/>
      <c r="F362" s="13"/>
      <c r="G362" s="13"/>
      <c r="H362" s="5"/>
      <c r="I362" s="5"/>
      <c r="J362" s="6" t="str">
        <f t="shared" si="5"/>
        <v/>
      </c>
      <c r="K362" s="6" t="str">
        <f>IF(A362="","",IF(COUNTIFS('02_KICH_BAN_NODES'!$B$5:$B$204,A362,'02_KICH_BAN_NODES'!$D$5:$D$204,"choice")=0,"ChoiceNodeId không tồn tại hoặc không phải choice",IF(COUNTIFS($A$5:$A$404,A362,$B$5:$B$404,B362)&gt;1,"Trùng OptionOrder trong cùng choice",IF(OR(B362="",C362="",D362="",F362="",H362=""),"Thiếu trường bắt buộc",IF(OR(COUNTIF($A$5:$A$404,A362)&lt;2,COUNTIF($A$5:$A$404,A362)&gt;4),"Mỗi choice cần 2–4 option",IF(COUNTIFS('02_KICH_BAN_NODES'!$B$5:$B$204,A362,'02_KICH_BAN_NODES'!$E$5:$E$204,"Kiến thức")=1,IF(COUNTIFS($A$5:$A$404,A362,$D$5:$D$404,"Có")&lt;&gt;1,"Choice kiến thức cần đúng 1 đáp án đúng",""),IF(COUNTIFS('02_KICH_BAN_NODES'!$B$5:$B$204,A362,'02_KICH_BAN_NODES'!$E$5:$E$204,"Tương tác")=1,IF(COUNTIFS($A$5:$A$404,A362,$D$5:$D$404,"Có")&lt;&gt;0,"Choice tương tác không được đánh dấu đáp án đúng",""),"Choice chưa chọn loại")))))))</f>
        <v/>
      </c>
    </row>
    <row r="363" spans="1:11">
      <c r="A363" s="13"/>
      <c r="B363" s="13"/>
      <c r="C363" s="5"/>
      <c r="D363" s="13"/>
      <c r="E363" s="13"/>
      <c r="F363" s="13"/>
      <c r="G363" s="13"/>
      <c r="H363" s="5"/>
      <c r="I363" s="5"/>
      <c r="J363" s="6" t="str">
        <f t="shared" si="5"/>
        <v/>
      </c>
      <c r="K363" s="6" t="str">
        <f>IF(A363="","",IF(COUNTIFS('02_KICH_BAN_NODES'!$B$5:$B$204,A363,'02_KICH_BAN_NODES'!$D$5:$D$204,"choice")=0,"ChoiceNodeId không tồn tại hoặc không phải choice",IF(COUNTIFS($A$5:$A$404,A363,$B$5:$B$404,B363)&gt;1,"Trùng OptionOrder trong cùng choice",IF(OR(B363="",C363="",D363="",F363="",H363=""),"Thiếu trường bắt buộc",IF(OR(COUNTIF($A$5:$A$404,A363)&lt;2,COUNTIF($A$5:$A$404,A363)&gt;4),"Mỗi choice cần 2–4 option",IF(COUNTIFS('02_KICH_BAN_NODES'!$B$5:$B$204,A363,'02_KICH_BAN_NODES'!$E$5:$E$204,"Kiến thức")=1,IF(COUNTIFS($A$5:$A$404,A363,$D$5:$D$404,"Có")&lt;&gt;1,"Choice kiến thức cần đúng 1 đáp án đúng",""),IF(COUNTIFS('02_KICH_BAN_NODES'!$B$5:$B$204,A363,'02_KICH_BAN_NODES'!$E$5:$E$204,"Tương tác")=1,IF(COUNTIFS($A$5:$A$404,A363,$D$5:$D$404,"Có")&lt;&gt;0,"Choice tương tác không được đánh dấu đáp án đúng",""),"Choice chưa chọn loại")))))))</f>
        <v/>
      </c>
    </row>
    <row r="364" spans="1:11">
      <c r="A364" s="13"/>
      <c r="B364" s="13"/>
      <c r="C364" s="5"/>
      <c r="D364" s="13"/>
      <c r="E364" s="13"/>
      <c r="F364" s="13"/>
      <c r="G364" s="13"/>
      <c r="H364" s="5"/>
      <c r="I364" s="5"/>
      <c r="J364" s="6" t="str">
        <f t="shared" si="5"/>
        <v/>
      </c>
      <c r="K364" s="6" t="str">
        <f>IF(A364="","",IF(COUNTIFS('02_KICH_BAN_NODES'!$B$5:$B$204,A364,'02_KICH_BAN_NODES'!$D$5:$D$204,"choice")=0,"ChoiceNodeId không tồn tại hoặc không phải choice",IF(COUNTIFS($A$5:$A$404,A364,$B$5:$B$404,B364)&gt;1,"Trùng OptionOrder trong cùng choice",IF(OR(B364="",C364="",D364="",F364="",H364=""),"Thiếu trường bắt buộc",IF(OR(COUNTIF($A$5:$A$404,A364)&lt;2,COUNTIF($A$5:$A$404,A364)&gt;4),"Mỗi choice cần 2–4 option",IF(COUNTIFS('02_KICH_BAN_NODES'!$B$5:$B$204,A364,'02_KICH_BAN_NODES'!$E$5:$E$204,"Kiến thức")=1,IF(COUNTIFS($A$5:$A$404,A364,$D$5:$D$404,"Có")&lt;&gt;1,"Choice kiến thức cần đúng 1 đáp án đúng",""),IF(COUNTIFS('02_KICH_BAN_NODES'!$B$5:$B$204,A364,'02_KICH_BAN_NODES'!$E$5:$E$204,"Tương tác")=1,IF(COUNTIFS($A$5:$A$404,A364,$D$5:$D$404,"Có")&lt;&gt;0,"Choice tương tác không được đánh dấu đáp án đúng",""),"Choice chưa chọn loại")))))))</f>
        <v/>
      </c>
    </row>
    <row r="365" spans="1:11">
      <c r="A365" s="13"/>
      <c r="B365" s="13"/>
      <c r="C365" s="5"/>
      <c r="D365" s="13"/>
      <c r="E365" s="13"/>
      <c r="F365" s="13"/>
      <c r="G365" s="13"/>
      <c r="H365" s="5"/>
      <c r="I365" s="5"/>
      <c r="J365" s="6" t="str">
        <f t="shared" si="5"/>
        <v/>
      </c>
      <c r="K365" s="6" t="str">
        <f>IF(A365="","",IF(COUNTIFS('02_KICH_BAN_NODES'!$B$5:$B$204,A365,'02_KICH_BAN_NODES'!$D$5:$D$204,"choice")=0,"ChoiceNodeId không tồn tại hoặc không phải choice",IF(COUNTIFS($A$5:$A$404,A365,$B$5:$B$404,B365)&gt;1,"Trùng OptionOrder trong cùng choice",IF(OR(B365="",C365="",D365="",F365="",H365=""),"Thiếu trường bắt buộc",IF(OR(COUNTIF($A$5:$A$404,A365)&lt;2,COUNTIF($A$5:$A$404,A365)&gt;4),"Mỗi choice cần 2–4 option",IF(COUNTIFS('02_KICH_BAN_NODES'!$B$5:$B$204,A365,'02_KICH_BAN_NODES'!$E$5:$E$204,"Kiến thức")=1,IF(COUNTIFS($A$5:$A$404,A365,$D$5:$D$404,"Có")&lt;&gt;1,"Choice kiến thức cần đúng 1 đáp án đúng",""),IF(COUNTIFS('02_KICH_BAN_NODES'!$B$5:$B$204,A365,'02_KICH_BAN_NODES'!$E$5:$E$204,"Tương tác")=1,IF(COUNTIFS($A$5:$A$404,A365,$D$5:$D$404,"Có")&lt;&gt;0,"Choice tương tác không được đánh dấu đáp án đúng",""),"Choice chưa chọn loại")))))))</f>
        <v/>
      </c>
    </row>
    <row r="366" spans="1:11">
      <c r="A366" s="13"/>
      <c r="B366" s="13"/>
      <c r="C366" s="5"/>
      <c r="D366" s="13"/>
      <c r="E366" s="13"/>
      <c r="F366" s="13"/>
      <c r="G366" s="13"/>
      <c r="H366" s="5"/>
      <c r="I366" s="5"/>
      <c r="J366" s="6" t="str">
        <f t="shared" si="5"/>
        <v/>
      </c>
      <c r="K366" s="6" t="str">
        <f>IF(A366="","",IF(COUNTIFS('02_KICH_BAN_NODES'!$B$5:$B$204,A366,'02_KICH_BAN_NODES'!$D$5:$D$204,"choice")=0,"ChoiceNodeId không tồn tại hoặc không phải choice",IF(COUNTIFS($A$5:$A$404,A366,$B$5:$B$404,B366)&gt;1,"Trùng OptionOrder trong cùng choice",IF(OR(B366="",C366="",D366="",F366="",H366=""),"Thiếu trường bắt buộc",IF(OR(COUNTIF($A$5:$A$404,A366)&lt;2,COUNTIF($A$5:$A$404,A366)&gt;4),"Mỗi choice cần 2–4 option",IF(COUNTIFS('02_KICH_BAN_NODES'!$B$5:$B$204,A366,'02_KICH_BAN_NODES'!$E$5:$E$204,"Kiến thức")=1,IF(COUNTIFS($A$5:$A$404,A366,$D$5:$D$404,"Có")&lt;&gt;1,"Choice kiến thức cần đúng 1 đáp án đúng",""),IF(COUNTIFS('02_KICH_BAN_NODES'!$B$5:$B$204,A366,'02_KICH_BAN_NODES'!$E$5:$E$204,"Tương tác")=1,IF(COUNTIFS($A$5:$A$404,A366,$D$5:$D$404,"Có")&lt;&gt;0,"Choice tương tác không được đánh dấu đáp án đúng",""),"Choice chưa chọn loại")))))))</f>
        <v/>
      </c>
    </row>
    <row r="367" spans="1:11">
      <c r="A367" s="13"/>
      <c r="B367" s="13"/>
      <c r="C367" s="5"/>
      <c r="D367" s="13"/>
      <c r="E367" s="13"/>
      <c r="F367" s="13"/>
      <c r="G367" s="13"/>
      <c r="H367" s="5"/>
      <c r="I367" s="5"/>
      <c r="J367" s="6" t="str">
        <f t="shared" si="5"/>
        <v/>
      </c>
      <c r="K367" s="6" t="str">
        <f>IF(A367="","",IF(COUNTIFS('02_KICH_BAN_NODES'!$B$5:$B$204,A367,'02_KICH_BAN_NODES'!$D$5:$D$204,"choice")=0,"ChoiceNodeId không tồn tại hoặc không phải choice",IF(COUNTIFS($A$5:$A$404,A367,$B$5:$B$404,B367)&gt;1,"Trùng OptionOrder trong cùng choice",IF(OR(B367="",C367="",D367="",F367="",H367=""),"Thiếu trường bắt buộc",IF(OR(COUNTIF($A$5:$A$404,A367)&lt;2,COUNTIF($A$5:$A$404,A367)&gt;4),"Mỗi choice cần 2–4 option",IF(COUNTIFS('02_KICH_BAN_NODES'!$B$5:$B$204,A367,'02_KICH_BAN_NODES'!$E$5:$E$204,"Kiến thức")=1,IF(COUNTIFS($A$5:$A$404,A367,$D$5:$D$404,"Có")&lt;&gt;1,"Choice kiến thức cần đúng 1 đáp án đúng",""),IF(COUNTIFS('02_KICH_BAN_NODES'!$B$5:$B$204,A367,'02_KICH_BAN_NODES'!$E$5:$E$204,"Tương tác")=1,IF(COUNTIFS($A$5:$A$404,A367,$D$5:$D$404,"Có")&lt;&gt;0,"Choice tương tác không được đánh dấu đáp án đúng",""),"Choice chưa chọn loại")))))))</f>
        <v/>
      </c>
    </row>
    <row r="368" spans="1:11">
      <c r="A368" s="13"/>
      <c r="B368" s="13"/>
      <c r="C368" s="5"/>
      <c r="D368" s="13"/>
      <c r="E368" s="13"/>
      <c r="F368" s="13"/>
      <c r="G368" s="13"/>
      <c r="H368" s="5"/>
      <c r="I368" s="5"/>
      <c r="J368" s="6" t="str">
        <f t="shared" si="5"/>
        <v/>
      </c>
      <c r="K368" s="6" t="str">
        <f>IF(A368="","",IF(COUNTIFS('02_KICH_BAN_NODES'!$B$5:$B$204,A368,'02_KICH_BAN_NODES'!$D$5:$D$204,"choice")=0,"ChoiceNodeId không tồn tại hoặc không phải choice",IF(COUNTIFS($A$5:$A$404,A368,$B$5:$B$404,B368)&gt;1,"Trùng OptionOrder trong cùng choice",IF(OR(B368="",C368="",D368="",F368="",H368=""),"Thiếu trường bắt buộc",IF(OR(COUNTIF($A$5:$A$404,A368)&lt;2,COUNTIF($A$5:$A$404,A368)&gt;4),"Mỗi choice cần 2–4 option",IF(COUNTIFS('02_KICH_BAN_NODES'!$B$5:$B$204,A368,'02_KICH_BAN_NODES'!$E$5:$E$204,"Kiến thức")=1,IF(COUNTIFS($A$5:$A$404,A368,$D$5:$D$404,"Có")&lt;&gt;1,"Choice kiến thức cần đúng 1 đáp án đúng",""),IF(COUNTIFS('02_KICH_BAN_NODES'!$B$5:$B$204,A368,'02_KICH_BAN_NODES'!$E$5:$E$204,"Tương tác")=1,IF(COUNTIFS($A$5:$A$404,A368,$D$5:$D$404,"Có")&lt;&gt;0,"Choice tương tác không được đánh dấu đáp án đúng",""),"Choice chưa chọn loại")))))))</f>
        <v/>
      </c>
    </row>
    <row r="369" spans="1:11">
      <c r="A369" s="13"/>
      <c r="B369" s="13"/>
      <c r="C369" s="5"/>
      <c r="D369" s="13"/>
      <c r="E369" s="13"/>
      <c r="F369" s="13"/>
      <c r="G369" s="13"/>
      <c r="H369" s="5"/>
      <c r="I369" s="5"/>
      <c r="J369" s="6" t="str">
        <f t="shared" si="5"/>
        <v/>
      </c>
      <c r="K369" s="6" t="str">
        <f>IF(A369="","",IF(COUNTIFS('02_KICH_BAN_NODES'!$B$5:$B$204,A369,'02_KICH_BAN_NODES'!$D$5:$D$204,"choice")=0,"ChoiceNodeId không tồn tại hoặc không phải choice",IF(COUNTIFS($A$5:$A$404,A369,$B$5:$B$404,B369)&gt;1,"Trùng OptionOrder trong cùng choice",IF(OR(B369="",C369="",D369="",F369="",H369=""),"Thiếu trường bắt buộc",IF(OR(COUNTIF($A$5:$A$404,A369)&lt;2,COUNTIF($A$5:$A$404,A369)&gt;4),"Mỗi choice cần 2–4 option",IF(COUNTIFS('02_KICH_BAN_NODES'!$B$5:$B$204,A369,'02_KICH_BAN_NODES'!$E$5:$E$204,"Kiến thức")=1,IF(COUNTIFS($A$5:$A$404,A369,$D$5:$D$404,"Có")&lt;&gt;1,"Choice kiến thức cần đúng 1 đáp án đúng",""),IF(COUNTIFS('02_KICH_BAN_NODES'!$B$5:$B$204,A369,'02_KICH_BAN_NODES'!$E$5:$E$204,"Tương tác")=1,IF(COUNTIFS($A$5:$A$404,A369,$D$5:$D$404,"Có")&lt;&gt;0,"Choice tương tác không được đánh dấu đáp án đúng",""),"Choice chưa chọn loại")))))))</f>
        <v/>
      </c>
    </row>
    <row r="370" spans="1:11">
      <c r="A370" s="13"/>
      <c r="B370" s="13"/>
      <c r="C370" s="5"/>
      <c r="D370" s="13"/>
      <c r="E370" s="13"/>
      <c r="F370" s="13"/>
      <c r="G370" s="13"/>
      <c r="H370" s="5"/>
      <c r="I370" s="5"/>
      <c r="J370" s="6" t="str">
        <f t="shared" si="5"/>
        <v/>
      </c>
      <c r="K370" s="6" t="str">
        <f>IF(A370="","",IF(COUNTIFS('02_KICH_BAN_NODES'!$B$5:$B$204,A370,'02_KICH_BAN_NODES'!$D$5:$D$204,"choice")=0,"ChoiceNodeId không tồn tại hoặc không phải choice",IF(COUNTIFS($A$5:$A$404,A370,$B$5:$B$404,B370)&gt;1,"Trùng OptionOrder trong cùng choice",IF(OR(B370="",C370="",D370="",F370="",H370=""),"Thiếu trường bắt buộc",IF(OR(COUNTIF($A$5:$A$404,A370)&lt;2,COUNTIF($A$5:$A$404,A370)&gt;4),"Mỗi choice cần 2–4 option",IF(COUNTIFS('02_KICH_BAN_NODES'!$B$5:$B$204,A370,'02_KICH_BAN_NODES'!$E$5:$E$204,"Kiến thức")=1,IF(COUNTIFS($A$5:$A$404,A370,$D$5:$D$404,"Có")&lt;&gt;1,"Choice kiến thức cần đúng 1 đáp án đúng",""),IF(COUNTIFS('02_KICH_BAN_NODES'!$B$5:$B$204,A370,'02_KICH_BAN_NODES'!$E$5:$E$204,"Tương tác")=1,IF(COUNTIFS($A$5:$A$404,A370,$D$5:$D$404,"Có")&lt;&gt;0,"Choice tương tác không được đánh dấu đáp án đúng",""),"Choice chưa chọn loại")))))))</f>
        <v/>
      </c>
    </row>
    <row r="371" spans="1:11">
      <c r="A371" s="13"/>
      <c r="B371" s="13"/>
      <c r="C371" s="5"/>
      <c r="D371" s="13"/>
      <c r="E371" s="13"/>
      <c r="F371" s="13"/>
      <c r="G371" s="13"/>
      <c r="H371" s="5"/>
      <c r="I371" s="5"/>
      <c r="J371" s="6" t="str">
        <f t="shared" si="5"/>
        <v/>
      </c>
      <c r="K371" s="6" t="str">
        <f>IF(A371="","",IF(COUNTIFS('02_KICH_BAN_NODES'!$B$5:$B$204,A371,'02_KICH_BAN_NODES'!$D$5:$D$204,"choice")=0,"ChoiceNodeId không tồn tại hoặc không phải choice",IF(COUNTIFS($A$5:$A$404,A371,$B$5:$B$404,B371)&gt;1,"Trùng OptionOrder trong cùng choice",IF(OR(B371="",C371="",D371="",F371="",H371=""),"Thiếu trường bắt buộc",IF(OR(COUNTIF($A$5:$A$404,A371)&lt;2,COUNTIF($A$5:$A$404,A371)&gt;4),"Mỗi choice cần 2–4 option",IF(COUNTIFS('02_KICH_BAN_NODES'!$B$5:$B$204,A371,'02_KICH_BAN_NODES'!$E$5:$E$204,"Kiến thức")=1,IF(COUNTIFS($A$5:$A$404,A371,$D$5:$D$404,"Có")&lt;&gt;1,"Choice kiến thức cần đúng 1 đáp án đúng",""),IF(COUNTIFS('02_KICH_BAN_NODES'!$B$5:$B$204,A371,'02_KICH_BAN_NODES'!$E$5:$E$204,"Tương tác")=1,IF(COUNTIFS($A$5:$A$404,A371,$D$5:$D$404,"Có")&lt;&gt;0,"Choice tương tác không được đánh dấu đáp án đúng",""),"Choice chưa chọn loại")))))))</f>
        <v/>
      </c>
    </row>
    <row r="372" spans="1:11">
      <c r="A372" s="13"/>
      <c r="B372" s="13"/>
      <c r="C372" s="5"/>
      <c r="D372" s="13"/>
      <c r="E372" s="13"/>
      <c r="F372" s="13"/>
      <c r="G372" s="13"/>
      <c r="H372" s="5"/>
      <c r="I372" s="5"/>
      <c r="J372" s="6" t="str">
        <f t="shared" si="5"/>
        <v/>
      </c>
      <c r="K372" s="6" t="str">
        <f>IF(A372="","",IF(COUNTIFS('02_KICH_BAN_NODES'!$B$5:$B$204,A372,'02_KICH_BAN_NODES'!$D$5:$D$204,"choice")=0,"ChoiceNodeId không tồn tại hoặc không phải choice",IF(COUNTIFS($A$5:$A$404,A372,$B$5:$B$404,B372)&gt;1,"Trùng OptionOrder trong cùng choice",IF(OR(B372="",C372="",D372="",F372="",H372=""),"Thiếu trường bắt buộc",IF(OR(COUNTIF($A$5:$A$404,A372)&lt;2,COUNTIF($A$5:$A$404,A372)&gt;4),"Mỗi choice cần 2–4 option",IF(COUNTIFS('02_KICH_BAN_NODES'!$B$5:$B$204,A372,'02_KICH_BAN_NODES'!$E$5:$E$204,"Kiến thức")=1,IF(COUNTIFS($A$5:$A$404,A372,$D$5:$D$404,"Có")&lt;&gt;1,"Choice kiến thức cần đúng 1 đáp án đúng",""),IF(COUNTIFS('02_KICH_BAN_NODES'!$B$5:$B$204,A372,'02_KICH_BAN_NODES'!$E$5:$E$204,"Tương tác")=1,IF(COUNTIFS($A$5:$A$404,A372,$D$5:$D$404,"Có")&lt;&gt;0,"Choice tương tác không được đánh dấu đáp án đúng",""),"Choice chưa chọn loại")))))))</f>
        <v/>
      </c>
    </row>
    <row r="373" spans="1:11">
      <c r="A373" s="13"/>
      <c r="B373" s="13"/>
      <c r="C373" s="5"/>
      <c r="D373" s="13"/>
      <c r="E373" s="13"/>
      <c r="F373" s="13"/>
      <c r="G373" s="13"/>
      <c r="H373" s="5"/>
      <c r="I373" s="5"/>
      <c r="J373" s="6" t="str">
        <f t="shared" si="5"/>
        <v/>
      </c>
      <c r="K373" s="6" t="str">
        <f>IF(A373="","",IF(COUNTIFS('02_KICH_BAN_NODES'!$B$5:$B$204,A373,'02_KICH_BAN_NODES'!$D$5:$D$204,"choice")=0,"ChoiceNodeId không tồn tại hoặc không phải choice",IF(COUNTIFS($A$5:$A$404,A373,$B$5:$B$404,B373)&gt;1,"Trùng OptionOrder trong cùng choice",IF(OR(B373="",C373="",D373="",F373="",H373=""),"Thiếu trường bắt buộc",IF(OR(COUNTIF($A$5:$A$404,A373)&lt;2,COUNTIF($A$5:$A$404,A373)&gt;4),"Mỗi choice cần 2–4 option",IF(COUNTIFS('02_KICH_BAN_NODES'!$B$5:$B$204,A373,'02_KICH_BAN_NODES'!$E$5:$E$204,"Kiến thức")=1,IF(COUNTIFS($A$5:$A$404,A373,$D$5:$D$404,"Có")&lt;&gt;1,"Choice kiến thức cần đúng 1 đáp án đúng",""),IF(COUNTIFS('02_KICH_BAN_NODES'!$B$5:$B$204,A373,'02_KICH_BAN_NODES'!$E$5:$E$204,"Tương tác")=1,IF(COUNTIFS($A$5:$A$404,A373,$D$5:$D$404,"Có")&lt;&gt;0,"Choice tương tác không được đánh dấu đáp án đúng",""),"Choice chưa chọn loại")))))))</f>
        <v/>
      </c>
    </row>
    <row r="374" spans="1:11">
      <c r="A374" s="13"/>
      <c r="B374" s="13"/>
      <c r="C374" s="5"/>
      <c r="D374" s="13"/>
      <c r="E374" s="13"/>
      <c r="F374" s="13"/>
      <c r="G374" s="13"/>
      <c r="H374" s="5"/>
      <c r="I374" s="5"/>
      <c r="J374" s="6" t="str">
        <f t="shared" si="5"/>
        <v/>
      </c>
      <c r="K374" s="6" t="str">
        <f>IF(A374="","",IF(COUNTIFS('02_KICH_BAN_NODES'!$B$5:$B$204,A374,'02_KICH_BAN_NODES'!$D$5:$D$204,"choice")=0,"ChoiceNodeId không tồn tại hoặc không phải choice",IF(COUNTIFS($A$5:$A$404,A374,$B$5:$B$404,B374)&gt;1,"Trùng OptionOrder trong cùng choice",IF(OR(B374="",C374="",D374="",F374="",H374=""),"Thiếu trường bắt buộc",IF(OR(COUNTIF($A$5:$A$404,A374)&lt;2,COUNTIF($A$5:$A$404,A374)&gt;4),"Mỗi choice cần 2–4 option",IF(COUNTIFS('02_KICH_BAN_NODES'!$B$5:$B$204,A374,'02_KICH_BAN_NODES'!$E$5:$E$204,"Kiến thức")=1,IF(COUNTIFS($A$5:$A$404,A374,$D$5:$D$404,"Có")&lt;&gt;1,"Choice kiến thức cần đúng 1 đáp án đúng",""),IF(COUNTIFS('02_KICH_BAN_NODES'!$B$5:$B$204,A374,'02_KICH_BAN_NODES'!$E$5:$E$204,"Tương tác")=1,IF(COUNTIFS($A$5:$A$404,A374,$D$5:$D$404,"Có")&lt;&gt;0,"Choice tương tác không được đánh dấu đáp án đúng",""),"Choice chưa chọn loại")))))))</f>
        <v/>
      </c>
    </row>
    <row r="375" spans="1:11">
      <c r="A375" s="13"/>
      <c r="B375" s="13"/>
      <c r="C375" s="5"/>
      <c r="D375" s="13"/>
      <c r="E375" s="13"/>
      <c r="F375" s="13"/>
      <c r="G375" s="13"/>
      <c r="H375" s="5"/>
      <c r="I375" s="5"/>
      <c r="J375" s="6" t="str">
        <f t="shared" si="5"/>
        <v/>
      </c>
      <c r="K375" s="6" t="str">
        <f>IF(A375="","",IF(COUNTIFS('02_KICH_BAN_NODES'!$B$5:$B$204,A375,'02_KICH_BAN_NODES'!$D$5:$D$204,"choice")=0,"ChoiceNodeId không tồn tại hoặc không phải choice",IF(COUNTIFS($A$5:$A$404,A375,$B$5:$B$404,B375)&gt;1,"Trùng OptionOrder trong cùng choice",IF(OR(B375="",C375="",D375="",F375="",H375=""),"Thiếu trường bắt buộc",IF(OR(COUNTIF($A$5:$A$404,A375)&lt;2,COUNTIF($A$5:$A$404,A375)&gt;4),"Mỗi choice cần 2–4 option",IF(COUNTIFS('02_KICH_BAN_NODES'!$B$5:$B$204,A375,'02_KICH_BAN_NODES'!$E$5:$E$204,"Kiến thức")=1,IF(COUNTIFS($A$5:$A$404,A375,$D$5:$D$404,"Có")&lt;&gt;1,"Choice kiến thức cần đúng 1 đáp án đúng",""),IF(COUNTIFS('02_KICH_BAN_NODES'!$B$5:$B$204,A375,'02_KICH_BAN_NODES'!$E$5:$E$204,"Tương tác")=1,IF(COUNTIFS($A$5:$A$404,A375,$D$5:$D$404,"Có")&lt;&gt;0,"Choice tương tác không được đánh dấu đáp án đúng",""),"Choice chưa chọn loại")))))))</f>
        <v/>
      </c>
    </row>
    <row r="376" spans="1:11">
      <c r="A376" s="13"/>
      <c r="B376" s="13"/>
      <c r="C376" s="5"/>
      <c r="D376" s="13"/>
      <c r="E376" s="13"/>
      <c r="F376" s="13"/>
      <c r="G376" s="13"/>
      <c r="H376" s="5"/>
      <c r="I376" s="5"/>
      <c r="J376" s="6" t="str">
        <f t="shared" si="5"/>
        <v/>
      </c>
      <c r="K376" s="6" t="str">
        <f>IF(A376="","",IF(COUNTIFS('02_KICH_BAN_NODES'!$B$5:$B$204,A376,'02_KICH_BAN_NODES'!$D$5:$D$204,"choice")=0,"ChoiceNodeId không tồn tại hoặc không phải choice",IF(COUNTIFS($A$5:$A$404,A376,$B$5:$B$404,B376)&gt;1,"Trùng OptionOrder trong cùng choice",IF(OR(B376="",C376="",D376="",F376="",H376=""),"Thiếu trường bắt buộc",IF(OR(COUNTIF($A$5:$A$404,A376)&lt;2,COUNTIF($A$5:$A$404,A376)&gt;4),"Mỗi choice cần 2–4 option",IF(COUNTIFS('02_KICH_BAN_NODES'!$B$5:$B$204,A376,'02_KICH_BAN_NODES'!$E$5:$E$204,"Kiến thức")=1,IF(COUNTIFS($A$5:$A$404,A376,$D$5:$D$404,"Có")&lt;&gt;1,"Choice kiến thức cần đúng 1 đáp án đúng",""),IF(COUNTIFS('02_KICH_BAN_NODES'!$B$5:$B$204,A376,'02_KICH_BAN_NODES'!$E$5:$E$204,"Tương tác")=1,IF(COUNTIFS($A$5:$A$404,A376,$D$5:$D$404,"Có")&lt;&gt;0,"Choice tương tác không được đánh dấu đáp án đúng",""),"Choice chưa chọn loại")))))))</f>
        <v/>
      </c>
    </row>
    <row r="377" spans="1:11">
      <c r="A377" s="13"/>
      <c r="B377" s="13"/>
      <c r="C377" s="5"/>
      <c r="D377" s="13"/>
      <c r="E377" s="13"/>
      <c r="F377" s="13"/>
      <c r="G377" s="13"/>
      <c r="H377" s="5"/>
      <c r="I377" s="5"/>
      <c r="J377" s="6" t="str">
        <f t="shared" si="5"/>
        <v/>
      </c>
      <c r="K377" s="6" t="str">
        <f>IF(A377="","",IF(COUNTIFS('02_KICH_BAN_NODES'!$B$5:$B$204,A377,'02_KICH_BAN_NODES'!$D$5:$D$204,"choice")=0,"ChoiceNodeId không tồn tại hoặc không phải choice",IF(COUNTIFS($A$5:$A$404,A377,$B$5:$B$404,B377)&gt;1,"Trùng OptionOrder trong cùng choice",IF(OR(B377="",C377="",D377="",F377="",H377=""),"Thiếu trường bắt buộc",IF(OR(COUNTIF($A$5:$A$404,A377)&lt;2,COUNTIF($A$5:$A$404,A377)&gt;4),"Mỗi choice cần 2–4 option",IF(COUNTIFS('02_KICH_BAN_NODES'!$B$5:$B$204,A377,'02_KICH_BAN_NODES'!$E$5:$E$204,"Kiến thức")=1,IF(COUNTIFS($A$5:$A$404,A377,$D$5:$D$404,"Có")&lt;&gt;1,"Choice kiến thức cần đúng 1 đáp án đúng",""),IF(COUNTIFS('02_KICH_BAN_NODES'!$B$5:$B$204,A377,'02_KICH_BAN_NODES'!$E$5:$E$204,"Tương tác")=1,IF(COUNTIFS($A$5:$A$404,A377,$D$5:$D$404,"Có")&lt;&gt;0,"Choice tương tác không được đánh dấu đáp án đúng",""),"Choice chưa chọn loại")))))))</f>
        <v/>
      </c>
    </row>
    <row r="378" spans="1:11">
      <c r="A378" s="13"/>
      <c r="B378" s="13"/>
      <c r="C378" s="5"/>
      <c r="D378" s="13"/>
      <c r="E378" s="13"/>
      <c r="F378" s="13"/>
      <c r="G378" s="13"/>
      <c r="H378" s="5"/>
      <c r="I378" s="5"/>
      <c r="J378" s="6" t="str">
        <f t="shared" si="5"/>
        <v/>
      </c>
      <c r="K378" s="6" t="str">
        <f>IF(A378="","",IF(COUNTIFS('02_KICH_BAN_NODES'!$B$5:$B$204,A378,'02_KICH_BAN_NODES'!$D$5:$D$204,"choice")=0,"ChoiceNodeId không tồn tại hoặc không phải choice",IF(COUNTIFS($A$5:$A$404,A378,$B$5:$B$404,B378)&gt;1,"Trùng OptionOrder trong cùng choice",IF(OR(B378="",C378="",D378="",F378="",H378=""),"Thiếu trường bắt buộc",IF(OR(COUNTIF($A$5:$A$404,A378)&lt;2,COUNTIF($A$5:$A$404,A378)&gt;4),"Mỗi choice cần 2–4 option",IF(COUNTIFS('02_KICH_BAN_NODES'!$B$5:$B$204,A378,'02_KICH_BAN_NODES'!$E$5:$E$204,"Kiến thức")=1,IF(COUNTIFS($A$5:$A$404,A378,$D$5:$D$404,"Có")&lt;&gt;1,"Choice kiến thức cần đúng 1 đáp án đúng",""),IF(COUNTIFS('02_KICH_BAN_NODES'!$B$5:$B$204,A378,'02_KICH_BAN_NODES'!$E$5:$E$204,"Tương tác")=1,IF(COUNTIFS($A$5:$A$404,A378,$D$5:$D$404,"Có")&lt;&gt;0,"Choice tương tác không được đánh dấu đáp án đúng",""),"Choice chưa chọn loại")))))))</f>
        <v/>
      </c>
    </row>
    <row r="379" spans="1:11">
      <c r="A379" s="13"/>
      <c r="B379" s="13"/>
      <c r="C379" s="5"/>
      <c r="D379" s="13"/>
      <c r="E379" s="13"/>
      <c r="F379" s="13"/>
      <c r="G379" s="13"/>
      <c r="H379" s="5"/>
      <c r="I379" s="5"/>
      <c r="J379" s="6" t="str">
        <f t="shared" si="5"/>
        <v/>
      </c>
      <c r="K379" s="6" t="str">
        <f>IF(A379="","",IF(COUNTIFS('02_KICH_BAN_NODES'!$B$5:$B$204,A379,'02_KICH_BAN_NODES'!$D$5:$D$204,"choice")=0,"ChoiceNodeId không tồn tại hoặc không phải choice",IF(COUNTIFS($A$5:$A$404,A379,$B$5:$B$404,B379)&gt;1,"Trùng OptionOrder trong cùng choice",IF(OR(B379="",C379="",D379="",F379="",H379=""),"Thiếu trường bắt buộc",IF(OR(COUNTIF($A$5:$A$404,A379)&lt;2,COUNTIF($A$5:$A$404,A379)&gt;4),"Mỗi choice cần 2–4 option",IF(COUNTIFS('02_KICH_BAN_NODES'!$B$5:$B$204,A379,'02_KICH_BAN_NODES'!$E$5:$E$204,"Kiến thức")=1,IF(COUNTIFS($A$5:$A$404,A379,$D$5:$D$404,"Có")&lt;&gt;1,"Choice kiến thức cần đúng 1 đáp án đúng",""),IF(COUNTIFS('02_KICH_BAN_NODES'!$B$5:$B$204,A379,'02_KICH_BAN_NODES'!$E$5:$E$204,"Tương tác")=1,IF(COUNTIFS($A$5:$A$404,A379,$D$5:$D$404,"Có")&lt;&gt;0,"Choice tương tác không được đánh dấu đáp án đúng",""),"Choice chưa chọn loại")))))))</f>
        <v/>
      </c>
    </row>
    <row r="380" spans="1:11">
      <c r="A380" s="13"/>
      <c r="B380" s="13"/>
      <c r="C380" s="5"/>
      <c r="D380" s="13"/>
      <c r="E380" s="13"/>
      <c r="F380" s="13"/>
      <c r="G380" s="13"/>
      <c r="H380" s="5"/>
      <c r="I380" s="5"/>
      <c r="J380" s="6" t="str">
        <f t="shared" si="5"/>
        <v/>
      </c>
      <c r="K380" s="6" t="str">
        <f>IF(A380="","",IF(COUNTIFS('02_KICH_BAN_NODES'!$B$5:$B$204,A380,'02_KICH_BAN_NODES'!$D$5:$D$204,"choice")=0,"ChoiceNodeId không tồn tại hoặc không phải choice",IF(COUNTIFS($A$5:$A$404,A380,$B$5:$B$404,B380)&gt;1,"Trùng OptionOrder trong cùng choice",IF(OR(B380="",C380="",D380="",F380="",H380=""),"Thiếu trường bắt buộc",IF(OR(COUNTIF($A$5:$A$404,A380)&lt;2,COUNTIF($A$5:$A$404,A380)&gt;4),"Mỗi choice cần 2–4 option",IF(COUNTIFS('02_KICH_BAN_NODES'!$B$5:$B$204,A380,'02_KICH_BAN_NODES'!$E$5:$E$204,"Kiến thức")=1,IF(COUNTIFS($A$5:$A$404,A380,$D$5:$D$404,"Có")&lt;&gt;1,"Choice kiến thức cần đúng 1 đáp án đúng",""),IF(COUNTIFS('02_KICH_BAN_NODES'!$B$5:$B$204,A380,'02_KICH_BAN_NODES'!$E$5:$E$204,"Tương tác")=1,IF(COUNTIFS($A$5:$A$404,A380,$D$5:$D$404,"Có")&lt;&gt;0,"Choice tương tác không được đánh dấu đáp án đúng",""),"Choice chưa chọn loại")))))))</f>
        <v/>
      </c>
    </row>
    <row r="381" spans="1:11">
      <c r="A381" s="13"/>
      <c r="B381" s="13"/>
      <c r="C381" s="5"/>
      <c r="D381" s="13"/>
      <c r="E381" s="13"/>
      <c r="F381" s="13"/>
      <c r="G381" s="13"/>
      <c r="H381" s="5"/>
      <c r="I381" s="5"/>
      <c r="J381" s="6" t="str">
        <f t="shared" si="5"/>
        <v/>
      </c>
      <c r="K381" s="6" t="str">
        <f>IF(A381="","",IF(COUNTIFS('02_KICH_BAN_NODES'!$B$5:$B$204,A381,'02_KICH_BAN_NODES'!$D$5:$D$204,"choice")=0,"ChoiceNodeId không tồn tại hoặc không phải choice",IF(COUNTIFS($A$5:$A$404,A381,$B$5:$B$404,B381)&gt;1,"Trùng OptionOrder trong cùng choice",IF(OR(B381="",C381="",D381="",F381="",H381=""),"Thiếu trường bắt buộc",IF(OR(COUNTIF($A$5:$A$404,A381)&lt;2,COUNTIF($A$5:$A$404,A381)&gt;4),"Mỗi choice cần 2–4 option",IF(COUNTIFS('02_KICH_BAN_NODES'!$B$5:$B$204,A381,'02_KICH_BAN_NODES'!$E$5:$E$204,"Kiến thức")=1,IF(COUNTIFS($A$5:$A$404,A381,$D$5:$D$404,"Có")&lt;&gt;1,"Choice kiến thức cần đúng 1 đáp án đúng",""),IF(COUNTIFS('02_KICH_BAN_NODES'!$B$5:$B$204,A381,'02_KICH_BAN_NODES'!$E$5:$E$204,"Tương tác")=1,IF(COUNTIFS($A$5:$A$404,A381,$D$5:$D$404,"Có")&lt;&gt;0,"Choice tương tác không được đánh dấu đáp án đúng",""),"Choice chưa chọn loại")))))))</f>
        <v/>
      </c>
    </row>
    <row r="382" spans="1:11">
      <c r="A382" s="13"/>
      <c r="B382" s="13"/>
      <c r="C382" s="5"/>
      <c r="D382" s="13"/>
      <c r="E382" s="13"/>
      <c r="F382" s="13"/>
      <c r="G382" s="13"/>
      <c r="H382" s="5"/>
      <c r="I382" s="5"/>
      <c r="J382" s="6" t="str">
        <f t="shared" si="5"/>
        <v/>
      </c>
      <c r="K382" s="6" t="str">
        <f>IF(A382="","",IF(COUNTIFS('02_KICH_BAN_NODES'!$B$5:$B$204,A382,'02_KICH_BAN_NODES'!$D$5:$D$204,"choice")=0,"ChoiceNodeId không tồn tại hoặc không phải choice",IF(COUNTIFS($A$5:$A$404,A382,$B$5:$B$404,B382)&gt;1,"Trùng OptionOrder trong cùng choice",IF(OR(B382="",C382="",D382="",F382="",H382=""),"Thiếu trường bắt buộc",IF(OR(COUNTIF($A$5:$A$404,A382)&lt;2,COUNTIF($A$5:$A$404,A382)&gt;4),"Mỗi choice cần 2–4 option",IF(COUNTIFS('02_KICH_BAN_NODES'!$B$5:$B$204,A382,'02_KICH_BAN_NODES'!$E$5:$E$204,"Kiến thức")=1,IF(COUNTIFS($A$5:$A$404,A382,$D$5:$D$404,"Có")&lt;&gt;1,"Choice kiến thức cần đúng 1 đáp án đúng",""),IF(COUNTIFS('02_KICH_BAN_NODES'!$B$5:$B$204,A382,'02_KICH_BAN_NODES'!$E$5:$E$204,"Tương tác")=1,IF(COUNTIFS($A$5:$A$404,A382,$D$5:$D$404,"Có")&lt;&gt;0,"Choice tương tác không được đánh dấu đáp án đúng",""),"Choice chưa chọn loại")))))))</f>
        <v/>
      </c>
    </row>
    <row r="383" spans="1:11">
      <c r="A383" s="13"/>
      <c r="B383" s="13"/>
      <c r="C383" s="5"/>
      <c r="D383" s="13"/>
      <c r="E383" s="13"/>
      <c r="F383" s="13"/>
      <c r="G383" s="13"/>
      <c r="H383" s="5"/>
      <c r="I383" s="5"/>
      <c r="J383" s="6" t="str">
        <f t="shared" si="5"/>
        <v/>
      </c>
      <c r="K383" s="6" t="str">
        <f>IF(A383="","",IF(COUNTIFS('02_KICH_BAN_NODES'!$B$5:$B$204,A383,'02_KICH_BAN_NODES'!$D$5:$D$204,"choice")=0,"ChoiceNodeId không tồn tại hoặc không phải choice",IF(COUNTIFS($A$5:$A$404,A383,$B$5:$B$404,B383)&gt;1,"Trùng OptionOrder trong cùng choice",IF(OR(B383="",C383="",D383="",F383="",H383=""),"Thiếu trường bắt buộc",IF(OR(COUNTIF($A$5:$A$404,A383)&lt;2,COUNTIF($A$5:$A$404,A383)&gt;4),"Mỗi choice cần 2–4 option",IF(COUNTIFS('02_KICH_BAN_NODES'!$B$5:$B$204,A383,'02_KICH_BAN_NODES'!$E$5:$E$204,"Kiến thức")=1,IF(COUNTIFS($A$5:$A$404,A383,$D$5:$D$404,"Có")&lt;&gt;1,"Choice kiến thức cần đúng 1 đáp án đúng",""),IF(COUNTIFS('02_KICH_BAN_NODES'!$B$5:$B$204,A383,'02_KICH_BAN_NODES'!$E$5:$E$204,"Tương tác")=1,IF(COUNTIFS($A$5:$A$404,A383,$D$5:$D$404,"Có")&lt;&gt;0,"Choice tương tác không được đánh dấu đáp án đúng",""),"Choice chưa chọn loại")))))))</f>
        <v/>
      </c>
    </row>
    <row r="384" spans="1:11">
      <c r="A384" s="13"/>
      <c r="B384" s="13"/>
      <c r="C384" s="5"/>
      <c r="D384" s="13"/>
      <c r="E384" s="13"/>
      <c r="F384" s="13"/>
      <c r="G384" s="13"/>
      <c r="H384" s="5"/>
      <c r="I384" s="5"/>
      <c r="J384" s="6" t="str">
        <f t="shared" si="5"/>
        <v/>
      </c>
      <c r="K384" s="6" t="str">
        <f>IF(A384="","",IF(COUNTIFS('02_KICH_BAN_NODES'!$B$5:$B$204,A384,'02_KICH_BAN_NODES'!$D$5:$D$204,"choice")=0,"ChoiceNodeId không tồn tại hoặc không phải choice",IF(COUNTIFS($A$5:$A$404,A384,$B$5:$B$404,B384)&gt;1,"Trùng OptionOrder trong cùng choice",IF(OR(B384="",C384="",D384="",F384="",H384=""),"Thiếu trường bắt buộc",IF(OR(COUNTIF($A$5:$A$404,A384)&lt;2,COUNTIF($A$5:$A$404,A384)&gt;4),"Mỗi choice cần 2–4 option",IF(COUNTIFS('02_KICH_BAN_NODES'!$B$5:$B$204,A384,'02_KICH_BAN_NODES'!$E$5:$E$204,"Kiến thức")=1,IF(COUNTIFS($A$5:$A$404,A384,$D$5:$D$404,"Có")&lt;&gt;1,"Choice kiến thức cần đúng 1 đáp án đúng",""),IF(COUNTIFS('02_KICH_BAN_NODES'!$B$5:$B$204,A384,'02_KICH_BAN_NODES'!$E$5:$E$204,"Tương tác")=1,IF(COUNTIFS($A$5:$A$404,A384,$D$5:$D$404,"Có")&lt;&gt;0,"Choice tương tác không được đánh dấu đáp án đúng",""),"Choice chưa chọn loại")))))))</f>
        <v/>
      </c>
    </row>
    <row r="385" spans="1:11">
      <c r="A385" s="13"/>
      <c r="B385" s="13"/>
      <c r="C385" s="5"/>
      <c r="D385" s="13"/>
      <c r="E385" s="13"/>
      <c r="F385" s="13"/>
      <c r="G385" s="13"/>
      <c r="H385" s="5"/>
      <c r="I385" s="5"/>
      <c r="J385" s="6" t="str">
        <f t="shared" si="5"/>
        <v/>
      </c>
      <c r="K385" s="6" t="str">
        <f>IF(A385="","",IF(COUNTIFS('02_KICH_BAN_NODES'!$B$5:$B$204,A385,'02_KICH_BAN_NODES'!$D$5:$D$204,"choice")=0,"ChoiceNodeId không tồn tại hoặc không phải choice",IF(COUNTIFS($A$5:$A$404,A385,$B$5:$B$404,B385)&gt;1,"Trùng OptionOrder trong cùng choice",IF(OR(B385="",C385="",D385="",F385="",H385=""),"Thiếu trường bắt buộc",IF(OR(COUNTIF($A$5:$A$404,A385)&lt;2,COUNTIF($A$5:$A$404,A385)&gt;4),"Mỗi choice cần 2–4 option",IF(COUNTIFS('02_KICH_BAN_NODES'!$B$5:$B$204,A385,'02_KICH_BAN_NODES'!$E$5:$E$204,"Kiến thức")=1,IF(COUNTIFS($A$5:$A$404,A385,$D$5:$D$404,"Có")&lt;&gt;1,"Choice kiến thức cần đúng 1 đáp án đúng",""),IF(COUNTIFS('02_KICH_BAN_NODES'!$B$5:$B$204,A385,'02_KICH_BAN_NODES'!$E$5:$E$204,"Tương tác")=1,IF(COUNTIFS($A$5:$A$404,A385,$D$5:$D$404,"Có")&lt;&gt;0,"Choice tương tác không được đánh dấu đáp án đúng",""),"Choice chưa chọn loại")))))))</f>
        <v/>
      </c>
    </row>
    <row r="386" spans="1:11">
      <c r="A386" s="13"/>
      <c r="B386" s="13"/>
      <c r="C386" s="5"/>
      <c r="D386" s="13"/>
      <c r="E386" s="13"/>
      <c r="F386" s="13"/>
      <c r="G386" s="13"/>
      <c r="H386" s="5"/>
      <c r="I386" s="5"/>
      <c r="J386" s="6" t="str">
        <f t="shared" si="5"/>
        <v/>
      </c>
      <c r="K386" s="6" t="str">
        <f>IF(A386="","",IF(COUNTIFS('02_KICH_BAN_NODES'!$B$5:$B$204,A386,'02_KICH_BAN_NODES'!$D$5:$D$204,"choice")=0,"ChoiceNodeId không tồn tại hoặc không phải choice",IF(COUNTIFS($A$5:$A$404,A386,$B$5:$B$404,B386)&gt;1,"Trùng OptionOrder trong cùng choice",IF(OR(B386="",C386="",D386="",F386="",H386=""),"Thiếu trường bắt buộc",IF(OR(COUNTIF($A$5:$A$404,A386)&lt;2,COUNTIF($A$5:$A$404,A386)&gt;4),"Mỗi choice cần 2–4 option",IF(COUNTIFS('02_KICH_BAN_NODES'!$B$5:$B$204,A386,'02_KICH_BAN_NODES'!$E$5:$E$204,"Kiến thức")=1,IF(COUNTIFS($A$5:$A$404,A386,$D$5:$D$404,"Có")&lt;&gt;1,"Choice kiến thức cần đúng 1 đáp án đúng",""),IF(COUNTIFS('02_KICH_BAN_NODES'!$B$5:$B$204,A386,'02_KICH_BAN_NODES'!$E$5:$E$204,"Tương tác")=1,IF(COUNTIFS($A$5:$A$404,A386,$D$5:$D$404,"Có")&lt;&gt;0,"Choice tương tác không được đánh dấu đáp án đúng",""),"Choice chưa chọn loại")))))))</f>
        <v/>
      </c>
    </row>
    <row r="387" spans="1:11">
      <c r="A387" s="13"/>
      <c r="B387" s="13"/>
      <c r="C387" s="5"/>
      <c r="D387" s="13"/>
      <c r="E387" s="13"/>
      <c r="F387" s="13"/>
      <c r="G387" s="13"/>
      <c r="H387" s="5"/>
      <c r="I387" s="5"/>
      <c r="J387" s="6" t="str">
        <f t="shared" si="5"/>
        <v/>
      </c>
      <c r="K387" s="6" t="str">
        <f>IF(A387="","",IF(COUNTIFS('02_KICH_BAN_NODES'!$B$5:$B$204,A387,'02_KICH_BAN_NODES'!$D$5:$D$204,"choice")=0,"ChoiceNodeId không tồn tại hoặc không phải choice",IF(COUNTIFS($A$5:$A$404,A387,$B$5:$B$404,B387)&gt;1,"Trùng OptionOrder trong cùng choice",IF(OR(B387="",C387="",D387="",F387="",H387=""),"Thiếu trường bắt buộc",IF(OR(COUNTIF($A$5:$A$404,A387)&lt;2,COUNTIF($A$5:$A$404,A387)&gt;4),"Mỗi choice cần 2–4 option",IF(COUNTIFS('02_KICH_BAN_NODES'!$B$5:$B$204,A387,'02_KICH_BAN_NODES'!$E$5:$E$204,"Kiến thức")=1,IF(COUNTIFS($A$5:$A$404,A387,$D$5:$D$404,"Có")&lt;&gt;1,"Choice kiến thức cần đúng 1 đáp án đúng",""),IF(COUNTIFS('02_KICH_BAN_NODES'!$B$5:$B$204,A387,'02_KICH_BAN_NODES'!$E$5:$E$204,"Tương tác")=1,IF(COUNTIFS($A$5:$A$404,A387,$D$5:$D$404,"Có")&lt;&gt;0,"Choice tương tác không được đánh dấu đáp án đúng",""),"Choice chưa chọn loại")))))))</f>
        <v/>
      </c>
    </row>
    <row r="388" spans="1:11">
      <c r="A388" s="13"/>
      <c r="B388" s="13"/>
      <c r="C388" s="5"/>
      <c r="D388" s="13"/>
      <c r="E388" s="13"/>
      <c r="F388" s="13"/>
      <c r="G388" s="13"/>
      <c r="H388" s="5"/>
      <c r="I388" s="5"/>
      <c r="J388" s="6" t="str">
        <f t="shared" si="5"/>
        <v/>
      </c>
      <c r="K388" s="6" t="str">
        <f>IF(A388="","",IF(COUNTIFS('02_KICH_BAN_NODES'!$B$5:$B$204,A388,'02_KICH_BAN_NODES'!$D$5:$D$204,"choice")=0,"ChoiceNodeId không tồn tại hoặc không phải choice",IF(COUNTIFS($A$5:$A$404,A388,$B$5:$B$404,B388)&gt;1,"Trùng OptionOrder trong cùng choice",IF(OR(B388="",C388="",D388="",F388="",H388=""),"Thiếu trường bắt buộc",IF(OR(COUNTIF($A$5:$A$404,A388)&lt;2,COUNTIF($A$5:$A$404,A388)&gt;4),"Mỗi choice cần 2–4 option",IF(COUNTIFS('02_KICH_BAN_NODES'!$B$5:$B$204,A388,'02_KICH_BAN_NODES'!$E$5:$E$204,"Kiến thức")=1,IF(COUNTIFS($A$5:$A$404,A388,$D$5:$D$404,"Có")&lt;&gt;1,"Choice kiến thức cần đúng 1 đáp án đúng",""),IF(COUNTIFS('02_KICH_BAN_NODES'!$B$5:$B$204,A388,'02_KICH_BAN_NODES'!$E$5:$E$204,"Tương tác")=1,IF(COUNTIFS($A$5:$A$404,A388,$D$5:$D$404,"Có")&lt;&gt;0,"Choice tương tác không được đánh dấu đáp án đúng",""),"Choice chưa chọn loại")))))))</f>
        <v/>
      </c>
    </row>
    <row r="389" spans="1:11">
      <c r="A389" s="13"/>
      <c r="B389" s="13"/>
      <c r="C389" s="5"/>
      <c r="D389" s="13"/>
      <c r="E389" s="13"/>
      <c r="F389" s="13"/>
      <c r="G389" s="13"/>
      <c r="H389" s="5"/>
      <c r="I389" s="5"/>
      <c r="J389" s="6" t="str">
        <f t="shared" ref="J389:J452" si="6">IF(A389="","",IF(K389="","HỢP LỆ","CẦN SỬA"))</f>
        <v/>
      </c>
      <c r="K389" s="6" t="str">
        <f>IF(A389="","",IF(COUNTIFS('02_KICH_BAN_NODES'!$B$5:$B$204,A389,'02_KICH_BAN_NODES'!$D$5:$D$204,"choice")=0,"ChoiceNodeId không tồn tại hoặc không phải choice",IF(COUNTIFS($A$5:$A$404,A389,$B$5:$B$404,B389)&gt;1,"Trùng OptionOrder trong cùng choice",IF(OR(B389="",C389="",D389="",F389="",H389=""),"Thiếu trường bắt buộc",IF(OR(COUNTIF($A$5:$A$404,A389)&lt;2,COUNTIF($A$5:$A$404,A389)&gt;4),"Mỗi choice cần 2–4 option",IF(COUNTIFS('02_KICH_BAN_NODES'!$B$5:$B$204,A389,'02_KICH_BAN_NODES'!$E$5:$E$204,"Kiến thức")=1,IF(COUNTIFS($A$5:$A$404,A389,$D$5:$D$404,"Có")&lt;&gt;1,"Choice kiến thức cần đúng 1 đáp án đúng",""),IF(COUNTIFS('02_KICH_BAN_NODES'!$B$5:$B$204,A389,'02_KICH_BAN_NODES'!$E$5:$E$204,"Tương tác")=1,IF(COUNTIFS($A$5:$A$404,A389,$D$5:$D$404,"Có")&lt;&gt;0,"Choice tương tác không được đánh dấu đáp án đúng",""),"Choice chưa chọn loại")))))))</f>
        <v/>
      </c>
    </row>
    <row r="390" spans="1:11">
      <c r="A390" s="13"/>
      <c r="B390" s="13"/>
      <c r="C390" s="5"/>
      <c r="D390" s="13"/>
      <c r="E390" s="13"/>
      <c r="F390" s="13"/>
      <c r="G390" s="13"/>
      <c r="H390" s="5"/>
      <c r="I390" s="5"/>
      <c r="J390" s="6" t="str">
        <f t="shared" si="6"/>
        <v/>
      </c>
      <c r="K390" s="6" t="str">
        <f>IF(A390="","",IF(COUNTIFS('02_KICH_BAN_NODES'!$B$5:$B$204,A390,'02_KICH_BAN_NODES'!$D$5:$D$204,"choice")=0,"ChoiceNodeId không tồn tại hoặc không phải choice",IF(COUNTIFS($A$5:$A$404,A390,$B$5:$B$404,B390)&gt;1,"Trùng OptionOrder trong cùng choice",IF(OR(B390="",C390="",D390="",F390="",H390=""),"Thiếu trường bắt buộc",IF(OR(COUNTIF($A$5:$A$404,A390)&lt;2,COUNTIF($A$5:$A$404,A390)&gt;4),"Mỗi choice cần 2–4 option",IF(COUNTIFS('02_KICH_BAN_NODES'!$B$5:$B$204,A390,'02_KICH_BAN_NODES'!$E$5:$E$204,"Kiến thức")=1,IF(COUNTIFS($A$5:$A$404,A390,$D$5:$D$404,"Có")&lt;&gt;1,"Choice kiến thức cần đúng 1 đáp án đúng",""),IF(COUNTIFS('02_KICH_BAN_NODES'!$B$5:$B$204,A390,'02_KICH_BAN_NODES'!$E$5:$E$204,"Tương tác")=1,IF(COUNTIFS($A$5:$A$404,A390,$D$5:$D$404,"Có")&lt;&gt;0,"Choice tương tác không được đánh dấu đáp án đúng",""),"Choice chưa chọn loại")))))))</f>
        <v/>
      </c>
    </row>
    <row r="391" spans="1:11">
      <c r="A391" s="13"/>
      <c r="B391" s="13"/>
      <c r="C391" s="5"/>
      <c r="D391" s="13"/>
      <c r="E391" s="13"/>
      <c r="F391" s="13"/>
      <c r="G391" s="13"/>
      <c r="H391" s="5"/>
      <c r="I391" s="5"/>
      <c r="J391" s="6" t="str">
        <f t="shared" si="6"/>
        <v/>
      </c>
      <c r="K391" s="6" t="str">
        <f>IF(A391="","",IF(COUNTIFS('02_KICH_BAN_NODES'!$B$5:$B$204,A391,'02_KICH_BAN_NODES'!$D$5:$D$204,"choice")=0,"ChoiceNodeId không tồn tại hoặc không phải choice",IF(COUNTIFS($A$5:$A$404,A391,$B$5:$B$404,B391)&gt;1,"Trùng OptionOrder trong cùng choice",IF(OR(B391="",C391="",D391="",F391="",H391=""),"Thiếu trường bắt buộc",IF(OR(COUNTIF($A$5:$A$404,A391)&lt;2,COUNTIF($A$5:$A$404,A391)&gt;4),"Mỗi choice cần 2–4 option",IF(COUNTIFS('02_KICH_BAN_NODES'!$B$5:$B$204,A391,'02_KICH_BAN_NODES'!$E$5:$E$204,"Kiến thức")=1,IF(COUNTIFS($A$5:$A$404,A391,$D$5:$D$404,"Có")&lt;&gt;1,"Choice kiến thức cần đúng 1 đáp án đúng",""),IF(COUNTIFS('02_KICH_BAN_NODES'!$B$5:$B$204,A391,'02_KICH_BAN_NODES'!$E$5:$E$204,"Tương tác")=1,IF(COUNTIFS($A$5:$A$404,A391,$D$5:$D$404,"Có")&lt;&gt;0,"Choice tương tác không được đánh dấu đáp án đúng",""),"Choice chưa chọn loại")))))))</f>
        <v/>
      </c>
    </row>
    <row r="392" spans="1:11">
      <c r="A392" s="13"/>
      <c r="B392" s="13"/>
      <c r="C392" s="5"/>
      <c r="D392" s="13"/>
      <c r="E392" s="13"/>
      <c r="F392" s="13"/>
      <c r="G392" s="13"/>
      <c r="H392" s="5"/>
      <c r="I392" s="5"/>
      <c r="J392" s="6" t="str">
        <f t="shared" si="6"/>
        <v/>
      </c>
      <c r="K392" s="6" t="str">
        <f>IF(A392="","",IF(COUNTIFS('02_KICH_BAN_NODES'!$B$5:$B$204,A392,'02_KICH_BAN_NODES'!$D$5:$D$204,"choice")=0,"ChoiceNodeId không tồn tại hoặc không phải choice",IF(COUNTIFS($A$5:$A$404,A392,$B$5:$B$404,B392)&gt;1,"Trùng OptionOrder trong cùng choice",IF(OR(B392="",C392="",D392="",F392="",H392=""),"Thiếu trường bắt buộc",IF(OR(COUNTIF($A$5:$A$404,A392)&lt;2,COUNTIF($A$5:$A$404,A392)&gt;4),"Mỗi choice cần 2–4 option",IF(COUNTIFS('02_KICH_BAN_NODES'!$B$5:$B$204,A392,'02_KICH_BAN_NODES'!$E$5:$E$204,"Kiến thức")=1,IF(COUNTIFS($A$5:$A$404,A392,$D$5:$D$404,"Có")&lt;&gt;1,"Choice kiến thức cần đúng 1 đáp án đúng",""),IF(COUNTIFS('02_KICH_BAN_NODES'!$B$5:$B$204,A392,'02_KICH_BAN_NODES'!$E$5:$E$204,"Tương tác")=1,IF(COUNTIFS($A$5:$A$404,A392,$D$5:$D$404,"Có")&lt;&gt;0,"Choice tương tác không được đánh dấu đáp án đúng",""),"Choice chưa chọn loại")))))))</f>
        <v/>
      </c>
    </row>
    <row r="393" spans="1:11">
      <c r="A393" s="13"/>
      <c r="B393" s="13"/>
      <c r="C393" s="5"/>
      <c r="D393" s="13"/>
      <c r="E393" s="13"/>
      <c r="F393" s="13"/>
      <c r="G393" s="13"/>
      <c r="H393" s="5"/>
      <c r="I393" s="5"/>
      <c r="J393" s="6" t="str">
        <f t="shared" si="6"/>
        <v/>
      </c>
      <c r="K393" s="6" t="str">
        <f>IF(A393="","",IF(COUNTIFS('02_KICH_BAN_NODES'!$B$5:$B$204,A393,'02_KICH_BAN_NODES'!$D$5:$D$204,"choice")=0,"ChoiceNodeId không tồn tại hoặc không phải choice",IF(COUNTIFS($A$5:$A$404,A393,$B$5:$B$404,B393)&gt;1,"Trùng OptionOrder trong cùng choice",IF(OR(B393="",C393="",D393="",F393="",H393=""),"Thiếu trường bắt buộc",IF(OR(COUNTIF($A$5:$A$404,A393)&lt;2,COUNTIF($A$5:$A$404,A393)&gt;4),"Mỗi choice cần 2–4 option",IF(COUNTIFS('02_KICH_BAN_NODES'!$B$5:$B$204,A393,'02_KICH_BAN_NODES'!$E$5:$E$204,"Kiến thức")=1,IF(COUNTIFS($A$5:$A$404,A393,$D$5:$D$404,"Có")&lt;&gt;1,"Choice kiến thức cần đúng 1 đáp án đúng",""),IF(COUNTIFS('02_KICH_BAN_NODES'!$B$5:$B$204,A393,'02_KICH_BAN_NODES'!$E$5:$E$204,"Tương tác")=1,IF(COUNTIFS($A$5:$A$404,A393,$D$5:$D$404,"Có")&lt;&gt;0,"Choice tương tác không được đánh dấu đáp án đúng",""),"Choice chưa chọn loại")))))))</f>
        <v/>
      </c>
    </row>
    <row r="394" spans="1:11">
      <c r="A394" s="13"/>
      <c r="B394" s="13"/>
      <c r="C394" s="5"/>
      <c r="D394" s="13"/>
      <c r="E394" s="13"/>
      <c r="F394" s="13"/>
      <c r="G394" s="13"/>
      <c r="H394" s="5"/>
      <c r="I394" s="5"/>
      <c r="J394" s="6" t="str">
        <f t="shared" si="6"/>
        <v/>
      </c>
      <c r="K394" s="6" t="str">
        <f>IF(A394="","",IF(COUNTIFS('02_KICH_BAN_NODES'!$B$5:$B$204,A394,'02_KICH_BAN_NODES'!$D$5:$D$204,"choice")=0,"ChoiceNodeId không tồn tại hoặc không phải choice",IF(COUNTIFS($A$5:$A$404,A394,$B$5:$B$404,B394)&gt;1,"Trùng OptionOrder trong cùng choice",IF(OR(B394="",C394="",D394="",F394="",H394=""),"Thiếu trường bắt buộc",IF(OR(COUNTIF($A$5:$A$404,A394)&lt;2,COUNTIF($A$5:$A$404,A394)&gt;4),"Mỗi choice cần 2–4 option",IF(COUNTIFS('02_KICH_BAN_NODES'!$B$5:$B$204,A394,'02_KICH_BAN_NODES'!$E$5:$E$204,"Kiến thức")=1,IF(COUNTIFS($A$5:$A$404,A394,$D$5:$D$404,"Có")&lt;&gt;1,"Choice kiến thức cần đúng 1 đáp án đúng",""),IF(COUNTIFS('02_KICH_BAN_NODES'!$B$5:$B$204,A394,'02_KICH_BAN_NODES'!$E$5:$E$204,"Tương tác")=1,IF(COUNTIFS($A$5:$A$404,A394,$D$5:$D$404,"Có")&lt;&gt;0,"Choice tương tác không được đánh dấu đáp án đúng",""),"Choice chưa chọn loại")))))))</f>
        <v/>
      </c>
    </row>
    <row r="395" spans="1:11">
      <c r="A395" s="13"/>
      <c r="B395" s="13"/>
      <c r="C395" s="5"/>
      <c r="D395" s="13"/>
      <c r="E395" s="13"/>
      <c r="F395" s="13"/>
      <c r="G395" s="13"/>
      <c r="H395" s="5"/>
      <c r="I395" s="5"/>
      <c r="J395" s="6" t="str">
        <f t="shared" si="6"/>
        <v/>
      </c>
      <c r="K395" s="6" t="str">
        <f>IF(A395="","",IF(COUNTIFS('02_KICH_BAN_NODES'!$B$5:$B$204,A395,'02_KICH_BAN_NODES'!$D$5:$D$204,"choice")=0,"ChoiceNodeId không tồn tại hoặc không phải choice",IF(COUNTIFS($A$5:$A$404,A395,$B$5:$B$404,B395)&gt;1,"Trùng OptionOrder trong cùng choice",IF(OR(B395="",C395="",D395="",F395="",H395=""),"Thiếu trường bắt buộc",IF(OR(COUNTIF($A$5:$A$404,A395)&lt;2,COUNTIF($A$5:$A$404,A395)&gt;4),"Mỗi choice cần 2–4 option",IF(COUNTIFS('02_KICH_BAN_NODES'!$B$5:$B$204,A395,'02_KICH_BAN_NODES'!$E$5:$E$204,"Kiến thức")=1,IF(COUNTIFS($A$5:$A$404,A395,$D$5:$D$404,"Có")&lt;&gt;1,"Choice kiến thức cần đúng 1 đáp án đúng",""),IF(COUNTIFS('02_KICH_BAN_NODES'!$B$5:$B$204,A395,'02_KICH_BAN_NODES'!$E$5:$E$204,"Tương tác")=1,IF(COUNTIFS($A$5:$A$404,A395,$D$5:$D$404,"Có")&lt;&gt;0,"Choice tương tác không được đánh dấu đáp án đúng",""),"Choice chưa chọn loại")))))))</f>
        <v/>
      </c>
    </row>
    <row r="396" spans="1:11">
      <c r="A396" s="13"/>
      <c r="B396" s="13"/>
      <c r="C396" s="5"/>
      <c r="D396" s="13"/>
      <c r="E396" s="13"/>
      <c r="F396" s="13"/>
      <c r="G396" s="13"/>
      <c r="H396" s="5"/>
      <c r="I396" s="5"/>
      <c r="J396" s="6" t="str">
        <f t="shared" si="6"/>
        <v/>
      </c>
      <c r="K396" s="6" t="str">
        <f>IF(A396="","",IF(COUNTIFS('02_KICH_BAN_NODES'!$B$5:$B$204,A396,'02_KICH_BAN_NODES'!$D$5:$D$204,"choice")=0,"ChoiceNodeId không tồn tại hoặc không phải choice",IF(COUNTIFS($A$5:$A$404,A396,$B$5:$B$404,B396)&gt;1,"Trùng OptionOrder trong cùng choice",IF(OR(B396="",C396="",D396="",F396="",H396=""),"Thiếu trường bắt buộc",IF(OR(COUNTIF($A$5:$A$404,A396)&lt;2,COUNTIF($A$5:$A$404,A396)&gt;4),"Mỗi choice cần 2–4 option",IF(COUNTIFS('02_KICH_BAN_NODES'!$B$5:$B$204,A396,'02_KICH_BAN_NODES'!$E$5:$E$204,"Kiến thức")=1,IF(COUNTIFS($A$5:$A$404,A396,$D$5:$D$404,"Có")&lt;&gt;1,"Choice kiến thức cần đúng 1 đáp án đúng",""),IF(COUNTIFS('02_KICH_BAN_NODES'!$B$5:$B$204,A396,'02_KICH_BAN_NODES'!$E$5:$E$204,"Tương tác")=1,IF(COUNTIFS($A$5:$A$404,A396,$D$5:$D$404,"Có")&lt;&gt;0,"Choice tương tác không được đánh dấu đáp án đúng",""),"Choice chưa chọn loại")))))))</f>
        <v/>
      </c>
    </row>
    <row r="397" spans="1:11">
      <c r="A397" s="13"/>
      <c r="B397" s="13"/>
      <c r="C397" s="5"/>
      <c r="D397" s="13"/>
      <c r="E397" s="13"/>
      <c r="F397" s="13"/>
      <c r="G397" s="13"/>
      <c r="H397" s="5"/>
      <c r="I397" s="5"/>
      <c r="J397" s="6" t="str">
        <f t="shared" si="6"/>
        <v/>
      </c>
      <c r="K397" s="6" t="str">
        <f>IF(A397="","",IF(COUNTIFS('02_KICH_BAN_NODES'!$B$5:$B$204,A397,'02_KICH_BAN_NODES'!$D$5:$D$204,"choice")=0,"ChoiceNodeId không tồn tại hoặc không phải choice",IF(COUNTIFS($A$5:$A$404,A397,$B$5:$B$404,B397)&gt;1,"Trùng OptionOrder trong cùng choice",IF(OR(B397="",C397="",D397="",F397="",H397=""),"Thiếu trường bắt buộc",IF(OR(COUNTIF($A$5:$A$404,A397)&lt;2,COUNTIF($A$5:$A$404,A397)&gt;4),"Mỗi choice cần 2–4 option",IF(COUNTIFS('02_KICH_BAN_NODES'!$B$5:$B$204,A397,'02_KICH_BAN_NODES'!$E$5:$E$204,"Kiến thức")=1,IF(COUNTIFS($A$5:$A$404,A397,$D$5:$D$404,"Có")&lt;&gt;1,"Choice kiến thức cần đúng 1 đáp án đúng",""),IF(COUNTIFS('02_KICH_BAN_NODES'!$B$5:$B$204,A397,'02_KICH_BAN_NODES'!$E$5:$E$204,"Tương tác")=1,IF(COUNTIFS($A$5:$A$404,A397,$D$5:$D$404,"Có")&lt;&gt;0,"Choice tương tác không được đánh dấu đáp án đúng",""),"Choice chưa chọn loại")))))))</f>
        <v/>
      </c>
    </row>
    <row r="398" spans="1:11">
      <c r="A398" s="13"/>
      <c r="B398" s="13"/>
      <c r="C398" s="5"/>
      <c r="D398" s="13"/>
      <c r="E398" s="13"/>
      <c r="F398" s="13"/>
      <c r="G398" s="13"/>
      <c r="H398" s="5"/>
      <c r="I398" s="5"/>
      <c r="J398" s="6" t="str">
        <f t="shared" si="6"/>
        <v/>
      </c>
      <c r="K398" s="6" t="str">
        <f>IF(A398="","",IF(COUNTIFS('02_KICH_BAN_NODES'!$B$5:$B$204,A398,'02_KICH_BAN_NODES'!$D$5:$D$204,"choice")=0,"ChoiceNodeId không tồn tại hoặc không phải choice",IF(COUNTIFS($A$5:$A$404,A398,$B$5:$B$404,B398)&gt;1,"Trùng OptionOrder trong cùng choice",IF(OR(B398="",C398="",D398="",F398="",H398=""),"Thiếu trường bắt buộc",IF(OR(COUNTIF($A$5:$A$404,A398)&lt;2,COUNTIF($A$5:$A$404,A398)&gt;4),"Mỗi choice cần 2–4 option",IF(COUNTIFS('02_KICH_BAN_NODES'!$B$5:$B$204,A398,'02_KICH_BAN_NODES'!$E$5:$E$204,"Kiến thức")=1,IF(COUNTIFS($A$5:$A$404,A398,$D$5:$D$404,"Có")&lt;&gt;1,"Choice kiến thức cần đúng 1 đáp án đúng",""),IF(COUNTIFS('02_KICH_BAN_NODES'!$B$5:$B$204,A398,'02_KICH_BAN_NODES'!$E$5:$E$204,"Tương tác")=1,IF(COUNTIFS($A$5:$A$404,A398,$D$5:$D$404,"Có")&lt;&gt;0,"Choice tương tác không được đánh dấu đáp án đúng",""),"Choice chưa chọn loại")))))))</f>
        <v/>
      </c>
    </row>
    <row r="399" spans="1:11">
      <c r="A399" s="13"/>
      <c r="B399" s="13"/>
      <c r="C399" s="5"/>
      <c r="D399" s="13"/>
      <c r="E399" s="13"/>
      <c r="F399" s="13"/>
      <c r="G399" s="13"/>
      <c r="H399" s="5"/>
      <c r="I399" s="5"/>
      <c r="J399" s="6" t="str">
        <f t="shared" si="6"/>
        <v/>
      </c>
      <c r="K399" s="6" t="str">
        <f>IF(A399="","",IF(COUNTIFS('02_KICH_BAN_NODES'!$B$5:$B$204,A399,'02_KICH_BAN_NODES'!$D$5:$D$204,"choice")=0,"ChoiceNodeId không tồn tại hoặc không phải choice",IF(COUNTIFS($A$5:$A$404,A399,$B$5:$B$404,B399)&gt;1,"Trùng OptionOrder trong cùng choice",IF(OR(B399="",C399="",D399="",F399="",H399=""),"Thiếu trường bắt buộc",IF(OR(COUNTIF($A$5:$A$404,A399)&lt;2,COUNTIF($A$5:$A$404,A399)&gt;4),"Mỗi choice cần 2–4 option",IF(COUNTIFS('02_KICH_BAN_NODES'!$B$5:$B$204,A399,'02_KICH_BAN_NODES'!$E$5:$E$204,"Kiến thức")=1,IF(COUNTIFS($A$5:$A$404,A399,$D$5:$D$404,"Có")&lt;&gt;1,"Choice kiến thức cần đúng 1 đáp án đúng",""),IF(COUNTIFS('02_KICH_BAN_NODES'!$B$5:$B$204,A399,'02_KICH_BAN_NODES'!$E$5:$E$204,"Tương tác")=1,IF(COUNTIFS($A$5:$A$404,A399,$D$5:$D$404,"Có")&lt;&gt;0,"Choice tương tác không được đánh dấu đáp án đúng",""),"Choice chưa chọn loại")))))))</f>
        <v/>
      </c>
    </row>
    <row r="400" spans="1:11">
      <c r="A400" s="13"/>
      <c r="B400" s="13"/>
      <c r="C400" s="5"/>
      <c r="D400" s="13"/>
      <c r="E400" s="13"/>
      <c r="F400" s="13"/>
      <c r="G400" s="13"/>
      <c r="H400" s="5"/>
      <c r="I400" s="5"/>
      <c r="J400" s="6" t="str">
        <f t="shared" si="6"/>
        <v/>
      </c>
      <c r="K400" s="6" t="str">
        <f>IF(A400="","",IF(COUNTIFS('02_KICH_BAN_NODES'!$B$5:$B$204,A400,'02_KICH_BAN_NODES'!$D$5:$D$204,"choice")=0,"ChoiceNodeId không tồn tại hoặc không phải choice",IF(COUNTIFS($A$5:$A$404,A400,$B$5:$B$404,B400)&gt;1,"Trùng OptionOrder trong cùng choice",IF(OR(B400="",C400="",D400="",F400="",H400=""),"Thiếu trường bắt buộc",IF(OR(COUNTIF($A$5:$A$404,A400)&lt;2,COUNTIF($A$5:$A$404,A400)&gt;4),"Mỗi choice cần 2–4 option",IF(COUNTIFS('02_KICH_BAN_NODES'!$B$5:$B$204,A400,'02_KICH_BAN_NODES'!$E$5:$E$204,"Kiến thức")=1,IF(COUNTIFS($A$5:$A$404,A400,$D$5:$D$404,"Có")&lt;&gt;1,"Choice kiến thức cần đúng 1 đáp án đúng",""),IF(COUNTIFS('02_KICH_BAN_NODES'!$B$5:$B$204,A400,'02_KICH_BAN_NODES'!$E$5:$E$204,"Tương tác")=1,IF(COUNTIFS($A$5:$A$404,A400,$D$5:$D$404,"Có")&lt;&gt;0,"Choice tương tác không được đánh dấu đáp án đúng",""),"Choice chưa chọn loại")))))))</f>
        <v/>
      </c>
    </row>
    <row r="401" spans="1:11">
      <c r="A401" s="13"/>
      <c r="B401" s="13"/>
      <c r="C401" s="5"/>
      <c r="D401" s="13"/>
      <c r="E401" s="13"/>
      <c r="F401" s="13"/>
      <c r="G401" s="13"/>
      <c r="H401" s="5"/>
      <c r="I401" s="5"/>
      <c r="J401" s="6" t="str">
        <f t="shared" si="6"/>
        <v/>
      </c>
      <c r="K401" s="6" t="str">
        <f>IF(A401="","",IF(COUNTIFS('02_KICH_BAN_NODES'!$B$5:$B$204,A401,'02_KICH_BAN_NODES'!$D$5:$D$204,"choice")=0,"ChoiceNodeId không tồn tại hoặc không phải choice",IF(COUNTIFS($A$5:$A$404,A401,$B$5:$B$404,B401)&gt;1,"Trùng OptionOrder trong cùng choice",IF(OR(B401="",C401="",D401="",F401="",H401=""),"Thiếu trường bắt buộc",IF(OR(COUNTIF($A$5:$A$404,A401)&lt;2,COUNTIF($A$5:$A$404,A401)&gt;4),"Mỗi choice cần 2–4 option",IF(COUNTIFS('02_KICH_BAN_NODES'!$B$5:$B$204,A401,'02_KICH_BAN_NODES'!$E$5:$E$204,"Kiến thức")=1,IF(COUNTIFS($A$5:$A$404,A401,$D$5:$D$404,"Có")&lt;&gt;1,"Choice kiến thức cần đúng 1 đáp án đúng",""),IF(COUNTIFS('02_KICH_BAN_NODES'!$B$5:$B$204,A401,'02_KICH_BAN_NODES'!$E$5:$E$204,"Tương tác")=1,IF(COUNTIFS($A$5:$A$404,A401,$D$5:$D$404,"Có")&lt;&gt;0,"Choice tương tác không được đánh dấu đáp án đúng",""),"Choice chưa chọn loại")))))))</f>
        <v/>
      </c>
    </row>
    <row r="402" spans="1:11">
      <c r="A402" s="13"/>
      <c r="B402" s="13"/>
      <c r="C402" s="5"/>
      <c r="D402" s="13"/>
      <c r="E402" s="13"/>
      <c r="F402" s="13"/>
      <c r="G402" s="13"/>
      <c r="H402" s="5"/>
      <c r="I402" s="5"/>
      <c r="J402" s="6" t="str">
        <f t="shared" si="6"/>
        <v/>
      </c>
      <c r="K402" s="6" t="str">
        <f>IF(A402="","",IF(COUNTIFS('02_KICH_BAN_NODES'!$B$5:$B$204,A402,'02_KICH_BAN_NODES'!$D$5:$D$204,"choice")=0,"ChoiceNodeId không tồn tại hoặc không phải choice",IF(COUNTIFS($A$5:$A$404,A402,$B$5:$B$404,B402)&gt;1,"Trùng OptionOrder trong cùng choice",IF(OR(B402="",C402="",D402="",F402="",H402=""),"Thiếu trường bắt buộc",IF(OR(COUNTIF($A$5:$A$404,A402)&lt;2,COUNTIF($A$5:$A$404,A402)&gt;4),"Mỗi choice cần 2–4 option",IF(COUNTIFS('02_KICH_BAN_NODES'!$B$5:$B$204,A402,'02_KICH_BAN_NODES'!$E$5:$E$204,"Kiến thức")=1,IF(COUNTIFS($A$5:$A$404,A402,$D$5:$D$404,"Có")&lt;&gt;1,"Choice kiến thức cần đúng 1 đáp án đúng",""),IF(COUNTIFS('02_KICH_BAN_NODES'!$B$5:$B$204,A402,'02_KICH_BAN_NODES'!$E$5:$E$204,"Tương tác")=1,IF(COUNTIFS($A$5:$A$404,A402,$D$5:$D$404,"Có")&lt;&gt;0,"Choice tương tác không được đánh dấu đáp án đúng",""),"Choice chưa chọn loại")))))))</f>
        <v/>
      </c>
    </row>
    <row r="403" spans="1:11">
      <c r="A403" s="13"/>
      <c r="B403" s="13"/>
      <c r="C403" s="5"/>
      <c r="D403" s="13"/>
      <c r="E403" s="13"/>
      <c r="F403" s="13"/>
      <c r="G403" s="13"/>
      <c r="H403" s="5"/>
      <c r="I403" s="5"/>
      <c r="J403" s="6" t="str">
        <f t="shared" si="6"/>
        <v/>
      </c>
      <c r="K403" s="6" t="str">
        <f>IF(A403="","",IF(COUNTIFS('02_KICH_BAN_NODES'!$B$5:$B$204,A403,'02_KICH_BAN_NODES'!$D$5:$D$204,"choice")=0,"ChoiceNodeId không tồn tại hoặc không phải choice",IF(COUNTIFS($A$5:$A$404,A403,$B$5:$B$404,B403)&gt;1,"Trùng OptionOrder trong cùng choice",IF(OR(B403="",C403="",D403="",F403="",H403=""),"Thiếu trường bắt buộc",IF(OR(COUNTIF($A$5:$A$404,A403)&lt;2,COUNTIF($A$5:$A$404,A403)&gt;4),"Mỗi choice cần 2–4 option",IF(COUNTIFS('02_KICH_BAN_NODES'!$B$5:$B$204,A403,'02_KICH_BAN_NODES'!$E$5:$E$204,"Kiến thức")=1,IF(COUNTIFS($A$5:$A$404,A403,$D$5:$D$404,"Có")&lt;&gt;1,"Choice kiến thức cần đúng 1 đáp án đúng",""),IF(COUNTIFS('02_KICH_BAN_NODES'!$B$5:$B$204,A403,'02_KICH_BAN_NODES'!$E$5:$E$204,"Tương tác")=1,IF(COUNTIFS($A$5:$A$404,A403,$D$5:$D$404,"Có")&lt;&gt;0,"Choice tương tác không được đánh dấu đáp án đúng",""),"Choice chưa chọn loại")))))))</f>
        <v/>
      </c>
    </row>
    <row r="404" spans="1:11">
      <c r="A404" s="13"/>
      <c r="B404" s="13"/>
      <c r="C404" s="5"/>
      <c r="D404" s="13"/>
      <c r="E404" s="13"/>
      <c r="F404" s="13"/>
      <c r="G404" s="13"/>
      <c r="H404" s="5"/>
      <c r="I404" s="5"/>
      <c r="J404" s="6" t="str">
        <f t="shared" si="6"/>
        <v/>
      </c>
      <c r="K404" s="6" t="str">
        <f>IF(A404="","",IF(COUNTIFS('02_KICH_BAN_NODES'!$B$5:$B$204,A404,'02_KICH_BAN_NODES'!$D$5:$D$204,"choice")=0,"ChoiceNodeId không tồn tại hoặc không phải choice",IF(COUNTIFS($A$5:$A$404,A404,$B$5:$B$404,B404)&gt;1,"Trùng OptionOrder trong cùng choice",IF(OR(B404="",C404="",D404="",F404="",H404=""),"Thiếu trường bắt buộc",IF(OR(COUNTIF($A$5:$A$404,A404)&lt;2,COUNTIF($A$5:$A$404,A404)&gt;4),"Mỗi choice cần 2–4 option",IF(COUNTIFS('02_KICH_BAN_NODES'!$B$5:$B$204,A404,'02_KICH_BAN_NODES'!$E$5:$E$204,"Kiến thức")=1,IF(COUNTIFS($A$5:$A$404,A404,$D$5:$D$404,"Có")&lt;&gt;1,"Choice kiến thức cần đúng 1 đáp án đúng",""),IF(COUNTIFS('02_KICH_BAN_NODES'!$B$5:$B$204,A404,'02_KICH_BAN_NODES'!$E$5:$E$204,"Tương tác")=1,IF(COUNTIFS($A$5:$A$404,A404,$D$5:$D$404,"Có")&lt;&gt;0,"Choice tương tác không được đánh dấu đáp án đúng",""),"Choice chưa chọn loại")))))))</f>
        <v/>
      </c>
    </row>
  </sheetData>
  <mergeCells count="2">
    <mergeCell ref="A1:K1"/>
    <mergeCell ref="A2:K2"/>
  </mergeCells>
  <conditionalFormatting sqref="D5:D404">
    <cfRule type="expression" dxfId="12" priority="4">
      <formula>D5="Có"</formula>
    </cfRule>
    <cfRule type="expression" dxfId="11" priority="5">
      <formula>D5="Không"</formula>
    </cfRule>
  </conditionalFormatting>
  <conditionalFormatting sqref="J5:J404">
    <cfRule type="expression" dxfId="10" priority="1">
      <formula>J5="HỢP LỆ"</formula>
    </cfRule>
    <cfRule type="expression" dxfId="9" priority="2">
      <formula>J5="CẦN SỬA"</formula>
    </cfRule>
  </conditionalFormatting>
  <conditionalFormatting sqref="K5:K404">
    <cfRule type="expression" dxfId="8" priority="3">
      <formula>K5&lt;&gt;""</formula>
    </cfRule>
  </conditionalFormatting>
  <dataValidations count="1">
    <dataValidation type="list" sqref="D5:D404" xr:uid="{00000000-0002-0000-0300-000000000000}">
      <formula1>"Có,Không"</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
  <sheetViews>
    <sheetView workbookViewId="0"/>
  </sheetViews>
  <sheetFormatPr defaultRowHeight="14.25"/>
  <cols>
    <col min="1" max="1" width="16" customWidth="1"/>
    <col min="2" max="2" width="22" customWidth="1"/>
    <col min="3" max="3" width="28" customWidth="1"/>
    <col min="4" max="4" width="18" customWidth="1"/>
    <col min="5" max="5" width="40" customWidth="1"/>
    <col min="6" max="6" width="18" customWidth="1"/>
    <col min="7" max="7" width="14" customWidth="1"/>
    <col min="8" max="8" width="32" customWidth="1"/>
    <col min="9" max="9" width="3" customWidth="1"/>
    <col min="10" max="10" width="14" customWidth="1"/>
    <col min="11" max="11" width="38" customWidth="1"/>
    <col min="12" max="12" width="42" customWidth="1"/>
  </cols>
  <sheetData>
    <row r="1" spans="1:12" ht="30" customHeight="1">
      <c r="A1" s="19" t="s">
        <v>166</v>
      </c>
      <c r="B1" s="19"/>
      <c r="C1" s="19"/>
      <c r="D1" s="19"/>
      <c r="E1" s="19"/>
      <c r="F1" s="19"/>
      <c r="G1" s="19"/>
      <c r="H1" s="19"/>
      <c r="I1" s="19"/>
      <c r="J1" s="19"/>
      <c r="K1" s="19"/>
      <c r="L1" s="19"/>
    </row>
    <row r="2" spans="1:12" ht="36" customHeight="1">
      <c r="A2" s="20" t="s">
        <v>167</v>
      </c>
      <c r="B2" s="20"/>
      <c r="C2" s="20"/>
      <c r="D2" s="20"/>
      <c r="E2" s="20"/>
      <c r="F2" s="20"/>
      <c r="G2" s="20"/>
      <c r="H2" s="20"/>
      <c r="I2" s="20"/>
      <c r="J2" s="20"/>
      <c r="K2" s="20"/>
      <c r="L2" s="20"/>
    </row>
    <row r="4" spans="1:12" ht="24" customHeight="1">
      <c r="A4" s="18" t="s">
        <v>168</v>
      </c>
      <c r="B4" s="18"/>
      <c r="C4" s="18"/>
      <c r="D4" s="18" t="s">
        <v>169</v>
      </c>
      <c r="E4" s="18"/>
      <c r="F4" s="18"/>
      <c r="G4" s="18" t="s">
        <v>170</v>
      </c>
      <c r="H4" s="18"/>
      <c r="J4" s="18" t="s">
        <v>171</v>
      </c>
      <c r="K4" s="18"/>
      <c r="L4" s="18"/>
    </row>
    <row r="5" spans="1:12" ht="39.950000000000003" customHeight="1">
      <c r="A5" s="1" t="s">
        <v>150</v>
      </c>
      <c r="B5" s="1" t="s">
        <v>172</v>
      </c>
      <c r="C5" s="1" t="s">
        <v>173</v>
      </c>
      <c r="D5" s="1" t="s">
        <v>174</v>
      </c>
      <c r="E5" s="1" t="s">
        <v>175</v>
      </c>
      <c r="F5" s="1" t="s">
        <v>176</v>
      </c>
      <c r="G5" s="1" t="s">
        <v>177</v>
      </c>
      <c r="H5" s="1" t="s">
        <v>178</v>
      </c>
      <c r="J5" s="1" t="s">
        <v>179</v>
      </c>
      <c r="K5" s="1" t="s">
        <v>180</v>
      </c>
      <c r="L5" s="1" t="s">
        <v>181</v>
      </c>
    </row>
    <row r="6" spans="1:12">
      <c r="A6" s="2" t="s">
        <v>182</v>
      </c>
      <c r="B6" s="2"/>
      <c r="C6" s="2" t="s">
        <v>76</v>
      </c>
      <c r="D6" s="2" t="s">
        <v>183</v>
      </c>
      <c r="E6" s="2" t="s">
        <v>184</v>
      </c>
      <c r="F6" s="2" t="s">
        <v>185</v>
      </c>
      <c r="G6" s="2" t="s">
        <v>186</v>
      </c>
      <c r="H6" s="2" t="s">
        <v>187</v>
      </c>
      <c r="I6" s="2"/>
      <c r="J6" s="2" t="s">
        <v>188</v>
      </c>
      <c r="K6" s="2" t="s">
        <v>189</v>
      </c>
      <c r="L6" s="2" t="s">
        <v>190</v>
      </c>
    </row>
    <row r="7" spans="1:12">
      <c r="A7" s="2" t="s">
        <v>191</v>
      </c>
      <c r="B7" s="2" t="s">
        <v>192</v>
      </c>
      <c r="C7" s="2" t="s">
        <v>193</v>
      </c>
      <c r="D7" s="2" t="s">
        <v>194</v>
      </c>
      <c r="E7" s="2" t="s">
        <v>195</v>
      </c>
      <c r="F7" s="2" t="s">
        <v>185</v>
      </c>
      <c r="G7" s="2" t="s">
        <v>196</v>
      </c>
      <c r="H7" s="2" t="s">
        <v>197</v>
      </c>
      <c r="I7" s="2"/>
      <c r="J7" s="2" t="s">
        <v>198</v>
      </c>
      <c r="K7" s="2" t="s">
        <v>199</v>
      </c>
      <c r="L7" s="2" t="s">
        <v>200</v>
      </c>
    </row>
    <row r="8" spans="1:12" ht="28.5">
      <c r="A8" s="2" t="s">
        <v>201</v>
      </c>
      <c r="B8" s="2" t="s">
        <v>202</v>
      </c>
      <c r="C8" s="2" t="s">
        <v>203</v>
      </c>
      <c r="D8" s="2" t="s">
        <v>204</v>
      </c>
      <c r="E8" s="2" t="s">
        <v>205</v>
      </c>
      <c r="F8" s="2" t="s">
        <v>185</v>
      </c>
      <c r="G8" s="2" t="s">
        <v>206</v>
      </c>
      <c r="H8" s="2" t="s">
        <v>207</v>
      </c>
      <c r="I8" s="2"/>
      <c r="J8" s="2" t="s">
        <v>208</v>
      </c>
      <c r="K8" s="2" t="s">
        <v>209</v>
      </c>
      <c r="L8" s="2" t="s">
        <v>210</v>
      </c>
    </row>
    <row r="9" spans="1:12">
      <c r="A9" s="2" t="s">
        <v>211</v>
      </c>
      <c r="B9" s="2" t="s">
        <v>212</v>
      </c>
      <c r="C9" s="2" t="s">
        <v>213</v>
      </c>
      <c r="D9" s="5"/>
      <c r="E9" s="5"/>
      <c r="F9" s="5"/>
      <c r="G9" s="2" t="s">
        <v>214</v>
      </c>
      <c r="H9" s="2" t="s">
        <v>215</v>
      </c>
      <c r="I9" s="2"/>
      <c r="J9" s="2" t="s">
        <v>216</v>
      </c>
      <c r="K9" s="2" t="s">
        <v>153</v>
      </c>
      <c r="L9" s="2" t="s">
        <v>217</v>
      </c>
    </row>
    <row r="10" spans="1:12">
      <c r="A10" s="2" t="s">
        <v>218</v>
      </c>
      <c r="B10" s="2" t="s">
        <v>219</v>
      </c>
      <c r="C10" s="2" t="s">
        <v>220</v>
      </c>
      <c r="D10" s="5"/>
      <c r="E10" s="5"/>
      <c r="F10" s="5"/>
      <c r="G10" s="2"/>
      <c r="H10" s="2"/>
      <c r="I10" s="2"/>
      <c r="J10" s="2" t="s">
        <v>221</v>
      </c>
      <c r="K10" s="2" t="s">
        <v>222</v>
      </c>
      <c r="L10" s="2" t="s">
        <v>223</v>
      </c>
    </row>
    <row r="11" spans="1:12">
      <c r="A11" s="2" t="s">
        <v>224</v>
      </c>
      <c r="B11" s="2" t="s">
        <v>225</v>
      </c>
      <c r="C11" s="2" t="s">
        <v>226</v>
      </c>
      <c r="D11" s="5"/>
      <c r="E11" s="5"/>
      <c r="F11" s="5"/>
      <c r="G11" s="2"/>
      <c r="H11" s="2"/>
      <c r="I11" s="2"/>
      <c r="J11" s="2"/>
      <c r="K11" s="2"/>
      <c r="L11" s="2"/>
    </row>
    <row r="12" spans="1:12">
      <c r="A12" s="5"/>
      <c r="B12" s="5"/>
      <c r="C12" s="5"/>
      <c r="D12" s="5"/>
      <c r="E12" s="5"/>
      <c r="F12" s="5"/>
      <c r="G12" s="2"/>
      <c r="H12" s="2"/>
      <c r="I12" s="2"/>
      <c r="J12" s="2"/>
      <c r="K12" s="2"/>
      <c r="L12" s="2"/>
    </row>
    <row r="13" spans="1:12">
      <c r="A13" s="5"/>
      <c r="B13" s="5"/>
      <c r="C13" s="5"/>
      <c r="D13" s="5"/>
      <c r="E13" s="5"/>
      <c r="F13" s="5"/>
      <c r="G13" s="2"/>
      <c r="H13" s="2"/>
      <c r="I13" s="2"/>
      <c r="J13" s="2"/>
      <c r="K13" s="2"/>
      <c r="L13" s="2"/>
    </row>
    <row r="14" spans="1:12">
      <c r="A14" s="5"/>
      <c r="B14" s="5"/>
      <c r="C14" s="5"/>
      <c r="D14" s="5"/>
      <c r="E14" s="5"/>
      <c r="F14" s="5"/>
      <c r="G14" s="2"/>
      <c r="H14" s="2"/>
      <c r="I14" s="2"/>
      <c r="J14" s="2"/>
      <c r="K14" s="2"/>
      <c r="L14" s="2"/>
    </row>
    <row r="15" spans="1:12">
      <c r="A15" s="5"/>
      <c r="B15" s="5"/>
      <c r="C15" s="5"/>
      <c r="D15" s="5"/>
      <c r="E15" s="5"/>
      <c r="F15" s="5"/>
      <c r="G15" s="2"/>
      <c r="H15" s="2"/>
      <c r="I15" s="2"/>
      <c r="J15" s="2"/>
      <c r="K15" s="2"/>
      <c r="L15" s="2"/>
    </row>
    <row r="16" spans="1:12">
      <c r="A16" s="5"/>
      <c r="B16" s="5"/>
      <c r="C16" s="5"/>
      <c r="D16" s="5"/>
      <c r="E16" s="5"/>
      <c r="F16" s="5"/>
      <c r="G16" s="2"/>
      <c r="H16" s="2"/>
      <c r="I16" s="2"/>
      <c r="J16" s="2"/>
      <c r="K16" s="2"/>
      <c r="L16" s="2"/>
    </row>
    <row r="17" spans="1:12">
      <c r="A17" s="5"/>
      <c r="B17" s="5"/>
      <c r="C17" s="5"/>
      <c r="D17" s="5"/>
      <c r="E17" s="5"/>
      <c r="F17" s="5"/>
      <c r="G17" s="2"/>
      <c r="H17" s="2"/>
      <c r="I17" s="2"/>
      <c r="J17" s="2"/>
      <c r="K17" s="2"/>
      <c r="L17" s="2"/>
    </row>
    <row r="18" spans="1:12">
      <c r="A18" s="5"/>
      <c r="B18" s="5"/>
      <c r="C18" s="5"/>
      <c r="D18" s="5"/>
      <c r="E18" s="5"/>
      <c r="F18" s="5"/>
      <c r="G18" s="2"/>
      <c r="H18" s="2"/>
      <c r="I18" s="2"/>
      <c r="J18" s="2"/>
      <c r="K18" s="2"/>
      <c r="L18" s="2"/>
    </row>
    <row r="19" spans="1:12">
      <c r="A19" s="5"/>
      <c r="B19" s="5"/>
      <c r="C19" s="5"/>
      <c r="D19" s="5"/>
      <c r="E19" s="5"/>
      <c r="F19" s="5"/>
      <c r="G19" s="2"/>
      <c r="H19" s="2"/>
      <c r="I19" s="2"/>
      <c r="J19" s="2"/>
      <c r="K19" s="2"/>
      <c r="L19" s="2"/>
    </row>
    <row r="20" spans="1:12">
      <c r="A20" s="5"/>
      <c r="B20" s="5"/>
      <c r="C20" s="5"/>
      <c r="D20" s="5"/>
      <c r="E20" s="5"/>
      <c r="F20" s="5"/>
      <c r="G20" s="2"/>
      <c r="H20" s="2"/>
      <c r="I20" s="2"/>
      <c r="J20" s="2"/>
      <c r="K20" s="2"/>
      <c r="L20" s="2"/>
    </row>
  </sheetData>
  <mergeCells count="6">
    <mergeCell ref="A1:L1"/>
    <mergeCell ref="A2:L2"/>
    <mergeCell ref="A4:C4"/>
    <mergeCell ref="D4:F4"/>
    <mergeCell ref="G4:H4"/>
    <mergeCell ref="J4:L4"/>
  </mergeCells>
  <dataValidations count="1">
    <dataValidation type="list" sqref="F6:F20" xr:uid="{00000000-0002-0000-0400-000000000000}">
      <formula1>"Có sẵn,Cần dev bổ sung,Đang làm,Đã duyệt"</formula1>
    </dataValidation>
  </dataValidations>
  <pageMargins left="0.7" right="0.7" top="0.75" bottom="0.75" header="0.3" footer="0.3"/>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8"/>
  <sheetViews>
    <sheetView workbookViewId="0"/>
  </sheetViews>
  <sheetFormatPr defaultRowHeight="14.25"/>
  <cols>
    <col min="1" max="2" width="16" customWidth="1"/>
    <col min="3" max="3" width="14" customWidth="1"/>
    <col min="4" max="4" width="18" customWidth="1"/>
    <col min="5" max="5" width="16" customWidth="1"/>
    <col min="6" max="6" width="42" customWidth="1"/>
    <col min="7" max="7" width="4" customWidth="1"/>
    <col min="8" max="8" width="34" customWidth="1"/>
    <col min="9" max="9" width="20" customWidth="1"/>
  </cols>
  <sheetData>
    <row r="1" spans="1:9" ht="30" customHeight="1">
      <c r="A1" s="19" t="s">
        <v>227</v>
      </c>
      <c r="B1" s="19"/>
      <c r="C1" s="19"/>
      <c r="D1" s="19"/>
      <c r="E1" s="19"/>
      <c r="F1" s="19"/>
      <c r="G1" s="19"/>
      <c r="H1" s="19"/>
      <c r="I1" s="19"/>
    </row>
    <row r="2" spans="1:9" ht="36" customHeight="1">
      <c r="A2" s="20" t="s">
        <v>228</v>
      </c>
      <c r="B2" s="20"/>
      <c r="C2" s="20"/>
      <c r="D2" s="20"/>
      <c r="E2" s="20"/>
      <c r="F2" s="20"/>
      <c r="G2" s="20"/>
      <c r="H2" s="20"/>
      <c r="I2" s="20"/>
    </row>
    <row r="4" spans="1:9" ht="24" customHeight="1">
      <c r="A4" s="18" t="s">
        <v>229</v>
      </c>
      <c r="B4" s="18"/>
      <c r="C4" s="18"/>
      <c r="D4" s="18"/>
      <c r="E4" s="18"/>
      <c r="F4" s="18"/>
      <c r="G4" s="18"/>
      <c r="H4" s="18"/>
      <c r="I4" s="18"/>
    </row>
    <row r="5" spans="1:9" ht="39.950000000000003" customHeight="1">
      <c r="A5" s="1" t="s">
        <v>230</v>
      </c>
      <c r="B5" s="1" t="s">
        <v>231</v>
      </c>
      <c r="C5" s="1" t="s">
        <v>232</v>
      </c>
      <c r="D5" s="1" t="s">
        <v>233</v>
      </c>
      <c r="E5" s="1" t="s">
        <v>234</v>
      </c>
      <c r="F5" s="1" t="s">
        <v>235</v>
      </c>
      <c r="G5" s="1" t="s">
        <v>236</v>
      </c>
      <c r="H5" s="1" t="s">
        <v>237</v>
      </c>
    </row>
    <row r="6" spans="1:9" ht="27.95" customHeight="1">
      <c r="A6" s="14">
        <f>COUNT('02_KICH_BAN_NODES'!A5:A204)</f>
        <v>35</v>
      </c>
      <c r="B6" s="14">
        <f>COUNTIF('02_KICH_BAN_NODES'!D5:D204,"scene")</f>
        <v>3</v>
      </c>
      <c r="C6" s="14">
        <f>COUNTIF('02_KICH_BAN_NODES'!D5:D204,"say")</f>
        <v>7</v>
      </c>
      <c r="D6" s="14">
        <f>COUNTIF('02_KICH_BAN_NODES'!D5:D204,"choice")</f>
        <v>21</v>
      </c>
      <c r="E6" s="14">
        <f>COUNTIF('02_KICH_BAN_NODES'!D5:D204,"act")</f>
        <v>3</v>
      </c>
      <c r="F6" s="14">
        <f>COUNTIF('02_KICH_BAN_NODES'!D5:D204,"end")</f>
        <v>1</v>
      </c>
      <c r="G6" s="14">
        <f>COUNTIF('02_KICH_BAN_NODES'!M5:M204,"CẦN SỬA")</f>
        <v>0</v>
      </c>
      <c r="H6" s="14">
        <f>COUNTIF('03_LUA_CHON'!J5:J404,"CẦN SỬA")</f>
        <v>0</v>
      </c>
    </row>
    <row r="8" spans="1:9" ht="24" customHeight="1">
      <c r="A8" s="18" t="s">
        <v>238</v>
      </c>
      <c r="B8" s="18"/>
      <c r="C8" s="18"/>
      <c r="D8" s="18"/>
      <c r="E8" s="18"/>
      <c r="F8" s="18"/>
      <c r="G8" s="18"/>
      <c r="H8" s="18"/>
      <c r="I8" s="18"/>
    </row>
    <row r="9" spans="1:9" ht="39.950000000000003" customHeight="1">
      <c r="A9" s="1" t="s">
        <v>239</v>
      </c>
      <c r="B9" s="1" t="s">
        <v>85</v>
      </c>
      <c r="C9" s="1" t="s">
        <v>240</v>
      </c>
      <c r="D9" s="1" t="s">
        <v>75</v>
      </c>
    </row>
    <row r="10" spans="1:9" ht="29.25">
      <c r="A10" s="2" t="s">
        <v>241</v>
      </c>
      <c r="B10" s="6">
        <f>F6</f>
        <v>1</v>
      </c>
      <c r="C10" s="6" t="str">
        <f>IF(B10=1,"HỢP LỆ","CẦN SỬA")</f>
        <v>HỢP LỆ</v>
      </c>
      <c r="D10" s="2" t="s">
        <v>242</v>
      </c>
    </row>
    <row r="11" spans="1:9" ht="29.25">
      <c r="A11" s="2" t="s">
        <v>243</v>
      </c>
      <c r="B11" s="6">
        <f>G6</f>
        <v>0</v>
      </c>
      <c r="C11" s="6" t="str">
        <f>IF(B11=0,"HỢP LỆ","CẦN SỬA")</f>
        <v>HỢP LỆ</v>
      </c>
      <c r="D11" s="2" t="s">
        <v>244</v>
      </c>
    </row>
    <row r="12" spans="1:9" ht="29.25">
      <c r="A12" s="2" t="s">
        <v>245</v>
      </c>
      <c r="B12" s="6">
        <f>H6</f>
        <v>0</v>
      </c>
      <c r="C12" s="6" t="str">
        <f>IF(B12=0,"HỢP LỆ","CẦN SỬA")</f>
        <v>HỢP LỆ</v>
      </c>
      <c r="D12" s="2" t="s">
        <v>246</v>
      </c>
    </row>
    <row r="13" spans="1:9" ht="29.25">
      <c r="A13" s="2" t="s">
        <v>247</v>
      </c>
      <c r="B13" s="6">
        <f>B6</f>
        <v>3</v>
      </c>
      <c r="C13" s="6" t="str">
        <f>IF(AND(B13&gt;=2,B13&lt;=4),"HỢP LỆ","CẢNH BÁO")</f>
        <v>HỢP LỆ</v>
      </c>
      <c r="D13" s="2" t="s">
        <v>248</v>
      </c>
    </row>
    <row r="14" spans="1:9" ht="29.25">
      <c r="A14" s="2" t="s">
        <v>249</v>
      </c>
      <c r="B14" s="6" t="str">
        <f>'01_THONG_TIN_PHIM'!B22</f>
        <v>KHÔNG</v>
      </c>
      <c r="C14" s="6" t="str">
        <f>IF(B14="CÓ","HỢP LỆ","CẦN SỬA")</f>
        <v>CẦN SỬA</v>
      </c>
      <c r="D14" s="2" t="s">
        <v>250</v>
      </c>
    </row>
    <row r="15" spans="1:9" ht="30">
      <c r="A15" s="2" t="s">
        <v>251</v>
      </c>
      <c r="B15" s="6" t="str">
        <f>IF(AND(C10="HỢP LỆ",C11="HỢP LỆ",C12="HỢP LỆ",C14="HỢP LỆ"),"SẴN SÀNG","CHƯA SẴN SÀNG")</f>
        <v>CHƯA SẴN SÀNG</v>
      </c>
      <c r="C15" s="6" t="str">
        <f>B15</f>
        <v>CHƯA SẴN SÀNG</v>
      </c>
      <c r="D15" s="2" t="s">
        <v>252</v>
      </c>
    </row>
    <row r="17" spans="1:9" ht="24" customHeight="1">
      <c r="A17" s="18" t="s">
        <v>253</v>
      </c>
      <c r="B17" s="18"/>
      <c r="C17" s="18"/>
      <c r="D17" s="18"/>
      <c r="E17" s="18"/>
      <c r="F17" s="18"/>
      <c r="H17" s="18" t="s">
        <v>254</v>
      </c>
      <c r="I17" s="18"/>
    </row>
    <row r="18" spans="1:9" ht="39.950000000000003" customHeight="1">
      <c r="A18" s="1" t="s">
        <v>255</v>
      </c>
      <c r="B18" s="1" t="s">
        <v>147</v>
      </c>
      <c r="C18" s="1" t="s">
        <v>256</v>
      </c>
      <c r="D18" s="1" t="s">
        <v>257</v>
      </c>
      <c r="E18" s="1" t="s">
        <v>135</v>
      </c>
      <c r="F18" s="1" t="s">
        <v>258</v>
      </c>
      <c r="H18" s="1" t="s">
        <v>259</v>
      </c>
      <c r="I18" s="1" t="s">
        <v>260</v>
      </c>
    </row>
    <row r="19" spans="1:9">
      <c r="A19" s="2" t="str">
        <f>IF('02_KICH_BAN_NODES'!D5="choice",'02_KICH_BAN_NODES'!B5,"")</f>
        <v/>
      </c>
      <c r="B19" s="2" t="str">
        <f>IF(A19="","",'02_KICH_BAN_NODES'!E5)</f>
        <v/>
      </c>
      <c r="C19" s="2" t="str">
        <f>IF(A19="","",COUNTIF('03_LUA_CHON'!$A$5:$A$404,A19))</f>
        <v/>
      </c>
      <c r="D19" s="2" t="str">
        <f>IF(A19="","",COUNTIFS('03_LUA_CHON'!$A$5:$A$404,A19,'03_LUA_CHON'!$D$5:$D$404,"Có"))</f>
        <v/>
      </c>
      <c r="E19" s="2" t="str">
        <f t="shared" ref="E19:E50" si="0">IF(A19="","",IF(OR(C19&lt;2,C19&gt;4),"CẦN SỬA",IF(AND(B19="Kiến thức",D19=1),"HỢP LỆ",IF(AND(B19="Tương tác",D19=0),"HỢP LỆ","CẦN SỬA"))))</f>
        <v/>
      </c>
      <c r="F19" s="2" t="str">
        <f t="shared" ref="F19:F50" si="1">IF(A19="","",IF(OR(C19&lt;2,C19&gt;4),"Cần 2–4 option",IF(AND(B19="Kiến thức",D19&lt;&gt;1),"Câu kiến thức cần đúng 1 đáp án đúng",IF(AND(B19="Tương tác",D19&lt;&gt;0),"Câu tương tác không có đáp án đúng",IF(B19="","Thiếu ChoiceMode","")))))</f>
        <v/>
      </c>
      <c r="H19" s="2" t="s">
        <v>261</v>
      </c>
      <c r="I19" s="5" t="s">
        <v>262</v>
      </c>
    </row>
    <row r="20" spans="1:9">
      <c r="A20" s="2" t="str">
        <f>IF('02_KICH_BAN_NODES'!D6="choice",'02_KICH_BAN_NODES'!B6,"")</f>
        <v/>
      </c>
      <c r="B20" s="2" t="str">
        <f>IF(A20="","",'02_KICH_BAN_NODES'!E6)</f>
        <v/>
      </c>
      <c r="C20" s="2" t="str">
        <f>IF(A20="","",COUNTIF('03_LUA_CHON'!$A$5:$A$404,A20))</f>
        <v/>
      </c>
      <c r="D20" s="2" t="str">
        <f>IF(A20="","",COUNTIFS('03_LUA_CHON'!$A$5:$A$404,A20,'03_LUA_CHON'!$D$5:$D$404,"Có"))</f>
        <v/>
      </c>
      <c r="E20" s="2" t="str">
        <f t="shared" si="0"/>
        <v/>
      </c>
      <c r="F20" s="2" t="str">
        <f t="shared" si="1"/>
        <v/>
      </c>
      <c r="H20" s="2" t="s">
        <v>263</v>
      </c>
      <c r="I20" s="5" t="s">
        <v>262</v>
      </c>
    </row>
    <row r="21" spans="1:9">
      <c r="A21" s="2" t="str">
        <f>IF('02_KICH_BAN_NODES'!D7="choice",'02_KICH_BAN_NODES'!B7,"")</f>
        <v/>
      </c>
      <c r="B21" s="2" t="str">
        <f>IF(A21="","",'02_KICH_BAN_NODES'!E7)</f>
        <v/>
      </c>
      <c r="C21" s="2" t="str">
        <f>IF(A21="","",COUNTIF('03_LUA_CHON'!$A$5:$A$404,A21))</f>
        <v/>
      </c>
      <c r="D21" s="2" t="str">
        <f>IF(A21="","",COUNTIFS('03_LUA_CHON'!$A$5:$A$404,A21,'03_LUA_CHON'!$D$5:$D$404,"Có"))</f>
        <v/>
      </c>
      <c r="E21" s="2" t="str">
        <f t="shared" si="0"/>
        <v/>
      </c>
      <c r="F21" s="2" t="str">
        <f t="shared" si="1"/>
        <v/>
      </c>
      <c r="H21" s="2" t="s">
        <v>264</v>
      </c>
      <c r="I21" s="5" t="s">
        <v>262</v>
      </c>
    </row>
    <row r="22" spans="1:9" ht="15">
      <c r="A22" s="2" t="str">
        <f>IF('02_KICH_BAN_NODES'!D8="choice",'02_KICH_BAN_NODES'!B8,"")</f>
        <v>N004</v>
      </c>
      <c r="B22" s="2" t="str">
        <f>IF(A22="","",'02_KICH_BAN_NODES'!E8)</f>
        <v>Tương tác</v>
      </c>
      <c r="C22" s="2">
        <f>IF(A22="","",COUNTIF('03_LUA_CHON'!$A$5:$A$404,A22))</f>
        <v>2</v>
      </c>
      <c r="D22" s="2">
        <f>IF(A22="","",COUNTIFS('03_LUA_CHON'!$A$5:$A$404,A22,'03_LUA_CHON'!$D$5:$D$404,"Có"))</f>
        <v>0</v>
      </c>
      <c r="E22" s="2" t="str">
        <f t="shared" si="0"/>
        <v>HỢP LỆ</v>
      </c>
      <c r="F22" s="2" t="str">
        <f t="shared" si="1"/>
        <v/>
      </c>
      <c r="H22" s="2" t="s">
        <v>265</v>
      </c>
      <c r="I22" s="5" t="s">
        <v>262</v>
      </c>
    </row>
    <row r="23" spans="1:9" ht="15">
      <c r="A23" s="2" t="str">
        <f>IF('02_KICH_BAN_NODES'!D9="choice",'02_KICH_BAN_NODES'!B9,"")</f>
        <v>N005</v>
      </c>
      <c r="B23" s="2" t="str">
        <f>IF(A23="","",'02_KICH_BAN_NODES'!E9)</f>
        <v>Kiến thức</v>
      </c>
      <c r="C23" s="2">
        <f>IF(A23="","",COUNTIF('03_LUA_CHON'!$A$5:$A$404,A23))</f>
        <v>3</v>
      </c>
      <c r="D23" s="2">
        <f>IF(A23="","",COUNTIFS('03_LUA_CHON'!$A$5:$A$404,A23,'03_LUA_CHON'!$D$5:$D$404,"Có"))</f>
        <v>1</v>
      </c>
      <c r="E23" s="2" t="str">
        <f t="shared" si="0"/>
        <v>HỢP LỆ</v>
      </c>
      <c r="F23" s="2" t="str">
        <f t="shared" si="1"/>
        <v/>
      </c>
      <c r="H23" s="2" t="s">
        <v>266</v>
      </c>
      <c r="I23" s="5" t="s">
        <v>262</v>
      </c>
    </row>
    <row r="24" spans="1:9" ht="15">
      <c r="A24" s="2" t="str">
        <f>IF('02_KICH_BAN_NODES'!D10="choice",'02_KICH_BAN_NODES'!B10,"")</f>
        <v>N006</v>
      </c>
      <c r="B24" s="2" t="str">
        <f>IF(A24="","",'02_KICH_BAN_NODES'!E10)</f>
        <v>Kiến thức</v>
      </c>
      <c r="C24" s="2">
        <f>IF(A24="","",COUNTIF('03_LUA_CHON'!$A$5:$A$404,A24))</f>
        <v>3</v>
      </c>
      <c r="D24" s="2">
        <f>IF(A24="","",COUNTIFS('03_LUA_CHON'!$A$5:$A$404,A24,'03_LUA_CHON'!$D$5:$D$404,"Có"))</f>
        <v>1</v>
      </c>
      <c r="E24" s="2" t="str">
        <f t="shared" si="0"/>
        <v>HỢP LỆ</v>
      </c>
      <c r="F24" s="2" t="str">
        <f t="shared" si="1"/>
        <v/>
      </c>
      <c r="H24" s="2" t="s">
        <v>267</v>
      </c>
      <c r="I24" s="5" t="s">
        <v>262</v>
      </c>
    </row>
    <row r="25" spans="1:9" ht="15">
      <c r="A25" s="2" t="str">
        <f>IF('02_KICH_BAN_NODES'!D11="choice",'02_KICH_BAN_NODES'!B11,"")</f>
        <v>N007</v>
      </c>
      <c r="B25" s="2" t="str">
        <f>IF(A25="","",'02_KICH_BAN_NODES'!E11)</f>
        <v>Kiến thức</v>
      </c>
      <c r="C25" s="2">
        <f>IF(A25="","",COUNTIF('03_LUA_CHON'!$A$5:$A$404,A25))</f>
        <v>3</v>
      </c>
      <c r="D25" s="2">
        <f>IF(A25="","",COUNTIFS('03_LUA_CHON'!$A$5:$A$404,A25,'03_LUA_CHON'!$D$5:$D$404,"Có"))</f>
        <v>1</v>
      </c>
      <c r="E25" s="2" t="str">
        <f t="shared" si="0"/>
        <v>HỢP LỆ</v>
      </c>
      <c r="F25" s="2" t="str">
        <f t="shared" si="1"/>
        <v/>
      </c>
      <c r="H25" s="2" t="s">
        <v>268</v>
      </c>
      <c r="I25" s="5" t="s">
        <v>262</v>
      </c>
    </row>
    <row r="26" spans="1:9" ht="15">
      <c r="A26" s="2" t="str">
        <f>IF('02_KICH_BAN_NODES'!D12="choice",'02_KICH_BAN_NODES'!B12,"")</f>
        <v>N008</v>
      </c>
      <c r="B26" s="2" t="str">
        <f>IF(A26="","",'02_KICH_BAN_NODES'!E12)</f>
        <v>Kiến thức</v>
      </c>
      <c r="C26" s="2">
        <f>IF(A26="","",COUNTIF('03_LUA_CHON'!$A$5:$A$404,A26))</f>
        <v>3</v>
      </c>
      <c r="D26" s="2">
        <f>IF(A26="","",COUNTIFS('03_LUA_CHON'!$A$5:$A$404,A26,'03_LUA_CHON'!$D$5:$D$404,"Có"))</f>
        <v>1</v>
      </c>
      <c r="E26" s="2" t="str">
        <f t="shared" si="0"/>
        <v>HỢP LỆ</v>
      </c>
      <c r="F26" s="2" t="str">
        <f t="shared" si="1"/>
        <v/>
      </c>
    </row>
    <row r="27" spans="1:9" ht="15">
      <c r="A27" s="2" t="str">
        <f>IF('02_KICH_BAN_NODES'!D13="choice",'02_KICH_BAN_NODES'!B13,"")</f>
        <v>N009</v>
      </c>
      <c r="B27" s="2" t="str">
        <f>IF(A27="","",'02_KICH_BAN_NODES'!E13)</f>
        <v>Kiến thức</v>
      </c>
      <c r="C27" s="2">
        <f>IF(A27="","",COUNTIF('03_LUA_CHON'!$A$5:$A$404,A27))</f>
        <v>3</v>
      </c>
      <c r="D27" s="2">
        <f>IF(A27="","",COUNTIFS('03_LUA_CHON'!$A$5:$A$404,A27,'03_LUA_CHON'!$D$5:$D$404,"Có"))</f>
        <v>1</v>
      </c>
      <c r="E27" s="2" t="str">
        <f t="shared" si="0"/>
        <v>HỢP LỆ</v>
      </c>
      <c r="F27" s="2" t="str">
        <f t="shared" si="1"/>
        <v/>
      </c>
    </row>
    <row r="28" spans="1:9" ht="15">
      <c r="A28" s="2" t="str">
        <f>IF('02_KICH_BAN_NODES'!D14="choice",'02_KICH_BAN_NODES'!B14,"")</f>
        <v>N010</v>
      </c>
      <c r="B28" s="2" t="str">
        <f>IF(A28="","",'02_KICH_BAN_NODES'!E14)</f>
        <v>Kiến thức</v>
      </c>
      <c r="C28" s="2">
        <f>IF(A28="","",COUNTIF('03_LUA_CHON'!$A$5:$A$404,A28))</f>
        <v>3</v>
      </c>
      <c r="D28" s="2">
        <f>IF(A28="","",COUNTIFS('03_LUA_CHON'!$A$5:$A$404,A28,'03_LUA_CHON'!$D$5:$D$404,"Có"))</f>
        <v>1</v>
      </c>
      <c r="E28" s="2" t="str">
        <f t="shared" si="0"/>
        <v>HỢP LỆ</v>
      </c>
      <c r="F28" s="2" t="str">
        <f t="shared" si="1"/>
        <v/>
      </c>
    </row>
    <row r="29" spans="1:9">
      <c r="A29" s="2" t="str">
        <f>IF('02_KICH_BAN_NODES'!D15="choice",'02_KICH_BAN_NODES'!B15,"")</f>
        <v/>
      </c>
      <c r="B29" s="2" t="str">
        <f>IF(A29="","",'02_KICH_BAN_NODES'!E15)</f>
        <v/>
      </c>
      <c r="C29" s="2" t="str">
        <f>IF(A29="","",COUNTIF('03_LUA_CHON'!$A$5:$A$404,A29))</f>
        <v/>
      </c>
      <c r="D29" s="2" t="str">
        <f>IF(A29="","",COUNTIFS('03_LUA_CHON'!$A$5:$A$404,A29,'03_LUA_CHON'!$D$5:$D$404,"Có"))</f>
        <v/>
      </c>
      <c r="E29" s="2" t="str">
        <f t="shared" si="0"/>
        <v/>
      </c>
      <c r="F29" s="2" t="str">
        <f t="shared" si="1"/>
        <v/>
      </c>
    </row>
    <row r="30" spans="1:9">
      <c r="A30" s="2" t="str">
        <f>IF('02_KICH_BAN_NODES'!D16="choice",'02_KICH_BAN_NODES'!B16,"")</f>
        <v/>
      </c>
      <c r="B30" s="2" t="str">
        <f>IF(A30="","",'02_KICH_BAN_NODES'!E16)</f>
        <v/>
      </c>
      <c r="C30" s="2" t="str">
        <f>IF(A30="","",COUNTIF('03_LUA_CHON'!$A$5:$A$404,A30))</f>
        <v/>
      </c>
      <c r="D30" s="2" t="str">
        <f>IF(A30="","",COUNTIFS('03_LUA_CHON'!$A$5:$A$404,A30,'03_LUA_CHON'!$D$5:$D$404,"Có"))</f>
        <v/>
      </c>
      <c r="E30" s="2" t="str">
        <f t="shared" si="0"/>
        <v/>
      </c>
      <c r="F30" s="2" t="str">
        <f t="shared" si="1"/>
        <v/>
      </c>
    </row>
    <row r="31" spans="1:9">
      <c r="A31" s="2" t="str">
        <f>IF('02_KICH_BAN_NODES'!D17="choice",'02_KICH_BAN_NODES'!B17,"")</f>
        <v/>
      </c>
      <c r="B31" s="2" t="str">
        <f>IF(A31="","",'02_KICH_BAN_NODES'!E17)</f>
        <v/>
      </c>
      <c r="C31" s="2" t="str">
        <f>IF(A31="","",COUNTIF('03_LUA_CHON'!$A$5:$A$404,A31))</f>
        <v/>
      </c>
      <c r="D31" s="2" t="str">
        <f>IF(A31="","",COUNTIFS('03_LUA_CHON'!$A$5:$A$404,A31,'03_LUA_CHON'!$D$5:$D$404,"Có"))</f>
        <v/>
      </c>
      <c r="E31" s="2" t="str">
        <f t="shared" si="0"/>
        <v/>
      </c>
      <c r="F31" s="2" t="str">
        <f t="shared" si="1"/>
        <v/>
      </c>
    </row>
    <row r="32" spans="1:9">
      <c r="A32" s="2" t="str">
        <f>IF('02_KICH_BAN_NODES'!D18="choice",'02_KICH_BAN_NODES'!B18,"")</f>
        <v/>
      </c>
      <c r="B32" s="2" t="str">
        <f>IF(A32="","",'02_KICH_BAN_NODES'!E18)</f>
        <v/>
      </c>
      <c r="C32" s="2" t="str">
        <f>IF(A32="","",COUNTIF('03_LUA_CHON'!$A$5:$A$404,A32))</f>
        <v/>
      </c>
      <c r="D32" s="2" t="str">
        <f>IF(A32="","",COUNTIFS('03_LUA_CHON'!$A$5:$A$404,A32,'03_LUA_CHON'!$D$5:$D$404,"Có"))</f>
        <v/>
      </c>
      <c r="E32" s="2" t="str">
        <f t="shared" si="0"/>
        <v/>
      </c>
      <c r="F32" s="2" t="str">
        <f t="shared" si="1"/>
        <v/>
      </c>
    </row>
    <row r="33" spans="1:6" ht="15">
      <c r="A33" s="2" t="str">
        <f>IF('02_KICH_BAN_NODES'!D19="choice",'02_KICH_BAN_NODES'!B19,"")</f>
        <v>N015</v>
      </c>
      <c r="B33" s="2" t="str">
        <f>IF(A33="","",'02_KICH_BAN_NODES'!E19)</f>
        <v>Kiến thức</v>
      </c>
      <c r="C33" s="2">
        <f>IF(A33="","",COUNTIF('03_LUA_CHON'!$A$5:$A$404,A33))</f>
        <v>3</v>
      </c>
      <c r="D33" s="2">
        <f>IF(A33="","",COUNTIFS('03_LUA_CHON'!$A$5:$A$404,A33,'03_LUA_CHON'!$D$5:$D$404,"Có"))</f>
        <v>1</v>
      </c>
      <c r="E33" s="2" t="str">
        <f t="shared" si="0"/>
        <v>HỢP LỆ</v>
      </c>
      <c r="F33" s="2" t="str">
        <f t="shared" si="1"/>
        <v/>
      </c>
    </row>
    <row r="34" spans="1:6" ht="15">
      <c r="A34" s="2" t="str">
        <f>IF('02_KICH_BAN_NODES'!D20="choice",'02_KICH_BAN_NODES'!B20,"")</f>
        <v>N016</v>
      </c>
      <c r="B34" s="2" t="str">
        <f>IF(A34="","",'02_KICH_BAN_NODES'!E20)</f>
        <v>Kiến thức</v>
      </c>
      <c r="C34" s="2">
        <f>IF(A34="","",COUNTIF('03_LUA_CHON'!$A$5:$A$404,A34))</f>
        <v>3</v>
      </c>
      <c r="D34" s="2">
        <f>IF(A34="","",COUNTIFS('03_LUA_CHON'!$A$5:$A$404,A34,'03_LUA_CHON'!$D$5:$D$404,"Có"))</f>
        <v>1</v>
      </c>
      <c r="E34" s="2" t="str">
        <f t="shared" si="0"/>
        <v>HỢP LỆ</v>
      </c>
      <c r="F34" s="2" t="str">
        <f t="shared" si="1"/>
        <v/>
      </c>
    </row>
    <row r="35" spans="1:6" ht="15">
      <c r="A35" s="2" t="str">
        <f>IF('02_KICH_BAN_NODES'!D21="choice",'02_KICH_BAN_NODES'!B21,"")</f>
        <v>N017</v>
      </c>
      <c r="B35" s="2" t="str">
        <f>IF(A35="","",'02_KICH_BAN_NODES'!E21)</f>
        <v>Kiến thức</v>
      </c>
      <c r="C35" s="2">
        <f>IF(A35="","",COUNTIF('03_LUA_CHON'!$A$5:$A$404,A35))</f>
        <v>3</v>
      </c>
      <c r="D35" s="2">
        <f>IF(A35="","",COUNTIFS('03_LUA_CHON'!$A$5:$A$404,A35,'03_LUA_CHON'!$D$5:$D$404,"Có"))</f>
        <v>1</v>
      </c>
      <c r="E35" s="2" t="str">
        <f t="shared" si="0"/>
        <v>HỢP LỆ</v>
      </c>
      <c r="F35" s="2" t="str">
        <f t="shared" si="1"/>
        <v/>
      </c>
    </row>
    <row r="36" spans="1:6" ht="15">
      <c r="A36" s="2" t="str">
        <f>IF('02_KICH_BAN_NODES'!D22="choice",'02_KICH_BAN_NODES'!B22,"")</f>
        <v>N018</v>
      </c>
      <c r="B36" s="2" t="str">
        <f>IF(A36="","",'02_KICH_BAN_NODES'!E22)</f>
        <v>Kiến thức</v>
      </c>
      <c r="C36" s="2">
        <f>IF(A36="","",COUNTIF('03_LUA_CHON'!$A$5:$A$404,A36))</f>
        <v>3</v>
      </c>
      <c r="D36" s="2">
        <f>IF(A36="","",COUNTIFS('03_LUA_CHON'!$A$5:$A$404,A36,'03_LUA_CHON'!$D$5:$D$404,"Có"))</f>
        <v>1</v>
      </c>
      <c r="E36" s="2" t="str">
        <f t="shared" si="0"/>
        <v>HỢP LỆ</v>
      </c>
      <c r="F36" s="2" t="str">
        <f t="shared" si="1"/>
        <v/>
      </c>
    </row>
    <row r="37" spans="1:6" ht="15">
      <c r="A37" s="2" t="str">
        <f>IF('02_KICH_BAN_NODES'!D23="choice",'02_KICH_BAN_NODES'!B23,"")</f>
        <v>N019</v>
      </c>
      <c r="B37" s="2" t="str">
        <f>IF(A37="","",'02_KICH_BAN_NODES'!E23)</f>
        <v>Kiến thức</v>
      </c>
      <c r="C37" s="2">
        <f>IF(A37="","",COUNTIF('03_LUA_CHON'!$A$5:$A$404,A37))</f>
        <v>3</v>
      </c>
      <c r="D37" s="2">
        <f>IF(A37="","",COUNTIFS('03_LUA_CHON'!$A$5:$A$404,A37,'03_LUA_CHON'!$D$5:$D$404,"Có"))</f>
        <v>1</v>
      </c>
      <c r="E37" s="2" t="str">
        <f t="shared" si="0"/>
        <v>HỢP LỆ</v>
      </c>
      <c r="F37" s="2" t="str">
        <f t="shared" si="1"/>
        <v/>
      </c>
    </row>
    <row r="38" spans="1:6" ht="15">
      <c r="A38" s="2" t="str">
        <f>IF('02_KICH_BAN_NODES'!D24="choice",'02_KICH_BAN_NODES'!B24,"")</f>
        <v>N020</v>
      </c>
      <c r="B38" s="2" t="str">
        <f>IF(A38="","",'02_KICH_BAN_NODES'!E24)</f>
        <v>Kiến thức</v>
      </c>
      <c r="C38" s="2">
        <f>IF(A38="","",COUNTIF('03_LUA_CHON'!$A$5:$A$404,A38))</f>
        <v>3</v>
      </c>
      <c r="D38" s="2">
        <f>IF(A38="","",COUNTIFS('03_LUA_CHON'!$A$5:$A$404,A38,'03_LUA_CHON'!$D$5:$D$404,"Có"))</f>
        <v>1</v>
      </c>
      <c r="E38" s="2" t="str">
        <f t="shared" si="0"/>
        <v>HỢP LỆ</v>
      </c>
      <c r="F38" s="2" t="str">
        <f t="shared" si="1"/>
        <v/>
      </c>
    </row>
    <row r="39" spans="1:6">
      <c r="A39" s="2" t="str">
        <f>IF('02_KICH_BAN_NODES'!D25="choice",'02_KICH_BAN_NODES'!B25,"")</f>
        <v/>
      </c>
      <c r="B39" s="2" t="str">
        <f>IF(A39="","",'02_KICH_BAN_NODES'!E25)</f>
        <v/>
      </c>
      <c r="C39" s="2" t="str">
        <f>IF(A39="","",COUNTIF('03_LUA_CHON'!$A$5:$A$404,A39))</f>
        <v/>
      </c>
      <c r="D39" s="2" t="str">
        <f>IF(A39="","",COUNTIFS('03_LUA_CHON'!$A$5:$A$404,A39,'03_LUA_CHON'!$D$5:$D$404,"Có"))</f>
        <v/>
      </c>
      <c r="E39" s="2" t="str">
        <f t="shared" si="0"/>
        <v/>
      </c>
      <c r="F39" s="2" t="str">
        <f t="shared" si="1"/>
        <v/>
      </c>
    </row>
    <row r="40" spans="1:6">
      <c r="A40" s="2" t="str">
        <f>IF('02_KICH_BAN_NODES'!D26="choice",'02_KICH_BAN_NODES'!B26,"")</f>
        <v/>
      </c>
      <c r="B40" s="2" t="str">
        <f>IF(A40="","",'02_KICH_BAN_NODES'!E26)</f>
        <v/>
      </c>
      <c r="C40" s="2" t="str">
        <f>IF(A40="","",COUNTIF('03_LUA_CHON'!$A$5:$A$404,A40))</f>
        <v/>
      </c>
      <c r="D40" s="2" t="str">
        <f>IF(A40="","",COUNTIFS('03_LUA_CHON'!$A$5:$A$404,A40,'03_LUA_CHON'!$D$5:$D$404,"Có"))</f>
        <v/>
      </c>
      <c r="E40" s="2" t="str">
        <f t="shared" si="0"/>
        <v/>
      </c>
      <c r="F40" s="2" t="str">
        <f t="shared" si="1"/>
        <v/>
      </c>
    </row>
    <row r="41" spans="1:6">
      <c r="A41" s="2" t="str">
        <f>IF('02_KICH_BAN_NODES'!D27="choice",'02_KICH_BAN_NODES'!B27,"")</f>
        <v/>
      </c>
      <c r="B41" s="2" t="str">
        <f>IF(A41="","",'02_KICH_BAN_NODES'!E27)</f>
        <v/>
      </c>
      <c r="C41" s="2" t="str">
        <f>IF(A41="","",COUNTIF('03_LUA_CHON'!$A$5:$A$404,A41))</f>
        <v/>
      </c>
      <c r="D41" s="2" t="str">
        <f>IF(A41="","",COUNTIFS('03_LUA_CHON'!$A$5:$A$404,A41,'03_LUA_CHON'!$D$5:$D$404,"Có"))</f>
        <v/>
      </c>
      <c r="E41" s="2" t="str">
        <f t="shared" si="0"/>
        <v/>
      </c>
      <c r="F41" s="2" t="str">
        <f t="shared" si="1"/>
        <v/>
      </c>
    </row>
    <row r="42" spans="1:6">
      <c r="A42" s="2" t="str">
        <f>IF('02_KICH_BAN_NODES'!D28="choice",'02_KICH_BAN_NODES'!B28,"")</f>
        <v/>
      </c>
      <c r="B42" s="2" t="str">
        <f>IF(A42="","",'02_KICH_BAN_NODES'!E28)</f>
        <v/>
      </c>
      <c r="C42" s="2" t="str">
        <f>IF(A42="","",COUNTIF('03_LUA_CHON'!$A$5:$A$404,A42))</f>
        <v/>
      </c>
      <c r="D42" s="2" t="str">
        <f>IF(A42="","",COUNTIFS('03_LUA_CHON'!$A$5:$A$404,A42,'03_LUA_CHON'!$D$5:$D$404,"Có"))</f>
        <v/>
      </c>
      <c r="E42" s="2" t="str">
        <f t="shared" si="0"/>
        <v/>
      </c>
      <c r="F42" s="2" t="str">
        <f t="shared" si="1"/>
        <v/>
      </c>
    </row>
    <row r="43" spans="1:6" ht="15">
      <c r="A43" s="2" t="str">
        <f>IF('02_KICH_BAN_NODES'!D29="choice",'02_KICH_BAN_NODES'!B29,"")</f>
        <v>N025</v>
      </c>
      <c r="B43" s="2" t="str">
        <f>IF(A43="","",'02_KICH_BAN_NODES'!E29)</f>
        <v>Kiến thức</v>
      </c>
      <c r="C43" s="2">
        <f>IF(A43="","",COUNTIF('03_LUA_CHON'!$A$5:$A$404,A43))</f>
        <v>3</v>
      </c>
      <c r="D43" s="2">
        <f>IF(A43="","",COUNTIFS('03_LUA_CHON'!$A$5:$A$404,A43,'03_LUA_CHON'!$D$5:$D$404,"Có"))</f>
        <v>1</v>
      </c>
      <c r="E43" s="2" t="str">
        <f t="shared" si="0"/>
        <v>HỢP LỆ</v>
      </c>
      <c r="F43" s="2" t="str">
        <f t="shared" si="1"/>
        <v/>
      </c>
    </row>
    <row r="44" spans="1:6" ht="15">
      <c r="A44" s="2" t="str">
        <f>IF('02_KICH_BAN_NODES'!D30="choice",'02_KICH_BAN_NODES'!B30,"")</f>
        <v>N026</v>
      </c>
      <c r="B44" s="2" t="str">
        <f>IF(A44="","",'02_KICH_BAN_NODES'!E30)</f>
        <v>Kiến thức</v>
      </c>
      <c r="C44" s="2">
        <f>IF(A44="","",COUNTIF('03_LUA_CHON'!$A$5:$A$404,A44))</f>
        <v>3</v>
      </c>
      <c r="D44" s="2">
        <f>IF(A44="","",COUNTIFS('03_LUA_CHON'!$A$5:$A$404,A44,'03_LUA_CHON'!$D$5:$D$404,"Có"))</f>
        <v>1</v>
      </c>
      <c r="E44" s="2" t="str">
        <f t="shared" si="0"/>
        <v>HỢP LỆ</v>
      </c>
      <c r="F44" s="2" t="str">
        <f t="shared" si="1"/>
        <v/>
      </c>
    </row>
    <row r="45" spans="1:6" ht="15">
      <c r="A45" s="2" t="str">
        <f>IF('02_KICH_BAN_NODES'!D31="choice",'02_KICH_BAN_NODES'!B31,"")</f>
        <v>N027</v>
      </c>
      <c r="B45" s="2" t="str">
        <f>IF(A45="","",'02_KICH_BAN_NODES'!E31)</f>
        <v>Kiến thức</v>
      </c>
      <c r="C45" s="2">
        <f>IF(A45="","",COUNTIF('03_LUA_CHON'!$A$5:$A$404,A45))</f>
        <v>3</v>
      </c>
      <c r="D45" s="2">
        <f>IF(A45="","",COUNTIFS('03_LUA_CHON'!$A$5:$A$404,A45,'03_LUA_CHON'!$D$5:$D$404,"Có"))</f>
        <v>1</v>
      </c>
      <c r="E45" s="2" t="str">
        <f t="shared" si="0"/>
        <v>HỢP LỆ</v>
      </c>
      <c r="F45" s="2" t="str">
        <f t="shared" si="1"/>
        <v/>
      </c>
    </row>
    <row r="46" spans="1:6" ht="15">
      <c r="A46" s="2" t="str">
        <f>IF('02_KICH_BAN_NODES'!D32="choice",'02_KICH_BAN_NODES'!B32,"")</f>
        <v>N028</v>
      </c>
      <c r="B46" s="2" t="str">
        <f>IF(A46="","",'02_KICH_BAN_NODES'!E32)</f>
        <v>Kiến thức</v>
      </c>
      <c r="C46" s="2">
        <f>IF(A46="","",COUNTIF('03_LUA_CHON'!$A$5:$A$404,A46))</f>
        <v>3</v>
      </c>
      <c r="D46" s="2">
        <f>IF(A46="","",COUNTIFS('03_LUA_CHON'!$A$5:$A$404,A46,'03_LUA_CHON'!$D$5:$D$404,"Có"))</f>
        <v>1</v>
      </c>
      <c r="E46" s="2" t="str">
        <f t="shared" si="0"/>
        <v>HỢP LỆ</v>
      </c>
      <c r="F46" s="2" t="str">
        <f t="shared" si="1"/>
        <v/>
      </c>
    </row>
    <row r="47" spans="1:6" ht="15">
      <c r="A47" s="2" t="str">
        <f>IF('02_KICH_BAN_NODES'!D33="choice",'02_KICH_BAN_NODES'!B33,"")</f>
        <v>N029</v>
      </c>
      <c r="B47" s="2" t="str">
        <f>IF(A47="","",'02_KICH_BAN_NODES'!E33)</f>
        <v>Kiến thức</v>
      </c>
      <c r="C47" s="2">
        <f>IF(A47="","",COUNTIF('03_LUA_CHON'!$A$5:$A$404,A47))</f>
        <v>3</v>
      </c>
      <c r="D47" s="2">
        <f>IF(A47="","",COUNTIFS('03_LUA_CHON'!$A$5:$A$404,A47,'03_LUA_CHON'!$D$5:$D$404,"Có"))</f>
        <v>1</v>
      </c>
      <c r="E47" s="2" t="str">
        <f t="shared" si="0"/>
        <v>HỢP LỆ</v>
      </c>
      <c r="F47" s="2" t="str">
        <f t="shared" si="1"/>
        <v/>
      </c>
    </row>
    <row r="48" spans="1:6" ht="15">
      <c r="A48" s="2" t="str">
        <f>IF('02_KICH_BAN_NODES'!D34="choice",'02_KICH_BAN_NODES'!B34,"")</f>
        <v>N030</v>
      </c>
      <c r="B48" s="2" t="str">
        <f>IF(A48="","",'02_KICH_BAN_NODES'!E34)</f>
        <v>Kiến thức</v>
      </c>
      <c r="C48" s="2">
        <f>IF(A48="","",COUNTIF('03_LUA_CHON'!$A$5:$A$404,A48))</f>
        <v>3</v>
      </c>
      <c r="D48" s="2">
        <f>IF(A48="","",COUNTIFS('03_LUA_CHON'!$A$5:$A$404,A48,'03_LUA_CHON'!$D$5:$D$404,"Có"))</f>
        <v>1</v>
      </c>
      <c r="E48" s="2" t="str">
        <f t="shared" si="0"/>
        <v>HỢP LỆ</v>
      </c>
      <c r="F48" s="2" t="str">
        <f t="shared" si="1"/>
        <v/>
      </c>
    </row>
    <row r="49" spans="1:6" ht="15">
      <c r="A49" s="2" t="str">
        <f>IF('02_KICH_BAN_NODES'!D35="choice",'02_KICH_BAN_NODES'!B35,"")</f>
        <v>N031</v>
      </c>
      <c r="B49" s="2" t="str">
        <f>IF(A49="","",'02_KICH_BAN_NODES'!E35)</f>
        <v>Kiến thức</v>
      </c>
      <c r="C49" s="2">
        <f>IF(A49="","",COUNTIF('03_LUA_CHON'!$A$5:$A$404,A49))</f>
        <v>3</v>
      </c>
      <c r="D49" s="2">
        <f>IF(A49="","",COUNTIFS('03_LUA_CHON'!$A$5:$A$404,A49,'03_LUA_CHON'!$D$5:$D$404,"Có"))</f>
        <v>1</v>
      </c>
      <c r="E49" s="2" t="str">
        <f t="shared" si="0"/>
        <v>HỢP LỆ</v>
      </c>
      <c r="F49" s="2" t="str">
        <f t="shared" si="1"/>
        <v/>
      </c>
    </row>
    <row r="50" spans="1:6" ht="15">
      <c r="A50" s="2" t="str">
        <f>IF('02_KICH_BAN_NODES'!D36="choice",'02_KICH_BAN_NODES'!B36,"")</f>
        <v>N032</v>
      </c>
      <c r="B50" s="2" t="str">
        <f>IF(A50="","",'02_KICH_BAN_NODES'!E36)</f>
        <v>Kiến thức</v>
      </c>
      <c r="C50" s="2">
        <f>IF(A50="","",COUNTIF('03_LUA_CHON'!$A$5:$A$404,A50))</f>
        <v>3</v>
      </c>
      <c r="D50" s="2">
        <f>IF(A50="","",COUNTIFS('03_LUA_CHON'!$A$5:$A$404,A50,'03_LUA_CHON'!$D$5:$D$404,"Có"))</f>
        <v>1</v>
      </c>
      <c r="E50" s="2" t="str">
        <f t="shared" si="0"/>
        <v>HỢP LỆ</v>
      </c>
      <c r="F50" s="2" t="str">
        <f t="shared" si="1"/>
        <v/>
      </c>
    </row>
    <row r="51" spans="1:6">
      <c r="A51" s="2" t="str">
        <f>IF('02_KICH_BAN_NODES'!D37="choice",'02_KICH_BAN_NODES'!B37,"")</f>
        <v/>
      </c>
      <c r="B51" s="2" t="str">
        <f>IF(A51="","",'02_KICH_BAN_NODES'!E37)</f>
        <v/>
      </c>
      <c r="C51" s="2" t="str">
        <f>IF(A51="","",COUNTIF('03_LUA_CHON'!$A$5:$A$404,A51))</f>
        <v/>
      </c>
      <c r="D51" s="2" t="str">
        <f>IF(A51="","",COUNTIFS('03_LUA_CHON'!$A$5:$A$404,A51,'03_LUA_CHON'!$D$5:$D$404,"Có"))</f>
        <v/>
      </c>
      <c r="E51" s="2" t="str">
        <f t="shared" ref="E51:E82" si="2">IF(A51="","",IF(OR(C51&lt;2,C51&gt;4),"CẦN SỬA",IF(AND(B51="Kiến thức",D51=1),"HỢP LỆ",IF(AND(B51="Tương tác",D51=0),"HỢP LỆ","CẦN SỬA"))))</f>
        <v/>
      </c>
      <c r="F51" s="2" t="str">
        <f t="shared" ref="F51:F82" si="3">IF(A51="","",IF(OR(C51&lt;2,C51&gt;4),"Cần 2–4 option",IF(AND(B51="Kiến thức",D51&lt;&gt;1),"Câu kiến thức cần đúng 1 đáp án đúng",IF(AND(B51="Tương tác",D51&lt;&gt;0),"Câu tương tác không có đáp án đúng",IF(B51="","Thiếu ChoiceMode","")))))</f>
        <v/>
      </c>
    </row>
    <row r="52" spans="1:6">
      <c r="A52" s="2" t="str">
        <f>IF('02_KICH_BAN_NODES'!D38="choice",'02_KICH_BAN_NODES'!B38,"")</f>
        <v/>
      </c>
      <c r="B52" s="2" t="str">
        <f>IF(A52="","",'02_KICH_BAN_NODES'!E38)</f>
        <v/>
      </c>
      <c r="C52" s="2" t="str">
        <f>IF(A52="","",COUNTIF('03_LUA_CHON'!$A$5:$A$404,A52))</f>
        <v/>
      </c>
      <c r="D52" s="2" t="str">
        <f>IF(A52="","",COUNTIFS('03_LUA_CHON'!$A$5:$A$404,A52,'03_LUA_CHON'!$D$5:$D$404,"Có"))</f>
        <v/>
      </c>
      <c r="E52" s="2" t="str">
        <f t="shared" si="2"/>
        <v/>
      </c>
      <c r="F52" s="2" t="str">
        <f t="shared" si="3"/>
        <v/>
      </c>
    </row>
    <row r="53" spans="1:6">
      <c r="A53" s="2" t="str">
        <f>IF('02_KICH_BAN_NODES'!D39="choice",'02_KICH_BAN_NODES'!B39,"")</f>
        <v/>
      </c>
      <c r="B53" s="2" t="str">
        <f>IF(A53="","",'02_KICH_BAN_NODES'!E39)</f>
        <v/>
      </c>
      <c r="C53" s="2" t="str">
        <f>IF(A53="","",COUNTIF('03_LUA_CHON'!$A$5:$A$404,A53))</f>
        <v/>
      </c>
      <c r="D53" s="2" t="str">
        <f>IF(A53="","",COUNTIFS('03_LUA_CHON'!$A$5:$A$404,A53,'03_LUA_CHON'!$D$5:$D$404,"Có"))</f>
        <v/>
      </c>
      <c r="E53" s="2" t="str">
        <f t="shared" si="2"/>
        <v/>
      </c>
      <c r="F53" s="2" t="str">
        <f t="shared" si="3"/>
        <v/>
      </c>
    </row>
    <row r="54" spans="1:6">
      <c r="A54" s="2" t="str">
        <f>IF('02_KICH_BAN_NODES'!D40="choice",'02_KICH_BAN_NODES'!B40,"")</f>
        <v/>
      </c>
      <c r="B54" s="2" t="str">
        <f>IF(A54="","",'02_KICH_BAN_NODES'!E40)</f>
        <v/>
      </c>
      <c r="C54" s="2" t="str">
        <f>IF(A54="","",COUNTIF('03_LUA_CHON'!$A$5:$A$404,A54))</f>
        <v/>
      </c>
      <c r="D54" s="2" t="str">
        <f>IF(A54="","",COUNTIFS('03_LUA_CHON'!$A$5:$A$404,A54,'03_LUA_CHON'!$D$5:$D$404,"Có"))</f>
        <v/>
      </c>
      <c r="E54" s="2" t="str">
        <f t="shared" si="2"/>
        <v/>
      </c>
      <c r="F54" s="2" t="str">
        <f t="shared" si="3"/>
        <v/>
      </c>
    </row>
    <row r="55" spans="1:6">
      <c r="A55" s="2" t="str">
        <f>IF('02_KICH_BAN_NODES'!D41="choice",'02_KICH_BAN_NODES'!B41,"")</f>
        <v/>
      </c>
      <c r="B55" s="2" t="str">
        <f>IF(A55="","",'02_KICH_BAN_NODES'!E41)</f>
        <v/>
      </c>
      <c r="C55" s="2" t="str">
        <f>IF(A55="","",COUNTIF('03_LUA_CHON'!$A$5:$A$404,A55))</f>
        <v/>
      </c>
      <c r="D55" s="2" t="str">
        <f>IF(A55="","",COUNTIFS('03_LUA_CHON'!$A$5:$A$404,A55,'03_LUA_CHON'!$D$5:$D$404,"Có"))</f>
        <v/>
      </c>
      <c r="E55" s="2" t="str">
        <f t="shared" si="2"/>
        <v/>
      </c>
      <c r="F55" s="2" t="str">
        <f t="shared" si="3"/>
        <v/>
      </c>
    </row>
    <row r="56" spans="1:6">
      <c r="A56" s="2" t="str">
        <f>IF('02_KICH_BAN_NODES'!D42="choice",'02_KICH_BAN_NODES'!B42,"")</f>
        <v/>
      </c>
      <c r="B56" s="2" t="str">
        <f>IF(A56="","",'02_KICH_BAN_NODES'!E42)</f>
        <v/>
      </c>
      <c r="C56" s="2" t="str">
        <f>IF(A56="","",COUNTIF('03_LUA_CHON'!$A$5:$A$404,A56))</f>
        <v/>
      </c>
      <c r="D56" s="2" t="str">
        <f>IF(A56="","",COUNTIFS('03_LUA_CHON'!$A$5:$A$404,A56,'03_LUA_CHON'!$D$5:$D$404,"Có"))</f>
        <v/>
      </c>
      <c r="E56" s="2" t="str">
        <f t="shared" si="2"/>
        <v/>
      </c>
      <c r="F56" s="2" t="str">
        <f t="shared" si="3"/>
        <v/>
      </c>
    </row>
    <row r="57" spans="1:6">
      <c r="A57" s="2" t="str">
        <f>IF('02_KICH_BAN_NODES'!D43="choice",'02_KICH_BAN_NODES'!B43,"")</f>
        <v/>
      </c>
      <c r="B57" s="2" t="str">
        <f>IF(A57="","",'02_KICH_BAN_NODES'!E43)</f>
        <v/>
      </c>
      <c r="C57" s="2" t="str">
        <f>IF(A57="","",COUNTIF('03_LUA_CHON'!$A$5:$A$404,A57))</f>
        <v/>
      </c>
      <c r="D57" s="2" t="str">
        <f>IF(A57="","",COUNTIFS('03_LUA_CHON'!$A$5:$A$404,A57,'03_LUA_CHON'!$D$5:$D$404,"Có"))</f>
        <v/>
      </c>
      <c r="E57" s="2" t="str">
        <f t="shared" si="2"/>
        <v/>
      </c>
      <c r="F57" s="2" t="str">
        <f t="shared" si="3"/>
        <v/>
      </c>
    </row>
    <row r="58" spans="1:6">
      <c r="A58" s="2" t="str">
        <f>IF('02_KICH_BAN_NODES'!D44="choice",'02_KICH_BAN_NODES'!B44,"")</f>
        <v/>
      </c>
      <c r="B58" s="2" t="str">
        <f>IF(A58="","",'02_KICH_BAN_NODES'!E44)</f>
        <v/>
      </c>
      <c r="C58" s="2" t="str">
        <f>IF(A58="","",COUNTIF('03_LUA_CHON'!$A$5:$A$404,A58))</f>
        <v/>
      </c>
      <c r="D58" s="2" t="str">
        <f>IF(A58="","",COUNTIFS('03_LUA_CHON'!$A$5:$A$404,A58,'03_LUA_CHON'!$D$5:$D$404,"Có"))</f>
        <v/>
      </c>
      <c r="E58" s="2" t="str">
        <f t="shared" si="2"/>
        <v/>
      </c>
      <c r="F58" s="2" t="str">
        <f t="shared" si="3"/>
        <v/>
      </c>
    </row>
    <row r="59" spans="1:6">
      <c r="A59" s="2" t="str">
        <f>IF('02_KICH_BAN_NODES'!D45="choice",'02_KICH_BAN_NODES'!B45,"")</f>
        <v/>
      </c>
      <c r="B59" s="2" t="str">
        <f>IF(A59="","",'02_KICH_BAN_NODES'!E45)</f>
        <v/>
      </c>
      <c r="C59" s="2" t="str">
        <f>IF(A59="","",COUNTIF('03_LUA_CHON'!$A$5:$A$404,A59))</f>
        <v/>
      </c>
      <c r="D59" s="2" t="str">
        <f>IF(A59="","",COUNTIFS('03_LUA_CHON'!$A$5:$A$404,A59,'03_LUA_CHON'!$D$5:$D$404,"Có"))</f>
        <v/>
      </c>
      <c r="E59" s="2" t="str">
        <f t="shared" si="2"/>
        <v/>
      </c>
      <c r="F59" s="2" t="str">
        <f t="shared" si="3"/>
        <v/>
      </c>
    </row>
    <row r="60" spans="1:6">
      <c r="A60" s="2" t="str">
        <f>IF('02_KICH_BAN_NODES'!D46="choice",'02_KICH_BAN_NODES'!B46,"")</f>
        <v/>
      </c>
      <c r="B60" s="2" t="str">
        <f>IF(A60="","",'02_KICH_BAN_NODES'!E46)</f>
        <v/>
      </c>
      <c r="C60" s="2" t="str">
        <f>IF(A60="","",COUNTIF('03_LUA_CHON'!$A$5:$A$404,A60))</f>
        <v/>
      </c>
      <c r="D60" s="2" t="str">
        <f>IF(A60="","",COUNTIFS('03_LUA_CHON'!$A$5:$A$404,A60,'03_LUA_CHON'!$D$5:$D$404,"Có"))</f>
        <v/>
      </c>
      <c r="E60" s="2" t="str">
        <f t="shared" si="2"/>
        <v/>
      </c>
      <c r="F60" s="2" t="str">
        <f t="shared" si="3"/>
        <v/>
      </c>
    </row>
    <row r="61" spans="1:6">
      <c r="A61" s="2" t="str">
        <f>IF('02_KICH_BAN_NODES'!D47="choice",'02_KICH_BAN_NODES'!B47,"")</f>
        <v/>
      </c>
      <c r="B61" s="2" t="str">
        <f>IF(A61="","",'02_KICH_BAN_NODES'!E47)</f>
        <v/>
      </c>
      <c r="C61" s="2" t="str">
        <f>IF(A61="","",COUNTIF('03_LUA_CHON'!$A$5:$A$404,A61))</f>
        <v/>
      </c>
      <c r="D61" s="2" t="str">
        <f>IF(A61="","",COUNTIFS('03_LUA_CHON'!$A$5:$A$404,A61,'03_LUA_CHON'!$D$5:$D$404,"Có"))</f>
        <v/>
      </c>
      <c r="E61" s="2" t="str">
        <f t="shared" si="2"/>
        <v/>
      </c>
      <c r="F61" s="2" t="str">
        <f t="shared" si="3"/>
        <v/>
      </c>
    </row>
    <row r="62" spans="1:6">
      <c r="A62" s="2" t="str">
        <f>IF('02_KICH_BAN_NODES'!D48="choice",'02_KICH_BAN_NODES'!B48,"")</f>
        <v/>
      </c>
      <c r="B62" s="2" t="str">
        <f>IF(A62="","",'02_KICH_BAN_NODES'!E48)</f>
        <v/>
      </c>
      <c r="C62" s="2" t="str">
        <f>IF(A62="","",COUNTIF('03_LUA_CHON'!$A$5:$A$404,A62))</f>
        <v/>
      </c>
      <c r="D62" s="2" t="str">
        <f>IF(A62="","",COUNTIFS('03_LUA_CHON'!$A$5:$A$404,A62,'03_LUA_CHON'!$D$5:$D$404,"Có"))</f>
        <v/>
      </c>
      <c r="E62" s="2" t="str">
        <f t="shared" si="2"/>
        <v/>
      </c>
      <c r="F62" s="2" t="str">
        <f t="shared" si="3"/>
        <v/>
      </c>
    </row>
    <row r="63" spans="1:6">
      <c r="A63" s="2" t="str">
        <f>IF('02_KICH_BAN_NODES'!D49="choice",'02_KICH_BAN_NODES'!B49,"")</f>
        <v/>
      </c>
      <c r="B63" s="2" t="str">
        <f>IF(A63="","",'02_KICH_BAN_NODES'!E49)</f>
        <v/>
      </c>
      <c r="C63" s="2" t="str">
        <f>IF(A63="","",COUNTIF('03_LUA_CHON'!$A$5:$A$404,A63))</f>
        <v/>
      </c>
      <c r="D63" s="2" t="str">
        <f>IF(A63="","",COUNTIFS('03_LUA_CHON'!$A$5:$A$404,A63,'03_LUA_CHON'!$D$5:$D$404,"Có"))</f>
        <v/>
      </c>
      <c r="E63" s="2" t="str">
        <f t="shared" si="2"/>
        <v/>
      </c>
      <c r="F63" s="2" t="str">
        <f t="shared" si="3"/>
        <v/>
      </c>
    </row>
    <row r="64" spans="1:6">
      <c r="A64" s="2" t="str">
        <f>IF('02_KICH_BAN_NODES'!D50="choice",'02_KICH_BAN_NODES'!B50,"")</f>
        <v/>
      </c>
      <c r="B64" s="2" t="str">
        <f>IF(A64="","",'02_KICH_BAN_NODES'!E50)</f>
        <v/>
      </c>
      <c r="C64" s="2" t="str">
        <f>IF(A64="","",COUNTIF('03_LUA_CHON'!$A$5:$A$404,A64))</f>
        <v/>
      </c>
      <c r="D64" s="2" t="str">
        <f>IF(A64="","",COUNTIFS('03_LUA_CHON'!$A$5:$A$404,A64,'03_LUA_CHON'!$D$5:$D$404,"Có"))</f>
        <v/>
      </c>
      <c r="E64" s="2" t="str">
        <f t="shared" si="2"/>
        <v/>
      </c>
      <c r="F64" s="2" t="str">
        <f t="shared" si="3"/>
        <v/>
      </c>
    </row>
    <row r="65" spans="1:6">
      <c r="A65" s="2" t="str">
        <f>IF('02_KICH_BAN_NODES'!D51="choice",'02_KICH_BAN_NODES'!B51,"")</f>
        <v/>
      </c>
      <c r="B65" s="2" t="str">
        <f>IF(A65="","",'02_KICH_BAN_NODES'!E51)</f>
        <v/>
      </c>
      <c r="C65" s="2" t="str">
        <f>IF(A65="","",COUNTIF('03_LUA_CHON'!$A$5:$A$404,A65))</f>
        <v/>
      </c>
      <c r="D65" s="2" t="str">
        <f>IF(A65="","",COUNTIFS('03_LUA_CHON'!$A$5:$A$404,A65,'03_LUA_CHON'!$D$5:$D$404,"Có"))</f>
        <v/>
      </c>
      <c r="E65" s="2" t="str">
        <f t="shared" si="2"/>
        <v/>
      </c>
      <c r="F65" s="2" t="str">
        <f t="shared" si="3"/>
        <v/>
      </c>
    </row>
    <row r="66" spans="1:6">
      <c r="A66" s="2" t="str">
        <f>IF('02_KICH_BAN_NODES'!D52="choice",'02_KICH_BAN_NODES'!B52,"")</f>
        <v/>
      </c>
      <c r="B66" s="2" t="str">
        <f>IF(A66="","",'02_KICH_BAN_NODES'!E52)</f>
        <v/>
      </c>
      <c r="C66" s="2" t="str">
        <f>IF(A66="","",COUNTIF('03_LUA_CHON'!$A$5:$A$404,A66))</f>
        <v/>
      </c>
      <c r="D66" s="2" t="str">
        <f>IF(A66="","",COUNTIFS('03_LUA_CHON'!$A$5:$A$404,A66,'03_LUA_CHON'!$D$5:$D$404,"Có"))</f>
        <v/>
      </c>
      <c r="E66" s="2" t="str">
        <f t="shared" si="2"/>
        <v/>
      </c>
      <c r="F66" s="2" t="str">
        <f t="shared" si="3"/>
        <v/>
      </c>
    </row>
    <row r="67" spans="1:6">
      <c r="A67" s="2" t="str">
        <f>IF('02_KICH_BAN_NODES'!D53="choice",'02_KICH_BAN_NODES'!B53,"")</f>
        <v/>
      </c>
      <c r="B67" s="2" t="str">
        <f>IF(A67="","",'02_KICH_BAN_NODES'!E53)</f>
        <v/>
      </c>
      <c r="C67" s="2" t="str">
        <f>IF(A67="","",COUNTIF('03_LUA_CHON'!$A$5:$A$404,A67))</f>
        <v/>
      </c>
      <c r="D67" s="2" t="str">
        <f>IF(A67="","",COUNTIFS('03_LUA_CHON'!$A$5:$A$404,A67,'03_LUA_CHON'!$D$5:$D$404,"Có"))</f>
        <v/>
      </c>
      <c r="E67" s="2" t="str">
        <f t="shared" si="2"/>
        <v/>
      </c>
      <c r="F67" s="2" t="str">
        <f t="shared" si="3"/>
        <v/>
      </c>
    </row>
    <row r="68" spans="1:6">
      <c r="A68" s="2" t="str">
        <f>IF('02_KICH_BAN_NODES'!D54="choice",'02_KICH_BAN_NODES'!B54,"")</f>
        <v/>
      </c>
      <c r="B68" s="2" t="str">
        <f>IF(A68="","",'02_KICH_BAN_NODES'!E54)</f>
        <v/>
      </c>
      <c r="C68" s="2" t="str">
        <f>IF(A68="","",COUNTIF('03_LUA_CHON'!$A$5:$A$404,A68))</f>
        <v/>
      </c>
      <c r="D68" s="2" t="str">
        <f>IF(A68="","",COUNTIFS('03_LUA_CHON'!$A$5:$A$404,A68,'03_LUA_CHON'!$D$5:$D$404,"Có"))</f>
        <v/>
      </c>
      <c r="E68" s="2" t="str">
        <f t="shared" si="2"/>
        <v/>
      </c>
      <c r="F68" s="2" t="str">
        <f t="shared" si="3"/>
        <v/>
      </c>
    </row>
    <row r="69" spans="1:6">
      <c r="A69" s="2" t="str">
        <f>IF('02_KICH_BAN_NODES'!D55="choice",'02_KICH_BAN_NODES'!B55,"")</f>
        <v/>
      </c>
      <c r="B69" s="2" t="str">
        <f>IF(A69="","",'02_KICH_BAN_NODES'!E55)</f>
        <v/>
      </c>
      <c r="C69" s="2" t="str">
        <f>IF(A69="","",COUNTIF('03_LUA_CHON'!$A$5:$A$404,A69))</f>
        <v/>
      </c>
      <c r="D69" s="2" t="str">
        <f>IF(A69="","",COUNTIFS('03_LUA_CHON'!$A$5:$A$404,A69,'03_LUA_CHON'!$D$5:$D$404,"Có"))</f>
        <v/>
      </c>
      <c r="E69" s="2" t="str">
        <f t="shared" si="2"/>
        <v/>
      </c>
      <c r="F69" s="2" t="str">
        <f t="shared" si="3"/>
        <v/>
      </c>
    </row>
    <row r="70" spans="1:6">
      <c r="A70" s="2" t="str">
        <f>IF('02_KICH_BAN_NODES'!D56="choice",'02_KICH_BAN_NODES'!B56,"")</f>
        <v/>
      </c>
      <c r="B70" s="2" t="str">
        <f>IF(A70="","",'02_KICH_BAN_NODES'!E56)</f>
        <v/>
      </c>
      <c r="C70" s="2" t="str">
        <f>IF(A70="","",COUNTIF('03_LUA_CHON'!$A$5:$A$404,A70))</f>
        <v/>
      </c>
      <c r="D70" s="2" t="str">
        <f>IF(A70="","",COUNTIFS('03_LUA_CHON'!$A$5:$A$404,A70,'03_LUA_CHON'!$D$5:$D$404,"Có"))</f>
        <v/>
      </c>
      <c r="E70" s="2" t="str">
        <f t="shared" si="2"/>
        <v/>
      </c>
      <c r="F70" s="2" t="str">
        <f t="shared" si="3"/>
        <v/>
      </c>
    </row>
    <row r="71" spans="1:6">
      <c r="A71" s="2" t="str">
        <f>IF('02_KICH_BAN_NODES'!D57="choice",'02_KICH_BAN_NODES'!B57,"")</f>
        <v/>
      </c>
      <c r="B71" s="2" t="str">
        <f>IF(A71="","",'02_KICH_BAN_NODES'!E57)</f>
        <v/>
      </c>
      <c r="C71" s="2" t="str">
        <f>IF(A71="","",COUNTIF('03_LUA_CHON'!$A$5:$A$404,A71))</f>
        <v/>
      </c>
      <c r="D71" s="2" t="str">
        <f>IF(A71="","",COUNTIFS('03_LUA_CHON'!$A$5:$A$404,A71,'03_LUA_CHON'!$D$5:$D$404,"Có"))</f>
        <v/>
      </c>
      <c r="E71" s="2" t="str">
        <f t="shared" si="2"/>
        <v/>
      </c>
      <c r="F71" s="2" t="str">
        <f t="shared" si="3"/>
        <v/>
      </c>
    </row>
    <row r="72" spans="1:6">
      <c r="A72" s="2" t="str">
        <f>IF('02_KICH_BAN_NODES'!D58="choice",'02_KICH_BAN_NODES'!B58,"")</f>
        <v/>
      </c>
      <c r="B72" s="2" t="str">
        <f>IF(A72="","",'02_KICH_BAN_NODES'!E58)</f>
        <v/>
      </c>
      <c r="C72" s="2" t="str">
        <f>IF(A72="","",COUNTIF('03_LUA_CHON'!$A$5:$A$404,A72))</f>
        <v/>
      </c>
      <c r="D72" s="2" t="str">
        <f>IF(A72="","",COUNTIFS('03_LUA_CHON'!$A$5:$A$404,A72,'03_LUA_CHON'!$D$5:$D$404,"Có"))</f>
        <v/>
      </c>
      <c r="E72" s="2" t="str">
        <f t="shared" si="2"/>
        <v/>
      </c>
      <c r="F72" s="2" t="str">
        <f t="shared" si="3"/>
        <v/>
      </c>
    </row>
    <row r="73" spans="1:6">
      <c r="A73" s="2" t="str">
        <f>IF('02_KICH_BAN_NODES'!D59="choice",'02_KICH_BAN_NODES'!B59,"")</f>
        <v/>
      </c>
      <c r="B73" s="2" t="str">
        <f>IF(A73="","",'02_KICH_BAN_NODES'!E59)</f>
        <v/>
      </c>
      <c r="C73" s="2" t="str">
        <f>IF(A73="","",COUNTIF('03_LUA_CHON'!$A$5:$A$404,A73))</f>
        <v/>
      </c>
      <c r="D73" s="2" t="str">
        <f>IF(A73="","",COUNTIFS('03_LUA_CHON'!$A$5:$A$404,A73,'03_LUA_CHON'!$D$5:$D$404,"Có"))</f>
        <v/>
      </c>
      <c r="E73" s="2" t="str">
        <f t="shared" si="2"/>
        <v/>
      </c>
      <c r="F73" s="2" t="str">
        <f t="shared" si="3"/>
        <v/>
      </c>
    </row>
    <row r="74" spans="1:6">
      <c r="A74" s="2" t="str">
        <f>IF('02_KICH_BAN_NODES'!D60="choice",'02_KICH_BAN_NODES'!B60,"")</f>
        <v/>
      </c>
      <c r="B74" s="2" t="str">
        <f>IF(A74="","",'02_KICH_BAN_NODES'!E60)</f>
        <v/>
      </c>
      <c r="C74" s="2" t="str">
        <f>IF(A74="","",COUNTIF('03_LUA_CHON'!$A$5:$A$404,A74))</f>
        <v/>
      </c>
      <c r="D74" s="2" t="str">
        <f>IF(A74="","",COUNTIFS('03_LUA_CHON'!$A$5:$A$404,A74,'03_LUA_CHON'!$D$5:$D$404,"Có"))</f>
        <v/>
      </c>
      <c r="E74" s="2" t="str">
        <f t="shared" si="2"/>
        <v/>
      </c>
      <c r="F74" s="2" t="str">
        <f t="shared" si="3"/>
        <v/>
      </c>
    </row>
    <row r="75" spans="1:6">
      <c r="A75" s="2" t="str">
        <f>IF('02_KICH_BAN_NODES'!D61="choice",'02_KICH_BAN_NODES'!B61,"")</f>
        <v/>
      </c>
      <c r="B75" s="2" t="str">
        <f>IF(A75="","",'02_KICH_BAN_NODES'!E61)</f>
        <v/>
      </c>
      <c r="C75" s="2" t="str">
        <f>IF(A75="","",COUNTIF('03_LUA_CHON'!$A$5:$A$404,A75))</f>
        <v/>
      </c>
      <c r="D75" s="2" t="str">
        <f>IF(A75="","",COUNTIFS('03_LUA_CHON'!$A$5:$A$404,A75,'03_LUA_CHON'!$D$5:$D$404,"Có"))</f>
        <v/>
      </c>
      <c r="E75" s="2" t="str">
        <f t="shared" si="2"/>
        <v/>
      </c>
      <c r="F75" s="2" t="str">
        <f t="shared" si="3"/>
        <v/>
      </c>
    </row>
    <row r="76" spans="1:6">
      <c r="A76" s="2" t="str">
        <f>IF('02_KICH_BAN_NODES'!D62="choice",'02_KICH_BAN_NODES'!B62,"")</f>
        <v/>
      </c>
      <c r="B76" s="2" t="str">
        <f>IF(A76="","",'02_KICH_BAN_NODES'!E62)</f>
        <v/>
      </c>
      <c r="C76" s="2" t="str">
        <f>IF(A76="","",COUNTIF('03_LUA_CHON'!$A$5:$A$404,A76))</f>
        <v/>
      </c>
      <c r="D76" s="2" t="str">
        <f>IF(A76="","",COUNTIFS('03_LUA_CHON'!$A$5:$A$404,A76,'03_LUA_CHON'!$D$5:$D$404,"Có"))</f>
        <v/>
      </c>
      <c r="E76" s="2" t="str">
        <f t="shared" si="2"/>
        <v/>
      </c>
      <c r="F76" s="2" t="str">
        <f t="shared" si="3"/>
        <v/>
      </c>
    </row>
    <row r="77" spans="1:6">
      <c r="A77" s="2" t="str">
        <f>IF('02_KICH_BAN_NODES'!D63="choice",'02_KICH_BAN_NODES'!B63,"")</f>
        <v/>
      </c>
      <c r="B77" s="2" t="str">
        <f>IF(A77="","",'02_KICH_BAN_NODES'!E63)</f>
        <v/>
      </c>
      <c r="C77" s="2" t="str">
        <f>IF(A77="","",COUNTIF('03_LUA_CHON'!$A$5:$A$404,A77))</f>
        <v/>
      </c>
      <c r="D77" s="2" t="str">
        <f>IF(A77="","",COUNTIFS('03_LUA_CHON'!$A$5:$A$404,A77,'03_LUA_CHON'!$D$5:$D$404,"Có"))</f>
        <v/>
      </c>
      <c r="E77" s="2" t="str">
        <f t="shared" si="2"/>
        <v/>
      </c>
      <c r="F77" s="2" t="str">
        <f t="shared" si="3"/>
        <v/>
      </c>
    </row>
    <row r="78" spans="1:6">
      <c r="A78" s="2" t="str">
        <f>IF('02_KICH_BAN_NODES'!D64="choice",'02_KICH_BAN_NODES'!B64,"")</f>
        <v/>
      </c>
      <c r="B78" s="2" t="str">
        <f>IF(A78="","",'02_KICH_BAN_NODES'!E64)</f>
        <v/>
      </c>
      <c r="C78" s="2" t="str">
        <f>IF(A78="","",COUNTIF('03_LUA_CHON'!$A$5:$A$404,A78))</f>
        <v/>
      </c>
      <c r="D78" s="2" t="str">
        <f>IF(A78="","",COUNTIFS('03_LUA_CHON'!$A$5:$A$404,A78,'03_LUA_CHON'!$D$5:$D$404,"Có"))</f>
        <v/>
      </c>
      <c r="E78" s="2" t="str">
        <f t="shared" si="2"/>
        <v/>
      </c>
      <c r="F78" s="2" t="str">
        <f t="shared" si="3"/>
        <v/>
      </c>
    </row>
    <row r="79" spans="1:6">
      <c r="A79" s="2" t="str">
        <f>IF('02_KICH_BAN_NODES'!D65="choice",'02_KICH_BAN_NODES'!B65,"")</f>
        <v/>
      </c>
      <c r="B79" s="2" t="str">
        <f>IF(A79="","",'02_KICH_BAN_NODES'!E65)</f>
        <v/>
      </c>
      <c r="C79" s="2" t="str">
        <f>IF(A79="","",COUNTIF('03_LUA_CHON'!$A$5:$A$404,A79))</f>
        <v/>
      </c>
      <c r="D79" s="2" t="str">
        <f>IF(A79="","",COUNTIFS('03_LUA_CHON'!$A$5:$A$404,A79,'03_LUA_CHON'!$D$5:$D$404,"Có"))</f>
        <v/>
      </c>
      <c r="E79" s="2" t="str">
        <f t="shared" si="2"/>
        <v/>
      </c>
      <c r="F79" s="2" t="str">
        <f t="shared" si="3"/>
        <v/>
      </c>
    </row>
    <row r="80" spans="1:6">
      <c r="A80" s="2" t="str">
        <f>IF('02_KICH_BAN_NODES'!D66="choice",'02_KICH_BAN_NODES'!B66,"")</f>
        <v/>
      </c>
      <c r="B80" s="2" t="str">
        <f>IF(A80="","",'02_KICH_BAN_NODES'!E66)</f>
        <v/>
      </c>
      <c r="C80" s="2" t="str">
        <f>IF(A80="","",COUNTIF('03_LUA_CHON'!$A$5:$A$404,A80))</f>
        <v/>
      </c>
      <c r="D80" s="2" t="str">
        <f>IF(A80="","",COUNTIFS('03_LUA_CHON'!$A$5:$A$404,A80,'03_LUA_CHON'!$D$5:$D$404,"Có"))</f>
        <v/>
      </c>
      <c r="E80" s="2" t="str">
        <f t="shared" si="2"/>
        <v/>
      </c>
      <c r="F80" s="2" t="str">
        <f t="shared" si="3"/>
        <v/>
      </c>
    </row>
    <row r="81" spans="1:6">
      <c r="A81" s="2" t="str">
        <f>IF('02_KICH_BAN_NODES'!D67="choice",'02_KICH_BAN_NODES'!B67,"")</f>
        <v/>
      </c>
      <c r="B81" s="2" t="str">
        <f>IF(A81="","",'02_KICH_BAN_NODES'!E67)</f>
        <v/>
      </c>
      <c r="C81" s="2" t="str">
        <f>IF(A81="","",COUNTIF('03_LUA_CHON'!$A$5:$A$404,A81))</f>
        <v/>
      </c>
      <c r="D81" s="2" t="str">
        <f>IF(A81="","",COUNTIFS('03_LUA_CHON'!$A$5:$A$404,A81,'03_LUA_CHON'!$D$5:$D$404,"Có"))</f>
        <v/>
      </c>
      <c r="E81" s="2" t="str">
        <f t="shared" si="2"/>
        <v/>
      </c>
      <c r="F81" s="2" t="str">
        <f t="shared" si="3"/>
        <v/>
      </c>
    </row>
    <row r="82" spans="1:6">
      <c r="A82" s="2" t="str">
        <f>IF('02_KICH_BAN_NODES'!D68="choice",'02_KICH_BAN_NODES'!B68,"")</f>
        <v/>
      </c>
      <c r="B82" s="2" t="str">
        <f>IF(A82="","",'02_KICH_BAN_NODES'!E68)</f>
        <v/>
      </c>
      <c r="C82" s="2" t="str">
        <f>IF(A82="","",COUNTIF('03_LUA_CHON'!$A$5:$A$404,A82))</f>
        <v/>
      </c>
      <c r="D82" s="2" t="str">
        <f>IF(A82="","",COUNTIFS('03_LUA_CHON'!$A$5:$A$404,A82,'03_LUA_CHON'!$D$5:$D$404,"Có"))</f>
        <v/>
      </c>
      <c r="E82" s="2" t="str">
        <f t="shared" si="2"/>
        <v/>
      </c>
      <c r="F82" s="2" t="str">
        <f t="shared" si="3"/>
        <v/>
      </c>
    </row>
    <row r="83" spans="1:6">
      <c r="A83" s="2" t="str">
        <f>IF('02_KICH_BAN_NODES'!D69="choice",'02_KICH_BAN_NODES'!B69,"")</f>
        <v/>
      </c>
      <c r="B83" s="2" t="str">
        <f>IF(A83="","",'02_KICH_BAN_NODES'!E69)</f>
        <v/>
      </c>
      <c r="C83" s="2" t="str">
        <f>IF(A83="","",COUNTIF('03_LUA_CHON'!$A$5:$A$404,A83))</f>
        <v/>
      </c>
      <c r="D83" s="2" t="str">
        <f>IF(A83="","",COUNTIFS('03_LUA_CHON'!$A$5:$A$404,A83,'03_LUA_CHON'!$D$5:$D$404,"Có"))</f>
        <v/>
      </c>
      <c r="E83" s="2" t="str">
        <f t="shared" ref="E83:E114" si="4">IF(A83="","",IF(OR(C83&lt;2,C83&gt;4),"CẦN SỬA",IF(AND(B83="Kiến thức",D83=1),"HỢP LỆ",IF(AND(B83="Tương tác",D83=0),"HỢP LỆ","CẦN SỬA"))))</f>
        <v/>
      </c>
      <c r="F83" s="2" t="str">
        <f t="shared" ref="F83:F114" si="5">IF(A83="","",IF(OR(C83&lt;2,C83&gt;4),"Cần 2–4 option",IF(AND(B83="Kiến thức",D83&lt;&gt;1),"Câu kiến thức cần đúng 1 đáp án đúng",IF(AND(B83="Tương tác",D83&lt;&gt;0),"Câu tương tác không có đáp án đúng",IF(B83="","Thiếu ChoiceMode","")))))</f>
        <v/>
      </c>
    </row>
    <row r="84" spans="1:6">
      <c r="A84" s="2" t="str">
        <f>IF('02_KICH_BAN_NODES'!D70="choice",'02_KICH_BAN_NODES'!B70,"")</f>
        <v/>
      </c>
      <c r="B84" s="2" t="str">
        <f>IF(A84="","",'02_KICH_BAN_NODES'!E70)</f>
        <v/>
      </c>
      <c r="C84" s="2" t="str">
        <f>IF(A84="","",COUNTIF('03_LUA_CHON'!$A$5:$A$404,A84))</f>
        <v/>
      </c>
      <c r="D84" s="2" t="str">
        <f>IF(A84="","",COUNTIFS('03_LUA_CHON'!$A$5:$A$404,A84,'03_LUA_CHON'!$D$5:$D$404,"Có"))</f>
        <v/>
      </c>
      <c r="E84" s="2" t="str">
        <f t="shared" si="4"/>
        <v/>
      </c>
      <c r="F84" s="2" t="str">
        <f t="shared" si="5"/>
        <v/>
      </c>
    </row>
    <row r="85" spans="1:6">
      <c r="A85" s="2" t="str">
        <f>IF('02_KICH_BAN_NODES'!D71="choice",'02_KICH_BAN_NODES'!B71,"")</f>
        <v/>
      </c>
      <c r="B85" s="2" t="str">
        <f>IF(A85="","",'02_KICH_BAN_NODES'!E71)</f>
        <v/>
      </c>
      <c r="C85" s="2" t="str">
        <f>IF(A85="","",COUNTIF('03_LUA_CHON'!$A$5:$A$404,A85))</f>
        <v/>
      </c>
      <c r="D85" s="2" t="str">
        <f>IF(A85="","",COUNTIFS('03_LUA_CHON'!$A$5:$A$404,A85,'03_LUA_CHON'!$D$5:$D$404,"Có"))</f>
        <v/>
      </c>
      <c r="E85" s="2" t="str">
        <f t="shared" si="4"/>
        <v/>
      </c>
      <c r="F85" s="2" t="str">
        <f t="shared" si="5"/>
        <v/>
      </c>
    </row>
    <row r="86" spans="1:6">
      <c r="A86" s="2" t="str">
        <f>IF('02_KICH_BAN_NODES'!D72="choice",'02_KICH_BAN_NODES'!B72,"")</f>
        <v/>
      </c>
      <c r="B86" s="2" t="str">
        <f>IF(A86="","",'02_KICH_BAN_NODES'!E72)</f>
        <v/>
      </c>
      <c r="C86" s="2" t="str">
        <f>IF(A86="","",COUNTIF('03_LUA_CHON'!$A$5:$A$404,A86))</f>
        <v/>
      </c>
      <c r="D86" s="2" t="str">
        <f>IF(A86="","",COUNTIFS('03_LUA_CHON'!$A$5:$A$404,A86,'03_LUA_CHON'!$D$5:$D$404,"Có"))</f>
        <v/>
      </c>
      <c r="E86" s="2" t="str">
        <f t="shared" si="4"/>
        <v/>
      </c>
      <c r="F86" s="2" t="str">
        <f t="shared" si="5"/>
        <v/>
      </c>
    </row>
    <row r="87" spans="1:6">
      <c r="A87" s="2" t="str">
        <f>IF('02_KICH_BAN_NODES'!D73="choice",'02_KICH_BAN_NODES'!B73,"")</f>
        <v/>
      </c>
      <c r="B87" s="2" t="str">
        <f>IF(A87="","",'02_KICH_BAN_NODES'!E73)</f>
        <v/>
      </c>
      <c r="C87" s="2" t="str">
        <f>IF(A87="","",COUNTIF('03_LUA_CHON'!$A$5:$A$404,A87))</f>
        <v/>
      </c>
      <c r="D87" s="2" t="str">
        <f>IF(A87="","",COUNTIFS('03_LUA_CHON'!$A$5:$A$404,A87,'03_LUA_CHON'!$D$5:$D$404,"Có"))</f>
        <v/>
      </c>
      <c r="E87" s="2" t="str">
        <f t="shared" si="4"/>
        <v/>
      </c>
      <c r="F87" s="2" t="str">
        <f t="shared" si="5"/>
        <v/>
      </c>
    </row>
    <row r="88" spans="1:6">
      <c r="A88" s="2" t="str">
        <f>IF('02_KICH_BAN_NODES'!D74="choice",'02_KICH_BAN_NODES'!B74,"")</f>
        <v/>
      </c>
      <c r="B88" s="2" t="str">
        <f>IF(A88="","",'02_KICH_BAN_NODES'!E74)</f>
        <v/>
      </c>
      <c r="C88" s="2" t="str">
        <f>IF(A88="","",COUNTIF('03_LUA_CHON'!$A$5:$A$404,A88))</f>
        <v/>
      </c>
      <c r="D88" s="2" t="str">
        <f>IF(A88="","",COUNTIFS('03_LUA_CHON'!$A$5:$A$404,A88,'03_LUA_CHON'!$D$5:$D$404,"Có"))</f>
        <v/>
      </c>
      <c r="E88" s="2" t="str">
        <f t="shared" si="4"/>
        <v/>
      </c>
      <c r="F88" s="2" t="str">
        <f t="shared" si="5"/>
        <v/>
      </c>
    </row>
    <row r="89" spans="1:6">
      <c r="A89" s="2" t="str">
        <f>IF('02_KICH_BAN_NODES'!D75="choice",'02_KICH_BAN_NODES'!B75,"")</f>
        <v/>
      </c>
      <c r="B89" s="2" t="str">
        <f>IF(A89="","",'02_KICH_BAN_NODES'!E75)</f>
        <v/>
      </c>
      <c r="C89" s="2" t="str">
        <f>IF(A89="","",COUNTIF('03_LUA_CHON'!$A$5:$A$404,A89))</f>
        <v/>
      </c>
      <c r="D89" s="2" t="str">
        <f>IF(A89="","",COUNTIFS('03_LUA_CHON'!$A$5:$A$404,A89,'03_LUA_CHON'!$D$5:$D$404,"Có"))</f>
        <v/>
      </c>
      <c r="E89" s="2" t="str">
        <f t="shared" si="4"/>
        <v/>
      </c>
      <c r="F89" s="2" t="str">
        <f t="shared" si="5"/>
        <v/>
      </c>
    </row>
    <row r="90" spans="1:6">
      <c r="A90" s="2" t="str">
        <f>IF('02_KICH_BAN_NODES'!D76="choice",'02_KICH_BAN_NODES'!B76,"")</f>
        <v/>
      </c>
      <c r="B90" s="2" t="str">
        <f>IF(A90="","",'02_KICH_BAN_NODES'!E76)</f>
        <v/>
      </c>
      <c r="C90" s="2" t="str">
        <f>IF(A90="","",COUNTIF('03_LUA_CHON'!$A$5:$A$404,A90))</f>
        <v/>
      </c>
      <c r="D90" s="2" t="str">
        <f>IF(A90="","",COUNTIFS('03_LUA_CHON'!$A$5:$A$404,A90,'03_LUA_CHON'!$D$5:$D$404,"Có"))</f>
        <v/>
      </c>
      <c r="E90" s="2" t="str">
        <f t="shared" si="4"/>
        <v/>
      </c>
      <c r="F90" s="2" t="str">
        <f t="shared" si="5"/>
        <v/>
      </c>
    </row>
    <row r="91" spans="1:6">
      <c r="A91" s="2" t="str">
        <f>IF('02_KICH_BAN_NODES'!D77="choice",'02_KICH_BAN_NODES'!B77,"")</f>
        <v/>
      </c>
      <c r="B91" s="2" t="str">
        <f>IF(A91="","",'02_KICH_BAN_NODES'!E77)</f>
        <v/>
      </c>
      <c r="C91" s="2" t="str">
        <f>IF(A91="","",COUNTIF('03_LUA_CHON'!$A$5:$A$404,A91))</f>
        <v/>
      </c>
      <c r="D91" s="2" t="str">
        <f>IF(A91="","",COUNTIFS('03_LUA_CHON'!$A$5:$A$404,A91,'03_LUA_CHON'!$D$5:$D$404,"Có"))</f>
        <v/>
      </c>
      <c r="E91" s="2" t="str">
        <f t="shared" si="4"/>
        <v/>
      </c>
      <c r="F91" s="2" t="str">
        <f t="shared" si="5"/>
        <v/>
      </c>
    </row>
    <row r="92" spans="1:6">
      <c r="A92" s="2" t="str">
        <f>IF('02_KICH_BAN_NODES'!D78="choice",'02_KICH_BAN_NODES'!B78,"")</f>
        <v/>
      </c>
      <c r="B92" s="2" t="str">
        <f>IF(A92="","",'02_KICH_BAN_NODES'!E78)</f>
        <v/>
      </c>
      <c r="C92" s="2" t="str">
        <f>IF(A92="","",COUNTIF('03_LUA_CHON'!$A$5:$A$404,A92))</f>
        <v/>
      </c>
      <c r="D92" s="2" t="str">
        <f>IF(A92="","",COUNTIFS('03_LUA_CHON'!$A$5:$A$404,A92,'03_LUA_CHON'!$D$5:$D$404,"Có"))</f>
        <v/>
      </c>
      <c r="E92" s="2" t="str">
        <f t="shared" si="4"/>
        <v/>
      </c>
      <c r="F92" s="2" t="str">
        <f t="shared" si="5"/>
        <v/>
      </c>
    </row>
    <row r="93" spans="1:6">
      <c r="A93" s="2" t="str">
        <f>IF('02_KICH_BAN_NODES'!D79="choice",'02_KICH_BAN_NODES'!B79,"")</f>
        <v/>
      </c>
      <c r="B93" s="2" t="str">
        <f>IF(A93="","",'02_KICH_BAN_NODES'!E79)</f>
        <v/>
      </c>
      <c r="C93" s="2" t="str">
        <f>IF(A93="","",COUNTIF('03_LUA_CHON'!$A$5:$A$404,A93))</f>
        <v/>
      </c>
      <c r="D93" s="2" t="str">
        <f>IF(A93="","",COUNTIFS('03_LUA_CHON'!$A$5:$A$404,A93,'03_LUA_CHON'!$D$5:$D$404,"Có"))</f>
        <v/>
      </c>
      <c r="E93" s="2" t="str">
        <f t="shared" si="4"/>
        <v/>
      </c>
      <c r="F93" s="2" t="str">
        <f t="shared" si="5"/>
        <v/>
      </c>
    </row>
    <row r="94" spans="1:6">
      <c r="A94" s="2" t="str">
        <f>IF('02_KICH_BAN_NODES'!D80="choice",'02_KICH_BAN_NODES'!B80,"")</f>
        <v/>
      </c>
      <c r="B94" s="2" t="str">
        <f>IF(A94="","",'02_KICH_BAN_NODES'!E80)</f>
        <v/>
      </c>
      <c r="C94" s="2" t="str">
        <f>IF(A94="","",COUNTIF('03_LUA_CHON'!$A$5:$A$404,A94))</f>
        <v/>
      </c>
      <c r="D94" s="2" t="str">
        <f>IF(A94="","",COUNTIFS('03_LUA_CHON'!$A$5:$A$404,A94,'03_LUA_CHON'!$D$5:$D$404,"Có"))</f>
        <v/>
      </c>
      <c r="E94" s="2" t="str">
        <f t="shared" si="4"/>
        <v/>
      </c>
      <c r="F94" s="2" t="str">
        <f t="shared" si="5"/>
        <v/>
      </c>
    </row>
    <row r="95" spans="1:6">
      <c r="A95" s="2" t="str">
        <f>IF('02_KICH_BAN_NODES'!D81="choice",'02_KICH_BAN_NODES'!B81,"")</f>
        <v/>
      </c>
      <c r="B95" s="2" t="str">
        <f>IF(A95="","",'02_KICH_BAN_NODES'!E81)</f>
        <v/>
      </c>
      <c r="C95" s="2" t="str">
        <f>IF(A95="","",COUNTIF('03_LUA_CHON'!$A$5:$A$404,A95))</f>
        <v/>
      </c>
      <c r="D95" s="2" t="str">
        <f>IF(A95="","",COUNTIFS('03_LUA_CHON'!$A$5:$A$404,A95,'03_LUA_CHON'!$D$5:$D$404,"Có"))</f>
        <v/>
      </c>
      <c r="E95" s="2" t="str">
        <f t="shared" si="4"/>
        <v/>
      </c>
      <c r="F95" s="2" t="str">
        <f t="shared" si="5"/>
        <v/>
      </c>
    </row>
    <row r="96" spans="1:6">
      <c r="A96" s="2" t="str">
        <f>IF('02_KICH_BAN_NODES'!D82="choice",'02_KICH_BAN_NODES'!B82,"")</f>
        <v/>
      </c>
      <c r="B96" s="2" t="str">
        <f>IF(A96="","",'02_KICH_BAN_NODES'!E82)</f>
        <v/>
      </c>
      <c r="C96" s="2" t="str">
        <f>IF(A96="","",COUNTIF('03_LUA_CHON'!$A$5:$A$404,A96))</f>
        <v/>
      </c>
      <c r="D96" s="2" t="str">
        <f>IF(A96="","",COUNTIFS('03_LUA_CHON'!$A$5:$A$404,A96,'03_LUA_CHON'!$D$5:$D$404,"Có"))</f>
        <v/>
      </c>
      <c r="E96" s="2" t="str">
        <f t="shared" si="4"/>
        <v/>
      </c>
      <c r="F96" s="2" t="str">
        <f t="shared" si="5"/>
        <v/>
      </c>
    </row>
    <row r="97" spans="1:6">
      <c r="A97" s="2" t="str">
        <f>IF('02_KICH_BAN_NODES'!D83="choice",'02_KICH_BAN_NODES'!B83,"")</f>
        <v/>
      </c>
      <c r="B97" s="2" t="str">
        <f>IF(A97="","",'02_KICH_BAN_NODES'!E83)</f>
        <v/>
      </c>
      <c r="C97" s="2" t="str">
        <f>IF(A97="","",COUNTIF('03_LUA_CHON'!$A$5:$A$404,A97))</f>
        <v/>
      </c>
      <c r="D97" s="2" t="str">
        <f>IF(A97="","",COUNTIFS('03_LUA_CHON'!$A$5:$A$404,A97,'03_LUA_CHON'!$D$5:$D$404,"Có"))</f>
        <v/>
      </c>
      <c r="E97" s="2" t="str">
        <f t="shared" si="4"/>
        <v/>
      </c>
      <c r="F97" s="2" t="str">
        <f t="shared" si="5"/>
        <v/>
      </c>
    </row>
    <row r="98" spans="1:6">
      <c r="A98" s="2" t="str">
        <f>IF('02_KICH_BAN_NODES'!D84="choice",'02_KICH_BAN_NODES'!B84,"")</f>
        <v/>
      </c>
      <c r="B98" s="2" t="str">
        <f>IF(A98="","",'02_KICH_BAN_NODES'!E84)</f>
        <v/>
      </c>
      <c r="C98" s="2" t="str">
        <f>IF(A98="","",COUNTIF('03_LUA_CHON'!$A$5:$A$404,A98))</f>
        <v/>
      </c>
      <c r="D98" s="2" t="str">
        <f>IF(A98="","",COUNTIFS('03_LUA_CHON'!$A$5:$A$404,A98,'03_LUA_CHON'!$D$5:$D$404,"Có"))</f>
        <v/>
      </c>
      <c r="E98" s="2" t="str">
        <f t="shared" si="4"/>
        <v/>
      </c>
      <c r="F98" s="2" t="str">
        <f t="shared" si="5"/>
        <v/>
      </c>
    </row>
    <row r="99" spans="1:6">
      <c r="A99" s="2" t="str">
        <f>IF('02_KICH_BAN_NODES'!D85="choice",'02_KICH_BAN_NODES'!B85,"")</f>
        <v/>
      </c>
      <c r="B99" s="2" t="str">
        <f>IF(A99="","",'02_KICH_BAN_NODES'!E85)</f>
        <v/>
      </c>
      <c r="C99" s="2" t="str">
        <f>IF(A99="","",COUNTIF('03_LUA_CHON'!$A$5:$A$404,A99))</f>
        <v/>
      </c>
      <c r="D99" s="2" t="str">
        <f>IF(A99="","",COUNTIFS('03_LUA_CHON'!$A$5:$A$404,A99,'03_LUA_CHON'!$D$5:$D$404,"Có"))</f>
        <v/>
      </c>
      <c r="E99" s="2" t="str">
        <f t="shared" si="4"/>
        <v/>
      </c>
      <c r="F99" s="2" t="str">
        <f t="shared" si="5"/>
        <v/>
      </c>
    </row>
    <row r="100" spans="1:6">
      <c r="A100" s="2" t="str">
        <f>IF('02_KICH_BAN_NODES'!D86="choice",'02_KICH_BAN_NODES'!B86,"")</f>
        <v/>
      </c>
      <c r="B100" s="2" t="str">
        <f>IF(A100="","",'02_KICH_BAN_NODES'!E86)</f>
        <v/>
      </c>
      <c r="C100" s="2" t="str">
        <f>IF(A100="","",COUNTIF('03_LUA_CHON'!$A$5:$A$404,A100))</f>
        <v/>
      </c>
      <c r="D100" s="2" t="str">
        <f>IF(A100="","",COUNTIFS('03_LUA_CHON'!$A$5:$A$404,A100,'03_LUA_CHON'!$D$5:$D$404,"Có"))</f>
        <v/>
      </c>
      <c r="E100" s="2" t="str">
        <f t="shared" si="4"/>
        <v/>
      </c>
      <c r="F100" s="2" t="str">
        <f t="shared" si="5"/>
        <v/>
      </c>
    </row>
    <row r="101" spans="1:6">
      <c r="A101" s="2" t="str">
        <f>IF('02_KICH_BAN_NODES'!D87="choice",'02_KICH_BAN_NODES'!B87,"")</f>
        <v/>
      </c>
      <c r="B101" s="2" t="str">
        <f>IF(A101="","",'02_KICH_BAN_NODES'!E87)</f>
        <v/>
      </c>
      <c r="C101" s="2" t="str">
        <f>IF(A101="","",COUNTIF('03_LUA_CHON'!$A$5:$A$404,A101))</f>
        <v/>
      </c>
      <c r="D101" s="2" t="str">
        <f>IF(A101="","",COUNTIFS('03_LUA_CHON'!$A$5:$A$404,A101,'03_LUA_CHON'!$D$5:$D$404,"Có"))</f>
        <v/>
      </c>
      <c r="E101" s="2" t="str">
        <f t="shared" si="4"/>
        <v/>
      </c>
      <c r="F101" s="2" t="str">
        <f t="shared" si="5"/>
        <v/>
      </c>
    </row>
    <row r="102" spans="1:6">
      <c r="A102" s="2" t="str">
        <f>IF('02_KICH_BAN_NODES'!D88="choice",'02_KICH_BAN_NODES'!B88,"")</f>
        <v/>
      </c>
      <c r="B102" s="2" t="str">
        <f>IF(A102="","",'02_KICH_BAN_NODES'!E88)</f>
        <v/>
      </c>
      <c r="C102" s="2" t="str">
        <f>IF(A102="","",COUNTIF('03_LUA_CHON'!$A$5:$A$404,A102))</f>
        <v/>
      </c>
      <c r="D102" s="2" t="str">
        <f>IF(A102="","",COUNTIFS('03_LUA_CHON'!$A$5:$A$404,A102,'03_LUA_CHON'!$D$5:$D$404,"Có"))</f>
        <v/>
      </c>
      <c r="E102" s="2" t="str">
        <f t="shared" si="4"/>
        <v/>
      </c>
      <c r="F102" s="2" t="str">
        <f t="shared" si="5"/>
        <v/>
      </c>
    </row>
    <row r="103" spans="1:6">
      <c r="A103" s="2" t="str">
        <f>IF('02_KICH_BAN_NODES'!D89="choice",'02_KICH_BAN_NODES'!B89,"")</f>
        <v/>
      </c>
      <c r="B103" s="2" t="str">
        <f>IF(A103="","",'02_KICH_BAN_NODES'!E89)</f>
        <v/>
      </c>
      <c r="C103" s="2" t="str">
        <f>IF(A103="","",COUNTIF('03_LUA_CHON'!$A$5:$A$404,A103))</f>
        <v/>
      </c>
      <c r="D103" s="2" t="str">
        <f>IF(A103="","",COUNTIFS('03_LUA_CHON'!$A$5:$A$404,A103,'03_LUA_CHON'!$D$5:$D$404,"Có"))</f>
        <v/>
      </c>
      <c r="E103" s="2" t="str">
        <f t="shared" si="4"/>
        <v/>
      </c>
      <c r="F103" s="2" t="str">
        <f t="shared" si="5"/>
        <v/>
      </c>
    </row>
    <row r="104" spans="1:6">
      <c r="A104" s="2" t="str">
        <f>IF('02_KICH_BAN_NODES'!D90="choice",'02_KICH_BAN_NODES'!B90,"")</f>
        <v/>
      </c>
      <c r="B104" s="2" t="str">
        <f>IF(A104="","",'02_KICH_BAN_NODES'!E90)</f>
        <v/>
      </c>
      <c r="C104" s="2" t="str">
        <f>IF(A104="","",COUNTIF('03_LUA_CHON'!$A$5:$A$404,A104))</f>
        <v/>
      </c>
      <c r="D104" s="2" t="str">
        <f>IF(A104="","",COUNTIFS('03_LUA_CHON'!$A$5:$A$404,A104,'03_LUA_CHON'!$D$5:$D$404,"Có"))</f>
        <v/>
      </c>
      <c r="E104" s="2" t="str">
        <f t="shared" si="4"/>
        <v/>
      </c>
      <c r="F104" s="2" t="str">
        <f t="shared" si="5"/>
        <v/>
      </c>
    </row>
    <row r="105" spans="1:6">
      <c r="A105" s="2" t="str">
        <f>IF('02_KICH_BAN_NODES'!D91="choice",'02_KICH_BAN_NODES'!B91,"")</f>
        <v/>
      </c>
      <c r="B105" s="2" t="str">
        <f>IF(A105="","",'02_KICH_BAN_NODES'!E91)</f>
        <v/>
      </c>
      <c r="C105" s="2" t="str">
        <f>IF(A105="","",COUNTIF('03_LUA_CHON'!$A$5:$A$404,A105))</f>
        <v/>
      </c>
      <c r="D105" s="2" t="str">
        <f>IF(A105="","",COUNTIFS('03_LUA_CHON'!$A$5:$A$404,A105,'03_LUA_CHON'!$D$5:$D$404,"Có"))</f>
        <v/>
      </c>
      <c r="E105" s="2" t="str">
        <f t="shared" si="4"/>
        <v/>
      </c>
      <c r="F105" s="2" t="str">
        <f t="shared" si="5"/>
        <v/>
      </c>
    </row>
    <row r="106" spans="1:6">
      <c r="A106" s="2" t="str">
        <f>IF('02_KICH_BAN_NODES'!D92="choice",'02_KICH_BAN_NODES'!B92,"")</f>
        <v/>
      </c>
      <c r="B106" s="2" t="str">
        <f>IF(A106="","",'02_KICH_BAN_NODES'!E92)</f>
        <v/>
      </c>
      <c r="C106" s="2" t="str">
        <f>IF(A106="","",COUNTIF('03_LUA_CHON'!$A$5:$A$404,A106))</f>
        <v/>
      </c>
      <c r="D106" s="2" t="str">
        <f>IF(A106="","",COUNTIFS('03_LUA_CHON'!$A$5:$A$404,A106,'03_LUA_CHON'!$D$5:$D$404,"Có"))</f>
        <v/>
      </c>
      <c r="E106" s="2" t="str">
        <f t="shared" si="4"/>
        <v/>
      </c>
      <c r="F106" s="2" t="str">
        <f t="shared" si="5"/>
        <v/>
      </c>
    </row>
    <row r="107" spans="1:6">
      <c r="A107" s="2" t="str">
        <f>IF('02_KICH_BAN_NODES'!D93="choice",'02_KICH_BAN_NODES'!B93,"")</f>
        <v/>
      </c>
      <c r="B107" s="2" t="str">
        <f>IF(A107="","",'02_KICH_BAN_NODES'!E93)</f>
        <v/>
      </c>
      <c r="C107" s="2" t="str">
        <f>IF(A107="","",COUNTIF('03_LUA_CHON'!$A$5:$A$404,A107))</f>
        <v/>
      </c>
      <c r="D107" s="2" t="str">
        <f>IF(A107="","",COUNTIFS('03_LUA_CHON'!$A$5:$A$404,A107,'03_LUA_CHON'!$D$5:$D$404,"Có"))</f>
        <v/>
      </c>
      <c r="E107" s="2" t="str">
        <f t="shared" si="4"/>
        <v/>
      </c>
      <c r="F107" s="2" t="str">
        <f t="shared" si="5"/>
        <v/>
      </c>
    </row>
    <row r="108" spans="1:6">
      <c r="A108" s="2" t="str">
        <f>IF('02_KICH_BAN_NODES'!D94="choice",'02_KICH_BAN_NODES'!B94,"")</f>
        <v/>
      </c>
      <c r="B108" s="2" t="str">
        <f>IF(A108="","",'02_KICH_BAN_NODES'!E94)</f>
        <v/>
      </c>
      <c r="C108" s="2" t="str">
        <f>IF(A108="","",COUNTIF('03_LUA_CHON'!$A$5:$A$404,A108))</f>
        <v/>
      </c>
      <c r="D108" s="2" t="str">
        <f>IF(A108="","",COUNTIFS('03_LUA_CHON'!$A$5:$A$404,A108,'03_LUA_CHON'!$D$5:$D$404,"Có"))</f>
        <v/>
      </c>
      <c r="E108" s="2" t="str">
        <f t="shared" si="4"/>
        <v/>
      </c>
      <c r="F108" s="2" t="str">
        <f t="shared" si="5"/>
        <v/>
      </c>
    </row>
    <row r="109" spans="1:6">
      <c r="A109" s="2" t="str">
        <f>IF('02_KICH_BAN_NODES'!D95="choice",'02_KICH_BAN_NODES'!B95,"")</f>
        <v/>
      </c>
      <c r="B109" s="2" t="str">
        <f>IF(A109="","",'02_KICH_BAN_NODES'!E95)</f>
        <v/>
      </c>
      <c r="C109" s="2" t="str">
        <f>IF(A109="","",COUNTIF('03_LUA_CHON'!$A$5:$A$404,A109))</f>
        <v/>
      </c>
      <c r="D109" s="2" t="str">
        <f>IF(A109="","",COUNTIFS('03_LUA_CHON'!$A$5:$A$404,A109,'03_LUA_CHON'!$D$5:$D$404,"Có"))</f>
        <v/>
      </c>
      <c r="E109" s="2" t="str">
        <f t="shared" si="4"/>
        <v/>
      </c>
      <c r="F109" s="2" t="str">
        <f t="shared" si="5"/>
        <v/>
      </c>
    </row>
    <row r="110" spans="1:6">
      <c r="A110" s="2" t="str">
        <f>IF('02_KICH_BAN_NODES'!D96="choice",'02_KICH_BAN_NODES'!B96,"")</f>
        <v/>
      </c>
      <c r="B110" s="2" t="str">
        <f>IF(A110="","",'02_KICH_BAN_NODES'!E96)</f>
        <v/>
      </c>
      <c r="C110" s="2" t="str">
        <f>IF(A110="","",COUNTIF('03_LUA_CHON'!$A$5:$A$404,A110))</f>
        <v/>
      </c>
      <c r="D110" s="2" t="str">
        <f>IF(A110="","",COUNTIFS('03_LUA_CHON'!$A$5:$A$404,A110,'03_LUA_CHON'!$D$5:$D$404,"Có"))</f>
        <v/>
      </c>
      <c r="E110" s="2" t="str">
        <f t="shared" si="4"/>
        <v/>
      </c>
      <c r="F110" s="2" t="str">
        <f t="shared" si="5"/>
        <v/>
      </c>
    </row>
    <row r="111" spans="1:6">
      <c r="A111" s="2" t="str">
        <f>IF('02_KICH_BAN_NODES'!D97="choice",'02_KICH_BAN_NODES'!B97,"")</f>
        <v/>
      </c>
      <c r="B111" s="2" t="str">
        <f>IF(A111="","",'02_KICH_BAN_NODES'!E97)</f>
        <v/>
      </c>
      <c r="C111" s="2" t="str">
        <f>IF(A111="","",COUNTIF('03_LUA_CHON'!$A$5:$A$404,A111))</f>
        <v/>
      </c>
      <c r="D111" s="2" t="str">
        <f>IF(A111="","",COUNTIFS('03_LUA_CHON'!$A$5:$A$404,A111,'03_LUA_CHON'!$D$5:$D$404,"Có"))</f>
        <v/>
      </c>
      <c r="E111" s="2" t="str">
        <f t="shared" si="4"/>
        <v/>
      </c>
      <c r="F111" s="2" t="str">
        <f t="shared" si="5"/>
        <v/>
      </c>
    </row>
    <row r="112" spans="1:6">
      <c r="A112" s="2" t="str">
        <f>IF('02_KICH_BAN_NODES'!D98="choice",'02_KICH_BAN_NODES'!B98,"")</f>
        <v/>
      </c>
      <c r="B112" s="2" t="str">
        <f>IF(A112="","",'02_KICH_BAN_NODES'!E98)</f>
        <v/>
      </c>
      <c r="C112" s="2" t="str">
        <f>IF(A112="","",COUNTIF('03_LUA_CHON'!$A$5:$A$404,A112))</f>
        <v/>
      </c>
      <c r="D112" s="2" t="str">
        <f>IF(A112="","",COUNTIFS('03_LUA_CHON'!$A$5:$A$404,A112,'03_LUA_CHON'!$D$5:$D$404,"Có"))</f>
        <v/>
      </c>
      <c r="E112" s="2" t="str">
        <f t="shared" si="4"/>
        <v/>
      </c>
      <c r="F112" s="2" t="str">
        <f t="shared" si="5"/>
        <v/>
      </c>
    </row>
    <row r="113" spans="1:6">
      <c r="A113" s="2" t="str">
        <f>IF('02_KICH_BAN_NODES'!D99="choice",'02_KICH_BAN_NODES'!B99,"")</f>
        <v/>
      </c>
      <c r="B113" s="2" t="str">
        <f>IF(A113="","",'02_KICH_BAN_NODES'!E99)</f>
        <v/>
      </c>
      <c r="C113" s="2" t="str">
        <f>IF(A113="","",COUNTIF('03_LUA_CHON'!$A$5:$A$404,A113))</f>
        <v/>
      </c>
      <c r="D113" s="2" t="str">
        <f>IF(A113="","",COUNTIFS('03_LUA_CHON'!$A$5:$A$404,A113,'03_LUA_CHON'!$D$5:$D$404,"Có"))</f>
        <v/>
      </c>
      <c r="E113" s="2" t="str">
        <f t="shared" si="4"/>
        <v/>
      </c>
      <c r="F113" s="2" t="str">
        <f t="shared" si="5"/>
        <v/>
      </c>
    </row>
    <row r="114" spans="1:6">
      <c r="A114" s="2" t="str">
        <f>IF('02_KICH_BAN_NODES'!D100="choice",'02_KICH_BAN_NODES'!B100,"")</f>
        <v/>
      </c>
      <c r="B114" s="2" t="str">
        <f>IF(A114="","",'02_KICH_BAN_NODES'!E100)</f>
        <v/>
      </c>
      <c r="C114" s="2" t="str">
        <f>IF(A114="","",COUNTIF('03_LUA_CHON'!$A$5:$A$404,A114))</f>
        <v/>
      </c>
      <c r="D114" s="2" t="str">
        <f>IF(A114="","",COUNTIFS('03_LUA_CHON'!$A$5:$A$404,A114,'03_LUA_CHON'!$D$5:$D$404,"Có"))</f>
        <v/>
      </c>
      <c r="E114" s="2" t="str">
        <f t="shared" si="4"/>
        <v/>
      </c>
      <c r="F114" s="2" t="str">
        <f t="shared" si="5"/>
        <v/>
      </c>
    </row>
    <row r="115" spans="1:6">
      <c r="A115" s="2" t="str">
        <f>IF('02_KICH_BAN_NODES'!D101="choice",'02_KICH_BAN_NODES'!B101,"")</f>
        <v/>
      </c>
      <c r="B115" s="2" t="str">
        <f>IF(A115="","",'02_KICH_BAN_NODES'!E101)</f>
        <v/>
      </c>
      <c r="C115" s="2" t="str">
        <f>IF(A115="","",COUNTIF('03_LUA_CHON'!$A$5:$A$404,A115))</f>
        <v/>
      </c>
      <c r="D115" s="2" t="str">
        <f>IF(A115="","",COUNTIFS('03_LUA_CHON'!$A$5:$A$404,A115,'03_LUA_CHON'!$D$5:$D$404,"Có"))</f>
        <v/>
      </c>
      <c r="E115" s="2" t="str">
        <f t="shared" ref="E115:E146" si="6">IF(A115="","",IF(OR(C115&lt;2,C115&gt;4),"CẦN SỬA",IF(AND(B115="Kiến thức",D115=1),"HỢP LỆ",IF(AND(B115="Tương tác",D115=0),"HỢP LỆ","CẦN SỬA"))))</f>
        <v/>
      </c>
      <c r="F115" s="2" t="str">
        <f t="shared" ref="F115:F146" si="7">IF(A115="","",IF(OR(C115&lt;2,C115&gt;4),"Cần 2–4 option",IF(AND(B115="Kiến thức",D115&lt;&gt;1),"Câu kiến thức cần đúng 1 đáp án đúng",IF(AND(B115="Tương tác",D115&lt;&gt;0),"Câu tương tác không có đáp án đúng",IF(B115="","Thiếu ChoiceMode","")))))</f>
        <v/>
      </c>
    </row>
    <row r="116" spans="1:6">
      <c r="A116" s="2" t="str">
        <f>IF('02_KICH_BAN_NODES'!D102="choice",'02_KICH_BAN_NODES'!B102,"")</f>
        <v/>
      </c>
      <c r="B116" s="2" t="str">
        <f>IF(A116="","",'02_KICH_BAN_NODES'!E102)</f>
        <v/>
      </c>
      <c r="C116" s="2" t="str">
        <f>IF(A116="","",COUNTIF('03_LUA_CHON'!$A$5:$A$404,A116))</f>
        <v/>
      </c>
      <c r="D116" s="2" t="str">
        <f>IF(A116="","",COUNTIFS('03_LUA_CHON'!$A$5:$A$404,A116,'03_LUA_CHON'!$D$5:$D$404,"Có"))</f>
        <v/>
      </c>
      <c r="E116" s="2" t="str">
        <f t="shared" si="6"/>
        <v/>
      </c>
      <c r="F116" s="2" t="str">
        <f t="shared" si="7"/>
        <v/>
      </c>
    </row>
    <row r="117" spans="1:6">
      <c r="A117" s="2" t="str">
        <f>IF('02_KICH_BAN_NODES'!D103="choice",'02_KICH_BAN_NODES'!B103,"")</f>
        <v/>
      </c>
      <c r="B117" s="2" t="str">
        <f>IF(A117="","",'02_KICH_BAN_NODES'!E103)</f>
        <v/>
      </c>
      <c r="C117" s="2" t="str">
        <f>IF(A117="","",COUNTIF('03_LUA_CHON'!$A$5:$A$404,A117))</f>
        <v/>
      </c>
      <c r="D117" s="2" t="str">
        <f>IF(A117="","",COUNTIFS('03_LUA_CHON'!$A$5:$A$404,A117,'03_LUA_CHON'!$D$5:$D$404,"Có"))</f>
        <v/>
      </c>
      <c r="E117" s="2" t="str">
        <f t="shared" si="6"/>
        <v/>
      </c>
      <c r="F117" s="2" t="str">
        <f t="shared" si="7"/>
        <v/>
      </c>
    </row>
    <row r="118" spans="1:6">
      <c r="A118" s="2" t="str">
        <f>IF('02_KICH_BAN_NODES'!D104="choice",'02_KICH_BAN_NODES'!B104,"")</f>
        <v/>
      </c>
      <c r="B118" s="2" t="str">
        <f>IF(A118="","",'02_KICH_BAN_NODES'!E104)</f>
        <v/>
      </c>
      <c r="C118" s="2" t="str">
        <f>IF(A118="","",COUNTIF('03_LUA_CHON'!$A$5:$A$404,A118))</f>
        <v/>
      </c>
      <c r="D118" s="2" t="str">
        <f>IF(A118="","",COUNTIFS('03_LUA_CHON'!$A$5:$A$404,A118,'03_LUA_CHON'!$D$5:$D$404,"Có"))</f>
        <v/>
      </c>
      <c r="E118" s="2" t="str">
        <f t="shared" si="6"/>
        <v/>
      </c>
      <c r="F118" s="2" t="str">
        <f t="shared" si="7"/>
        <v/>
      </c>
    </row>
    <row r="119" spans="1:6">
      <c r="A119" s="2" t="str">
        <f>IF('02_KICH_BAN_NODES'!D105="choice",'02_KICH_BAN_NODES'!B105,"")</f>
        <v/>
      </c>
      <c r="B119" s="2" t="str">
        <f>IF(A119="","",'02_KICH_BAN_NODES'!E105)</f>
        <v/>
      </c>
      <c r="C119" s="2" t="str">
        <f>IF(A119="","",COUNTIF('03_LUA_CHON'!$A$5:$A$404,A119))</f>
        <v/>
      </c>
      <c r="D119" s="2" t="str">
        <f>IF(A119="","",COUNTIFS('03_LUA_CHON'!$A$5:$A$404,A119,'03_LUA_CHON'!$D$5:$D$404,"Có"))</f>
        <v/>
      </c>
      <c r="E119" s="2" t="str">
        <f t="shared" si="6"/>
        <v/>
      </c>
      <c r="F119" s="2" t="str">
        <f t="shared" si="7"/>
        <v/>
      </c>
    </row>
    <row r="120" spans="1:6">
      <c r="A120" s="2" t="str">
        <f>IF('02_KICH_BAN_NODES'!D106="choice",'02_KICH_BAN_NODES'!B106,"")</f>
        <v/>
      </c>
      <c r="B120" s="2" t="str">
        <f>IF(A120="","",'02_KICH_BAN_NODES'!E106)</f>
        <v/>
      </c>
      <c r="C120" s="2" t="str">
        <f>IF(A120="","",COUNTIF('03_LUA_CHON'!$A$5:$A$404,A120))</f>
        <v/>
      </c>
      <c r="D120" s="2" t="str">
        <f>IF(A120="","",COUNTIFS('03_LUA_CHON'!$A$5:$A$404,A120,'03_LUA_CHON'!$D$5:$D$404,"Có"))</f>
        <v/>
      </c>
      <c r="E120" s="2" t="str">
        <f t="shared" si="6"/>
        <v/>
      </c>
      <c r="F120" s="2" t="str">
        <f t="shared" si="7"/>
        <v/>
      </c>
    </row>
    <row r="121" spans="1:6">
      <c r="A121" s="2" t="str">
        <f>IF('02_KICH_BAN_NODES'!D107="choice",'02_KICH_BAN_NODES'!B107,"")</f>
        <v/>
      </c>
      <c r="B121" s="2" t="str">
        <f>IF(A121="","",'02_KICH_BAN_NODES'!E107)</f>
        <v/>
      </c>
      <c r="C121" s="2" t="str">
        <f>IF(A121="","",COUNTIF('03_LUA_CHON'!$A$5:$A$404,A121))</f>
        <v/>
      </c>
      <c r="D121" s="2" t="str">
        <f>IF(A121="","",COUNTIFS('03_LUA_CHON'!$A$5:$A$404,A121,'03_LUA_CHON'!$D$5:$D$404,"Có"))</f>
        <v/>
      </c>
      <c r="E121" s="2" t="str">
        <f t="shared" si="6"/>
        <v/>
      </c>
      <c r="F121" s="2" t="str">
        <f t="shared" si="7"/>
        <v/>
      </c>
    </row>
    <row r="122" spans="1:6">
      <c r="A122" s="2" t="str">
        <f>IF('02_KICH_BAN_NODES'!D108="choice",'02_KICH_BAN_NODES'!B108,"")</f>
        <v/>
      </c>
      <c r="B122" s="2" t="str">
        <f>IF(A122="","",'02_KICH_BAN_NODES'!E108)</f>
        <v/>
      </c>
      <c r="C122" s="2" t="str">
        <f>IF(A122="","",COUNTIF('03_LUA_CHON'!$A$5:$A$404,A122))</f>
        <v/>
      </c>
      <c r="D122" s="2" t="str">
        <f>IF(A122="","",COUNTIFS('03_LUA_CHON'!$A$5:$A$404,A122,'03_LUA_CHON'!$D$5:$D$404,"Có"))</f>
        <v/>
      </c>
      <c r="E122" s="2" t="str">
        <f t="shared" si="6"/>
        <v/>
      </c>
      <c r="F122" s="2" t="str">
        <f t="shared" si="7"/>
        <v/>
      </c>
    </row>
    <row r="123" spans="1:6">
      <c r="A123" s="2" t="str">
        <f>IF('02_KICH_BAN_NODES'!D109="choice",'02_KICH_BAN_NODES'!B109,"")</f>
        <v/>
      </c>
      <c r="B123" s="2" t="str">
        <f>IF(A123="","",'02_KICH_BAN_NODES'!E109)</f>
        <v/>
      </c>
      <c r="C123" s="2" t="str">
        <f>IF(A123="","",COUNTIF('03_LUA_CHON'!$A$5:$A$404,A123))</f>
        <v/>
      </c>
      <c r="D123" s="2" t="str">
        <f>IF(A123="","",COUNTIFS('03_LUA_CHON'!$A$5:$A$404,A123,'03_LUA_CHON'!$D$5:$D$404,"Có"))</f>
        <v/>
      </c>
      <c r="E123" s="2" t="str">
        <f t="shared" si="6"/>
        <v/>
      </c>
      <c r="F123" s="2" t="str">
        <f t="shared" si="7"/>
        <v/>
      </c>
    </row>
    <row r="124" spans="1:6">
      <c r="A124" s="2" t="str">
        <f>IF('02_KICH_BAN_NODES'!D110="choice",'02_KICH_BAN_NODES'!B110,"")</f>
        <v/>
      </c>
      <c r="B124" s="2" t="str">
        <f>IF(A124="","",'02_KICH_BAN_NODES'!E110)</f>
        <v/>
      </c>
      <c r="C124" s="2" t="str">
        <f>IF(A124="","",COUNTIF('03_LUA_CHON'!$A$5:$A$404,A124))</f>
        <v/>
      </c>
      <c r="D124" s="2" t="str">
        <f>IF(A124="","",COUNTIFS('03_LUA_CHON'!$A$5:$A$404,A124,'03_LUA_CHON'!$D$5:$D$404,"Có"))</f>
        <v/>
      </c>
      <c r="E124" s="2" t="str">
        <f t="shared" si="6"/>
        <v/>
      </c>
      <c r="F124" s="2" t="str">
        <f t="shared" si="7"/>
        <v/>
      </c>
    </row>
    <row r="125" spans="1:6">
      <c r="A125" s="2" t="str">
        <f>IF('02_KICH_BAN_NODES'!D111="choice",'02_KICH_BAN_NODES'!B111,"")</f>
        <v/>
      </c>
      <c r="B125" s="2" t="str">
        <f>IF(A125="","",'02_KICH_BAN_NODES'!E111)</f>
        <v/>
      </c>
      <c r="C125" s="2" t="str">
        <f>IF(A125="","",COUNTIF('03_LUA_CHON'!$A$5:$A$404,A125))</f>
        <v/>
      </c>
      <c r="D125" s="2" t="str">
        <f>IF(A125="","",COUNTIFS('03_LUA_CHON'!$A$5:$A$404,A125,'03_LUA_CHON'!$D$5:$D$404,"Có"))</f>
        <v/>
      </c>
      <c r="E125" s="2" t="str">
        <f t="shared" si="6"/>
        <v/>
      </c>
      <c r="F125" s="2" t="str">
        <f t="shared" si="7"/>
        <v/>
      </c>
    </row>
    <row r="126" spans="1:6">
      <c r="A126" s="2" t="str">
        <f>IF('02_KICH_BAN_NODES'!D112="choice",'02_KICH_BAN_NODES'!B112,"")</f>
        <v/>
      </c>
      <c r="B126" s="2" t="str">
        <f>IF(A126="","",'02_KICH_BAN_NODES'!E112)</f>
        <v/>
      </c>
      <c r="C126" s="2" t="str">
        <f>IF(A126="","",COUNTIF('03_LUA_CHON'!$A$5:$A$404,A126))</f>
        <v/>
      </c>
      <c r="D126" s="2" t="str">
        <f>IF(A126="","",COUNTIFS('03_LUA_CHON'!$A$5:$A$404,A126,'03_LUA_CHON'!$D$5:$D$404,"Có"))</f>
        <v/>
      </c>
      <c r="E126" s="2" t="str">
        <f t="shared" si="6"/>
        <v/>
      </c>
      <c r="F126" s="2" t="str">
        <f t="shared" si="7"/>
        <v/>
      </c>
    </row>
    <row r="127" spans="1:6">
      <c r="A127" s="2" t="str">
        <f>IF('02_KICH_BAN_NODES'!D113="choice",'02_KICH_BAN_NODES'!B113,"")</f>
        <v/>
      </c>
      <c r="B127" s="2" t="str">
        <f>IF(A127="","",'02_KICH_BAN_NODES'!E113)</f>
        <v/>
      </c>
      <c r="C127" s="2" t="str">
        <f>IF(A127="","",COUNTIF('03_LUA_CHON'!$A$5:$A$404,A127))</f>
        <v/>
      </c>
      <c r="D127" s="2" t="str">
        <f>IF(A127="","",COUNTIFS('03_LUA_CHON'!$A$5:$A$404,A127,'03_LUA_CHON'!$D$5:$D$404,"Có"))</f>
        <v/>
      </c>
      <c r="E127" s="2" t="str">
        <f t="shared" si="6"/>
        <v/>
      </c>
      <c r="F127" s="2" t="str">
        <f t="shared" si="7"/>
        <v/>
      </c>
    </row>
    <row r="128" spans="1:6">
      <c r="A128" s="2" t="str">
        <f>IF('02_KICH_BAN_NODES'!D114="choice",'02_KICH_BAN_NODES'!B114,"")</f>
        <v/>
      </c>
      <c r="B128" s="2" t="str">
        <f>IF(A128="","",'02_KICH_BAN_NODES'!E114)</f>
        <v/>
      </c>
      <c r="C128" s="2" t="str">
        <f>IF(A128="","",COUNTIF('03_LUA_CHON'!$A$5:$A$404,A128))</f>
        <v/>
      </c>
      <c r="D128" s="2" t="str">
        <f>IF(A128="","",COUNTIFS('03_LUA_CHON'!$A$5:$A$404,A128,'03_LUA_CHON'!$D$5:$D$404,"Có"))</f>
        <v/>
      </c>
      <c r="E128" s="2" t="str">
        <f t="shared" si="6"/>
        <v/>
      </c>
      <c r="F128" s="2" t="str">
        <f t="shared" si="7"/>
        <v/>
      </c>
    </row>
    <row r="129" spans="1:6">
      <c r="A129" s="2" t="str">
        <f>IF('02_KICH_BAN_NODES'!D115="choice",'02_KICH_BAN_NODES'!B115,"")</f>
        <v/>
      </c>
      <c r="B129" s="2" t="str">
        <f>IF(A129="","",'02_KICH_BAN_NODES'!E115)</f>
        <v/>
      </c>
      <c r="C129" s="2" t="str">
        <f>IF(A129="","",COUNTIF('03_LUA_CHON'!$A$5:$A$404,A129))</f>
        <v/>
      </c>
      <c r="D129" s="2" t="str">
        <f>IF(A129="","",COUNTIFS('03_LUA_CHON'!$A$5:$A$404,A129,'03_LUA_CHON'!$D$5:$D$404,"Có"))</f>
        <v/>
      </c>
      <c r="E129" s="2" t="str">
        <f t="shared" si="6"/>
        <v/>
      </c>
      <c r="F129" s="2" t="str">
        <f t="shared" si="7"/>
        <v/>
      </c>
    </row>
    <row r="130" spans="1:6">
      <c r="A130" s="2" t="str">
        <f>IF('02_KICH_BAN_NODES'!D116="choice",'02_KICH_BAN_NODES'!B116,"")</f>
        <v/>
      </c>
      <c r="B130" s="2" t="str">
        <f>IF(A130="","",'02_KICH_BAN_NODES'!E116)</f>
        <v/>
      </c>
      <c r="C130" s="2" t="str">
        <f>IF(A130="","",COUNTIF('03_LUA_CHON'!$A$5:$A$404,A130))</f>
        <v/>
      </c>
      <c r="D130" s="2" t="str">
        <f>IF(A130="","",COUNTIFS('03_LUA_CHON'!$A$5:$A$404,A130,'03_LUA_CHON'!$D$5:$D$404,"Có"))</f>
        <v/>
      </c>
      <c r="E130" s="2" t="str">
        <f t="shared" si="6"/>
        <v/>
      </c>
      <c r="F130" s="2" t="str">
        <f t="shared" si="7"/>
        <v/>
      </c>
    </row>
    <row r="131" spans="1:6">
      <c r="A131" s="2" t="str">
        <f>IF('02_KICH_BAN_NODES'!D117="choice",'02_KICH_BAN_NODES'!B117,"")</f>
        <v/>
      </c>
      <c r="B131" s="2" t="str">
        <f>IF(A131="","",'02_KICH_BAN_NODES'!E117)</f>
        <v/>
      </c>
      <c r="C131" s="2" t="str">
        <f>IF(A131="","",COUNTIF('03_LUA_CHON'!$A$5:$A$404,A131))</f>
        <v/>
      </c>
      <c r="D131" s="2" t="str">
        <f>IF(A131="","",COUNTIFS('03_LUA_CHON'!$A$5:$A$404,A131,'03_LUA_CHON'!$D$5:$D$404,"Có"))</f>
        <v/>
      </c>
      <c r="E131" s="2" t="str">
        <f t="shared" si="6"/>
        <v/>
      </c>
      <c r="F131" s="2" t="str">
        <f t="shared" si="7"/>
        <v/>
      </c>
    </row>
    <row r="132" spans="1:6">
      <c r="A132" s="2" t="str">
        <f>IF('02_KICH_BAN_NODES'!D118="choice",'02_KICH_BAN_NODES'!B118,"")</f>
        <v/>
      </c>
      <c r="B132" s="2" t="str">
        <f>IF(A132="","",'02_KICH_BAN_NODES'!E118)</f>
        <v/>
      </c>
      <c r="C132" s="2" t="str">
        <f>IF(A132="","",COUNTIF('03_LUA_CHON'!$A$5:$A$404,A132))</f>
        <v/>
      </c>
      <c r="D132" s="2" t="str">
        <f>IF(A132="","",COUNTIFS('03_LUA_CHON'!$A$5:$A$404,A132,'03_LUA_CHON'!$D$5:$D$404,"Có"))</f>
        <v/>
      </c>
      <c r="E132" s="2" t="str">
        <f t="shared" si="6"/>
        <v/>
      </c>
      <c r="F132" s="2" t="str">
        <f t="shared" si="7"/>
        <v/>
      </c>
    </row>
    <row r="133" spans="1:6">
      <c r="A133" s="2" t="str">
        <f>IF('02_KICH_BAN_NODES'!D119="choice",'02_KICH_BAN_NODES'!B119,"")</f>
        <v/>
      </c>
      <c r="B133" s="2" t="str">
        <f>IF(A133="","",'02_KICH_BAN_NODES'!E119)</f>
        <v/>
      </c>
      <c r="C133" s="2" t="str">
        <f>IF(A133="","",COUNTIF('03_LUA_CHON'!$A$5:$A$404,A133))</f>
        <v/>
      </c>
      <c r="D133" s="2" t="str">
        <f>IF(A133="","",COUNTIFS('03_LUA_CHON'!$A$5:$A$404,A133,'03_LUA_CHON'!$D$5:$D$404,"Có"))</f>
        <v/>
      </c>
      <c r="E133" s="2" t="str">
        <f t="shared" si="6"/>
        <v/>
      </c>
      <c r="F133" s="2" t="str">
        <f t="shared" si="7"/>
        <v/>
      </c>
    </row>
    <row r="134" spans="1:6">
      <c r="A134" s="2" t="str">
        <f>IF('02_KICH_BAN_NODES'!D120="choice",'02_KICH_BAN_NODES'!B120,"")</f>
        <v/>
      </c>
      <c r="B134" s="2" t="str">
        <f>IF(A134="","",'02_KICH_BAN_NODES'!E120)</f>
        <v/>
      </c>
      <c r="C134" s="2" t="str">
        <f>IF(A134="","",COUNTIF('03_LUA_CHON'!$A$5:$A$404,A134))</f>
        <v/>
      </c>
      <c r="D134" s="2" t="str">
        <f>IF(A134="","",COUNTIFS('03_LUA_CHON'!$A$5:$A$404,A134,'03_LUA_CHON'!$D$5:$D$404,"Có"))</f>
        <v/>
      </c>
      <c r="E134" s="2" t="str">
        <f t="shared" si="6"/>
        <v/>
      </c>
      <c r="F134" s="2" t="str">
        <f t="shared" si="7"/>
        <v/>
      </c>
    </row>
    <row r="135" spans="1:6">
      <c r="A135" s="2" t="str">
        <f>IF('02_KICH_BAN_NODES'!D121="choice",'02_KICH_BAN_NODES'!B121,"")</f>
        <v/>
      </c>
      <c r="B135" s="2" t="str">
        <f>IF(A135="","",'02_KICH_BAN_NODES'!E121)</f>
        <v/>
      </c>
      <c r="C135" s="2" t="str">
        <f>IF(A135="","",COUNTIF('03_LUA_CHON'!$A$5:$A$404,A135))</f>
        <v/>
      </c>
      <c r="D135" s="2" t="str">
        <f>IF(A135="","",COUNTIFS('03_LUA_CHON'!$A$5:$A$404,A135,'03_LUA_CHON'!$D$5:$D$404,"Có"))</f>
        <v/>
      </c>
      <c r="E135" s="2" t="str">
        <f t="shared" si="6"/>
        <v/>
      </c>
      <c r="F135" s="2" t="str">
        <f t="shared" si="7"/>
        <v/>
      </c>
    </row>
    <row r="136" spans="1:6">
      <c r="A136" s="2" t="str">
        <f>IF('02_KICH_BAN_NODES'!D122="choice",'02_KICH_BAN_NODES'!B122,"")</f>
        <v/>
      </c>
      <c r="B136" s="2" t="str">
        <f>IF(A136="","",'02_KICH_BAN_NODES'!E122)</f>
        <v/>
      </c>
      <c r="C136" s="2" t="str">
        <f>IF(A136="","",COUNTIF('03_LUA_CHON'!$A$5:$A$404,A136))</f>
        <v/>
      </c>
      <c r="D136" s="2" t="str">
        <f>IF(A136="","",COUNTIFS('03_LUA_CHON'!$A$5:$A$404,A136,'03_LUA_CHON'!$D$5:$D$404,"Có"))</f>
        <v/>
      </c>
      <c r="E136" s="2" t="str">
        <f t="shared" si="6"/>
        <v/>
      </c>
      <c r="F136" s="2" t="str">
        <f t="shared" si="7"/>
        <v/>
      </c>
    </row>
    <row r="137" spans="1:6">
      <c r="A137" s="2" t="str">
        <f>IF('02_KICH_BAN_NODES'!D123="choice",'02_KICH_BAN_NODES'!B123,"")</f>
        <v/>
      </c>
      <c r="B137" s="2" t="str">
        <f>IF(A137="","",'02_KICH_BAN_NODES'!E123)</f>
        <v/>
      </c>
      <c r="C137" s="2" t="str">
        <f>IF(A137="","",COUNTIF('03_LUA_CHON'!$A$5:$A$404,A137))</f>
        <v/>
      </c>
      <c r="D137" s="2" t="str">
        <f>IF(A137="","",COUNTIFS('03_LUA_CHON'!$A$5:$A$404,A137,'03_LUA_CHON'!$D$5:$D$404,"Có"))</f>
        <v/>
      </c>
      <c r="E137" s="2" t="str">
        <f t="shared" si="6"/>
        <v/>
      </c>
      <c r="F137" s="2" t="str">
        <f t="shared" si="7"/>
        <v/>
      </c>
    </row>
    <row r="138" spans="1:6">
      <c r="A138" s="2" t="str">
        <f>IF('02_KICH_BAN_NODES'!D124="choice",'02_KICH_BAN_NODES'!B124,"")</f>
        <v/>
      </c>
      <c r="B138" s="2" t="str">
        <f>IF(A138="","",'02_KICH_BAN_NODES'!E124)</f>
        <v/>
      </c>
      <c r="C138" s="2" t="str">
        <f>IF(A138="","",COUNTIF('03_LUA_CHON'!$A$5:$A$404,A138))</f>
        <v/>
      </c>
      <c r="D138" s="2" t="str">
        <f>IF(A138="","",COUNTIFS('03_LUA_CHON'!$A$5:$A$404,A138,'03_LUA_CHON'!$D$5:$D$404,"Có"))</f>
        <v/>
      </c>
      <c r="E138" s="2" t="str">
        <f t="shared" si="6"/>
        <v/>
      </c>
      <c r="F138" s="2" t="str">
        <f t="shared" si="7"/>
        <v/>
      </c>
    </row>
    <row r="139" spans="1:6">
      <c r="A139" s="2" t="str">
        <f>IF('02_KICH_BAN_NODES'!D125="choice",'02_KICH_BAN_NODES'!B125,"")</f>
        <v/>
      </c>
      <c r="B139" s="2" t="str">
        <f>IF(A139="","",'02_KICH_BAN_NODES'!E125)</f>
        <v/>
      </c>
      <c r="C139" s="2" t="str">
        <f>IF(A139="","",COUNTIF('03_LUA_CHON'!$A$5:$A$404,A139))</f>
        <v/>
      </c>
      <c r="D139" s="2" t="str">
        <f>IF(A139="","",COUNTIFS('03_LUA_CHON'!$A$5:$A$404,A139,'03_LUA_CHON'!$D$5:$D$404,"Có"))</f>
        <v/>
      </c>
      <c r="E139" s="2" t="str">
        <f t="shared" si="6"/>
        <v/>
      </c>
      <c r="F139" s="2" t="str">
        <f t="shared" si="7"/>
        <v/>
      </c>
    </row>
    <row r="140" spans="1:6">
      <c r="A140" s="2" t="str">
        <f>IF('02_KICH_BAN_NODES'!D126="choice",'02_KICH_BAN_NODES'!B126,"")</f>
        <v/>
      </c>
      <c r="B140" s="2" t="str">
        <f>IF(A140="","",'02_KICH_BAN_NODES'!E126)</f>
        <v/>
      </c>
      <c r="C140" s="2" t="str">
        <f>IF(A140="","",COUNTIF('03_LUA_CHON'!$A$5:$A$404,A140))</f>
        <v/>
      </c>
      <c r="D140" s="2" t="str">
        <f>IF(A140="","",COUNTIFS('03_LUA_CHON'!$A$5:$A$404,A140,'03_LUA_CHON'!$D$5:$D$404,"Có"))</f>
        <v/>
      </c>
      <c r="E140" s="2" t="str">
        <f t="shared" si="6"/>
        <v/>
      </c>
      <c r="F140" s="2" t="str">
        <f t="shared" si="7"/>
        <v/>
      </c>
    </row>
    <row r="141" spans="1:6">
      <c r="A141" s="2" t="str">
        <f>IF('02_KICH_BAN_NODES'!D127="choice",'02_KICH_BAN_NODES'!B127,"")</f>
        <v/>
      </c>
      <c r="B141" s="2" t="str">
        <f>IF(A141="","",'02_KICH_BAN_NODES'!E127)</f>
        <v/>
      </c>
      <c r="C141" s="2" t="str">
        <f>IF(A141="","",COUNTIF('03_LUA_CHON'!$A$5:$A$404,A141))</f>
        <v/>
      </c>
      <c r="D141" s="2" t="str">
        <f>IF(A141="","",COUNTIFS('03_LUA_CHON'!$A$5:$A$404,A141,'03_LUA_CHON'!$D$5:$D$404,"Có"))</f>
        <v/>
      </c>
      <c r="E141" s="2" t="str">
        <f t="shared" si="6"/>
        <v/>
      </c>
      <c r="F141" s="2" t="str">
        <f t="shared" si="7"/>
        <v/>
      </c>
    </row>
    <row r="142" spans="1:6">
      <c r="A142" s="2" t="str">
        <f>IF('02_KICH_BAN_NODES'!D128="choice",'02_KICH_BAN_NODES'!B128,"")</f>
        <v/>
      </c>
      <c r="B142" s="2" t="str">
        <f>IF(A142="","",'02_KICH_BAN_NODES'!E128)</f>
        <v/>
      </c>
      <c r="C142" s="2" t="str">
        <f>IF(A142="","",COUNTIF('03_LUA_CHON'!$A$5:$A$404,A142))</f>
        <v/>
      </c>
      <c r="D142" s="2" t="str">
        <f>IF(A142="","",COUNTIFS('03_LUA_CHON'!$A$5:$A$404,A142,'03_LUA_CHON'!$D$5:$D$404,"Có"))</f>
        <v/>
      </c>
      <c r="E142" s="2" t="str">
        <f t="shared" si="6"/>
        <v/>
      </c>
      <c r="F142" s="2" t="str">
        <f t="shared" si="7"/>
        <v/>
      </c>
    </row>
    <row r="143" spans="1:6">
      <c r="A143" s="2" t="str">
        <f>IF('02_KICH_BAN_NODES'!D129="choice",'02_KICH_BAN_NODES'!B129,"")</f>
        <v/>
      </c>
      <c r="B143" s="2" t="str">
        <f>IF(A143="","",'02_KICH_BAN_NODES'!E129)</f>
        <v/>
      </c>
      <c r="C143" s="2" t="str">
        <f>IF(A143="","",COUNTIF('03_LUA_CHON'!$A$5:$A$404,A143))</f>
        <v/>
      </c>
      <c r="D143" s="2" t="str">
        <f>IF(A143="","",COUNTIFS('03_LUA_CHON'!$A$5:$A$404,A143,'03_LUA_CHON'!$D$5:$D$404,"Có"))</f>
        <v/>
      </c>
      <c r="E143" s="2" t="str">
        <f t="shared" si="6"/>
        <v/>
      </c>
      <c r="F143" s="2" t="str">
        <f t="shared" si="7"/>
        <v/>
      </c>
    </row>
    <row r="144" spans="1:6">
      <c r="A144" s="2" t="str">
        <f>IF('02_KICH_BAN_NODES'!D130="choice",'02_KICH_BAN_NODES'!B130,"")</f>
        <v/>
      </c>
      <c r="B144" s="2" t="str">
        <f>IF(A144="","",'02_KICH_BAN_NODES'!E130)</f>
        <v/>
      </c>
      <c r="C144" s="2" t="str">
        <f>IF(A144="","",COUNTIF('03_LUA_CHON'!$A$5:$A$404,A144))</f>
        <v/>
      </c>
      <c r="D144" s="2" t="str">
        <f>IF(A144="","",COUNTIFS('03_LUA_CHON'!$A$5:$A$404,A144,'03_LUA_CHON'!$D$5:$D$404,"Có"))</f>
        <v/>
      </c>
      <c r="E144" s="2" t="str">
        <f t="shared" si="6"/>
        <v/>
      </c>
      <c r="F144" s="2" t="str">
        <f t="shared" si="7"/>
        <v/>
      </c>
    </row>
    <row r="145" spans="1:6">
      <c r="A145" s="2" t="str">
        <f>IF('02_KICH_BAN_NODES'!D131="choice",'02_KICH_BAN_NODES'!B131,"")</f>
        <v/>
      </c>
      <c r="B145" s="2" t="str">
        <f>IF(A145="","",'02_KICH_BAN_NODES'!E131)</f>
        <v/>
      </c>
      <c r="C145" s="2" t="str">
        <f>IF(A145="","",COUNTIF('03_LUA_CHON'!$A$5:$A$404,A145))</f>
        <v/>
      </c>
      <c r="D145" s="2" t="str">
        <f>IF(A145="","",COUNTIFS('03_LUA_CHON'!$A$5:$A$404,A145,'03_LUA_CHON'!$D$5:$D$404,"Có"))</f>
        <v/>
      </c>
      <c r="E145" s="2" t="str">
        <f t="shared" si="6"/>
        <v/>
      </c>
      <c r="F145" s="2" t="str">
        <f t="shared" si="7"/>
        <v/>
      </c>
    </row>
    <row r="146" spans="1:6">
      <c r="A146" s="2" t="str">
        <f>IF('02_KICH_BAN_NODES'!D132="choice",'02_KICH_BAN_NODES'!B132,"")</f>
        <v/>
      </c>
      <c r="B146" s="2" t="str">
        <f>IF(A146="","",'02_KICH_BAN_NODES'!E132)</f>
        <v/>
      </c>
      <c r="C146" s="2" t="str">
        <f>IF(A146="","",COUNTIF('03_LUA_CHON'!$A$5:$A$404,A146))</f>
        <v/>
      </c>
      <c r="D146" s="2" t="str">
        <f>IF(A146="","",COUNTIFS('03_LUA_CHON'!$A$5:$A$404,A146,'03_LUA_CHON'!$D$5:$D$404,"Có"))</f>
        <v/>
      </c>
      <c r="E146" s="2" t="str">
        <f t="shared" si="6"/>
        <v/>
      </c>
      <c r="F146" s="2" t="str">
        <f t="shared" si="7"/>
        <v/>
      </c>
    </row>
    <row r="147" spans="1:6">
      <c r="A147" s="2" t="str">
        <f>IF('02_KICH_BAN_NODES'!D133="choice",'02_KICH_BAN_NODES'!B133,"")</f>
        <v/>
      </c>
      <c r="B147" s="2" t="str">
        <f>IF(A147="","",'02_KICH_BAN_NODES'!E133)</f>
        <v/>
      </c>
      <c r="C147" s="2" t="str">
        <f>IF(A147="","",COUNTIF('03_LUA_CHON'!$A$5:$A$404,A147))</f>
        <v/>
      </c>
      <c r="D147" s="2" t="str">
        <f>IF(A147="","",COUNTIFS('03_LUA_CHON'!$A$5:$A$404,A147,'03_LUA_CHON'!$D$5:$D$404,"Có"))</f>
        <v/>
      </c>
      <c r="E147" s="2" t="str">
        <f t="shared" ref="E147:E178" si="8">IF(A147="","",IF(OR(C147&lt;2,C147&gt;4),"CẦN SỬA",IF(AND(B147="Kiến thức",D147=1),"HỢP LỆ",IF(AND(B147="Tương tác",D147=0),"HỢP LỆ","CẦN SỬA"))))</f>
        <v/>
      </c>
      <c r="F147" s="2" t="str">
        <f t="shared" ref="F147:F178" si="9">IF(A147="","",IF(OR(C147&lt;2,C147&gt;4),"Cần 2–4 option",IF(AND(B147="Kiến thức",D147&lt;&gt;1),"Câu kiến thức cần đúng 1 đáp án đúng",IF(AND(B147="Tương tác",D147&lt;&gt;0),"Câu tương tác không có đáp án đúng",IF(B147="","Thiếu ChoiceMode","")))))</f>
        <v/>
      </c>
    </row>
    <row r="148" spans="1:6">
      <c r="A148" s="2" t="str">
        <f>IF('02_KICH_BAN_NODES'!D134="choice",'02_KICH_BAN_NODES'!B134,"")</f>
        <v/>
      </c>
      <c r="B148" s="2" t="str">
        <f>IF(A148="","",'02_KICH_BAN_NODES'!E134)</f>
        <v/>
      </c>
      <c r="C148" s="2" t="str">
        <f>IF(A148="","",COUNTIF('03_LUA_CHON'!$A$5:$A$404,A148))</f>
        <v/>
      </c>
      <c r="D148" s="2" t="str">
        <f>IF(A148="","",COUNTIFS('03_LUA_CHON'!$A$5:$A$404,A148,'03_LUA_CHON'!$D$5:$D$404,"Có"))</f>
        <v/>
      </c>
      <c r="E148" s="2" t="str">
        <f t="shared" si="8"/>
        <v/>
      </c>
      <c r="F148" s="2" t="str">
        <f t="shared" si="9"/>
        <v/>
      </c>
    </row>
    <row r="149" spans="1:6">
      <c r="A149" s="2" t="str">
        <f>IF('02_KICH_BAN_NODES'!D135="choice",'02_KICH_BAN_NODES'!B135,"")</f>
        <v/>
      </c>
      <c r="B149" s="2" t="str">
        <f>IF(A149="","",'02_KICH_BAN_NODES'!E135)</f>
        <v/>
      </c>
      <c r="C149" s="2" t="str">
        <f>IF(A149="","",COUNTIF('03_LUA_CHON'!$A$5:$A$404,A149))</f>
        <v/>
      </c>
      <c r="D149" s="2" t="str">
        <f>IF(A149="","",COUNTIFS('03_LUA_CHON'!$A$5:$A$404,A149,'03_LUA_CHON'!$D$5:$D$404,"Có"))</f>
        <v/>
      </c>
      <c r="E149" s="2" t="str">
        <f t="shared" si="8"/>
        <v/>
      </c>
      <c r="F149" s="2" t="str">
        <f t="shared" si="9"/>
        <v/>
      </c>
    </row>
    <row r="150" spans="1:6">
      <c r="A150" s="2" t="str">
        <f>IF('02_KICH_BAN_NODES'!D136="choice",'02_KICH_BAN_NODES'!B136,"")</f>
        <v/>
      </c>
      <c r="B150" s="2" t="str">
        <f>IF(A150="","",'02_KICH_BAN_NODES'!E136)</f>
        <v/>
      </c>
      <c r="C150" s="2" t="str">
        <f>IF(A150="","",COUNTIF('03_LUA_CHON'!$A$5:$A$404,A150))</f>
        <v/>
      </c>
      <c r="D150" s="2" t="str">
        <f>IF(A150="","",COUNTIFS('03_LUA_CHON'!$A$5:$A$404,A150,'03_LUA_CHON'!$D$5:$D$404,"Có"))</f>
        <v/>
      </c>
      <c r="E150" s="2" t="str">
        <f t="shared" si="8"/>
        <v/>
      </c>
      <c r="F150" s="2" t="str">
        <f t="shared" si="9"/>
        <v/>
      </c>
    </row>
    <row r="151" spans="1:6">
      <c r="A151" s="2" t="str">
        <f>IF('02_KICH_BAN_NODES'!D137="choice",'02_KICH_BAN_NODES'!B137,"")</f>
        <v/>
      </c>
      <c r="B151" s="2" t="str">
        <f>IF(A151="","",'02_KICH_BAN_NODES'!E137)</f>
        <v/>
      </c>
      <c r="C151" s="2" t="str">
        <f>IF(A151="","",COUNTIF('03_LUA_CHON'!$A$5:$A$404,A151))</f>
        <v/>
      </c>
      <c r="D151" s="2" t="str">
        <f>IF(A151="","",COUNTIFS('03_LUA_CHON'!$A$5:$A$404,A151,'03_LUA_CHON'!$D$5:$D$404,"Có"))</f>
        <v/>
      </c>
      <c r="E151" s="2" t="str">
        <f t="shared" si="8"/>
        <v/>
      </c>
      <c r="F151" s="2" t="str">
        <f t="shared" si="9"/>
        <v/>
      </c>
    </row>
    <row r="152" spans="1:6">
      <c r="A152" s="2" t="str">
        <f>IF('02_KICH_BAN_NODES'!D138="choice",'02_KICH_BAN_NODES'!B138,"")</f>
        <v/>
      </c>
      <c r="B152" s="2" t="str">
        <f>IF(A152="","",'02_KICH_BAN_NODES'!E138)</f>
        <v/>
      </c>
      <c r="C152" s="2" t="str">
        <f>IF(A152="","",COUNTIF('03_LUA_CHON'!$A$5:$A$404,A152))</f>
        <v/>
      </c>
      <c r="D152" s="2" t="str">
        <f>IF(A152="","",COUNTIFS('03_LUA_CHON'!$A$5:$A$404,A152,'03_LUA_CHON'!$D$5:$D$404,"Có"))</f>
        <v/>
      </c>
      <c r="E152" s="2" t="str">
        <f t="shared" si="8"/>
        <v/>
      </c>
      <c r="F152" s="2" t="str">
        <f t="shared" si="9"/>
        <v/>
      </c>
    </row>
    <row r="153" spans="1:6">
      <c r="A153" s="2" t="str">
        <f>IF('02_KICH_BAN_NODES'!D139="choice",'02_KICH_BAN_NODES'!B139,"")</f>
        <v/>
      </c>
      <c r="B153" s="2" t="str">
        <f>IF(A153="","",'02_KICH_BAN_NODES'!E139)</f>
        <v/>
      </c>
      <c r="C153" s="2" t="str">
        <f>IF(A153="","",COUNTIF('03_LUA_CHON'!$A$5:$A$404,A153))</f>
        <v/>
      </c>
      <c r="D153" s="2" t="str">
        <f>IF(A153="","",COUNTIFS('03_LUA_CHON'!$A$5:$A$404,A153,'03_LUA_CHON'!$D$5:$D$404,"Có"))</f>
        <v/>
      </c>
      <c r="E153" s="2" t="str">
        <f t="shared" si="8"/>
        <v/>
      </c>
      <c r="F153" s="2" t="str">
        <f t="shared" si="9"/>
        <v/>
      </c>
    </row>
    <row r="154" spans="1:6">
      <c r="A154" s="2" t="str">
        <f>IF('02_KICH_BAN_NODES'!D140="choice",'02_KICH_BAN_NODES'!B140,"")</f>
        <v/>
      </c>
      <c r="B154" s="2" t="str">
        <f>IF(A154="","",'02_KICH_BAN_NODES'!E140)</f>
        <v/>
      </c>
      <c r="C154" s="2" t="str">
        <f>IF(A154="","",COUNTIF('03_LUA_CHON'!$A$5:$A$404,A154))</f>
        <v/>
      </c>
      <c r="D154" s="2" t="str">
        <f>IF(A154="","",COUNTIFS('03_LUA_CHON'!$A$5:$A$404,A154,'03_LUA_CHON'!$D$5:$D$404,"Có"))</f>
        <v/>
      </c>
      <c r="E154" s="2" t="str">
        <f t="shared" si="8"/>
        <v/>
      </c>
      <c r="F154" s="2" t="str">
        <f t="shared" si="9"/>
        <v/>
      </c>
    </row>
    <row r="155" spans="1:6">
      <c r="A155" s="2" t="str">
        <f>IF('02_KICH_BAN_NODES'!D141="choice",'02_KICH_BAN_NODES'!B141,"")</f>
        <v/>
      </c>
      <c r="B155" s="2" t="str">
        <f>IF(A155="","",'02_KICH_BAN_NODES'!E141)</f>
        <v/>
      </c>
      <c r="C155" s="2" t="str">
        <f>IF(A155="","",COUNTIF('03_LUA_CHON'!$A$5:$A$404,A155))</f>
        <v/>
      </c>
      <c r="D155" s="2" t="str">
        <f>IF(A155="","",COUNTIFS('03_LUA_CHON'!$A$5:$A$404,A155,'03_LUA_CHON'!$D$5:$D$404,"Có"))</f>
        <v/>
      </c>
      <c r="E155" s="2" t="str">
        <f t="shared" si="8"/>
        <v/>
      </c>
      <c r="F155" s="2" t="str">
        <f t="shared" si="9"/>
        <v/>
      </c>
    </row>
    <row r="156" spans="1:6">
      <c r="A156" s="2" t="str">
        <f>IF('02_KICH_BAN_NODES'!D142="choice",'02_KICH_BAN_NODES'!B142,"")</f>
        <v/>
      </c>
      <c r="B156" s="2" t="str">
        <f>IF(A156="","",'02_KICH_BAN_NODES'!E142)</f>
        <v/>
      </c>
      <c r="C156" s="2" t="str">
        <f>IF(A156="","",COUNTIF('03_LUA_CHON'!$A$5:$A$404,A156))</f>
        <v/>
      </c>
      <c r="D156" s="2" t="str">
        <f>IF(A156="","",COUNTIFS('03_LUA_CHON'!$A$5:$A$404,A156,'03_LUA_CHON'!$D$5:$D$404,"Có"))</f>
        <v/>
      </c>
      <c r="E156" s="2" t="str">
        <f t="shared" si="8"/>
        <v/>
      </c>
      <c r="F156" s="2" t="str">
        <f t="shared" si="9"/>
        <v/>
      </c>
    </row>
    <row r="157" spans="1:6">
      <c r="A157" s="2" t="str">
        <f>IF('02_KICH_BAN_NODES'!D143="choice",'02_KICH_BAN_NODES'!B143,"")</f>
        <v/>
      </c>
      <c r="B157" s="2" t="str">
        <f>IF(A157="","",'02_KICH_BAN_NODES'!E143)</f>
        <v/>
      </c>
      <c r="C157" s="2" t="str">
        <f>IF(A157="","",COUNTIF('03_LUA_CHON'!$A$5:$A$404,A157))</f>
        <v/>
      </c>
      <c r="D157" s="2" t="str">
        <f>IF(A157="","",COUNTIFS('03_LUA_CHON'!$A$5:$A$404,A157,'03_LUA_CHON'!$D$5:$D$404,"Có"))</f>
        <v/>
      </c>
      <c r="E157" s="2" t="str">
        <f t="shared" si="8"/>
        <v/>
      </c>
      <c r="F157" s="2" t="str">
        <f t="shared" si="9"/>
        <v/>
      </c>
    </row>
    <row r="158" spans="1:6">
      <c r="A158" s="2" t="str">
        <f>IF('02_KICH_BAN_NODES'!D144="choice",'02_KICH_BAN_NODES'!B144,"")</f>
        <v/>
      </c>
      <c r="B158" s="2" t="str">
        <f>IF(A158="","",'02_KICH_BAN_NODES'!E144)</f>
        <v/>
      </c>
      <c r="C158" s="2" t="str">
        <f>IF(A158="","",COUNTIF('03_LUA_CHON'!$A$5:$A$404,A158))</f>
        <v/>
      </c>
      <c r="D158" s="2" t="str">
        <f>IF(A158="","",COUNTIFS('03_LUA_CHON'!$A$5:$A$404,A158,'03_LUA_CHON'!$D$5:$D$404,"Có"))</f>
        <v/>
      </c>
      <c r="E158" s="2" t="str">
        <f t="shared" si="8"/>
        <v/>
      </c>
      <c r="F158" s="2" t="str">
        <f t="shared" si="9"/>
        <v/>
      </c>
    </row>
    <row r="159" spans="1:6">
      <c r="A159" s="2" t="str">
        <f>IF('02_KICH_BAN_NODES'!D145="choice",'02_KICH_BAN_NODES'!B145,"")</f>
        <v/>
      </c>
      <c r="B159" s="2" t="str">
        <f>IF(A159="","",'02_KICH_BAN_NODES'!E145)</f>
        <v/>
      </c>
      <c r="C159" s="2" t="str">
        <f>IF(A159="","",COUNTIF('03_LUA_CHON'!$A$5:$A$404,A159))</f>
        <v/>
      </c>
      <c r="D159" s="2" t="str">
        <f>IF(A159="","",COUNTIFS('03_LUA_CHON'!$A$5:$A$404,A159,'03_LUA_CHON'!$D$5:$D$404,"Có"))</f>
        <v/>
      </c>
      <c r="E159" s="2" t="str">
        <f t="shared" si="8"/>
        <v/>
      </c>
      <c r="F159" s="2" t="str">
        <f t="shared" si="9"/>
        <v/>
      </c>
    </row>
    <row r="160" spans="1:6">
      <c r="A160" s="2" t="str">
        <f>IF('02_KICH_BAN_NODES'!D146="choice",'02_KICH_BAN_NODES'!B146,"")</f>
        <v/>
      </c>
      <c r="B160" s="2" t="str">
        <f>IF(A160="","",'02_KICH_BAN_NODES'!E146)</f>
        <v/>
      </c>
      <c r="C160" s="2" t="str">
        <f>IF(A160="","",COUNTIF('03_LUA_CHON'!$A$5:$A$404,A160))</f>
        <v/>
      </c>
      <c r="D160" s="2" t="str">
        <f>IF(A160="","",COUNTIFS('03_LUA_CHON'!$A$5:$A$404,A160,'03_LUA_CHON'!$D$5:$D$404,"Có"))</f>
        <v/>
      </c>
      <c r="E160" s="2" t="str">
        <f t="shared" si="8"/>
        <v/>
      </c>
      <c r="F160" s="2" t="str">
        <f t="shared" si="9"/>
        <v/>
      </c>
    </row>
    <row r="161" spans="1:6">
      <c r="A161" s="2" t="str">
        <f>IF('02_KICH_BAN_NODES'!D147="choice",'02_KICH_BAN_NODES'!B147,"")</f>
        <v/>
      </c>
      <c r="B161" s="2" t="str">
        <f>IF(A161="","",'02_KICH_BAN_NODES'!E147)</f>
        <v/>
      </c>
      <c r="C161" s="2" t="str">
        <f>IF(A161="","",COUNTIF('03_LUA_CHON'!$A$5:$A$404,A161))</f>
        <v/>
      </c>
      <c r="D161" s="2" t="str">
        <f>IF(A161="","",COUNTIFS('03_LUA_CHON'!$A$5:$A$404,A161,'03_LUA_CHON'!$D$5:$D$404,"Có"))</f>
        <v/>
      </c>
      <c r="E161" s="2" t="str">
        <f t="shared" si="8"/>
        <v/>
      </c>
      <c r="F161" s="2" t="str">
        <f t="shared" si="9"/>
        <v/>
      </c>
    </row>
    <row r="162" spans="1:6">
      <c r="A162" s="2" t="str">
        <f>IF('02_KICH_BAN_NODES'!D148="choice",'02_KICH_BAN_NODES'!B148,"")</f>
        <v/>
      </c>
      <c r="B162" s="2" t="str">
        <f>IF(A162="","",'02_KICH_BAN_NODES'!E148)</f>
        <v/>
      </c>
      <c r="C162" s="2" t="str">
        <f>IF(A162="","",COUNTIF('03_LUA_CHON'!$A$5:$A$404,A162))</f>
        <v/>
      </c>
      <c r="D162" s="2" t="str">
        <f>IF(A162="","",COUNTIFS('03_LUA_CHON'!$A$5:$A$404,A162,'03_LUA_CHON'!$D$5:$D$404,"Có"))</f>
        <v/>
      </c>
      <c r="E162" s="2" t="str">
        <f t="shared" si="8"/>
        <v/>
      </c>
      <c r="F162" s="2" t="str">
        <f t="shared" si="9"/>
        <v/>
      </c>
    </row>
    <row r="163" spans="1:6">
      <c r="A163" s="2" t="str">
        <f>IF('02_KICH_BAN_NODES'!D149="choice",'02_KICH_BAN_NODES'!B149,"")</f>
        <v/>
      </c>
      <c r="B163" s="2" t="str">
        <f>IF(A163="","",'02_KICH_BAN_NODES'!E149)</f>
        <v/>
      </c>
      <c r="C163" s="2" t="str">
        <f>IF(A163="","",COUNTIF('03_LUA_CHON'!$A$5:$A$404,A163))</f>
        <v/>
      </c>
      <c r="D163" s="2" t="str">
        <f>IF(A163="","",COUNTIFS('03_LUA_CHON'!$A$5:$A$404,A163,'03_LUA_CHON'!$D$5:$D$404,"Có"))</f>
        <v/>
      </c>
      <c r="E163" s="2" t="str">
        <f t="shared" si="8"/>
        <v/>
      </c>
      <c r="F163" s="2" t="str">
        <f t="shared" si="9"/>
        <v/>
      </c>
    </row>
    <row r="164" spans="1:6">
      <c r="A164" s="2" t="str">
        <f>IF('02_KICH_BAN_NODES'!D150="choice",'02_KICH_BAN_NODES'!B150,"")</f>
        <v/>
      </c>
      <c r="B164" s="2" t="str">
        <f>IF(A164="","",'02_KICH_BAN_NODES'!E150)</f>
        <v/>
      </c>
      <c r="C164" s="2" t="str">
        <f>IF(A164="","",COUNTIF('03_LUA_CHON'!$A$5:$A$404,A164))</f>
        <v/>
      </c>
      <c r="D164" s="2" t="str">
        <f>IF(A164="","",COUNTIFS('03_LUA_CHON'!$A$5:$A$404,A164,'03_LUA_CHON'!$D$5:$D$404,"Có"))</f>
        <v/>
      </c>
      <c r="E164" s="2" t="str">
        <f t="shared" si="8"/>
        <v/>
      </c>
      <c r="F164" s="2" t="str">
        <f t="shared" si="9"/>
        <v/>
      </c>
    </row>
    <row r="165" spans="1:6">
      <c r="A165" s="2" t="str">
        <f>IF('02_KICH_BAN_NODES'!D151="choice",'02_KICH_BAN_NODES'!B151,"")</f>
        <v/>
      </c>
      <c r="B165" s="2" t="str">
        <f>IF(A165="","",'02_KICH_BAN_NODES'!E151)</f>
        <v/>
      </c>
      <c r="C165" s="2" t="str">
        <f>IF(A165="","",COUNTIF('03_LUA_CHON'!$A$5:$A$404,A165))</f>
        <v/>
      </c>
      <c r="D165" s="2" t="str">
        <f>IF(A165="","",COUNTIFS('03_LUA_CHON'!$A$5:$A$404,A165,'03_LUA_CHON'!$D$5:$D$404,"Có"))</f>
        <v/>
      </c>
      <c r="E165" s="2" t="str">
        <f t="shared" si="8"/>
        <v/>
      </c>
      <c r="F165" s="2" t="str">
        <f t="shared" si="9"/>
        <v/>
      </c>
    </row>
    <row r="166" spans="1:6">
      <c r="A166" s="2" t="str">
        <f>IF('02_KICH_BAN_NODES'!D152="choice",'02_KICH_BAN_NODES'!B152,"")</f>
        <v/>
      </c>
      <c r="B166" s="2" t="str">
        <f>IF(A166="","",'02_KICH_BAN_NODES'!E152)</f>
        <v/>
      </c>
      <c r="C166" s="2" t="str">
        <f>IF(A166="","",COUNTIF('03_LUA_CHON'!$A$5:$A$404,A166))</f>
        <v/>
      </c>
      <c r="D166" s="2" t="str">
        <f>IF(A166="","",COUNTIFS('03_LUA_CHON'!$A$5:$A$404,A166,'03_LUA_CHON'!$D$5:$D$404,"Có"))</f>
        <v/>
      </c>
      <c r="E166" s="2" t="str">
        <f t="shared" si="8"/>
        <v/>
      </c>
      <c r="F166" s="2" t="str">
        <f t="shared" si="9"/>
        <v/>
      </c>
    </row>
    <row r="167" spans="1:6">
      <c r="A167" s="2" t="str">
        <f>IF('02_KICH_BAN_NODES'!D153="choice",'02_KICH_BAN_NODES'!B153,"")</f>
        <v/>
      </c>
      <c r="B167" s="2" t="str">
        <f>IF(A167="","",'02_KICH_BAN_NODES'!E153)</f>
        <v/>
      </c>
      <c r="C167" s="2" t="str">
        <f>IF(A167="","",COUNTIF('03_LUA_CHON'!$A$5:$A$404,A167))</f>
        <v/>
      </c>
      <c r="D167" s="2" t="str">
        <f>IF(A167="","",COUNTIFS('03_LUA_CHON'!$A$5:$A$404,A167,'03_LUA_CHON'!$D$5:$D$404,"Có"))</f>
        <v/>
      </c>
      <c r="E167" s="2" t="str">
        <f t="shared" si="8"/>
        <v/>
      </c>
      <c r="F167" s="2" t="str">
        <f t="shared" si="9"/>
        <v/>
      </c>
    </row>
    <row r="168" spans="1:6">
      <c r="A168" s="2" t="str">
        <f>IF('02_KICH_BAN_NODES'!D154="choice",'02_KICH_BAN_NODES'!B154,"")</f>
        <v/>
      </c>
      <c r="B168" s="2" t="str">
        <f>IF(A168="","",'02_KICH_BAN_NODES'!E154)</f>
        <v/>
      </c>
      <c r="C168" s="2" t="str">
        <f>IF(A168="","",COUNTIF('03_LUA_CHON'!$A$5:$A$404,A168))</f>
        <v/>
      </c>
      <c r="D168" s="2" t="str">
        <f>IF(A168="","",COUNTIFS('03_LUA_CHON'!$A$5:$A$404,A168,'03_LUA_CHON'!$D$5:$D$404,"Có"))</f>
        <v/>
      </c>
      <c r="E168" s="2" t="str">
        <f t="shared" si="8"/>
        <v/>
      </c>
      <c r="F168" s="2" t="str">
        <f t="shared" si="9"/>
        <v/>
      </c>
    </row>
    <row r="169" spans="1:6">
      <c r="A169" s="2" t="str">
        <f>IF('02_KICH_BAN_NODES'!D155="choice",'02_KICH_BAN_NODES'!B155,"")</f>
        <v/>
      </c>
      <c r="B169" s="2" t="str">
        <f>IF(A169="","",'02_KICH_BAN_NODES'!E155)</f>
        <v/>
      </c>
      <c r="C169" s="2" t="str">
        <f>IF(A169="","",COUNTIF('03_LUA_CHON'!$A$5:$A$404,A169))</f>
        <v/>
      </c>
      <c r="D169" s="2" t="str">
        <f>IF(A169="","",COUNTIFS('03_LUA_CHON'!$A$5:$A$404,A169,'03_LUA_CHON'!$D$5:$D$404,"Có"))</f>
        <v/>
      </c>
      <c r="E169" s="2" t="str">
        <f t="shared" si="8"/>
        <v/>
      </c>
      <c r="F169" s="2" t="str">
        <f t="shared" si="9"/>
        <v/>
      </c>
    </row>
    <row r="170" spans="1:6">
      <c r="A170" s="2" t="str">
        <f>IF('02_KICH_BAN_NODES'!D156="choice",'02_KICH_BAN_NODES'!B156,"")</f>
        <v/>
      </c>
      <c r="B170" s="2" t="str">
        <f>IF(A170="","",'02_KICH_BAN_NODES'!E156)</f>
        <v/>
      </c>
      <c r="C170" s="2" t="str">
        <f>IF(A170="","",COUNTIF('03_LUA_CHON'!$A$5:$A$404,A170))</f>
        <v/>
      </c>
      <c r="D170" s="2" t="str">
        <f>IF(A170="","",COUNTIFS('03_LUA_CHON'!$A$5:$A$404,A170,'03_LUA_CHON'!$D$5:$D$404,"Có"))</f>
        <v/>
      </c>
      <c r="E170" s="2" t="str">
        <f t="shared" si="8"/>
        <v/>
      </c>
      <c r="F170" s="2" t="str">
        <f t="shared" si="9"/>
        <v/>
      </c>
    </row>
    <row r="171" spans="1:6">
      <c r="A171" s="2" t="str">
        <f>IF('02_KICH_BAN_NODES'!D157="choice",'02_KICH_BAN_NODES'!B157,"")</f>
        <v/>
      </c>
      <c r="B171" s="2" t="str">
        <f>IF(A171="","",'02_KICH_BAN_NODES'!E157)</f>
        <v/>
      </c>
      <c r="C171" s="2" t="str">
        <f>IF(A171="","",COUNTIF('03_LUA_CHON'!$A$5:$A$404,A171))</f>
        <v/>
      </c>
      <c r="D171" s="2" t="str">
        <f>IF(A171="","",COUNTIFS('03_LUA_CHON'!$A$5:$A$404,A171,'03_LUA_CHON'!$D$5:$D$404,"Có"))</f>
        <v/>
      </c>
      <c r="E171" s="2" t="str">
        <f t="shared" si="8"/>
        <v/>
      </c>
      <c r="F171" s="2" t="str">
        <f t="shared" si="9"/>
        <v/>
      </c>
    </row>
    <row r="172" spans="1:6">
      <c r="A172" s="2" t="str">
        <f>IF('02_KICH_BAN_NODES'!D158="choice",'02_KICH_BAN_NODES'!B158,"")</f>
        <v/>
      </c>
      <c r="B172" s="2" t="str">
        <f>IF(A172="","",'02_KICH_BAN_NODES'!E158)</f>
        <v/>
      </c>
      <c r="C172" s="2" t="str">
        <f>IF(A172="","",COUNTIF('03_LUA_CHON'!$A$5:$A$404,A172))</f>
        <v/>
      </c>
      <c r="D172" s="2" t="str">
        <f>IF(A172="","",COUNTIFS('03_LUA_CHON'!$A$5:$A$404,A172,'03_LUA_CHON'!$D$5:$D$404,"Có"))</f>
        <v/>
      </c>
      <c r="E172" s="2" t="str">
        <f t="shared" si="8"/>
        <v/>
      </c>
      <c r="F172" s="2" t="str">
        <f t="shared" si="9"/>
        <v/>
      </c>
    </row>
    <row r="173" spans="1:6">
      <c r="A173" s="2" t="str">
        <f>IF('02_KICH_BAN_NODES'!D159="choice",'02_KICH_BAN_NODES'!B159,"")</f>
        <v/>
      </c>
      <c r="B173" s="2" t="str">
        <f>IF(A173="","",'02_KICH_BAN_NODES'!E159)</f>
        <v/>
      </c>
      <c r="C173" s="2" t="str">
        <f>IF(A173="","",COUNTIF('03_LUA_CHON'!$A$5:$A$404,A173))</f>
        <v/>
      </c>
      <c r="D173" s="2" t="str">
        <f>IF(A173="","",COUNTIFS('03_LUA_CHON'!$A$5:$A$404,A173,'03_LUA_CHON'!$D$5:$D$404,"Có"))</f>
        <v/>
      </c>
      <c r="E173" s="2" t="str">
        <f t="shared" si="8"/>
        <v/>
      </c>
      <c r="F173" s="2" t="str">
        <f t="shared" si="9"/>
        <v/>
      </c>
    </row>
    <row r="174" spans="1:6">
      <c r="A174" s="2" t="str">
        <f>IF('02_KICH_BAN_NODES'!D160="choice",'02_KICH_BAN_NODES'!B160,"")</f>
        <v/>
      </c>
      <c r="B174" s="2" t="str">
        <f>IF(A174="","",'02_KICH_BAN_NODES'!E160)</f>
        <v/>
      </c>
      <c r="C174" s="2" t="str">
        <f>IF(A174="","",COUNTIF('03_LUA_CHON'!$A$5:$A$404,A174))</f>
        <v/>
      </c>
      <c r="D174" s="2" t="str">
        <f>IF(A174="","",COUNTIFS('03_LUA_CHON'!$A$5:$A$404,A174,'03_LUA_CHON'!$D$5:$D$404,"Có"))</f>
        <v/>
      </c>
      <c r="E174" s="2" t="str">
        <f t="shared" si="8"/>
        <v/>
      </c>
      <c r="F174" s="2" t="str">
        <f t="shared" si="9"/>
        <v/>
      </c>
    </row>
    <row r="175" spans="1:6">
      <c r="A175" s="2" t="str">
        <f>IF('02_KICH_BAN_NODES'!D161="choice",'02_KICH_BAN_NODES'!B161,"")</f>
        <v/>
      </c>
      <c r="B175" s="2" t="str">
        <f>IF(A175="","",'02_KICH_BAN_NODES'!E161)</f>
        <v/>
      </c>
      <c r="C175" s="2" t="str">
        <f>IF(A175="","",COUNTIF('03_LUA_CHON'!$A$5:$A$404,A175))</f>
        <v/>
      </c>
      <c r="D175" s="2" t="str">
        <f>IF(A175="","",COUNTIFS('03_LUA_CHON'!$A$5:$A$404,A175,'03_LUA_CHON'!$D$5:$D$404,"Có"))</f>
        <v/>
      </c>
      <c r="E175" s="2" t="str">
        <f t="shared" si="8"/>
        <v/>
      </c>
      <c r="F175" s="2" t="str">
        <f t="shared" si="9"/>
        <v/>
      </c>
    </row>
    <row r="176" spans="1:6">
      <c r="A176" s="2" t="str">
        <f>IF('02_KICH_BAN_NODES'!D162="choice",'02_KICH_BAN_NODES'!B162,"")</f>
        <v/>
      </c>
      <c r="B176" s="2" t="str">
        <f>IF(A176="","",'02_KICH_BAN_NODES'!E162)</f>
        <v/>
      </c>
      <c r="C176" s="2" t="str">
        <f>IF(A176="","",COUNTIF('03_LUA_CHON'!$A$5:$A$404,A176))</f>
        <v/>
      </c>
      <c r="D176" s="2" t="str">
        <f>IF(A176="","",COUNTIFS('03_LUA_CHON'!$A$5:$A$404,A176,'03_LUA_CHON'!$D$5:$D$404,"Có"))</f>
        <v/>
      </c>
      <c r="E176" s="2" t="str">
        <f t="shared" si="8"/>
        <v/>
      </c>
      <c r="F176" s="2" t="str">
        <f t="shared" si="9"/>
        <v/>
      </c>
    </row>
    <row r="177" spans="1:6">
      <c r="A177" s="2" t="str">
        <f>IF('02_KICH_BAN_NODES'!D163="choice",'02_KICH_BAN_NODES'!B163,"")</f>
        <v/>
      </c>
      <c r="B177" s="2" t="str">
        <f>IF(A177="","",'02_KICH_BAN_NODES'!E163)</f>
        <v/>
      </c>
      <c r="C177" s="2" t="str">
        <f>IF(A177="","",COUNTIF('03_LUA_CHON'!$A$5:$A$404,A177))</f>
        <v/>
      </c>
      <c r="D177" s="2" t="str">
        <f>IF(A177="","",COUNTIFS('03_LUA_CHON'!$A$5:$A$404,A177,'03_LUA_CHON'!$D$5:$D$404,"Có"))</f>
        <v/>
      </c>
      <c r="E177" s="2" t="str">
        <f t="shared" si="8"/>
        <v/>
      </c>
      <c r="F177" s="2" t="str">
        <f t="shared" si="9"/>
        <v/>
      </c>
    </row>
    <row r="178" spans="1:6">
      <c r="A178" s="2" t="str">
        <f>IF('02_KICH_BAN_NODES'!D164="choice",'02_KICH_BAN_NODES'!B164,"")</f>
        <v/>
      </c>
      <c r="B178" s="2" t="str">
        <f>IF(A178="","",'02_KICH_BAN_NODES'!E164)</f>
        <v/>
      </c>
      <c r="C178" s="2" t="str">
        <f>IF(A178="","",COUNTIF('03_LUA_CHON'!$A$5:$A$404,A178))</f>
        <v/>
      </c>
      <c r="D178" s="2" t="str">
        <f>IF(A178="","",COUNTIFS('03_LUA_CHON'!$A$5:$A$404,A178,'03_LUA_CHON'!$D$5:$D$404,"Có"))</f>
        <v/>
      </c>
      <c r="E178" s="2" t="str">
        <f t="shared" si="8"/>
        <v/>
      </c>
      <c r="F178" s="2" t="str">
        <f t="shared" si="9"/>
        <v/>
      </c>
    </row>
    <row r="179" spans="1:6">
      <c r="A179" s="2" t="str">
        <f>IF('02_KICH_BAN_NODES'!D165="choice",'02_KICH_BAN_NODES'!B165,"")</f>
        <v/>
      </c>
      <c r="B179" s="2" t="str">
        <f>IF(A179="","",'02_KICH_BAN_NODES'!E165)</f>
        <v/>
      </c>
      <c r="C179" s="2" t="str">
        <f>IF(A179="","",COUNTIF('03_LUA_CHON'!$A$5:$A$404,A179))</f>
        <v/>
      </c>
      <c r="D179" s="2" t="str">
        <f>IF(A179="","",COUNTIFS('03_LUA_CHON'!$A$5:$A$404,A179,'03_LUA_CHON'!$D$5:$D$404,"Có"))</f>
        <v/>
      </c>
      <c r="E179" s="2" t="str">
        <f t="shared" ref="E179:E210" si="10">IF(A179="","",IF(OR(C179&lt;2,C179&gt;4),"CẦN SỬA",IF(AND(B179="Kiến thức",D179=1),"HỢP LỆ",IF(AND(B179="Tương tác",D179=0),"HỢP LỆ","CẦN SỬA"))))</f>
        <v/>
      </c>
      <c r="F179" s="2" t="str">
        <f t="shared" ref="F179:F210" si="11">IF(A179="","",IF(OR(C179&lt;2,C179&gt;4),"Cần 2–4 option",IF(AND(B179="Kiến thức",D179&lt;&gt;1),"Câu kiến thức cần đúng 1 đáp án đúng",IF(AND(B179="Tương tác",D179&lt;&gt;0),"Câu tương tác không có đáp án đúng",IF(B179="","Thiếu ChoiceMode","")))))</f>
        <v/>
      </c>
    </row>
    <row r="180" spans="1:6">
      <c r="A180" s="2" t="str">
        <f>IF('02_KICH_BAN_NODES'!D166="choice",'02_KICH_BAN_NODES'!B166,"")</f>
        <v/>
      </c>
      <c r="B180" s="2" t="str">
        <f>IF(A180="","",'02_KICH_BAN_NODES'!E166)</f>
        <v/>
      </c>
      <c r="C180" s="2" t="str">
        <f>IF(A180="","",COUNTIF('03_LUA_CHON'!$A$5:$A$404,A180))</f>
        <v/>
      </c>
      <c r="D180" s="2" t="str">
        <f>IF(A180="","",COUNTIFS('03_LUA_CHON'!$A$5:$A$404,A180,'03_LUA_CHON'!$D$5:$D$404,"Có"))</f>
        <v/>
      </c>
      <c r="E180" s="2" t="str">
        <f t="shared" si="10"/>
        <v/>
      </c>
      <c r="F180" s="2" t="str">
        <f t="shared" si="11"/>
        <v/>
      </c>
    </row>
    <row r="181" spans="1:6">
      <c r="A181" s="2" t="str">
        <f>IF('02_KICH_BAN_NODES'!D167="choice",'02_KICH_BAN_NODES'!B167,"")</f>
        <v/>
      </c>
      <c r="B181" s="2" t="str">
        <f>IF(A181="","",'02_KICH_BAN_NODES'!E167)</f>
        <v/>
      </c>
      <c r="C181" s="2" t="str">
        <f>IF(A181="","",COUNTIF('03_LUA_CHON'!$A$5:$A$404,A181))</f>
        <v/>
      </c>
      <c r="D181" s="2" t="str">
        <f>IF(A181="","",COUNTIFS('03_LUA_CHON'!$A$5:$A$404,A181,'03_LUA_CHON'!$D$5:$D$404,"Có"))</f>
        <v/>
      </c>
      <c r="E181" s="2" t="str">
        <f t="shared" si="10"/>
        <v/>
      </c>
      <c r="F181" s="2" t="str">
        <f t="shared" si="11"/>
        <v/>
      </c>
    </row>
    <row r="182" spans="1:6">
      <c r="A182" s="2" t="str">
        <f>IF('02_KICH_BAN_NODES'!D168="choice",'02_KICH_BAN_NODES'!B168,"")</f>
        <v/>
      </c>
      <c r="B182" s="2" t="str">
        <f>IF(A182="","",'02_KICH_BAN_NODES'!E168)</f>
        <v/>
      </c>
      <c r="C182" s="2" t="str">
        <f>IF(A182="","",COUNTIF('03_LUA_CHON'!$A$5:$A$404,A182))</f>
        <v/>
      </c>
      <c r="D182" s="2" t="str">
        <f>IF(A182="","",COUNTIFS('03_LUA_CHON'!$A$5:$A$404,A182,'03_LUA_CHON'!$D$5:$D$404,"Có"))</f>
        <v/>
      </c>
      <c r="E182" s="2" t="str">
        <f t="shared" si="10"/>
        <v/>
      </c>
      <c r="F182" s="2" t="str">
        <f t="shared" si="11"/>
        <v/>
      </c>
    </row>
    <row r="183" spans="1:6">
      <c r="A183" s="2" t="str">
        <f>IF('02_KICH_BAN_NODES'!D169="choice",'02_KICH_BAN_NODES'!B169,"")</f>
        <v/>
      </c>
      <c r="B183" s="2" t="str">
        <f>IF(A183="","",'02_KICH_BAN_NODES'!E169)</f>
        <v/>
      </c>
      <c r="C183" s="2" t="str">
        <f>IF(A183="","",COUNTIF('03_LUA_CHON'!$A$5:$A$404,A183))</f>
        <v/>
      </c>
      <c r="D183" s="2" t="str">
        <f>IF(A183="","",COUNTIFS('03_LUA_CHON'!$A$5:$A$404,A183,'03_LUA_CHON'!$D$5:$D$404,"Có"))</f>
        <v/>
      </c>
      <c r="E183" s="2" t="str">
        <f t="shared" si="10"/>
        <v/>
      </c>
      <c r="F183" s="2" t="str">
        <f t="shared" si="11"/>
        <v/>
      </c>
    </row>
    <row r="184" spans="1:6">
      <c r="A184" s="2" t="str">
        <f>IF('02_KICH_BAN_NODES'!D170="choice",'02_KICH_BAN_NODES'!B170,"")</f>
        <v/>
      </c>
      <c r="B184" s="2" t="str">
        <f>IF(A184="","",'02_KICH_BAN_NODES'!E170)</f>
        <v/>
      </c>
      <c r="C184" s="2" t="str">
        <f>IF(A184="","",COUNTIF('03_LUA_CHON'!$A$5:$A$404,A184))</f>
        <v/>
      </c>
      <c r="D184" s="2" t="str">
        <f>IF(A184="","",COUNTIFS('03_LUA_CHON'!$A$5:$A$404,A184,'03_LUA_CHON'!$D$5:$D$404,"Có"))</f>
        <v/>
      </c>
      <c r="E184" s="2" t="str">
        <f t="shared" si="10"/>
        <v/>
      </c>
      <c r="F184" s="2" t="str">
        <f t="shared" si="11"/>
        <v/>
      </c>
    </row>
    <row r="185" spans="1:6">
      <c r="A185" s="2" t="str">
        <f>IF('02_KICH_BAN_NODES'!D171="choice",'02_KICH_BAN_NODES'!B171,"")</f>
        <v/>
      </c>
      <c r="B185" s="2" t="str">
        <f>IF(A185="","",'02_KICH_BAN_NODES'!E171)</f>
        <v/>
      </c>
      <c r="C185" s="2" t="str">
        <f>IF(A185="","",COUNTIF('03_LUA_CHON'!$A$5:$A$404,A185))</f>
        <v/>
      </c>
      <c r="D185" s="2" t="str">
        <f>IF(A185="","",COUNTIFS('03_LUA_CHON'!$A$5:$A$404,A185,'03_LUA_CHON'!$D$5:$D$404,"Có"))</f>
        <v/>
      </c>
      <c r="E185" s="2" t="str">
        <f t="shared" si="10"/>
        <v/>
      </c>
      <c r="F185" s="2" t="str">
        <f t="shared" si="11"/>
        <v/>
      </c>
    </row>
    <row r="186" spans="1:6">
      <c r="A186" s="2" t="str">
        <f>IF('02_KICH_BAN_NODES'!D172="choice",'02_KICH_BAN_NODES'!B172,"")</f>
        <v/>
      </c>
      <c r="B186" s="2" t="str">
        <f>IF(A186="","",'02_KICH_BAN_NODES'!E172)</f>
        <v/>
      </c>
      <c r="C186" s="2" t="str">
        <f>IF(A186="","",COUNTIF('03_LUA_CHON'!$A$5:$A$404,A186))</f>
        <v/>
      </c>
      <c r="D186" s="2" t="str">
        <f>IF(A186="","",COUNTIFS('03_LUA_CHON'!$A$5:$A$404,A186,'03_LUA_CHON'!$D$5:$D$404,"Có"))</f>
        <v/>
      </c>
      <c r="E186" s="2" t="str">
        <f t="shared" si="10"/>
        <v/>
      </c>
      <c r="F186" s="2" t="str">
        <f t="shared" si="11"/>
        <v/>
      </c>
    </row>
    <row r="187" spans="1:6">
      <c r="A187" s="2" t="str">
        <f>IF('02_KICH_BAN_NODES'!D173="choice",'02_KICH_BAN_NODES'!B173,"")</f>
        <v/>
      </c>
      <c r="B187" s="2" t="str">
        <f>IF(A187="","",'02_KICH_BAN_NODES'!E173)</f>
        <v/>
      </c>
      <c r="C187" s="2" t="str">
        <f>IF(A187="","",COUNTIF('03_LUA_CHON'!$A$5:$A$404,A187))</f>
        <v/>
      </c>
      <c r="D187" s="2" t="str">
        <f>IF(A187="","",COUNTIFS('03_LUA_CHON'!$A$5:$A$404,A187,'03_LUA_CHON'!$D$5:$D$404,"Có"))</f>
        <v/>
      </c>
      <c r="E187" s="2" t="str">
        <f t="shared" si="10"/>
        <v/>
      </c>
      <c r="F187" s="2" t="str">
        <f t="shared" si="11"/>
        <v/>
      </c>
    </row>
    <row r="188" spans="1:6">
      <c r="A188" s="2" t="str">
        <f>IF('02_KICH_BAN_NODES'!D174="choice",'02_KICH_BAN_NODES'!B174,"")</f>
        <v/>
      </c>
      <c r="B188" s="2" t="str">
        <f>IF(A188="","",'02_KICH_BAN_NODES'!E174)</f>
        <v/>
      </c>
      <c r="C188" s="2" t="str">
        <f>IF(A188="","",COUNTIF('03_LUA_CHON'!$A$5:$A$404,A188))</f>
        <v/>
      </c>
      <c r="D188" s="2" t="str">
        <f>IF(A188="","",COUNTIFS('03_LUA_CHON'!$A$5:$A$404,A188,'03_LUA_CHON'!$D$5:$D$404,"Có"))</f>
        <v/>
      </c>
      <c r="E188" s="2" t="str">
        <f t="shared" si="10"/>
        <v/>
      </c>
      <c r="F188" s="2" t="str">
        <f t="shared" si="11"/>
        <v/>
      </c>
    </row>
    <row r="189" spans="1:6">
      <c r="A189" s="2" t="str">
        <f>IF('02_KICH_BAN_NODES'!D175="choice",'02_KICH_BAN_NODES'!B175,"")</f>
        <v/>
      </c>
      <c r="B189" s="2" t="str">
        <f>IF(A189="","",'02_KICH_BAN_NODES'!E175)</f>
        <v/>
      </c>
      <c r="C189" s="2" t="str">
        <f>IF(A189="","",COUNTIF('03_LUA_CHON'!$A$5:$A$404,A189))</f>
        <v/>
      </c>
      <c r="D189" s="2" t="str">
        <f>IF(A189="","",COUNTIFS('03_LUA_CHON'!$A$5:$A$404,A189,'03_LUA_CHON'!$D$5:$D$404,"Có"))</f>
        <v/>
      </c>
      <c r="E189" s="2" t="str">
        <f t="shared" si="10"/>
        <v/>
      </c>
      <c r="F189" s="2" t="str">
        <f t="shared" si="11"/>
        <v/>
      </c>
    </row>
    <row r="190" spans="1:6">
      <c r="A190" s="2" t="str">
        <f>IF('02_KICH_BAN_NODES'!D176="choice",'02_KICH_BAN_NODES'!B176,"")</f>
        <v/>
      </c>
      <c r="B190" s="2" t="str">
        <f>IF(A190="","",'02_KICH_BAN_NODES'!E176)</f>
        <v/>
      </c>
      <c r="C190" s="2" t="str">
        <f>IF(A190="","",COUNTIF('03_LUA_CHON'!$A$5:$A$404,A190))</f>
        <v/>
      </c>
      <c r="D190" s="2" t="str">
        <f>IF(A190="","",COUNTIFS('03_LUA_CHON'!$A$5:$A$404,A190,'03_LUA_CHON'!$D$5:$D$404,"Có"))</f>
        <v/>
      </c>
      <c r="E190" s="2" t="str">
        <f t="shared" si="10"/>
        <v/>
      </c>
      <c r="F190" s="2" t="str">
        <f t="shared" si="11"/>
        <v/>
      </c>
    </row>
    <row r="191" spans="1:6">
      <c r="A191" s="2" t="str">
        <f>IF('02_KICH_BAN_NODES'!D177="choice",'02_KICH_BAN_NODES'!B177,"")</f>
        <v/>
      </c>
      <c r="B191" s="2" t="str">
        <f>IF(A191="","",'02_KICH_BAN_NODES'!E177)</f>
        <v/>
      </c>
      <c r="C191" s="2" t="str">
        <f>IF(A191="","",COUNTIF('03_LUA_CHON'!$A$5:$A$404,A191))</f>
        <v/>
      </c>
      <c r="D191" s="2" t="str">
        <f>IF(A191="","",COUNTIFS('03_LUA_CHON'!$A$5:$A$404,A191,'03_LUA_CHON'!$D$5:$D$404,"Có"))</f>
        <v/>
      </c>
      <c r="E191" s="2" t="str">
        <f t="shared" si="10"/>
        <v/>
      </c>
      <c r="F191" s="2" t="str">
        <f t="shared" si="11"/>
        <v/>
      </c>
    </row>
    <row r="192" spans="1:6">
      <c r="A192" s="2" t="str">
        <f>IF('02_KICH_BAN_NODES'!D178="choice",'02_KICH_BAN_NODES'!B178,"")</f>
        <v/>
      </c>
      <c r="B192" s="2" t="str">
        <f>IF(A192="","",'02_KICH_BAN_NODES'!E178)</f>
        <v/>
      </c>
      <c r="C192" s="2" t="str">
        <f>IF(A192="","",COUNTIF('03_LUA_CHON'!$A$5:$A$404,A192))</f>
        <v/>
      </c>
      <c r="D192" s="2" t="str">
        <f>IF(A192="","",COUNTIFS('03_LUA_CHON'!$A$5:$A$404,A192,'03_LUA_CHON'!$D$5:$D$404,"Có"))</f>
        <v/>
      </c>
      <c r="E192" s="2" t="str">
        <f t="shared" si="10"/>
        <v/>
      </c>
      <c r="F192" s="2" t="str">
        <f t="shared" si="11"/>
        <v/>
      </c>
    </row>
    <row r="193" spans="1:6">
      <c r="A193" s="2" t="str">
        <f>IF('02_KICH_BAN_NODES'!D179="choice",'02_KICH_BAN_NODES'!B179,"")</f>
        <v/>
      </c>
      <c r="B193" s="2" t="str">
        <f>IF(A193="","",'02_KICH_BAN_NODES'!E179)</f>
        <v/>
      </c>
      <c r="C193" s="2" t="str">
        <f>IF(A193="","",COUNTIF('03_LUA_CHON'!$A$5:$A$404,A193))</f>
        <v/>
      </c>
      <c r="D193" s="2" t="str">
        <f>IF(A193="","",COUNTIFS('03_LUA_CHON'!$A$5:$A$404,A193,'03_LUA_CHON'!$D$5:$D$404,"Có"))</f>
        <v/>
      </c>
      <c r="E193" s="2" t="str">
        <f t="shared" si="10"/>
        <v/>
      </c>
      <c r="F193" s="2" t="str">
        <f t="shared" si="11"/>
        <v/>
      </c>
    </row>
    <row r="194" spans="1:6">
      <c r="A194" s="2" t="str">
        <f>IF('02_KICH_BAN_NODES'!D180="choice",'02_KICH_BAN_NODES'!B180,"")</f>
        <v/>
      </c>
      <c r="B194" s="2" t="str">
        <f>IF(A194="","",'02_KICH_BAN_NODES'!E180)</f>
        <v/>
      </c>
      <c r="C194" s="2" t="str">
        <f>IF(A194="","",COUNTIF('03_LUA_CHON'!$A$5:$A$404,A194))</f>
        <v/>
      </c>
      <c r="D194" s="2" t="str">
        <f>IF(A194="","",COUNTIFS('03_LUA_CHON'!$A$5:$A$404,A194,'03_LUA_CHON'!$D$5:$D$404,"Có"))</f>
        <v/>
      </c>
      <c r="E194" s="2" t="str">
        <f t="shared" si="10"/>
        <v/>
      </c>
      <c r="F194" s="2" t="str">
        <f t="shared" si="11"/>
        <v/>
      </c>
    </row>
    <row r="195" spans="1:6">
      <c r="A195" s="2" t="str">
        <f>IF('02_KICH_BAN_NODES'!D181="choice",'02_KICH_BAN_NODES'!B181,"")</f>
        <v/>
      </c>
      <c r="B195" s="2" t="str">
        <f>IF(A195="","",'02_KICH_BAN_NODES'!E181)</f>
        <v/>
      </c>
      <c r="C195" s="2" t="str">
        <f>IF(A195="","",COUNTIF('03_LUA_CHON'!$A$5:$A$404,A195))</f>
        <v/>
      </c>
      <c r="D195" s="2" t="str">
        <f>IF(A195="","",COUNTIFS('03_LUA_CHON'!$A$5:$A$404,A195,'03_LUA_CHON'!$D$5:$D$404,"Có"))</f>
        <v/>
      </c>
      <c r="E195" s="2" t="str">
        <f t="shared" si="10"/>
        <v/>
      </c>
      <c r="F195" s="2" t="str">
        <f t="shared" si="11"/>
        <v/>
      </c>
    </row>
    <row r="196" spans="1:6">
      <c r="A196" s="2" t="str">
        <f>IF('02_KICH_BAN_NODES'!D182="choice",'02_KICH_BAN_NODES'!B182,"")</f>
        <v/>
      </c>
      <c r="B196" s="2" t="str">
        <f>IF(A196="","",'02_KICH_BAN_NODES'!E182)</f>
        <v/>
      </c>
      <c r="C196" s="2" t="str">
        <f>IF(A196="","",COUNTIF('03_LUA_CHON'!$A$5:$A$404,A196))</f>
        <v/>
      </c>
      <c r="D196" s="2" t="str">
        <f>IF(A196="","",COUNTIFS('03_LUA_CHON'!$A$5:$A$404,A196,'03_LUA_CHON'!$D$5:$D$404,"Có"))</f>
        <v/>
      </c>
      <c r="E196" s="2" t="str">
        <f t="shared" si="10"/>
        <v/>
      </c>
      <c r="F196" s="2" t="str">
        <f t="shared" si="11"/>
        <v/>
      </c>
    </row>
    <row r="197" spans="1:6">
      <c r="A197" s="2" t="str">
        <f>IF('02_KICH_BAN_NODES'!D183="choice",'02_KICH_BAN_NODES'!B183,"")</f>
        <v/>
      </c>
      <c r="B197" s="2" t="str">
        <f>IF(A197="","",'02_KICH_BAN_NODES'!E183)</f>
        <v/>
      </c>
      <c r="C197" s="2" t="str">
        <f>IF(A197="","",COUNTIF('03_LUA_CHON'!$A$5:$A$404,A197))</f>
        <v/>
      </c>
      <c r="D197" s="2" t="str">
        <f>IF(A197="","",COUNTIFS('03_LUA_CHON'!$A$5:$A$404,A197,'03_LUA_CHON'!$D$5:$D$404,"Có"))</f>
        <v/>
      </c>
      <c r="E197" s="2" t="str">
        <f t="shared" si="10"/>
        <v/>
      </c>
      <c r="F197" s="2" t="str">
        <f t="shared" si="11"/>
        <v/>
      </c>
    </row>
    <row r="198" spans="1:6">
      <c r="A198" s="2" t="str">
        <f>IF('02_KICH_BAN_NODES'!D184="choice",'02_KICH_BAN_NODES'!B184,"")</f>
        <v/>
      </c>
      <c r="B198" s="2" t="str">
        <f>IF(A198="","",'02_KICH_BAN_NODES'!E184)</f>
        <v/>
      </c>
      <c r="C198" s="2" t="str">
        <f>IF(A198="","",COUNTIF('03_LUA_CHON'!$A$5:$A$404,A198))</f>
        <v/>
      </c>
      <c r="D198" s="2" t="str">
        <f>IF(A198="","",COUNTIFS('03_LUA_CHON'!$A$5:$A$404,A198,'03_LUA_CHON'!$D$5:$D$404,"Có"))</f>
        <v/>
      </c>
      <c r="E198" s="2" t="str">
        <f t="shared" si="10"/>
        <v/>
      </c>
      <c r="F198" s="2" t="str">
        <f t="shared" si="11"/>
        <v/>
      </c>
    </row>
    <row r="199" spans="1:6">
      <c r="A199" s="2" t="str">
        <f>IF('02_KICH_BAN_NODES'!D185="choice",'02_KICH_BAN_NODES'!B185,"")</f>
        <v/>
      </c>
      <c r="B199" s="2" t="str">
        <f>IF(A199="","",'02_KICH_BAN_NODES'!E185)</f>
        <v/>
      </c>
      <c r="C199" s="2" t="str">
        <f>IF(A199="","",COUNTIF('03_LUA_CHON'!$A$5:$A$404,A199))</f>
        <v/>
      </c>
      <c r="D199" s="2" t="str">
        <f>IF(A199="","",COUNTIFS('03_LUA_CHON'!$A$5:$A$404,A199,'03_LUA_CHON'!$D$5:$D$404,"Có"))</f>
        <v/>
      </c>
      <c r="E199" s="2" t="str">
        <f t="shared" si="10"/>
        <v/>
      </c>
      <c r="F199" s="2" t="str">
        <f t="shared" si="11"/>
        <v/>
      </c>
    </row>
    <row r="200" spans="1:6">
      <c r="A200" s="2" t="str">
        <f>IF('02_KICH_BAN_NODES'!D186="choice",'02_KICH_BAN_NODES'!B186,"")</f>
        <v/>
      </c>
      <c r="B200" s="2" t="str">
        <f>IF(A200="","",'02_KICH_BAN_NODES'!E186)</f>
        <v/>
      </c>
      <c r="C200" s="2" t="str">
        <f>IF(A200="","",COUNTIF('03_LUA_CHON'!$A$5:$A$404,A200))</f>
        <v/>
      </c>
      <c r="D200" s="2" t="str">
        <f>IF(A200="","",COUNTIFS('03_LUA_CHON'!$A$5:$A$404,A200,'03_LUA_CHON'!$D$5:$D$404,"Có"))</f>
        <v/>
      </c>
      <c r="E200" s="2" t="str">
        <f t="shared" si="10"/>
        <v/>
      </c>
      <c r="F200" s="2" t="str">
        <f t="shared" si="11"/>
        <v/>
      </c>
    </row>
    <row r="201" spans="1:6">
      <c r="A201" s="2" t="str">
        <f>IF('02_KICH_BAN_NODES'!D187="choice",'02_KICH_BAN_NODES'!B187,"")</f>
        <v/>
      </c>
      <c r="B201" s="2" t="str">
        <f>IF(A201="","",'02_KICH_BAN_NODES'!E187)</f>
        <v/>
      </c>
      <c r="C201" s="2" t="str">
        <f>IF(A201="","",COUNTIF('03_LUA_CHON'!$A$5:$A$404,A201))</f>
        <v/>
      </c>
      <c r="D201" s="2" t="str">
        <f>IF(A201="","",COUNTIFS('03_LUA_CHON'!$A$5:$A$404,A201,'03_LUA_CHON'!$D$5:$D$404,"Có"))</f>
        <v/>
      </c>
      <c r="E201" s="2" t="str">
        <f t="shared" si="10"/>
        <v/>
      </c>
      <c r="F201" s="2" t="str">
        <f t="shared" si="11"/>
        <v/>
      </c>
    </row>
    <row r="202" spans="1:6">
      <c r="A202" s="2" t="str">
        <f>IF('02_KICH_BAN_NODES'!D188="choice",'02_KICH_BAN_NODES'!B188,"")</f>
        <v/>
      </c>
      <c r="B202" s="2" t="str">
        <f>IF(A202="","",'02_KICH_BAN_NODES'!E188)</f>
        <v/>
      </c>
      <c r="C202" s="2" t="str">
        <f>IF(A202="","",COUNTIF('03_LUA_CHON'!$A$5:$A$404,A202))</f>
        <v/>
      </c>
      <c r="D202" s="2" t="str">
        <f>IF(A202="","",COUNTIFS('03_LUA_CHON'!$A$5:$A$404,A202,'03_LUA_CHON'!$D$5:$D$404,"Có"))</f>
        <v/>
      </c>
      <c r="E202" s="2" t="str">
        <f t="shared" si="10"/>
        <v/>
      </c>
      <c r="F202" s="2" t="str">
        <f t="shared" si="11"/>
        <v/>
      </c>
    </row>
    <row r="203" spans="1:6">
      <c r="A203" s="2" t="str">
        <f>IF('02_KICH_BAN_NODES'!D189="choice",'02_KICH_BAN_NODES'!B189,"")</f>
        <v/>
      </c>
      <c r="B203" s="2" t="str">
        <f>IF(A203="","",'02_KICH_BAN_NODES'!E189)</f>
        <v/>
      </c>
      <c r="C203" s="2" t="str">
        <f>IF(A203="","",COUNTIF('03_LUA_CHON'!$A$5:$A$404,A203))</f>
        <v/>
      </c>
      <c r="D203" s="2" t="str">
        <f>IF(A203="","",COUNTIFS('03_LUA_CHON'!$A$5:$A$404,A203,'03_LUA_CHON'!$D$5:$D$404,"Có"))</f>
        <v/>
      </c>
      <c r="E203" s="2" t="str">
        <f t="shared" si="10"/>
        <v/>
      </c>
      <c r="F203" s="2" t="str">
        <f t="shared" si="11"/>
        <v/>
      </c>
    </row>
    <row r="204" spans="1:6">
      <c r="A204" s="2" t="str">
        <f>IF('02_KICH_BAN_NODES'!D190="choice",'02_KICH_BAN_NODES'!B190,"")</f>
        <v/>
      </c>
      <c r="B204" s="2" t="str">
        <f>IF(A204="","",'02_KICH_BAN_NODES'!E190)</f>
        <v/>
      </c>
      <c r="C204" s="2" t="str">
        <f>IF(A204="","",COUNTIF('03_LUA_CHON'!$A$5:$A$404,A204))</f>
        <v/>
      </c>
      <c r="D204" s="2" t="str">
        <f>IF(A204="","",COUNTIFS('03_LUA_CHON'!$A$5:$A$404,A204,'03_LUA_CHON'!$D$5:$D$404,"Có"))</f>
        <v/>
      </c>
      <c r="E204" s="2" t="str">
        <f t="shared" si="10"/>
        <v/>
      </c>
      <c r="F204" s="2" t="str">
        <f t="shared" si="11"/>
        <v/>
      </c>
    </row>
    <row r="205" spans="1:6">
      <c r="A205" s="2" t="str">
        <f>IF('02_KICH_BAN_NODES'!D191="choice",'02_KICH_BAN_NODES'!B191,"")</f>
        <v/>
      </c>
      <c r="B205" s="2" t="str">
        <f>IF(A205="","",'02_KICH_BAN_NODES'!E191)</f>
        <v/>
      </c>
      <c r="C205" s="2" t="str">
        <f>IF(A205="","",COUNTIF('03_LUA_CHON'!$A$5:$A$404,A205))</f>
        <v/>
      </c>
      <c r="D205" s="2" t="str">
        <f>IF(A205="","",COUNTIFS('03_LUA_CHON'!$A$5:$A$404,A205,'03_LUA_CHON'!$D$5:$D$404,"Có"))</f>
        <v/>
      </c>
      <c r="E205" s="2" t="str">
        <f t="shared" si="10"/>
        <v/>
      </c>
      <c r="F205" s="2" t="str">
        <f t="shared" si="11"/>
        <v/>
      </c>
    </row>
    <row r="206" spans="1:6">
      <c r="A206" s="2" t="str">
        <f>IF('02_KICH_BAN_NODES'!D192="choice",'02_KICH_BAN_NODES'!B192,"")</f>
        <v/>
      </c>
      <c r="B206" s="2" t="str">
        <f>IF(A206="","",'02_KICH_BAN_NODES'!E192)</f>
        <v/>
      </c>
      <c r="C206" s="2" t="str">
        <f>IF(A206="","",COUNTIF('03_LUA_CHON'!$A$5:$A$404,A206))</f>
        <v/>
      </c>
      <c r="D206" s="2" t="str">
        <f>IF(A206="","",COUNTIFS('03_LUA_CHON'!$A$5:$A$404,A206,'03_LUA_CHON'!$D$5:$D$404,"Có"))</f>
        <v/>
      </c>
      <c r="E206" s="2" t="str">
        <f t="shared" si="10"/>
        <v/>
      </c>
      <c r="F206" s="2" t="str">
        <f t="shared" si="11"/>
        <v/>
      </c>
    </row>
    <row r="207" spans="1:6">
      <c r="A207" s="2" t="str">
        <f>IF('02_KICH_BAN_NODES'!D193="choice",'02_KICH_BAN_NODES'!B193,"")</f>
        <v/>
      </c>
      <c r="B207" s="2" t="str">
        <f>IF(A207="","",'02_KICH_BAN_NODES'!E193)</f>
        <v/>
      </c>
      <c r="C207" s="2" t="str">
        <f>IF(A207="","",COUNTIF('03_LUA_CHON'!$A$5:$A$404,A207))</f>
        <v/>
      </c>
      <c r="D207" s="2" t="str">
        <f>IF(A207="","",COUNTIFS('03_LUA_CHON'!$A$5:$A$404,A207,'03_LUA_CHON'!$D$5:$D$404,"Có"))</f>
        <v/>
      </c>
      <c r="E207" s="2" t="str">
        <f t="shared" si="10"/>
        <v/>
      </c>
      <c r="F207" s="2" t="str">
        <f t="shared" si="11"/>
        <v/>
      </c>
    </row>
    <row r="208" spans="1:6">
      <c r="A208" s="2" t="str">
        <f>IF('02_KICH_BAN_NODES'!D194="choice",'02_KICH_BAN_NODES'!B194,"")</f>
        <v/>
      </c>
      <c r="B208" s="2" t="str">
        <f>IF(A208="","",'02_KICH_BAN_NODES'!E194)</f>
        <v/>
      </c>
      <c r="C208" s="2" t="str">
        <f>IF(A208="","",COUNTIF('03_LUA_CHON'!$A$5:$A$404,A208))</f>
        <v/>
      </c>
      <c r="D208" s="2" t="str">
        <f>IF(A208="","",COUNTIFS('03_LUA_CHON'!$A$5:$A$404,A208,'03_LUA_CHON'!$D$5:$D$404,"Có"))</f>
        <v/>
      </c>
      <c r="E208" s="2" t="str">
        <f t="shared" si="10"/>
        <v/>
      </c>
      <c r="F208" s="2" t="str">
        <f t="shared" si="11"/>
        <v/>
      </c>
    </row>
    <row r="209" spans="1:6">
      <c r="A209" s="2" t="str">
        <f>IF('02_KICH_BAN_NODES'!D195="choice",'02_KICH_BAN_NODES'!B195,"")</f>
        <v/>
      </c>
      <c r="B209" s="2" t="str">
        <f>IF(A209="","",'02_KICH_BAN_NODES'!E195)</f>
        <v/>
      </c>
      <c r="C209" s="2" t="str">
        <f>IF(A209="","",COUNTIF('03_LUA_CHON'!$A$5:$A$404,A209))</f>
        <v/>
      </c>
      <c r="D209" s="2" t="str">
        <f>IF(A209="","",COUNTIFS('03_LUA_CHON'!$A$5:$A$404,A209,'03_LUA_CHON'!$D$5:$D$404,"Có"))</f>
        <v/>
      </c>
      <c r="E209" s="2" t="str">
        <f t="shared" si="10"/>
        <v/>
      </c>
      <c r="F209" s="2" t="str">
        <f t="shared" si="11"/>
        <v/>
      </c>
    </row>
    <row r="210" spans="1:6">
      <c r="A210" s="2" t="str">
        <f>IF('02_KICH_BAN_NODES'!D196="choice",'02_KICH_BAN_NODES'!B196,"")</f>
        <v/>
      </c>
      <c r="B210" s="2" t="str">
        <f>IF(A210="","",'02_KICH_BAN_NODES'!E196)</f>
        <v/>
      </c>
      <c r="C210" s="2" t="str">
        <f>IF(A210="","",COUNTIF('03_LUA_CHON'!$A$5:$A$404,A210))</f>
        <v/>
      </c>
      <c r="D210" s="2" t="str">
        <f>IF(A210="","",COUNTIFS('03_LUA_CHON'!$A$5:$A$404,A210,'03_LUA_CHON'!$D$5:$D$404,"Có"))</f>
        <v/>
      </c>
      <c r="E210" s="2" t="str">
        <f t="shared" si="10"/>
        <v/>
      </c>
      <c r="F210" s="2" t="str">
        <f t="shared" si="11"/>
        <v/>
      </c>
    </row>
    <row r="211" spans="1:6">
      <c r="A211" s="2" t="str">
        <f>IF('02_KICH_BAN_NODES'!D197="choice",'02_KICH_BAN_NODES'!B197,"")</f>
        <v/>
      </c>
      <c r="B211" s="2" t="str">
        <f>IF(A211="","",'02_KICH_BAN_NODES'!E197)</f>
        <v/>
      </c>
      <c r="C211" s="2" t="str">
        <f>IF(A211="","",COUNTIF('03_LUA_CHON'!$A$5:$A$404,A211))</f>
        <v/>
      </c>
      <c r="D211" s="2" t="str">
        <f>IF(A211="","",COUNTIFS('03_LUA_CHON'!$A$5:$A$404,A211,'03_LUA_CHON'!$D$5:$D$404,"Có"))</f>
        <v/>
      </c>
      <c r="E211" s="2" t="str">
        <f t="shared" ref="E211:E242" si="12">IF(A211="","",IF(OR(C211&lt;2,C211&gt;4),"CẦN SỬA",IF(AND(B211="Kiến thức",D211=1),"HỢP LỆ",IF(AND(B211="Tương tác",D211=0),"HỢP LỆ","CẦN SỬA"))))</f>
        <v/>
      </c>
      <c r="F211" s="2" t="str">
        <f t="shared" ref="F211:F218" si="13">IF(A211="","",IF(OR(C211&lt;2,C211&gt;4),"Cần 2–4 option",IF(AND(B211="Kiến thức",D211&lt;&gt;1),"Câu kiến thức cần đúng 1 đáp án đúng",IF(AND(B211="Tương tác",D211&lt;&gt;0),"Câu tương tác không có đáp án đúng",IF(B211="","Thiếu ChoiceMode","")))))</f>
        <v/>
      </c>
    </row>
    <row r="212" spans="1:6">
      <c r="A212" s="2" t="str">
        <f>IF('02_KICH_BAN_NODES'!D198="choice",'02_KICH_BAN_NODES'!B198,"")</f>
        <v/>
      </c>
      <c r="B212" s="2" t="str">
        <f>IF(A212="","",'02_KICH_BAN_NODES'!E198)</f>
        <v/>
      </c>
      <c r="C212" s="2" t="str">
        <f>IF(A212="","",COUNTIF('03_LUA_CHON'!$A$5:$A$404,A212))</f>
        <v/>
      </c>
      <c r="D212" s="2" t="str">
        <f>IF(A212="","",COUNTIFS('03_LUA_CHON'!$A$5:$A$404,A212,'03_LUA_CHON'!$D$5:$D$404,"Có"))</f>
        <v/>
      </c>
      <c r="E212" s="2" t="str">
        <f t="shared" si="12"/>
        <v/>
      </c>
      <c r="F212" s="2" t="str">
        <f t="shared" si="13"/>
        <v/>
      </c>
    </row>
    <row r="213" spans="1:6">
      <c r="A213" s="2" t="str">
        <f>IF('02_KICH_BAN_NODES'!D199="choice",'02_KICH_BAN_NODES'!B199,"")</f>
        <v/>
      </c>
      <c r="B213" s="2" t="str">
        <f>IF(A213="","",'02_KICH_BAN_NODES'!E199)</f>
        <v/>
      </c>
      <c r="C213" s="2" t="str">
        <f>IF(A213="","",COUNTIF('03_LUA_CHON'!$A$5:$A$404,A213))</f>
        <v/>
      </c>
      <c r="D213" s="2" t="str">
        <f>IF(A213="","",COUNTIFS('03_LUA_CHON'!$A$5:$A$404,A213,'03_LUA_CHON'!$D$5:$D$404,"Có"))</f>
        <v/>
      </c>
      <c r="E213" s="2" t="str">
        <f t="shared" si="12"/>
        <v/>
      </c>
      <c r="F213" s="2" t="str">
        <f t="shared" si="13"/>
        <v/>
      </c>
    </row>
    <row r="214" spans="1:6">
      <c r="A214" s="2" t="str">
        <f>IF('02_KICH_BAN_NODES'!D200="choice",'02_KICH_BAN_NODES'!B200,"")</f>
        <v/>
      </c>
      <c r="B214" s="2" t="str">
        <f>IF(A214="","",'02_KICH_BAN_NODES'!E200)</f>
        <v/>
      </c>
      <c r="C214" s="2" t="str">
        <f>IF(A214="","",COUNTIF('03_LUA_CHON'!$A$5:$A$404,A214))</f>
        <v/>
      </c>
      <c r="D214" s="2" t="str">
        <f>IF(A214="","",COUNTIFS('03_LUA_CHON'!$A$5:$A$404,A214,'03_LUA_CHON'!$D$5:$D$404,"Có"))</f>
        <v/>
      </c>
      <c r="E214" s="2" t="str">
        <f t="shared" si="12"/>
        <v/>
      </c>
      <c r="F214" s="2" t="str">
        <f t="shared" si="13"/>
        <v/>
      </c>
    </row>
    <row r="215" spans="1:6">
      <c r="A215" s="2" t="str">
        <f>IF('02_KICH_BAN_NODES'!D201="choice",'02_KICH_BAN_NODES'!B201,"")</f>
        <v/>
      </c>
      <c r="B215" s="2" t="str">
        <f>IF(A215="","",'02_KICH_BAN_NODES'!E201)</f>
        <v/>
      </c>
      <c r="C215" s="2" t="str">
        <f>IF(A215="","",COUNTIF('03_LUA_CHON'!$A$5:$A$404,A215))</f>
        <v/>
      </c>
      <c r="D215" s="2" t="str">
        <f>IF(A215="","",COUNTIFS('03_LUA_CHON'!$A$5:$A$404,A215,'03_LUA_CHON'!$D$5:$D$404,"Có"))</f>
        <v/>
      </c>
      <c r="E215" s="2" t="str">
        <f t="shared" si="12"/>
        <v/>
      </c>
      <c r="F215" s="2" t="str">
        <f t="shared" si="13"/>
        <v/>
      </c>
    </row>
    <row r="216" spans="1:6">
      <c r="A216" s="2" t="str">
        <f>IF('02_KICH_BAN_NODES'!D202="choice",'02_KICH_BAN_NODES'!B202,"")</f>
        <v/>
      </c>
      <c r="B216" s="2" t="str">
        <f>IF(A216="","",'02_KICH_BAN_NODES'!E202)</f>
        <v/>
      </c>
      <c r="C216" s="2" t="str">
        <f>IF(A216="","",COUNTIF('03_LUA_CHON'!$A$5:$A$404,A216))</f>
        <v/>
      </c>
      <c r="D216" s="2" t="str">
        <f>IF(A216="","",COUNTIFS('03_LUA_CHON'!$A$5:$A$404,A216,'03_LUA_CHON'!$D$5:$D$404,"Có"))</f>
        <v/>
      </c>
      <c r="E216" s="2" t="str">
        <f t="shared" si="12"/>
        <v/>
      </c>
      <c r="F216" s="2" t="str">
        <f t="shared" si="13"/>
        <v/>
      </c>
    </row>
    <row r="217" spans="1:6">
      <c r="A217" s="2" t="str">
        <f>IF('02_KICH_BAN_NODES'!D203="choice",'02_KICH_BAN_NODES'!B203,"")</f>
        <v/>
      </c>
      <c r="B217" s="2" t="str">
        <f>IF(A217="","",'02_KICH_BAN_NODES'!E203)</f>
        <v/>
      </c>
      <c r="C217" s="2" t="str">
        <f>IF(A217="","",COUNTIF('03_LUA_CHON'!$A$5:$A$404,A217))</f>
        <v/>
      </c>
      <c r="D217" s="2" t="str">
        <f>IF(A217="","",COUNTIFS('03_LUA_CHON'!$A$5:$A$404,A217,'03_LUA_CHON'!$D$5:$D$404,"Có"))</f>
        <v/>
      </c>
      <c r="E217" s="2" t="str">
        <f t="shared" si="12"/>
        <v/>
      </c>
      <c r="F217" s="2" t="str">
        <f t="shared" si="13"/>
        <v/>
      </c>
    </row>
    <row r="218" spans="1:6">
      <c r="A218" s="2" t="str">
        <f>IF('02_KICH_BAN_NODES'!D204="choice",'02_KICH_BAN_NODES'!B204,"")</f>
        <v/>
      </c>
      <c r="B218" s="2" t="str">
        <f>IF(A218="","",'02_KICH_BAN_NODES'!E204)</f>
        <v/>
      </c>
      <c r="C218" s="2" t="str">
        <f>IF(A218="","",COUNTIF('03_LUA_CHON'!$A$5:$A$404,A218))</f>
        <v/>
      </c>
      <c r="D218" s="2" t="str">
        <f>IF(A218="","",COUNTIFS('03_LUA_CHON'!$A$5:$A$404,A218,'03_LUA_CHON'!$D$5:$D$404,"Có"))</f>
        <v/>
      </c>
      <c r="E218" s="2" t="str">
        <f t="shared" si="12"/>
        <v/>
      </c>
      <c r="F218" s="2" t="str">
        <f t="shared" si="13"/>
        <v/>
      </c>
    </row>
  </sheetData>
  <mergeCells count="6">
    <mergeCell ref="A1:I1"/>
    <mergeCell ref="A2:I2"/>
    <mergeCell ref="A4:I4"/>
    <mergeCell ref="A8:I8"/>
    <mergeCell ref="A17:F17"/>
    <mergeCell ref="H17:I17"/>
  </mergeCells>
  <conditionalFormatting sqref="B15:C15">
    <cfRule type="expression" dxfId="7" priority="4">
      <formula>B15="SẴN SÀNG"</formula>
    </cfRule>
  </conditionalFormatting>
  <conditionalFormatting sqref="C10:C15">
    <cfRule type="expression" dxfId="6" priority="1">
      <formula>C10="HỢP LỆ"</formula>
    </cfRule>
    <cfRule type="expression" dxfId="5" priority="2">
      <formula>OR(C10="CẦN SỬA",C10="CHƯA SẴN SÀNG")</formula>
    </cfRule>
    <cfRule type="expression" dxfId="4" priority="3">
      <formula>C10="CẢNH BÁO"</formula>
    </cfRule>
  </conditionalFormatting>
  <conditionalFormatting sqref="E19:E218">
    <cfRule type="expression" dxfId="3" priority="5">
      <formula>E19="HỢP LỆ"</formula>
    </cfRule>
    <cfRule type="expression" dxfId="2" priority="6">
      <formula>E19="CẦN SỬA"</formula>
    </cfRule>
  </conditionalFormatting>
  <conditionalFormatting sqref="I19:I25">
    <cfRule type="expression" dxfId="1" priority="7">
      <formula>I19="Đạt"</formula>
    </cfRule>
    <cfRule type="expression" dxfId="0" priority="8">
      <formula>I19="Cần sửa"</formula>
    </cfRule>
  </conditionalFormatting>
  <dataValidations count="1">
    <dataValidation type="list" sqref="I19:I25" xr:uid="{00000000-0002-0000-0500-000000000000}">
      <formula1>"Chưa kiểm tra,Đạt,Cần sửa,Không áp dụng"</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5"/>
  <sheetViews>
    <sheetView workbookViewId="0"/>
  </sheetViews>
  <sheetFormatPr defaultRowHeight="14.25"/>
  <cols>
    <col min="1" max="1" width="18" customWidth="1"/>
    <col min="2" max="2" width="48" customWidth="1"/>
    <col min="3" max="3" width="46" customWidth="1"/>
    <col min="4" max="4" width="24" customWidth="1"/>
    <col min="5" max="5" width="28" customWidth="1"/>
    <col min="6" max="6" width="18" customWidth="1"/>
    <col min="7" max="8" width="30" customWidth="1"/>
  </cols>
  <sheetData>
    <row r="1" spans="1:8" ht="30" customHeight="1">
      <c r="A1" s="19" t="s">
        <v>269</v>
      </c>
      <c r="B1" s="19"/>
      <c r="C1" s="19"/>
      <c r="D1" s="19"/>
      <c r="E1" s="19"/>
      <c r="F1" s="19"/>
      <c r="G1" s="19"/>
      <c r="H1" s="19"/>
    </row>
    <row r="2" spans="1:8" ht="36" customHeight="1">
      <c r="A2" s="20" t="s">
        <v>270</v>
      </c>
      <c r="B2" s="20"/>
      <c r="C2" s="20"/>
      <c r="D2" s="20"/>
      <c r="E2" s="20"/>
      <c r="F2" s="20"/>
      <c r="G2" s="20"/>
      <c r="H2" s="20"/>
    </row>
    <row r="4" spans="1:8" ht="24" customHeight="1">
      <c r="A4" s="18" t="s">
        <v>271</v>
      </c>
      <c r="B4" s="18"/>
      <c r="C4" s="18"/>
      <c r="D4" s="18"/>
      <c r="E4" s="18"/>
      <c r="F4" s="18"/>
      <c r="G4" s="18"/>
      <c r="H4" s="18"/>
    </row>
    <row r="5" spans="1:8" ht="39.950000000000003" customHeight="1">
      <c r="A5" s="1" t="s">
        <v>272</v>
      </c>
      <c r="B5" s="1" t="s">
        <v>273</v>
      </c>
      <c r="C5" s="1" t="s">
        <v>274</v>
      </c>
      <c r="D5" s="1" t="s">
        <v>49</v>
      </c>
      <c r="E5" s="1" t="s">
        <v>139</v>
      </c>
    </row>
    <row r="6" spans="1:8" ht="28.5">
      <c r="A6" s="2" t="s">
        <v>275</v>
      </c>
      <c r="B6" s="2" t="s">
        <v>95</v>
      </c>
      <c r="C6" s="2" t="s">
        <v>276</v>
      </c>
      <c r="D6" s="2" t="s">
        <v>96</v>
      </c>
      <c r="E6" s="2" t="s">
        <v>277</v>
      </c>
    </row>
    <row r="7" spans="1:8">
      <c r="A7" s="2" t="s">
        <v>278</v>
      </c>
      <c r="B7" s="2" t="s">
        <v>99</v>
      </c>
      <c r="C7" s="2" t="s">
        <v>279</v>
      </c>
      <c r="D7" s="2" t="s">
        <v>96</v>
      </c>
      <c r="E7" s="2" t="s">
        <v>280</v>
      </c>
    </row>
    <row r="8" spans="1:8">
      <c r="A8" s="2" t="s">
        <v>281</v>
      </c>
      <c r="B8" s="2" t="s">
        <v>102</v>
      </c>
      <c r="C8" s="2" t="s">
        <v>282</v>
      </c>
      <c r="D8" s="2" t="s">
        <v>96</v>
      </c>
      <c r="E8" s="2" t="s">
        <v>283</v>
      </c>
    </row>
    <row r="9" spans="1:8" ht="28.5">
      <c r="A9" s="2" t="s">
        <v>284</v>
      </c>
      <c r="B9" s="2" t="s">
        <v>285</v>
      </c>
      <c r="C9" s="2" t="s">
        <v>286</v>
      </c>
      <c r="D9" s="2" t="s">
        <v>96</v>
      </c>
      <c r="E9" s="2" t="s">
        <v>287</v>
      </c>
    </row>
    <row r="10" spans="1:8">
      <c r="A10" s="2" t="s">
        <v>288</v>
      </c>
      <c r="B10" s="2" t="s">
        <v>289</v>
      </c>
      <c r="C10" s="2" t="s">
        <v>290</v>
      </c>
      <c r="D10" s="2" t="s">
        <v>96</v>
      </c>
      <c r="E10" s="2" t="s">
        <v>291</v>
      </c>
    </row>
    <row r="12" spans="1:8" ht="24" customHeight="1">
      <c r="A12" s="18" t="s">
        <v>292</v>
      </c>
      <c r="B12" s="18"/>
      <c r="C12" s="18"/>
      <c r="D12" s="18"/>
      <c r="E12" s="18"/>
      <c r="F12" s="18"/>
      <c r="G12" s="18"/>
      <c r="H12" s="18"/>
    </row>
    <row r="13" spans="1:8" ht="39.950000000000003" customHeight="1">
      <c r="A13" s="1" t="s">
        <v>179</v>
      </c>
      <c r="B13" s="1" t="s">
        <v>293</v>
      </c>
      <c r="C13" s="1" t="s">
        <v>181</v>
      </c>
      <c r="D13" s="1" t="s">
        <v>294</v>
      </c>
      <c r="E13" s="1" t="s">
        <v>295</v>
      </c>
      <c r="F13" s="1" t="s">
        <v>70</v>
      </c>
      <c r="G13" s="1" t="s">
        <v>239</v>
      </c>
      <c r="H13" s="1" t="s">
        <v>139</v>
      </c>
    </row>
    <row r="14" spans="1:8">
      <c r="A14" s="2" t="s">
        <v>188</v>
      </c>
      <c r="B14" s="2" t="s">
        <v>296</v>
      </c>
      <c r="C14" s="2" t="s">
        <v>297</v>
      </c>
      <c r="D14" s="2" t="s">
        <v>127</v>
      </c>
      <c r="E14" s="2" t="s">
        <v>127</v>
      </c>
      <c r="F14" s="2" t="s">
        <v>298</v>
      </c>
      <c r="G14" s="2" t="s">
        <v>299</v>
      </c>
      <c r="H14" s="2" t="s">
        <v>300</v>
      </c>
    </row>
    <row r="15" spans="1:8">
      <c r="A15" s="2" t="s">
        <v>198</v>
      </c>
      <c r="B15" s="2" t="s">
        <v>301</v>
      </c>
      <c r="C15" s="2" t="s">
        <v>302</v>
      </c>
      <c r="D15" s="2" t="s">
        <v>303</v>
      </c>
      <c r="E15" s="2" t="s">
        <v>127</v>
      </c>
      <c r="F15" s="2" t="s">
        <v>298</v>
      </c>
      <c r="G15" s="2" t="s">
        <v>304</v>
      </c>
      <c r="H15" s="2" t="s">
        <v>305</v>
      </c>
    </row>
    <row r="16" spans="1:8" ht="28.5">
      <c r="A16" s="2" t="s">
        <v>208</v>
      </c>
      <c r="B16" s="2" t="s">
        <v>306</v>
      </c>
      <c r="C16" s="2" t="s">
        <v>307</v>
      </c>
      <c r="D16" s="2" t="s">
        <v>127</v>
      </c>
      <c r="E16" s="2" t="s">
        <v>308</v>
      </c>
      <c r="F16" s="2" t="s">
        <v>309</v>
      </c>
      <c r="G16" s="2" t="s">
        <v>310</v>
      </c>
      <c r="H16" s="2" t="s">
        <v>311</v>
      </c>
    </row>
    <row r="17" spans="1:8">
      <c r="A17" s="2" t="s">
        <v>216</v>
      </c>
      <c r="B17" s="2" t="s">
        <v>153</v>
      </c>
      <c r="C17" s="2" t="s">
        <v>312</v>
      </c>
      <c r="D17" s="2" t="s">
        <v>127</v>
      </c>
      <c r="E17" s="2" t="s">
        <v>127</v>
      </c>
      <c r="F17" s="2" t="s">
        <v>298</v>
      </c>
      <c r="G17" s="2" t="s">
        <v>313</v>
      </c>
      <c r="H17" s="2" t="s">
        <v>314</v>
      </c>
    </row>
    <row r="18" spans="1:8">
      <c r="A18" s="2" t="s">
        <v>221</v>
      </c>
      <c r="B18" s="2" t="s">
        <v>127</v>
      </c>
      <c r="C18" s="2" t="s">
        <v>315</v>
      </c>
      <c r="D18" s="2" t="s">
        <v>316</v>
      </c>
      <c r="E18" s="2" t="s">
        <v>127</v>
      </c>
      <c r="F18" s="2" t="s">
        <v>298</v>
      </c>
      <c r="G18" s="2" t="s">
        <v>317</v>
      </c>
      <c r="H18" s="2" t="s">
        <v>318</v>
      </c>
    </row>
    <row r="20" spans="1:8" ht="24" customHeight="1">
      <c r="A20" s="18" t="s">
        <v>319</v>
      </c>
      <c r="B20" s="18"/>
      <c r="C20" s="18"/>
      <c r="D20" s="18"/>
      <c r="E20" s="18"/>
      <c r="F20" s="18"/>
      <c r="G20" s="18"/>
      <c r="H20" s="18"/>
    </row>
    <row r="21" spans="1:8" ht="39.950000000000003" customHeight="1">
      <c r="A21" s="1" t="s">
        <v>320</v>
      </c>
      <c r="B21" s="1" t="s">
        <v>321</v>
      </c>
      <c r="C21" s="1" t="s">
        <v>44</v>
      </c>
      <c r="D21" s="1" t="s">
        <v>93</v>
      </c>
      <c r="E21" s="1" t="s">
        <v>49</v>
      </c>
      <c r="F21" s="1" t="s">
        <v>322</v>
      </c>
    </row>
    <row r="22" spans="1:8" ht="42.75">
      <c r="A22" s="2" t="s">
        <v>323</v>
      </c>
      <c r="B22" s="2" t="s">
        <v>324</v>
      </c>
      <c r="C22" s="2" t="s">
        <v>325</v>
      </c>
      <c r="D22" s="2" t="s">
        <v>326</v>
      </c>
      <c r="E22" s="2" t="s">
        <v>96</v>
      </c>
      <c r="F22" s="2" t="s">
        <v>327</v>
      </c>
    </row>
    <row r="23" spans="1:8" ht="42.75">
      <c r="A23" s="2" t="s">
        <v>328</v>
      </c>
      <c r="B23" s="2" t="s">
        <v>329</v>
      </c>
      <c r="C23" s="2" t="s">
        <v>330</v>
      </c>
      <c r="D23" s="2" t="s">
        <v>331</v>
      </c>
      <c r="E23" s="2" t="s">
        <v>96</v>
      </c>
      <c r="F23" s="2" t="s">
        <v>332</v>
      </c>
    </row>
    <row r="24" spans="1:8">
      <c r="A24" s="2" t="s">
        <v>162</v>
      </c>
      <c r="B24" s="2" t="s">
        <v>162</v>
      </c>
      <c r="C24" s="2" t="s">
        <v>333</v>
      </c>
      <c r="D24" s="2" t="s">
        <v>334</v>
      </c>
      <c r="E24" s="2" t="s">
        <v>127</v>
      </c>
      <c r="F24" s="2" t="s">
        <v>335</v>
      </c>
    </row>
    <row r="25" spans="1:8">
      <c r="A25" s="2" t="s">
        <v>336</v>
      </c>
      <c r="B25" s="2" t="s">
        <v>337</v>
      </c>
      <c r="C25" s="2" t="s">
        <v>338</v>
      </c>
      <c r="D25" s="2" t="s">
        <v>201</v>
      </c>
      <c r="E25" s="2" t="s">
        <v>96</v>
      </c>
      <c r="F25" s="2" t="s">
        <v>339</v>
      </c>
    </row>
    <row r="26" spans="1:8">
      <c r="A26" s="2" t="s">
        <v>164</v>
      </c>
      <c r="B26" s="2" t="s">
        <v>340</v>
      </c>
      <c r="C26" s="2" t="s">
        <v>341</v>
      </c>
      <c r="D26" s="2" t="s">
        <v>196</v>
      </c>
      <c r="E26" s="2" t="s">
        <v>127</v>
      </c>
      <c r="F26" s="2" t="s">
        <v>342</v>
      </c>
    </row>
    <row r="27" spans="1:8" ht="28.5">
      <c r="A27" s="2" t="s">
        <v>343</v>
      </c>
      <c r="B27" s="2" t="s">
        <v>344</v>
      </c>
      <c r="C27" s="2" t="s">
        <v>345</v>
      </c>
      <c r="D27" s="2" t="s">
        <v>346</v>
      </c>
      <c r="E27" s="2" t="s">
        <v>96</v>
      </c>
      <c r="F27" s="2" t="s">
        <v>347</v>
      </c>
    </row>
    <row r="29" spans="1:8" ht="24" customHeight="1">
      <c r="A29" s="18" t="s">
        <v>348</v>
      </c>
      <c r="B29" s="18"/>
      <c r="C29" s="18"/>
      <c r="D29" s="18"/>
      <c r="E29" s="18"/>
      <c r="F29" s="18"/>
      <c r="G29" s="18"/>
      <c r="H29" s="18"/>
    </row>
    <row r="30" spans="1:8" ht="39.950000000000003" customHeight="1">
      <c r="A30" s="1" t="s">
        <v>3</v>
      </c>
      <c r="B30" s="1" t="s">
        <v>349</v>
      </c>
      <c r="C30" s="1" t="s">
        <v>350</v>
      </c>
      <c r="D30" s="1"/>
      <c r="E30" s="1"/>
      <c r="F30" s="1"/>
      <c r="G30" s="1"/>
      <c r="H30" s="1"/>
    </row>
    <row r="31" spans="1:8">
      <c r="A31" s="9">
        <v>1</v>
      </c>
      <c r="B31" s="2" t="s">
        <v>351</v>
      </c>
      <c r="C31" s="2" t="s">
        <v>352</v>
      </c>
      <c r="D31" s="2"/>
      <c r="E31" s="2"/>
      <c r="F31" s="2"/>
      <c r="G31" s="2"/>
      <c r="H31" s="2"/>
    </row>
    <row r="32" spans="1:8" ht="28.5">
      <c r="A32" s="9">
        <v>2</v>
      </c>
      <c r="B32" s="2" t="s">
        <v>353</v>
      </c>
      <c r="C32" s="2" t="s">
        <v>354</v>
      </c>
      <c r="D32" s="2"/>
      <c r="E32" s="2"/>
      <c r="F32" s="2"/>
      <c r="G32" s="2"/>
      <c r="H32" s="2"/>
    </row>
    <row r="33" spans="1:8" ht="28.5">
      <c r="A33" s="9">
        <v>3</v>
      </c>
      <c r="B33" s="2" t="s">
        <v>355</v>
      </c>
      <c r="C33" s="2" t="s">
        <v>356</v>
      </c>
      <c r="D33" s="2"/>
      <c r="E33" s="2"/>
      <c r="F33" s="2"/>
      <c r="G33" s="2"/>
      <c r="H33" s="2"/>
    </row>
    <row r="34" spans="1:8" ht="28.5">
      <c r="A34" s="9">
        <v>4</v>
      </c>
      <c r="B34" s="2" t="s">
        <v>357</v>
      </c>
      <c r="C34" s="2" t="s">
        <v>358</v>
      </c>
      <c r="D34" s="2"/>
      <c r="E34" s="2"/>
      <c r="F34" s="2"/>
      <c r="G34" s="2"/>
      <c r="H34" s="2"/>
    </row>
    <row r="35" spans="1:8" ht="28.5">
      <c r="A35" s="9">
        <v>5</v>
      </c>
      <c r="B35" s="2" t="s">
        <v>359</v>
      </c>
      <c r="C35" s="2" t="s">
        <v>360</v>
      </c>
      <c r="D35" s="2"/>
      <c r="E35" s="2"/>
      <c r="F35" s="2"/>
      <c r="G35" s="2"/>
      <c r="H35" s="2"/>
    </row>
    <row r="36" spans="1:8">
      <c r="A36" s="9">
        <v>6</v>
      </c>
      <c r="B36" s="2" t="s">
        <v>361</v>
      </c>
      <c r="C36" s="2" t="s">
        <v>362</v>
      </c>
      <c r="D36" s="2"/>
      <c r="E36" s="2"/>
      <c r="F36" s="2"/>
      <c r="G36" s="2"/>
      <c r="H36" s="2"/>
    </row>
    <row r="37" spans="1:8">
      <c r="A37" s="9">
        <v>7</v>
      </c>
      <c r="B37" s="2" t="s">
        <v>363</v>
      </c>
      <c r="C37" s="2" t="s">
        <v>364</v>
      </c>
      <c r="D37" s="2"/>
      <c r="E37" s="2"/>
      <c r="F37" s="2"/>
      <c r="G37" s="2"/>
      <c r="H37" s="2"/>
    </row>
    <row r="39" spans="1:8" ht="24" customHeight="1">
      <c r="A39" s="18" t="s">
        <v>365</v>
      </c>
      <c r="B39" s="18"/>
      <c r="C39" s="18"/>
      <c r="D39" s="18"/>
      <c r="E39" s="18"/>
      <c r="F39" s="18"/>
      <c r="G39" s="18"/>
      <c r="H39" s="18"/>
    </row>
    <row r="40" spans="1:8" ht="39.950000000000003" customHeight="1">
      <c r="A40" s="1" t="s">
        <v>366</v>
      </c>
      <c r="B40" s="1" t="s">
        <v>367</v>
      </c>
      <c r="C40" s="1"/>
      <c r="D40" s="1"/>
      <c r="E40" s="1"/>
      <c r="F40" s="1"/>
      <c r="G40" s="1"/>
      <c r="H40" s="1"/>
    </row>
    <row r="41" spans="1:8" ht="28.5">
      <c r="A41" s="2" t="s">
        <v>188</v>
      </c>
      <c r="B41" s="6" t="s">
        <v>368</v>
      </c>
      <c r="C41" s="2"/>
      <c r="D41" s="2"/>
      <c r="E41" s="2"/>
      <c r="F41" s="2"/>
      <c r="G41" s="2"/>
      <c r="H41" s="2"/>
    </row>
    <row r="42" spans="1:8" ht="28.5">
      <c r="A42" s="2" t="s">
        <v>198</v>
      </c>
      <c r="B42" s="6" t="s">
        <v>369</v>
      </c>
      <c r="C42" s="2"/>
      <c r="D42" s="2"/>
      <c r="E42" s="2"/>
      <c r="F42" s="2"/>
      <c r="G42" s="2"/>
      <c r="H42" s="2"/>
    </row>
    <row r="43" spans="1:8" ht="28.5">
      <c r="A43" s="2" t="s">
        <v>208</v>
      </c>
      <c r="B43" s="6" t="s">
        <v>370</v>
      </c>
      <c r="C43" s="2"/>
      <c r="D43" s="2"/>
      <c r="E43" s="2"/>
      <c r="F43" s="2"/>
      <c r="G43" s="2"/>
      <c r="H43" s="2"/>
    </row>
    <row r="44" spans="1:8">
      <c r="A44" s="2" t="s">
        <v>216</v>
      </c>
      <c r="B44" s="6" t="s">
        <v>371</v>
      </c>
      <c r="C44" s="2"/>
      <c r="D44" s="2"/>
      <c r="E44" s="2"/>
      <c r="F44" s="2"/>
      <c r="G44" s="2"/>
      <c r="H44" s="2"/>
    </row>
    <row r="45" spans="1:8">
      <c r="A45" s="2" t="s">
        <v>221</v>
      </c>
      <c r="B45" s="6" t="s">
        <v>223</v>
      </c>
      <c r="C45" s="2"/>
      <c r="D45" s="2"/>
      <c r="E45" s="2"/>
      <c r="F45" s="2"/>
      <c r="G45" s="2"/>
      <c r="H45" s="2"/>
    </row>
  </sheetData>
  <mergeCells count="7">
    <mergeCell ref="A29:H29"/>
    <mergeCell ref="A39:H39"/>
    <mergeCell ref="A1:H1"/>
    <mergeCell ref="A2:H2"/>
    <mergeCell ref="A4:H4"/>
    <mergeCell ref="A12:H12"/>
    <mergeCell ref="A20:H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00_HUONG_DAN</vt:lpstr>
      <vt:lpstr>01_THONG_TIN_PHIM</vt:lpstr>
      <vt:lpstr>02_KICH_BAN_NODES</vt:lpstr>
      <vt:lpstr>03_LUA_CHON</vt:lpstr>
      <vt:lpstr>04_DANH_MUC</vt:lpstr>
      <vt:lpstr>05_KIEM_TRA_QA</vt:lpstr>
      <vt:lpstr>06_DEV_MAPPING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Minh Hoàng Lê Vũ</cp:lastModifiedBy>
  <dcterms:modified xsi:type="dcterms:W3CDTF">2026-07-14T14:50:20Z</dcterms:modified>
</cp:coreProperties>
</file>