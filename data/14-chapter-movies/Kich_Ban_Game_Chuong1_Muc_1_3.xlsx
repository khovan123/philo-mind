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HUONG_DAN" sheetId="1" state="visible" r:id="rId3"/>
    <sheet name="01_THONG_TIN_Game" sheetId="2" state="visible" r:id="rId4"/>
    <sheet name="02_KICH_BAN_NODES" sheetId="3" state="visible" r:id="rId5"/>
    <sheet name="03_LUA_CHON" sheetId="4" state="visible" r:id="rId6"/>
    <sheet name="04_DANH_MUC" sheetId="5" state="visible" r:id="rId7"/>
    <sheet name="05_KIEM_TRA_QA" sheetId="6" state="visible" r:id="rId8"/>
    <sheet name="06_DEV_MAPPI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<sst xmlns="http://schemas.openxmlformats.org/spreadsheetml/2006/main" count="643" uniqueCount="451">
  <si>
    <t xml:space="preserve">MẪU NHẬP KỊCH BẢN GAME TƯƠNG TÁC</t>
  </si>
  <si>
    <t xml:space="preserve">Workbook chuẩn hóa cấu trúc từ 15-movie-template.ts. Team tài liệu nhập ô màu vàng; team dev dùng các bảng dữ liệu đã chuẩn hóa để dựng mảng script JSON/TypeScript và upsert movie.</t>
  </si>
  <si>
    <t xml:space="preserve">1. QUY TRÌNH SỬ DỤNG</t>
  </si>
  <si>
    <t xml:space="preserve">Bước</t>
  </si>
  <si>
    <t xml:space="preserve">Người thực hiện</t>
  </si>
  <si>
    <t xml:space="preserve">Thao tác</t>
  </si>
  <si>
    <t xml:space="preserve">Kết quả cần đạt</t>
  </si>
  <si>
    <t xml:space="preserve">Không được làm</t>
  </si>
  <si>
    <t xml:space="preserve">Team tài liệu</t>
  </si>
  <si>
    <t xml:space="preserve">Điền 01_THONG_TIN_Game</t>
  </si>
  <si>
    <t xml:space="preserve">Đủ mã chương, mục, tiêu đề và thông tin seed</t>
  </si>
  <si>
    <t xml:space="preserve">Không đổi tên trường kỹ thuật</t>
  </si>
  <si>
    <t xml:space="preserve">Điền 02_KICH_BAN_NODES theo NodeOrder</t>
  </si>
  <si>
    <t xml:space="preserve">Mỗi dòng là 1 scene/say/choice/act/end</t>
  </si>
  <si>
    <t xml:space="preserve">Không gộp nhiều node trong một dòng</t>
  </si>
  <si>
    <t xml:space="preserve">Điền 03_LUA_CHON theo ChoiceNodeId</t>
  </si>
  <si>
    <t xml:space="preserve">Mỗi choice có 2-4 phương án và đúng quy tắc ChoiceMode</t>
  </si>
  <si>
    <t xml:space="preserve">Không bỏ phản hồi phương án</t>
  </si>
  <si>
    <t xml:space="preserve">Reviewer</t>
  </si>
  <si>
    <t xml:space="preserve">Kiểm tra 05_KIEM_TRA_QA</t>
  </si>
  <si>
    <t xml:space="preserve">Không còn lỗi cấu trúc; checklist chuyên môn đạt</t>
  </si>
  <si>
    <t xml:space="preserve">Không bàn giao khi còn CẦN SỬA</t>
  </si>
  <si>
    <t xml:space="preserve">Team dev</t>
  </si>
  <si>
    <t xml:space="preserve">Chuyển đổi theo 06_DEV_MAPPING</t>
  </si>
  <si>
    <t xml:space="preserve">Seed chạy được và upsert theo muc</t>
  </si>
  <si>
    <t xml:space="preserve">Không tự thay đổi nội dung chuyên môn</t>
  </si>
  <si>
    <t xml:space="preserve">2. QUY ƯỚC MÀU VÀ TRẠNG THÁI</t>
  </si>
  <si>
    <t xml:space="preserve">Màu/Trạng thái</t>
  </si>
  <si>
    <t xml:space="preserve">Ý nghĩa</t>
  </si>
  <si>
    <t xml:space="preserve">Hành động</t>
  </si>
  <si>
    <t xml:space="preserve">Ô màu vàng</t>
  </si>
  <si>
    <t xml:space="preserve">Dữ liệu team tài liệu được phép nhập/sửa</t>
  </si>
  <si>
    <t xml:space="preserve">Điền nội dung, không xóa tiêu đề cột</t>
  </si>
  <si>
    <t xml:space="preserve">Ô màu xám</t>
  </si>
  <si>
    <t xml:space="preserve">Công thức hoặc thông tin kỹ thuật</t>
  </si>
  <si>
    <t xml:space="preserve">Không sửa</t>
  </si>
  <si>
    <t xml:space="preserve">HỢP LỆ</t>
  </si>
  <si>
    <t xml:space="preserve">Dòng đạt kiểm tra cấu trúc cơ bản</t>
  </si>
  <si>
    <t xml:space="preserve">Chuyển sang review chuyên môn</t>
  </si>
  <si>
    <t xml:space="preserve">CẦN SỬA</t>
  </si>
  <si>
    <t xml:space="preserve">Thiếu dữ liệu, sai liên kết hoặc sai quy tắc</t>
  </si>
  <si>
    <t xml:space="preserve">Đọc cột Lỗi cấu trúc và chỉnh lại</t>
  </si>
  <si>
    <t xml:space="preserve">3. QUY TẮC NỘI DUNG BẮT BUỘC</t>
  </si>
  <si>
    <t xml:space="preserve">Nhóm</t>
  </si>
  <si>
    <t xml:space="preserve">Quy tắc</t>
  </si>
  <si>
    <t xml:space="preserve">Mức độ</t>
  </si>
  <si>
    <t xml:space="preserve">Lý do</t>
  </si>
  <si>
    <t xml:space="preserve">Cấu trúc game</t>
  </si>
  <si>
    <t xml:space="preserve">Thông thường 2-4 màn; mỗi màn bắt đầu bằng scene, kết thúc bằng act; toàn game có đúng 1 end.</t>
  </si>
  <si>
    <t xml:space="preserve">Bắt buộc</t>
  </si>
  <si>
    <t xml:space="preserve">Khớp ScriptNode trong template.</t>
  </si>
  <si>
    <t xml:space="preserve">Choice kiến thức</t>
  </si>
  <si>
    <t xml:space="preserve">ChoiceMode = Kiến thức: 2-4 phương án và đúng 1 IsCorrect = Có.</t>
  </si>
  <si>
    <t xml:space="preserve">Dùng để kiểm tra và chấm đúng/sai.</t>
  </si>
  <si>
    <t xml:space="preserve">Choice tương tác</t>
  </si>
  <si>
    <t xml:space="preserve">ChoiceMode = Tương tác: 2-4 phương án và không đánh dấu đáp án đúng; có thể dùng dc.</t>
  </si>
  <si>
    <t xml:space="preserve">Khớp các lựa chọn thái độ/thiện cảm trong kịch bản mẫu.</t>
  </si>
  <si>
    <t xml:space="preserve">Phản hồi</t>
  </si>
  <si>
    <t xml:space="preserve">Mọi phương án phải có ReplyText; phương án sai của câu kiến thức phải giải thích vì sao sai.</t>
  </si>
  <si>
    <t xml:space="preserve">Bảo đảm giá trị học tập.</t>
  </si>
  <si>
    <t xml:space="preserve">Nhân vật</t>
  </si>
  <si>
    <t xml:space="preserve">Chỉ dùng SpeakerKey trong danh mục; nhân vật mới phải được dev bổ sung vào CHARACTERS.</t>
  </si>
  <si>
    <t xml:space="preserve">Tránh key không tồn tại.</t>
  </si>
  <si>
    <t xml:space="preserve">Cảnh nền</t>
  </si>
  <si>
    <t xml:space="preserve">Chỉ dùng Background trong danh mục; cảnh mới cần asset/SVG được dev xác nhận.</t>
  </si>
  <si>
    <t xml:space="preserve">Tránh thiếu tài nguyên giao diện.</t>
  </si>
  <si>
    <t xml:space="preserve">Văn bản</t>
  </si>
  <si>
    <t xml:space="preserve">Không dùng HTML; câu hỏi không đánh đố; lời thoại tự nhiên, phù hợp vai trò.</t>
  </si>
  <si>
    <t xml:space="preserve">Khuyến nghị cao</t>
  </si>
  <si>
    <t xml:space="preserve">Theo nguyên tắc biên soạn của template.</t>
  </si>
  <si>
    <t xml:space="preserve">Thứ tự</t>
  </si>
  <si>
    <t xml:space="preserve">NodeOrder và NodeId phải duy nhất; option sắp xếp bằng OptionOrder.</t>
  </si>
  <si>
    <t xml:space="preserve">Bảo toàn thứ tự mảng script/opts.</t>
  </si>
  <si>
    <t xml:space="preserve">4. TRƯỜNG HỢP ĐẶC BIỆT</t>
  </si>
  <si>
    <t xml:space="preserve">Tình huống</t>
  </si>
  <si>
    <t xml:space="preserve">Cách xử lý</t>
  </si>
  <si>
    <t xml:space="preserve">Lời dẫn chuyện</t>
  </si>
  <si>
    <t xml:space="preserve">NodeType = say, SpeakerKey = narr, Mood để trống.</t>
  </si>
  <si>
    <t xml:space="preserve">Choice mở đầu kiểu “Bạn sẵn sàng chứ?”</t>
  </si>
  <si>
    <t xml:space="preserve">Chọn ChoiceMode = Tương tác; IsCorrect của mọi option = Không; dùng dc nếu cần.</t>
  </si>
  <si>
    <t xml:space="preserve">Thêm nhân vật/cảnh nền</t>
  </si>
  <si>
    <t xml:space="preserve">Bổ sung tại 04_DANH_MUC, ghi rõ cần dev bổ sung và chỉ dùng sau khi được duyệt.</t>
  </si>
  <si>
    <t xml:space="preserve">Điểm thiện cảm dc</t>
  </si>
  <si>
    <t xml:space="preserve">Nhập số nguyên dương/âm khi cần; để trống để dùng cơ chế mặc định.</t>
  </si>
  <si>
    <t xml:space="preserve">Thông tin mẫu</t>
  </si>
  <si>
    <t xml:space="preserve">Giá trị</t>
  </si>
  <si>
    <t xml:space="preserve">Nguồn cấu trúc</t>
  </si>
  <si>
    <t xml:space="preserve">15-movie-template.ts</t>
  </si>
  <si>
    <t xml:space="preserve">Phiên bản workbook</t>
  </si>
  <si>
    <t xml:space="preserve">1.1.0 -- 2026-07-12</t>
  </si>
  <si>
    <t xml:space="preserve">01 -- THÔNG TIN game / THÔNG SỐ SEED</t>
  </si>
  <si>
    <t xml:space="preserve">Điền cột Giá trị. Trường có Bắt buộc = Có phải hoàn thành trước khi bàn giao.</t>
  </si>
  <si>
    <t xml:space="preserve">Trường kỹ thuật</t>
  </si>
  <si>
    <t xml:space="preserve">Ví dụ</t>
  </si>
  <si>
    <t xml:space="preserve">Quy tắc / Ghi chú</t>
  </si>
  <si>
    <t xml:space="preserve">chapterCode</t>
  </si>
  <si>
    <t xml:space="preserve">Có</t>
  </si>
  <si>
    <t xml:space="preserve">1</t>
  </si>
  <si>
    <t xml:space="preserve">1  /  2</t>
  </si>
  <si>
    <t xml:space="preserve">Phải tồn tại trong bảng chapter trước khi seed.</t>
  </si>
  <si>
    <t xml:space="preserve">muc</t>
  </si>
  <si>
    <t xml:space="preserve">1.3</t>
  </si>
  <si>
    <t xml:space="preserve">1.1  /  2.1</t>
  </si>
  <si>
    <t xml:space="preserve">Khóa nghiệp vụ dùng tìm movie hiện có để update/create.</t>
  </si>
  <si>
    <t xml:space="preserve">movieTitle</t>
  </si>
  <si>
    <t xml:space="preserve">game tương tác: Chức năng của kinh tế chính trị Mác - Lênin</t>
  </si>
  <si>
    <t xml:space="preserve">game tương tác: Hàng hóa và tiền tệ</t>
  </si>
  <si>
    <t xml:space="preserve">Tên hiển thị của game.</t>
  </si>
  <si>
    <t xml:space="preserve">seedFunctionName</t>
  </si>
  <si>
    <t xml:space="preserve">seedMovieChuong1Muc13</t>
  </si>
  <si>
    <t xml:space="preserve">seedMovieChuong2</t>
  </si>
  <si>
    <t xml:space="preserve">camelCase, không dấu, duy nhất.</t>
  </si>
  <si>
    <t xml:space="preserve">outputFileName</t>
  </si>
  <si>
    <t xml:space="preserve">movie-chuong1-muc1-3.ts</t>
  </si>
  <si>
    <t xml:space="preserve">16-movie-chuong-2.ts</t>
  </si>
  <si>
    <t xml:space="preserve">Tên file TypeScript sau chuyển đổi.</t>
  </si>
  <si>
    <t xml:space="preserve">seedLogLabel</t>
  </si>
  <si>
    <t xml:space="preserve">Interactive Movies (Chương 1 - Mục 1.3)</t>
  </si>
  <si>
    <t xml:space="preserve">Interactive Movies (Chương 2)</t>
  </si>
  <si>
    <t xml:space="preserve">Nhãn dùng trong seedLog().</t>
  </si>
  <si>
    <t xml:space="preserve">author</t>
  </si>
  <si>
    <t xml:space="preserve">Nguyễn Quyền Linh</t>
  </si>
  <si>
    <t xml:space="preserve">Nguyễn Văn A</t>
  </si>
  <si>
    <t xml:space="preserve">Người biên soạn.</t>
  </si>
  <si>
    <t xml:space="preserve">reviewer</t>
  </si>
  <si>
    <t xml:space="preserve">[Điền tên reviewer]</t>
  </si>
  <si>
    <t xml:space="preserve">Trần Thị B</t>
  </si>
  <si>
    <t xml:space="preserve">Người duyệt nội dung.</t>
  </si>
  <si>
    <t xml:space="preserve">version</t>
  </si>
  <si>
    <t xml:space="preserve">1.0</t>
  </si>
  <si>
    <t xml:space="preserve">1.1</t>
  </si>
  <si>
    <t xml:space="preserve">Tăng version khi chỉnh sau bàn giao.</t>
  </si>
  <si>
    <t xml:space="preserve">documentStatus</t>
  </si>
  <si>
    <t xml:space="preserve">Đang soạn</t>
  </si>
  <si>
    <t xml:space="preserve">Đã duyệt</t>
  </si>
  <si>
    <t xml:space="preserve">Chỉ bàn giao khi Đã duyệt.</t>
  </si>
  <si>
    <t xml:space="preserve">sourceReference</t>
  </si>
  <si>
    <t xml:space="preserve">Không</t>
  </si>
  <si>
    <t xml:space="preserve">Giáo trình KTCT Mác - Lênin, NXB CTQG Sự thật 2021, Chương 1 mục 1.3, tr.15-19</t>
  </si>
  <si>
    <t xml:space="preserve">Giáo trình Chương 2, trang 30-45</t>
  </si>
  <si>
    <t xml:space="preserve">Nguồn chuyên môn.</t>
  </si>
  <si>
    <t xml:space="preserve">changeSummary</t>
  </si>
  <si>
    <t xml:space="preserve">Tạo mới kịch bản mục 1.3 - Chức năng của kinh tế chính trị Mác - Lênin</t>
  </si>
  <si>
    <t xml:space="preserve">Tạo mới kịch bản Chương 2</t>
  </si>
  <si>
    <t xml:space="preserve">Tóm tắt thay đổi.</t>
  </si>
  <si>
    <t xml:space="preserve">KIỂM TRA NHANH</t>
  </si>
  <si>
    <t xml:space="preserve">Chỉ số</t>
  </si>
  <si>
    <t xml:space="preserve">Trạng thái</t>
  </si>
  <si>
    <t xml:space="preserve">Ghi chú</t>
  </si>
  <si>
    <t xml:space="preserve">Trường bắt buộc còn trống</t>
  </si>
  <si>
    <t xml:space="preserve">Trạng thái tài liệu</t>
  </si>
  <si>
    <t xml:space="preserve">Sẵn sàng bàn giao dev</t>
  </si>
  <si>
    <t xml:space="preserve">Công thức chỉ kiểm tra cấu trúc; reviewer vẫn phải kiểm tra kiến thức.</t>
  </si>
  <si>
    <t xml:space="preserve">02 -- KỊCH BẢN: DANH SÁCH SCRIPT NODE</t>
  </si>
  <si>
    <t xml:space="preserve">Mỗi dòng là một ScriptNode. ChoiceMode chỉ dùng để QA/biên soạn và không cần ghi vào object TypeScript.</t>
  </si>
  <si>
    <t xml:space="preserve">NodeOrder*</t>
  </si>
  <si>
    <t xml:space="preserve">NodeId*</t>
  </si>
  <si>
    <t xml:space="preserve">ActNo</t>
  </si>
  <si>
    <t xml:space="preserve">NodeType*</t>
  </si>
  <si>
    <t xml:space="preserve">ChoiceMode</t>
  </si>
  <si>
    <t xml:space="preserve">Background</t>
  </si>
  <si>
    <t xml:space="preserve">SceneName</t>
  </si>
  <si>
    <t xml:space="preserve">SpeakerKey</t>
  </si>
  <si>
    <t xml:space="preserve">Mood</t>
  </si>
  <si>
    <t xml:space="preserve">Text / Question</t>
  </si>
  <si>
    <t xml:space="preserve">ActRoman</t>
  </si>
  <si>
    <t xml:space="preserve">Ghi chú biên soạn</t>
  </si>
  <si>
    <t xml:space="preserve">Trạng thái Lỗi cấu trúc</t>
  </si>
  <si>
    <t xml:space="preserve">N001</t>
  </si>
  <si>
    <t xml:space="preserve">scene</t>
  </si>
  <si>
    <t xml:space="preserve">thukho</t>
  </si>
  <si>
    <t xml:space="preserve">Màn I · Nhận thức và thực tiễn</t>
  </si>
  <si>
    <t xml:space="preserve">Đầu màn</t>
  </si>
  <si>
    <t xml:space="preserve">N002</t>
  </si>
  <si>
    <t xml:space="preserve">say</t>
  </si>
  <si>
    <t xml:space="preserve">narr</t>
  </si>
  <si>
    <t xml:space="preserve">Bạn cùng GS. Lâm quay lại thư khố để tổng kết: kinh tế chính trị Mác - Lênin mang lại điều gì cho người học?</t>
  </si>
  <si>
    <t xml:space="preserve">N003</t>
  </si>
  <si>
    <t xml:space="preserve">lam</t>
  </si>
  <si>
    <t xml:space="preserve">neutral</t>
  </si>
  <si>
    <t xml:space="preserve">Trước hết, môn học cung cấp một hệ thống tri thức lý luận về sự vận động của các quan hệ kinh tế — đó là chức năng nhận thức. Nhưng tri thức ấy không dừng ở nhận thức suông, mà còn giúp người học vận dụng vào thực tiễn.</t>
  </si>
  <si>
    <t xml:space="preserve">N004</t>
  </si>
  <si>
    <t xml:space="preserve">choice</t>
  </si>
  <si>
    <t xml:space="preserve">Kiến thức</t>
  </si>
  <si>
    <t xml:space="preserve">Chức năng nhận thức của kinh tế chính trị Mác - Lênin thể hiện ở điều gì?</t>
  </si>
  <si>
    <t xml:space="preserve">Nhập option ở sheet 03</t>
  </si>
  <si>
    <t xml:space="preserve">N005</t>
  </si>
  <si>
    <t xml:space="preserve">Chức năng thực tiễn của kinh tế chính trị Mác - Lênin được thể hiện như thế nào?</t>
  </si>
  <si>
    <t xml:space="preserve">N006</t>
  </si>
  <si>
    <t xml:space="preserve">act</t>
  </si>
  <si>
    <t xml:space="preserve">I</t>
  </si>
  <si>
    <t xml:space="preserve">Kết thúc màn I</t>
  </si>
  <si>
    <t xml:space="preserve">N007</t>
  </si>
  <si>
    <t xml:space="preserve">hoithao</t>
  </si>
  <si>
    <t xml:space="preserve">Màn II · Nền tảng tư tưởng</t>
  </si>
  <si>
    <t xml:space="preserve">Bắt đầu màn II</t>
  </si>
  <si>
    <t xml:space="preserve">N008</t>
  </si>
  <si>
    <t xml:space="preserve">Ở hội trường, TS. Khoa nêu vấn đề về giá trị tư tưởng mà môn học này mang lại cho người học.</t>
  </si>
  <si>
    <t xml:space="preserve">N009</t>
  </si>
  <si>
    <t xml:space="preserve">khoa</t>
  </si>
  <si>
    <t xml:space="preserve">stern</t>
  </si>
  <si>
    <t xml:space="preserve">Chức năng tư tưởng của kinh tế chính trị Mác - Lênin góp phần xây dựng điều gì cho người lao động?</t>
  </si>
  <si>
    <t xml:space="preserve">N010</t>
  </si>
  <si>
    <t xml:space="preserve">II</t>
  </si>
  <si>
    <t xml:space="preserve">Kết thúc màn II</t>
  </si>
  <si>
    <t xml:space="preserve">N011</t>
  </si>
  <si>
    <t xml:space="preserve">buctham</t>
  </si>
  <si>
    <t xml:space="preserve">Màn III · Nền tảng phương pháp luận</t>
  </si>
  <si>
    <t xml:space="preserve">Bắt đầu màn III</t>
  </si>
  <si>
    <t xml:space="preserve">N012</t>
  </si>
  <si>
    <t xml:space="preserve">Tại bục thẩm, SV. Minh chia sẻ một băn khoăn khi học môn Lý thuyết tài chính - tiền tệ.</t>
  </si>
  <si>
    <t xml:space="preserve">N013</t>
  </si>
  <si>
    <t xml:space="preserve">minh</t>
  </si>
  <si>
    <t xml:space="preserve">Mình học môn Lý thuyết tài chính - tiền tệ cũng nói về chức năng của tiền, sao lại còn cần học kinh tế chính trị nữa nhỉ?</t>
  </si>
  <si>
    <t xml:space="preserve">N014</t>
  </si>
  <si>
    <t xml:space="preserve">Chức năng phương pháp luận của kinh tế chính trị Mác - Lênin đối với các khoa học kinh tế chuyên ngành (như tài chính - tiền tệ) là gì?</t>
  </si>
  <si>
    <t xml:space="preserve">N015</t>
  </si>
  <si>
    <t xml:space="preserve">III</t>
  </si>
  <si>
    <t xml:space="preserve">Kết thúc màn III</t>
  </si>
  <si>
    <t xml:space="preserve">N016</t>
  </si>
  <si>
    <t xml:space="preserve">end</t>
  </si>
  <si>
    <t xml:space="preserve">Kết thúc toàn bộ game</t>
  </si>
  <si>
    <t xml:space="preserve">03 -- PHƯƠNG ÁN CHO CÁC NODE CHOICE</t>
  </si>
  <si>
    <t xml:space="preserve">Choice kiến thức: đúng 1 đáp án. Choice tương tác: không có đáp án đúng, có thể nhập dc để thay đổi thiện cảm.</t>
  </si>
  <si>
    <t xml:space="preserve">ChoiceNodeId*</t>
  </si>
  <si>
    <t xml:space="preserve">OptionOrder*</t>
  </si>
  <si>
    <t xml:space="preserve">OptionText*</t>
  </si>
  <si>
    <t xml:space="preserve">IsCorrect*</t>
  </si>
  <si>
    <t xml:space="preserve">dc</t>
  </si>
  <si>
    <t xml:space="preserve">ReplySpeaker*</t>
  </si>
  <si>
    <t xml:space="preserve">ReplyMood</t>
  </si>
  <si>
    <t xml:space="preserve">ReplyText*</t>
  </si>
  <si>
    <t xml:space="preserve">Cung cấp hệ thống tri thức lý luận về sự vận động của các quan hệ kinh tế giữa người với người trong sản xuất và trao đổi.</t>
  </si>
  <si>
    <t xml:space="preserve">happy</t>
  </si>
  <si>
    <t xml:space="preserve">Chính xác! Đây là nền tảng để hiểu bản chất các hiện tượng kinh tế tưởng như hỗn độn trên bề mặt xã hội.</t>
  </si>
  <si>
    <t xml:space="preserve">Đáp án đúng</t>
  </si>
  <si>
    <t xml:space="preserve">Giúp người học trực tiếp làm giàu nhanh chóng.</t>
  </si>
  <si>
    <t xml:space="preserve">concern</t>
  </si>
  <si>
    <t xml:space="preserve">Chưa đúng — đây không phải khoa học dạy làm giàu cá nhân, mà là hệ thống tri thức lý luận về quan hệ kinh tế - xã hội.</t>
  </si>
  <si>
    <t xml:space="preserve">Đáp án nhiễu hợp lý</t>
  </si>
  <si>
    <t xml:space="preserve">Chỉ cung cấp số liệu thống kê kinh tế hiện hành.</t>
  </si>
  <si>
    <t xml:space="preserve">Không đúng — chức năng nhận thức hướng tới hệ thống lý luận và quy luật, không đơn thuần là số liệu thống kê.</t>
  </si>
  <si>
    <t xml:space="preserve">Giúp người lao động và nhà hoạch định chính sách hình thành năng lực vận dụng quy luật kinh tế vào hoạt động thực tế, thúc đẩy xã hội phát triển.</t>
  </si>
  <si>
    <t xml:space="preserve">Đúng vậy! Nhận thức đúng quy luật kinh tế chính là cơ sở để cải tạo thực tiễn.</t>
  </si>
  <si>
    <t xml:space="preserve">Thay thế hoàn toàn vai trò của chính sách kinh tế nhà nước.</t>
  </si>
  <si>
    <t xml:space="preserve">Chưa đúng — kinh tế chính trị cung cấp cơ sở khoa học cho chính sách, nhưng không thay thế chính sách.</t>
  </si>
  <si>
    <t xml:space="preserve">Chỉ có giá trị với nhà nghiên cứu, không liên quan đến sinh viên.</t>
  </si>
  <si>
    <t xml:space="preserve">Không đúng — giáo trình nhấn mạnh sinh viên cũng cần chức năng thực tiễn này để định vị vai trò, trách nhiệm của bản thân.</t>
  </si>
  <si>
    <t xml:space="preserve">Nền tảng tư tưởng mới: biết quý trọng thành quả lao động, yêu chuộng tự do, hòa bình, có niềm tin vào mục tiêu dân giàu, nước mạnh, xã hội dân chủ, công bằng, văn minh.</t>
  </si>
  <si>
    <t xml:space="preserve">Đúng. Đây chính là chức năng tư tưởng — xây dựng lý tưởng và niềm tin khoa học.</t>
  </si>
  <si>
    <t xml:space="preserve">Chỉ đơn thuần là lòng trung thành với một học thuyết.</t>
  </si>
  <si>
    <t xml:space="preserve">Chưa đúng — chức năng tư tưởng hướng tới xây dựng lý tưởng vì con người và xã hội tốt đẹp, không phải sự trung thành hình thức.</t>
  </si>
  <si>
    <t xml:space="preserve">Không liên quan đến giá trị đạo đức, chỉ thuần túy kỹ thuật.</t>
  </si>
  <si>
    <t xml:space="preserve">Không đúng — chức năng tư tưởng gắn chặt với việc hướng tới giải phóng con người, xóa bỏ áp bức, bất công.</t>
  </si>
  <si>
    <t xml:space="preserve">Cung cấp nền tảng lý luận để hiểu bản chất sâu xa, cội nguồn khách quan của các khái niệm, phạm trù mà khoa học chuyên ngành sử dụng.</t>
  </si>
  <si>
    <t xml:space="preserve">À, hiểu rồi! Vậy kinh tế chính trị giúp mình hiểu 'vì sao' đằng sau những 'cái gì' mà môn chuyên ngành dạy.</t>
  </si>
  <si>
    <t xml:space="preserve">Thay thế hoàn toàn nội dung của các môn kinh tế chuyên ngành.</t>
  </si>
  <si>
    <t xml:space="preserve">Chưa đúng — kinh tế chính trị không thay thế mà làm nền tảng phương pháp luận cho các khoa học chuyên ngành.</t>
  </si>
  <si>
    <t xml:space="preserve">Không có mối liên hệ gì với các môn học chuyên ngành khác.</t>
  </si>
  <si>
    <t xml:space="preserve">Không đúng — chức năng phương pháp luận chính là cầu nối giúp hiểu sâu hơn nội hàm khoa học của các khái niệm chuyên ngành.</t>
  </si>
  <si>
    <t xml:space="preserve">04 -- DANH MỤC KỸ THUẬT DÙNG CHUNG</t>
  </si>
  <si>
    <t xml:space="preserve">Các vùng danh mục là nguồn dropdown. Dòng trống phía dưới dành cho tài nguyên mới đã được dev xác nhận.</t>
  </si>
  <si>
    <t xml:space="preserve">NHÂN VẬT</t>
  </si>
  <si>
    <t xml:space="preserve">Tên hiển thị</t>
  </si>
  <si>
    <t xml:space="preserve">Vai trò</t>
  </si>
  <si>
    <t xml:space="preserve">you</t>
  </si>
  <si>
    <t xml:space="preserve">Bạn</t>
  </si>
  <si>
    <t xml:space="preserve">Trợ lý nghiên cứu</t>
  </si>
  <si>
    <t xml:space="preserve">GS. Lâm</t>
  </si>
  <si>
    <t xml:space="preserve">Người hướng dẫn</t>
  </si>
  <si>
    <t xml:space="preserve">an</t>
  </si>
  <si>
    <t xml:space="preserve">Thủ thư An</t>
  </si>
  <si>
    <t xml:space="preserve">Thủ thư lưu trữ</t>
  </si>
  <si>
    <t xml:space="preserve">TS. Khoa</t>
  </si>
  <si>
    <t xml:space="preserve">Phản biện viên</t>
  </si>
  <si>
    <t xml:space="preserve">SV. Minh</t>
  </si>
  <si>
    <t xml:space="preserve">Sinh viên</t>
  </si>
  <si>
    <t xml:space="preserve">CẢNH NỀN</t>
  </si>
  <si>
    <t xml:space="preserve">BackgroundKey</t>
  </si>
  <si>
    <t xml:space="preserve">Mô tả</t>
  </si>
  <si>
    <t xml:space="preserve">Tình trạng asset</t>
  </si>
  <si>
    <t xml:space="preserve">Thư khố / tầng hầm lưu trữ, tông nâu ấm</t>
  </si>
  <si>
    <t xml:space="preserve">Có sẵn</t>
  </si>
  <si>
    <t xml:space="preserve">Hội trường / hội thảo, tông tím xanh</t>
  </si>
  <si>
    <t xml:space="preserve">Bục thẩm / khán phòng, tông đỏ trầm</t>
  </si>
  <si>
    <t xml:space="preserve">MOOD</t>
  </si>
  <si>
    <t xml:space="preserve">MoodKey</t>
  </si>
  <si>
    <t xml:space="preserve">Ý nghĩa gợi ý</t>
  </si>
  <si>
    <t xml:space="preserve">Bình thường / trung lập</t>
  </si>
  <si>
    <t xml:space="preserve">Vui / khích lệ</t>
  </si>
  <si>
    <t xml:space="preserve">Quan ngại / sửa sai nhẹ nhàng</t>
  </si>
  <si>
    <t xml:space="preserve">Nghiêm khắc / phản biện</t>
  </si>
  <si>
    <t xml:space="preserve">NODE TYPE</t>
  </si>
  <si>
    <t xml:space="preserve">NodeType</t>
  </si>
  <si>
    <t xml:space="preserve">Trường bắt buộc</t>
  </si>
  <si>
    <t xml:space="preserve">Object đầu ra</t>
  </si>
  <si>
    <t xml:space="preserve">ActNo, Background, SceneName</t>
  </si>
  <si>
    <t xml:space="preserve">{ t: "scene", bg, act, name }</t>
  </si>
  <si>
    <t xml:space="preserve">SpeakerKey, Text; Mood trừ narr</t>
  </si>
  <si>
    <t xml:space="preserve">{ t: "say", who, mood?, text }</t>
  </si>
  <si>
    <t xml:space="preserve">ChoiceMode, SpeakerKey, Mood, Question + options</t>
  </si>
  <si>
    <t xml:space="preserve">{ t: "choice", who, mood, q, opts }</t>
  </si>
  <si>
    <t xml:space="preserve">{ t: "act", n }</t>
  </si>
  <si>
    <t xml:space="preserve">Không có trường phụ</t>
  </si>
  <si>
    <t xml:space="preserve">{ t: "end" }</t>
  </si>
  <si>
    <t xml:space="preserve">05 -- KIỂM TRA CHẤT LƯỢNG TRƯỚC KHI BÀN GIAO</t>
  </si>
  <si>
    <t xml:space="preserve">QA tự động kiểm tra cấu trúc; reviewer vẫn cần duyệt kiến thức, chính tả và tính tự nhiên.</t>
  </si>
  <si>
    <t xml:space="preserve">TỔNG QUAN</t>
  </si>
  <si>
    <t xml:space="preserve">Tổng node</t>
  </si>
  <si>
    <t xml:space="preserve">Scene</t>
  </si>
  <si>
    <t xml:space="preserve">Say</t>
  </si>
  <si>
    <t xml:space="preserve">Choice</t>
  </si>
  <si>
    <t xml:space="preserve">Act</t>
  </si>
  <si>
    <t xml:space="preserve">End</t>
  </si>
  <si>
    <t xml:space="preserve">Lỗi node</t>
  </si>
  <si>
    <t xml:space="preserve">Lỗi option</t>
  </si>
  <si>
    <t xml:space="preserve">CÁC ĐIỀU KIỆN BẮT BUỘC</t>
  </si>
  <si>
    <t xml:space="preserve">Kiểm tra</t>
  </si>
  <si>
    <t xml:space="preserve">Kết quả</t>
  </si>
  <si>
    <t xml:space="preserve">Có đúng 1 node end</t>
  </si>
  <si>
    <t xml:space="preserve">Giữ đúng một end ở cuối phim.</t>
  </si>
  <si>
    <t xml:space="preserve">Không có lỗi node</t>
  </si>
  <si>
    <t xml:space="preserve">Xem cột Lỗi cấu trúc sheet 02.</t>
  </si>
  <si>
    <t xml:space="preserve">Không có lỗi option</t>
  </si>
  <si>
    <t xml:space="preserve">Xem cột Lỗi cấu trúc sheet 03.</t>
  </si>
  <si>
    <t xml:space="preserve">Số scene thông thường 2-4</t>
  </si>
  <si>
    <t xml:space="preserve">Ngoài khoảng cần reviewer xác nhận.</t>
  </si>
  <si>
    <t xml:space="preserve">Metadata sẵn sàng</t>
  </si>
  <si>
    <t xml:space="preserve">Hoàn tất sheet 01 và Đã duyệt.</t>
  </si>
  <si>
    <t xml:space="preserve">KẾT LUẬN BÀN GIAO</t>
  </si>
  <si>
    <t xml:space="preserve">Chỉ bàn giao khi SẴN SÀNG.</t>
  </si>
  <si>
    <t xml:space="preserve">KIỂM TRA TỪNG CHOICE NODE</t>
  </si>
  <si>
    <t xml:space="preserve">ChoiceNodeId</t>
  </si>
  <si>
    <t xml:space="preserve">Số option</t>
  </si>
  <si>
    <t xml:space="preserve">Số đáp án đúng</t>
  </si>
  <si>
    <t xml:space="preserve">Lỗi</t>
  </si>
  <si>
    <t xml:space="preserve">CHECKLIST REVIEWER</t>
  </si>
  <si>
    <t xml:space="preserve">Mục review</t>
  </si>
  <si>
    <t xml:space="preserve">Xác nhận</t>
  </si>
  <si>
    <t xml:space="preserve">Kiến thức đúng nguồn</t>
  </si>
  <si>
    <t xml:space="preserve">Chưa kiểm tra</t>
  </si>
  <si>
    <t xml:space="preserve">Câu hỏi không đánh đố</t>
  </si>
  <si>
    <t xml:space="preserve">Phản hồi sai có giải thích</t>
  </si>
  <si>
    <t xml:space="preserve">Tên màn và chuyển cảnh hợp lý</t>
  </si>
  <si>
    <t xml:space="preserve">Lời thoại tự nhiên, đúng vai</t>
  </si>
  <si>
    <t xml:space="preserve">Không có HTML / lỗi chính tả</t>
  </si>
  <si>
    <t xml:space="preserve">Đã chạy thử seed ở môi trường dev</t>
  </si>
  <si>
    <t xml:space="preserve">06 -- MAPPING EXCEL -&gt; TYPESCRIPT / PRISMA SEED</t>
  </si>
  <si>
    <t xml:space="preserve">Dành cho dev. ChoiceMode là metadata biên soạn, chỉ dùng để validate và không xuất vào ScriptNode.</t>
  </si>
  <si>
    <t xml:space="preserve">1. MAPPING THÔNG TIN MOVIE</t>
  </si>
  <si>
    <t xml:space="preserve">Excel</t>
  </si>
  <si>
    <t xml:space="preserve">Biến seed / Prisma</t>
  </si>
  <si>
    <t xml:space="preserve">Mục đích</t>
  </si>
  <si>
    <t xml:space="preserve">01!chapterCode</t>
  </si>
  <si>
    <t xml:space="preserve">chapter.findUnique({ where: { code } })</t>
  </si>
  <si>
    <t xml:space="preserve">Không tìm thấy chapter thì cảnh báo và return.</t>
  </si>
  <si>
    <t xml:space="preserve">01!muc</t>
  </si>
  <si>
    <t xml:space="preserve">movie.findFirst({ where: { muc } })</t>
  </si>
  <si>
    <t xml:space="preserve">Khóa xác định update/create.</t>
  </si>
  <si>
    <t xml:space="preserve">01!movieTitle</t>
  </si>
  <si>
    <t xml:space="preserve">movie.title</t>
  </si>
  <si>
    <t xml:space="preserve">Tên hiển thị.</t>
  </si>
  <si>
    <t xml:space="preserve">01!seedFunctionName</t>
  </si>
  <si>
    <t xml:space="preserve">Tên export function</t>
  </si>
  <si>
    <t xml:space="preserve">Đăng ký vào seed/index.ts</t>
  </si>
  <si>
    <t xml:space="preserve">Phải duy nhất.</t>
  </si>
  <si>
    <t xml:space="preserve">01!seedLogLabel</t>
  </si>
  <si>
    <t xml:space="preserve">seedLog(label, 1)</t>
  </si>
  <si>
    <t xml:space="preserve">Log seed</t>
  </si>
  <si>
    <t xml:space="preserve">Đổi theo chương.</t>
  </si>
  <si>
    <t xml:space="preserve">2. MAPPING SCRIPT NODE</t>
  </si>
  <si>
    <t xml:space="preserve">Excel fields</t>
  </si>
  <si>
    <t xml:space="preserve">Bỏ qua khi rỗng</t>
  </si>
  <si>
    <t xml:space="preserve">Liên kết option</t>
  </si>
  <si>
    <t xml:space="preserve">Background, ActNo, SceneName</t>
  </si>
  <si>
    <t xml:space="preserve">{ t:"scene", bg, act, name }</t>
  </si>
  <si>
    <t xml:space="preserve">NodeOrder</t>
  </si>
  <si>
    <t xml:space="preserve">Đủ 3 trường</t>
  </si>
  <si>
    <t xml:space="preserve">Đầu màn.</t>
  </si>
  <si>
    <t xml:space="preserve">SpeakerKey, Mood, Text</t>
  </si>
  <si>
    <t xml:space="preserve">{ t:"say", who, mood?, text }</t>
  </si>
  <si>
    <t xml:space="preserve">mood</t>
  </si>
  <si>
    <t xml:space="preserve">who/text bắt buộc</t>
  </si>
  <si>
    <t xml:space="preserve">narr thường không có mood.</t>
  </si>
  <si>
    <t xml:space="preserve">SpeakerKey, Mood, Question</t>
  </si>
  <si>
    <t xml:space="preserve">{ t:"choice", who, mood, q, opts }</t>
  </si>
  <si>
    <t xml:space="preserve">Join 03 theo ChoiceNodeId</t>
  </si>
  <si>
    <t xml:space="preserve">NodeOrder + OptionOrder</t>
  </si>
  <si>
    <t xml:space="preserve">2-4 opts, theo ChoiceMode</t>
  </si>
  <si>
    <t xml:space="preserve">Không xuất ChoiceMode.</t>
  </si>
  <si>
    <t xml:space="preserve">{ t:"act", n }</t>
  </si>
  <si>
    <t xml:space="preserve">n bắt buộc</t>
  </si>
  <si>
    <t xml:space="preserve">Cuối màn.</t>
  </si>
  <si>
    <t xml:space="preserve">--</t>
  </si>
  <si>
    <t xml:space="preserve">{ t:"end" }</t>
  </si>
  <si>
    <t xml:space="preserve">Tất cả</t>
  </si>
  <si>
    <t xml:space="preserve">Đúng 1 node</t>
  </si>
  <si>
    <t xml:space="preserve">Cuối phim.</t>
  </si>
  <si>
    <t xml:space="preserve">3. MAPPING CHOICE OPTION</t>
  </si>
  <si>
    <t xml:space="preserve">Excel field</t>
  </si>
  <si>
    <t xml:space="preserve">Output field</t>
  </si>
  <si>
    <t xml:space="preserve">Lưu ý</t>
  </si>
  <si>
    <t xml:space="preserve">OptionText</t>
  </si>
  <si>
    <t xml:space="preserve">text</t>
  </si>
  <si>
    <t xml:space="preserve">Giữ nguyên chuỗi</t>
  </si>
  <si>
    <t xml:space="preserve">Em sẵn sàng.</t>
  </si>
  <si>
    <t xml:space="preserve">Không tự thêm A/B/C nếu UI không yêu cầu.</t>
  </si>
  <si>
    <t xml:space="preserve">IsCorrect</t>
  </si>
  <si>
    <t xml:space="preserve">correct</t>
  </si>
  <si>
    <t xml:space="preserve">Chỉ xuất correct:true khi "Có"</t>
  </si>
  <si>
    <t xml:space="preserve">true</t>
  </si>
  <si>
    <t xml:space="preserve">Tương tác: tất cả = Không; không xuất false.</t>
  </si>
  <si>
    <t xml:space="preserve">Chỉ xuất khi có số</t>
  </si>
  <si>
    <t xml:space="preserve">8 hoặc -2</t>
  </si>
  <si>
    <t xml:space="preserve">Dùng cho thiện cảm.</t>
  </si>
  <si>
    <t xml:space="preserve">ReplySpeaker</t>
  </si>
  <si>
    <t xml:space="preserve">reply.who</t>
  </si>
  <si>
    <t xml:space="preserve">Key hợp lệ</t>
  </si>
  <si>
    <t xml:space="preserve">reply.t luôn là say.</t>
  </si>
  <si>
    <t xml:space="preserve">reply.mood</t>
  </si>
  <si>
    <t xml:space="preserve">Bỏ qua nếu trống</t>
  </si>
  <si>
    <t xml:space="preserve">narr thường trống.</t>
  </si>
  <si>
    <t xml:space="preserve">ReplyText</t>
  </si>
  <si>
    <t xml:space="preserve">reply.text</t>
  </si>
  <si>
    <t xml:space="preserve">Giữ nguyên</t>
  </si>
  <si>
    <t xml:space="preserve">Tinh thần tốt.</t>
  </si>
  <si>
    <t xml:space="preserve">Sai kiến thức cần giải thích.</t>
  </si>
  <si>
    <t xml:space="preserve">4. THUẬT TOÁN CHUYỂN ĐỔI ĐỀ XUẤT</t>
  </si>
  <si>
    <t xml:space="preserve">Xử lý</t>
  </si>
  <si>
    <t xml:space="preserve">Chi tiết</t>
  </si>
  <si>
    <t xml:space="preserve">Đọc metadata</t>
  </si>
  <si>
    <t xml:space="preserve">Lấy chapterCode, muc, movieTitle, tên hàm/file.</t>
  </si>
  <si>
    <t xml:space="preserve">Đọc node</t>
  </si>
  <si>
    <t xml:space="preserve">Bỏ NodeOrder trống; sort tăng dần; kiểm tra NodeId duy nhất.</t>
  </si>
  <si>
    <t xml:space="preserve">Đọc option</t>
  </si>
  <si>
    <t xml:space="preserve">Bỏ ChoiceNodeId trống; group theo ID; sort OptionOrder.</t>
  </si>
  <si>
    <t xml:space="preserve">Dựng script</t>
  </si>
  <si>
    <t xml:space="preserve">Switch NodeType; choice gắn opts đã group; bỏ ChoiceMode.</t>
  </si>
  <si>
    <t xml:space="preserve">Tạo option</t>
  </si>
  <si>
    <t xml:space="preserve">correct chỉ khi Có; dc/mood chỉ khi có giá trị; reply luôn t=say.</t>
  </si>
  <si>
    <t xml:space="preserve">Upsert movie</t>
  </si>
  <si>
    <t xml:space="preserve">Tìm chapter; tìm movie theo muc; update hoặc create.</t>
  </si>
  <si>
    <t xml:space="preserve">Đăng ký seed</t>
  </si>
  <si>
    <t xml:space="preserve">Import và gọi hàm trong services/src/seed/index.ts.</t>
  </si>
  <si>
    <t xml:space="preserve">5. MẪU OBJECT ĐẦU RA</t>
  </si>
  <si>
    <t xml:space="preserve">Loại</t>
  </si>
  <si>
    <t xml:space="preserve">Ví dụ TypeScript / JSON tương ứng</t>
  </si>
  <si>
    <t xml:space="preserve">{ t: "scene", bg: "thukho", act: 1, name: "Màn I . Nguồn gốc" }</t>
  </si>
  <si>
    <t xml:space="preserve">{ t: "say", who: "lam", mood: "neutral", text: "Chào trợ lý mới." }</t>
  </si>
  <si>
    <t xml:space="preserve">{ t: "choice", who: "lam", mood: "neutral", q: "...", opts: [ /* từ sheet 03 */ ] }</t>
  </si>
  <si>
    <t xml:space="preserve">{ t: "act", n: "I" }</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</si>
</sst>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6"/>
      <name val="Times New Roman"/>
      <family val="0"/>
      <charset val="1"/>
    </font>
    <font>
      <i val="true"/>
      <sz val="9"/>
      <color rgb="FF555555"/>
      <name val="Times New Roman"/>
      <family val="0"/>
      <charset val="1"/>
    </font>
    <font>
      <b val="true"/>
      <sz val="12"/>
      <name val="Times New Roman"/>
      <family val="0"/>
      <charset val="1"/>
    </font>
    <font>
      <b val="true"/>
      <sz val="10"/>
      <name val="Times New Roman"/>
      <family val="0"/>
      <charset val="1"/>
    </font>
    <font>
      <sz val="10"/>
      <name val="Times New Roman"/>
      <family val="0"/>
      <charset val="1"/>
    </font>
  </fonts>
  <fills count="4">
    <fill>
      <patternFill patternType="none"/>
    </fill>
    <fill>
      <patternFill patternType="gray125"/>
    </fill>
    <fill>
      <patternFill patternType="solid">
        <fgColor rgb="FFD9D9D9"/>
        <bgColor rgb="FFC0C0C0"/>
      </patternFill>
    </fill>
    <fill>
      <patternFill patternType="solid">
        <fgColor rgb="FFFFF2CC"/>
        <bgColor rgb="FFFFFF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4" min="3" style="0" width="34"/>
    <col collapsed="false" customWidth="true" hidden="false" outlineLevel="0" max="5" min="5" style="0" width="30"/>
  </cols>
  <sheetData>
    <row r="1" customFormat="false" ht="19.7" hidden="false" customHeight="false" outlineLevel="0" collapsed="false">
      <c r="A1" s="1" t="s">
        <v>0</v>
      </c>
    </row>
    <row r="2" customFormat="false" ht="30" hidden="false" customHeight="true" outlineLevel="0" collapsed="false">
      <c r="A2" s="2" t="s">
        <v>1</v>
      </c>
      <c r="B2" s="2"/>
      <c r="C2" s="2"/>
      <c r="D2" s="2"/>
      <c r="E2" s="2"/>
      <c r="F2" s="2"/>
      <c r="G2" s="2"/>
      <c r="H2" s="2"/>
    </row>
    <row r="4" customFormat="false" ht="15" hidden="false" customHeight="false" outlineLevel="0" collapsed="false">
      <c r="A4" s="3" t="s">
        <v>2</v>
      </c>
    </row>
    <row r="5" customFormat="false" ht="15" hidden="false" customHeight="false" outlineLevel="0" collapsed="false">
      <c r="A5" s="4" t="s">
        <v>3</v>
      </c>
      <c r="B5" s="4" t="s">
        <v>4</v>
      </c>
      <c r="C5" s="4" t="s">
        <v>5</v>
      </c>
      <c r="D5" s="4" t="s">
        <v>6</v>
      </c>
      <c r="E5" s="4" t="s">
        <v>7</v>
      </c>
    </row>
    <row r="6" customFormat="false" ht="15" hidden="false" customHeight="false" outlineLevel="0" collapsed="false">
      <c r="A6" s="5" t="n">
        <v>1</v>
      </c>
      <c r="B6" s="5" t="s">
        <v>8</v>
      </c>
      <c r="C6" s="5" t="s">
        <v>9</v>
      </c>
      <c r="D6" s="5" t="s">
        <v>10</v>
      </c>
      <c r="E6" s="5" t="s">
        <v>11</v>
      </c>
    </row>
    <row r="7" customFormat="false" ht="23.85" hidden="false" customHeight="false" outlineLevel="0" collapsed="false">
      <c r="A7" s="5" t="n">
        <v>2</v>
      </c>
      <c r="B7" s="5" t="s">
        <v>8</v>
      </c>
      <c r="C7" s="5" t="s">
        <v>12</v>
      </c>
      <c r="D7" s="5" t="s">
        <v>13</v>
      </c>
      <c r="E7" s="5" t="s">
        <v>14</v>
      </c>
    </row>
    <row r="8" customFormat="false" ht="23.85" hidden="false" customHeight="false" outlineLevel="0" collapsed="false">
      <c r="A8" s="5" t="n">
        <v>3</v>
      </c>
      <c r="B8" s="5" t="s">
        <v>8</v>
      </c>
      <c r="C8" s="5" t="s">
        <v>15</v>
      </c>
      <c r="D8" s="5" t="s">
        <v>16</v>
      </c>
      <c r="E8" s="5" t="s">
        <v>17</v>
      </c>
    </row>
    <row r="9" customFormat="false" ht="23.85" hidden="false" customHeight="false" outlineLevel="0" collapsed="false">
      <c r="A9" s="5" t="n">
        <v>4</v>
      </c>
      <c r="B9" s="5" t="s">
        <v>18</v>
      </c>
      <c r="C9" s="5" t="s">
        <v>19</v>
      </c>
      <c r="D9" s="5" t="s">
        <v>20</v>
      </c>
      <c r="E9" s="5" t="s">
        <v>21</v>
      </c>
    </row>
    <row r="10" customFormat="false" ht="15" hidden="false" customHeight="false" outlineLevel="0" collapsed="false">
      <c r="A10" s="5" t="n">
        <v>5</v>
      </c>
      <c r="B10" s="5" t="s">
        <v>22</v>
      </c>
      <c r="C10" s="5" t="s">
        <v>23</v>
      </c>
      <c r="D10" s="5" t="s">
        <v>24</v>
      </c>
      <c r="E10" s="5" t="s">
        <v>25</v>
      </c>
    </row>
    <row r="12" customFormat="false" ht="15" hidden="false" customHeight="false" outlineLevel="0" collapsed="false">
      <c r="A12" s="3" t="s">
        <v>26</v>
      </c>
    </row>
    <row r="13" customFormat="false" ht="15" hidden="false" customHeight="false" outlineLevel="0" collapsed="false">
      <c r="A13" s="4" t="s">
        <v>27</v>
      </c>
      <c r="B13" s="4" t="s">
        <v>28</v>
      </c>
      <c r="C13" s="4" t="s">
        <v>29</v>
      </c>
    </row>
    <row r="14" customFormat="false" ht="23.85" hidden="false" customHeight="false" outlineLevel="0" collapsed="false">
      <c r="A14" s="6" t="s">
        <v>30</v>
      </c>
      <c r="B14" s="5" t="s">
        <v>31</v>
      </c>
      <c r="C14" s="5" t="s">
        <v>32</v>
      </c>
    </row>
    <row r="15" customFormat="false" ht="23.85" hidden="false" customHeight="false" outlineLevel="0" collapsed="false">
      <c r="A15" s="7" t="s">
        <v>33</v>
      </c>
      <c r="B15" s="5" t="s">
        <v>34</v>
      </c>
      <c r="C15" s="5" t="s">
        <v>35</v>
      </c>
    </row>
    <row r="16" customFormat="false" ht="23.85" hidden="false" customHeight="false" outlineLevel="0" collapsed="false">
      <c r="A16" s="5" t="s">
        <v>36</v>
      </c>
      <c r="B16" s="5" t="s">
        <v>37</v>
      </c>
      <c r="C16" s="5" t="s">
        <v>38</v>
      </c>
    </row>
    <row r="17" customFormat="false" ht="23.85" hidden="false" customHeight="false" outlineLevel="0" collapsed="false">
      <c r="A17" s="5" t="s">
        <v>39</v>
      </c>
      <c r="B17" s="5" t="s">
        <v>40</v>
      </c>
      <c r="C17" s="5" t="s">
        <v>41</v>
      </c>
    </row>
    <row r="19" customFormat="false" ht="15" hidden="false" customHeight="false" outlineLevel="0" collapsed="false">
      <c r="A19" s="3" t="s">
        <v>42</v>
      </c>
    </row>
    <row r="20" customFormat="false" ht="15" hidden="false" customHeight="false" outlineLevel="0" collapsed="false">
      <c r="A20" s="4" t="s">
        <v>43</v>
      </c>
      <c r="B20" s="4" t="s">
        <v>44</v>
      </c>
      <c r="C20" s="4" t="s">
        <v>45</v>
      </c>
      <c r="D20" s="4" t="s">
        <v>46</v>
      </c>
    </row>
    <row r="21" customFormat="false" ht="46.25" hidden="false" customHeight="false" outlineLevel="0" collapsed="false">
      <c r="A21" s="5" t="s">
        <v>47</v>
      </c>
      <c r="B21" s="5" t="s">
        <v>48</v>
      </c>
      <c r="C21" s="5" t="s">
        <v>49</v>
      </c>
      <c r="D21" s="5" t="s">
        <v>50</v>
      </c>
    </row>
    <row r="22" customFormat="false" ht="35.05" hidden="false" customHeight="false" outlineLevel="0" collapsed="false">
      <c r="A22" s="5" t="s">
        <v>51</v>
      </c>
      <c r="B22" s="5" t="s">
        <v>52</v>
      </c>
      <c r="C22" s="5" t="s">
        <v>49</v>
      </c>
      <c r="D22" s="5" t="s">
        <v>53</v>
      </c>
    </row>
    <row r="23" customFormat="false" ht="35.05" hidden="false" customHeight="false" outlineLevel="0" collapsed="false">
      <c r="A23" s="5" t="s">
        <v>54</v>
      </c>
      <c r="B23" s="5" t="s">
        <v>55</v>
      </c>
      <c r="C23" s="5" t="s">
        <v>49</v>
      </c>
      <c r="D23" s="5" t="s">
        <v>56</v>
      </c>
    </row>
    <row r="24" customFormat="false" ht="46.25" hidden="false" customHeight="false" outlineLevel="0" collapsed="false">
      <c r="A24" s="5" t="s">
        <v>57</v>
      </c>
      <c r="B24" s="5" t="s">
        <v>58</v>
      </c>
      <c r="C24" s="5" t="s">
        <v>49</v>
      </c>
      <c r="D24" s="5" t="s">
        <v>59</v>
      </c>
    </row>
    <row r="25" customFormat="false" ht="46.25" hidden="false" customHeight="false" outlineLevel="0" collapsed="false">
      <c r="A25" s="5" t="s">
        <v>60</v>
      </c>
      <c r="B25" s="5" t="s">
        <v>61</v>
      </c>
      <c r="C25" s="5" t="s">
        <v>49</v>
      </c>
      <c r="D25" s="5" t="s">
        <v>62</v>
      </c>
    </row>
    <row r="26" customFormat="false" ht="35.05" hidden="false" customHeight="false" outlineLevel="0" collapsed="false">
      <c r="A26" s="5" t="s">
        <v>63</v>
      </c>
      <c r="B26" s="5" t="s">
        <v>64</v>
      </c>
      <c r="C26" s="5" t="s">
        <v>49</v>
      </c>
      <c r="D26" s="5" t="s">
        <v>65</v>
      </c>
    </row>
    <row r="27" customFormat="false" ht="35.05" hidden="false" customHeight="false" outlineLevel="0" collapsed="false">
      <c r="A27" s="5" t="s">
        <v>66</v>
      </c>
      <c r="B27" s="5" t="s">
        <v>67</v>
      </c>
      <c r="C27" s="5" t="s">
        <v>68</v>
      </c>
      <c r="D27" s="5" t="s">
        <v>69</v>
      </c>
    </row>
    <row r="28" customFormat="false" ht="35.05" hidden="false" customHeight="false" outlineLevel="0" collapsed="false">
      <c r="A28" s="5" t="s">
        <v>70</v>
      </c>
      <c r="B28" s="5" t="s">
        <v>71</v>
      </c>
      <c r="C28" s="5" t="s">
        <v>49</v>
      </c>
      <c r="D28" s="5" t="s">
        <v>72</v>
      </c>
    </row>
    <row r="30" customFormat="false" ht="15" hidden="false" customHeight="false" outlineLevel="0" collapsed="false">
      <c r="A30" s="3" t="s">
        <v>73</v>
      </c>
    </row>
    <row r="31" customFormat="false" ht="15" hidden="false" customHeight="false" outlineLevel="0" collapsed="false">
      <c r="A31" s="4" t="s">
        <v>74</v>
      </c>
      <c r="B31" s="4" t="s">
        <v>75</v>
      </c>
    </row>
    <row r="32" customFormat="false" ht="23.85" hidden="false" customHeight="false" outlineLevel="0" collapsed="false">
      <c r="A32" s="5" t="s">
        <v>76</v>
      </c>
      <c r="B32" s="5" t="s">
        <v>77</v>
      </c>
    </row>
    <row r="33" customFormat="false" ht="35.05" hidden="false" customHeight="false" outlineLevel="0" collapsed="false">
      <c r="A33" s="5" t="s">
        <v>78</v>
      </c>
      <c r="B33" s="5" t="s">
        <v>79</v>
      </c>
    </row>
    <row r="34" customFormat="false" ht="35.05" hidden="false" customHeight="false" outlineLevel="0" collapsed="false">
      <c r="A34" s="5" t="s">
        <v>80</v>
      </c>
      <c r="B34" s="5" t="s">
        <v>81</v>
      </c>
    </row>
    <row r="35" customFormat="false" ht="35.05" hidden="false" customHeight="false" outlineLevel="0" collapsed="false">
      <c r="A35" s="5" t="s">
        <v>82</v>
      </c>
      <c r="B35" s="5" t="s">
        <v>83</v>
      </c>
    </row>
    <row r="37" customFormat="false" ht="15" hidden="false" customHeight="false" outlineLevel="0" collapsed="false">
      <c r="A37" s="4" t="s">
        <v>84</v>
      </c>
      <c r="B37" s="4" t="s">
        <v>85</v>
      </c>
    </row>
    <row r="38" customFormat="false" ht="15" hidden="false" customHeight="false" outlineLevel="0" collapsed="false">
      <c r="A38" s="5" t="s">
        <v>86</v>
      </c>
      <c r="B38" s="5" t="s">
        <v>87</v>
      </c>
    </row>
    <row r="39" customFormat="false" ht="15" hidden="false" customHeight="false" outlineLevel="0" collapsed="false">
      <c r="A39" s="5" t="s">
        <v>88</v>
      </c>
      <c r="B39" s="5" t="s">
        <v>89</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46"/>
    <col collapsed="false" customWidth="true" hidden="false" outlineLevel="0" max="4" min="4" style="0" width="30"/>
    <col collapsed="false" customWidth="true" hidden="false" outlineLevel="0" max="5" min="5" style="0" width="40"/>
  </cols>
  <sheetData>
    <row r="1" customFormat="false" ht="19.7" hidden="false" customHeight="false" outlineLevel="0" collapsed="false">
      <c r="A1" s="1" t="s">
        <v>90</v>
      </c>
    </row>
    <row r="2" customFormat="false" ht="15" hidden="false" customHeight="false" outlineLevel="0" collapsed="false">
      <c r="A2" s="8" t="s">
        <v>91</v>
      </c>
      <c r="B2" s="8"/>
      <c r="C2" s="8"/>
      <c r="D2" s="8"/>
      <c r="E2" s="8"/>
    </row>
    <row r="4" customFormat="false" ht="15" hidden="false" customHeight="false" outlineLevel="0" collapsed="false">
      <c r="A4" s="4" t="s">
        <v>92</v>
      </c>
      <c r="B4" s="4" t="s">
        <v>49</v>
      </c>
      <c r="C4" s="4" t="s">
        <v>85</v>
      </c>
      <c r="D4" s="4" t="s">
        <v>93</v>
      </c>
      <c r="E4" s="4" t="s">
        <v>94</v>
      </c>
    </row>
    <row r="5" customFormat="false" ht="15" hidden="false" customHeight="false" outlineLevel="0" collapsed="false">
      <c r="A5" s="5" t="s">
        <v>95</v>
      </c>
      <c r="B5" s="5" t="s">
        <v>96</v>
      </c>
      <c r="C5" s="6" t="s">
        <v>97</v>
      </c>
      <c r="D5" s="5" t="s">
        <v>98</v>
      </c>
      <c r="E5" s="5" t="s">
        <v>99</v>
      </c>
    </row>
    <row r="6" customFormat="false" ht="23.85" hidden="false" customHeight="false" outlineLevel="0" collapsed="false">
      <c r="A6" s="5" t="s">
        <v>100</v>
      </c>
      <c r="B6" s="5" t="s">
        <v>96</v>
      </c>
      <c r="C6" s="6" t="s">
        <v>101</v>
      </c>
      <c r="D6" s="5" t="s">
        <v>102</v>
      </c>
      <c r="E6" s="5" t="s">
        <v>103</v>
      </c>
    </row>
    <row r="7" customFormat="false" ht="15" hidden="false" customHeight="false" outlineLevel="0" collapsed="false">
      <c r="A7" s="5" t="s">
        <v>104</v>
      </c>
      <c r="B7" s="5" t="s">
        <v>96</v>
      </c>
      <c r="C7" s="6" t="s">
        <v>105</v>
      </c>
      <c r="D7" s="5" t="s">
        <v>106</v>
      </c>
      <c r="E7" s="5" t="s">
        <v>107</v>
      </c>
    </row>
    <row r="8" customFormat="false" ht="15" hidden="false" customHeight="false" outlineLevel="0" collapsed="false">
      <c r="A8" s="5" t="s">
        <v>108</v>
      </c>
      <c r="B8" s="5" t="s">
        <v>96</v>
      </c>
      <c r="C8" s="6" t="s">
        <v>109</v>
      </c>
      <c r="D8" s="5" t="s">
        <v>110</v>
      </c>
      <c r="E8" s="5" t="s">
        <v>111</v>
      </c>
    </row>
    <row r="9" customFormat="false" ht="15" hidden="false" customHeight="false" outlineLevel="0" collapsed="false">
      <c r="A9" s="5" t="s">
        <v>112</v>
      </c>
      <c r="B9" s="5" t="s">
        <v>96</v>
      </c>
      <c r="C9" s="6" t="s">
        <v>113</v>
      </c>
      <c r="D9" s="5" t="s">
        <v>114</v>
      </c>
      <c r="E9" s="5" t="s">
        <v>115</v>
      </c>
    </row>
    <row r="10" customFormat="false" ht="15" hidden="false" customHeight="false" outlineLevel="0" collapsed="false">
      <c r="A10" s="5" t="s">
        <v>116</v>
      </c>
      <c r="B10" s="5" t="s">
        <v>96</v>
      </c>
      <c r="C10" s="6" t="s">
        <v>117</v>
      </c>
      <c r="D10" s="5" t="s">
        <v>118</v>
      </c>
      <c r="E10" s="5" t="s">
        <v>119</v>
      </c>
    </row>
    <row r="11" customFormat="false" ht="15" hidden="false" customHeight="false" outlineLevel="0" collapsed="false">
      <c r="A11" s="5" t="s">
        <v>120</v>
      </c>
      <c r="B11" s="5" t="s">
        <v>96</v>
      </c>
      <c r="C11" s="6" t="s">
        <v>121</v>
      </c>
      <c r="D11" s="5" t="s">
        <v>122</v>
      </c>
      <c r="E11" s="5" t="s">
        <v>123</v>
      </c>
    </row>
    <row r="12" customFormat="false" ht="15" hidden="false" customHeight="false" outlineLevel="0" collapsed="false">
      <c r="A12" s="5" t="s">
        <v>124</v>
      </c>
      <c r="B12" s="5" t="s">
        <v>96</v>
      </c>
      <c r="C12" s="6" t="s">
        <v>125</v>
      </c>
      <c r="D12" s="5" t="s">
        <v>126</v>
      </c>
      <c r="E12" s="5" t="s">
        <v>127</v>
      </c>
    </row>
    <row r="13" customFormat="false" ht="15" hidden="false" customHeight="false" outlineLevel="0" collapsed="false">
      <c r="A13" s="5" t="s">
        <v>128</v>
      </c>
      <c r="B13" s="5" t="s">
        <v>96</v>
      </c>
      <c r="C13" s="6" t="s">
        <v>129</v>
      </c>
      <c r="D13" s="5" t="s">
        <v>130</v>
      </c>
      <c r="E13" s="5" t="s">
        <v>131</v>
      </c>
    </row>
    <row r="14" customFormat="false" ht="15" hidden="false" customHeight="false" outlineLevel="0" collapsed="false">
      <c r="A14" s="5" t="s">
        <v>132</v>
      </c>
      <c r="B14" s="5" t="s">
        <v>96</v>
      </c>
      <c r="C14" s="6" t="s">
        <v>133</v>
      </c>
      <c r="D14" s="5" t="s">
        <v>134</v>
      </c>
      <c r="E14" s="5" t="s">
        <v>135</v>
      </c>
    </row>
    <row r="15" customFormat="false" ht="23.85" hidden="false" customHeight="false" outlineLevel="0" collapsed="false">
      <c r="A15" s="5" t="s">
        <v>136</v>
      </c>
      <c r="B15" s="5" t="s">
        <v>137</v>
      </c>
      <c r="C15" s="6" t="s">
        <v>138</v>
      </c>
      <c r="D15" s="5" t="s">
        <v>139</v>
      </c>
      <c r="E15" s="5" t="s">
        <v>140</v>
      </c>
    </row>
    <row r="16" customFormat="false" ht="23.85" hidden="false" customHeight="false" outlineLevel="0" collapsed="false">
      <c r="A16" s="5" t="s">
        <v>141</v>
      </c>
      <c r="B16" s="5" t="s">
        <v>137</v>
      </c>
      <c r="C16" s="6" t="s">
        <v>142</v>
      </c>
      <c r="D16" s="5" t="s">
        <v>143</v>
      </c>
      <c r="E16" s="5" t="s">
        <v>144</v>
      </c>
    </row>
    <row r="18" customFormat="false" ht="15" hidden="false" customHeight="false" outlineLevel="0" collapsed="false">
      <c r="A18" s="3" t="s">
        <v>145</v>
      </c>
    </row>
    <row r="19" customFormat="false" ht="15" hidden="false" customHeight="false" outlineLevel="0" collapsed="false">
      <c r="A19" s="4" t="s">
        <v>146</v>
      </c>
      <c r="B19" s="4" t="s">
        <v>85</v>
      </c>
      <c r="C19" s="4" t="s">
        <v>147</v>
      </c>
      <c r="D19" s="4" t="s">
        <v>148</v>
      </c>
    </row>
    <row r="20" customFormat="false" ht="15" hidden="false" customHeight="false" outlineLevel="0" collapsed="false">
      <c r="A20" s="5" t="s">
        <v>149</v>
      </c>
      <c r="B20" s="7" t="n">
        <f aca="false">COUNTIFS(B5:B16,"Có",C5:C16,"")</f>
        <v>0</v>
      </c>
      <c r="C20" s="7" t="str">
        <f aca="false">IF(B20=0,"ĐỦ","CẦN SỬA")</f>
        <v>ĐỦ</v>
      </c>
      <c r="D20" s="5"/>
    </row>
    <row r="21" customFormat="false" ht="15" hidden="false" customHeight="false" outlineLevel="0" collapsed="false">
      <c r="A21" s="5" t="s">
        <v>150</v>
      </c>
      <c r="B21" s="7" t="str">
        <f aca="false">C14</f>
        <v>Đang soạn</v>
      </c>
      <c r="C21" s="7" t="str">
        <f aca="false">IF(B21="Đã duyệt","ĐÃ DUYỆT","CHƯA DUYỆT")</f>
        <v>CHƯA DUYỆT</v>
      </c>
      <c r="D21" s="5"/>
    </row>
    <row r="22" customFormat="false" ht="23.85" hidden="false" customHeight="false" outlineLevel="0" collapsed="false">
      <c r="A22" s="5" t="s">
        <v>151</v>
      </c>
      <c r="B22" s="7"/>
      <c r="C22" s="7" t="str">
        <f aca="false">IF(AND(C20="ĐỦ",C21="ĐÃ DUYỆT"),"SẴN SÀNG","CHƯA SẴN SÀNG")</f>
        <v>CHƯA SẴN SÀNG</v>
      </c>
      <c r="D22" s="5" t="s">
        <v>152</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7"/>
    <col collapsed="false" customWidth="true" hidden="false" outlineLevel="0" max="4" min="4" style="0" width="10"/>
    <col collapsed="false" customWidth="true" hidden="false" outlineLevel="0" max="6" min="5" style="0" width="12"/>
    <col collapsed="false" customWidth="true" hidden="false" outlineLevel="0" max="7" min="7" style="0" width="30"/>
    <col collapsed="false" customWidth="true" hidden="false" outlineLevel="0" max="8" min="8" style="0" width="11"/>
    <col collapsed="false" customWidth="true" hidden="false" outlineLevel="0" max="9" min="9" style="0" width="10"/>
    <col collapsed="false" customWidth="true" hidden="false" outlineLevel="0" max="10" min="10" style="0" width="46"/>
    <col collapsed="false" customWidth="true" hidden="false" outlineLevel="0" max="11" min="11" style="0" width="9"/>
    <col collapsed="false" customWidth="true" hidden="false" outlineLevel="0" max="12" min="12" style="0" width="24"/>
    <col collapsed="false" customWidth="true" hidden="false" outlineLevel="0" max="13" min="13" style="0" width="14"/>
  </cols>
  <sheetData>
    <row r="1" customFormat="false" ht="19.7" hidden="false" customHeight="false" outlineLevel="0" collapsed="false">
      <c r="A1" s="1" t="s">
        <v>153</v>
      </c>
    </row>
    <row r="2" customFormat="false" ht="15" hidden="false" customHeight="false" outlineLevel="0" collapsed="false">
      <c r="A2" s="8" t="s">
        <v>154</v>
      </c>
      <c r="B2" s="8"/>
      <c r="C2" s="8"/>
      <c r="D2" s="8"/>
      <c r="E2" s="8"/>
      <c r="F2" s="8"/>
      <c r="G2" s="8"/>
      <c r="H2" s="8"/>
      <c r="I2" s="8"/>
      <c r="J2" s="8"/>
      <c r="K2" s="8"/>
      <c r="L2" s="8"/>
      <c r="M2" s="8"/>
    </row>
    <row r="4" customFormat="false" ht="23.85" hidden="false" customHeight="false" outlineLevel="0" collapsed="false">
      <c r="A4" s="4" t="s">
        <v>155</v>
      </c>
      <c r="B4" s="4" t="s">
        <v>156</v>
      </c>
      <c r="C4" s="4" t="s">
        <v>157</v>
      </c>
      <c r="D4" s="4" t="s">
        <v>158</v>
      </c>
      <c r="E4" s="4" t="s">
        <v>159</v>
      </c>
      <c r="F4" s="4" t="s">
        <v>160</v>
      </c>
      <c r="G4" s="4" t="s">
        <v>161</v>
      </c>
      <c r="H4" s="4" t="s">
        <v>162</v>
      </c>
      <c r="I4" s="4" t="s">
        <v>163</v>
      </c>
      <c r="J4" s="4" t="s">
        <v>164</v>
      </c>
      <c r="K4" s="4" t="s">
        <v>165</v>
      </c>
      <c r="L4" s="4" t="s">
        <v>166</v>
      </c>
      <c r="M4" s="4" t="s">
        <v>167</v>
      </c>
    </row>
    <row r="5" customFormat="false" ht="42" hidden="false" customHeight="true" outlineLevel="0" collapsed="false">
      <c r="A5" s="6" t="n">
        <v>1</v>
      </c>
      <c r="B5" s="6" t="s">
        <v>168</v>
      </c>
      <c r="C5" s="6" t="n">
        <v>1</v>
      </c>
      <c r="D5" s="6" t="s">
        <v>169</v>
      </c>
      <c r="E5" s="6"/>
      <c r="F5" s="6" t="s">
        <v>170</v>
      </c>
      <c r="G5" s="6" t="s">
        <v>171</v>
      </c>
      <c r="H5" s="6"/>
      <c r="I5" s="6"/>
      <c r="J5" s="6"/>
      <c r="K5" s="6"/>
      <c r="L5" s="6" t="s">
        <v>172</v>
      </c>
      <c r="M5" s="7" t="str">
        <f aca="false">IF(D5="scene",IF(AND(F5&lt;&gt;"",C5&lt;&gt;"",G5&lt;&gt;""),"HỢP LỆ","CẦN SỬA"),IF(D5="say",IF(AND(H5&lt;&gt;"",J5&lt;&gt;""),"HỢP LỆ","CẦN SỬA"),IF(D5="choice",IF(AND(E5&lt;&gt;"",H5&lt;&gt;"",I5&lt;&gt;"",J5&lt;&gt;""),"HỢP LỆ","CẦN SỬA"),IF(D5="act",IF(K5&lt;&gt;"","HỢP LỆ","CẦN SỬA"),IF(D5="end","HỢP LỆ","CẦN SỬA")))))</f>
        <v>HỢP LỆ</v>
      </c>
    </row>
    <row r="6" customFormat="false" ht="42" hidden="false" customHeight="true" outlineLevel="0" collapsed="false">
      <c r="A6" s="6" t="n">
        <v>2</v>
      </c>
      <c r="B6" s="6" t="s">
        <v>173</v>
      </c>
      <c r="C6" s="6" t="n">
        <v>1</v>
      </c>
      <c r="D6" s="6" t="s">
        <v>174</v>
      </c>
      <c r="E6" s="6"/>
      <c r="F6" s="6"/>
      <c r="G6" s="6"/>
      <c r="H6" s="6" t="s">
        <v>175</v>
      </c>
      <c r="I6" s="6"/>
      <c r="J6" s="6" t="s">
        <v>176</v>
      </c>
      <c r="K6" s="6"/>
      <c r="L6" s="6"/>
      <c r="M6" s="7" t="str">
        <f aca="false">IF(D6="scene",IF(AND(F6&lt;&gt;"",C6&lt;&gt;"",G6&lt;&gt;""),"HỢP LỆ","CẦN SỬA"),IF(D6="say",IF(AND(H6&lt;&gt;"",J6&lt;&gt;""),"HỢP LỆ","CẦN SỬA"),IF(D6="choice",IF(AND(E6&lt;&gt;"",H6&lt;&gt;"",I6&lt;&gt;"",J6&lt;&gt;""),"HỢP LỆ","CẦN SỬA"),IF(D6="act",IF(K6&lt;&gt;"","HỢP LỆ","CẦN SỬA"),IF(D6="end","HỢP LỆ","CẦN SỬA")))))</f>
        <v>HỢP LỆ</v>
      </c>
    </row>
    <row r="7" customFormat="false" ht="42" hidden="false" customHeight="true" outlineLevel="0" collapsed="false">
      <c r="A7" s="6" t="n">
        <v>3</v>
      </c>
      <c r="B7" s="6" t="s">
        <v>177</v>
      </c>
      <c r="C7" s="6" t="n">
        <v>1</v>
      </c>
      <c r="D7" s="6" t="s">
        <v>174</v>
      </c>
      <c r="E7" s="6"/>
      <c r="F7" s="6"/>
      <c r="G7" s="6"/>
      <c r="H7" s="6" t="s">
        <v>178</v>
      </c>
      <c r="I7" s="6" t="s">
        <v>179</v>
      </c>
      <c r="J7" s="6" t="s">
        <v>180</v>
      </c>
      <c r="K7" s="6"/>
      <c r="L7" s="6"/>
      <c r="M7" s="7" t="str">
        <f aca="false">IF(D7="scene",IF(AND(F7&lt;&gt;"",C7&lt;&gt;"",G7&lt;&gt;""),"HỢP LỆ","CẦN SỬA"),IF(D7="say",IF(AND(H7&lt;&gt;"",J7&lt;&gt;""),"HỢP LỆ","CẦN SỬA"),IF(D7="choice",IF(AND(E7&lt;&gt;"",H7&lt;&gt;"",I7&lt;&gt;"",J7&lt;&gt;""),"HỢP LỆ","CẦN SỬA"),IF(D7="act",IF(K7&lt;&gt;"","HỢP LỆ","CẦN SỬA"),IF(D7="end","HỢP LỆ","CẦN SỬA")))))</f>
        <v>HỢP LỆ</v>
      </c>
    </row>
    <row r="8" customFormat="false" ht="42" hidden="false" customHeight="true" outlineLevel="0" collapsed="false">
      <c r="A8" s="6" t="n">
        <v>4</v>
      </c>
      <c r="B8" s="6" t="s">
        <v>181</v>
      </c>
      <c r="C8" s="6" t="n">
        <v>1</v>
      </c>
      <c r="D8" s="6" t="s">
        <v>182</v>
      </c>
      <c r="E8" s="6" t="s">
        <v>183</v>
      </c>
      <c r="F8" s="6"/>
      <c r="G8" s="6"/>
      <c r="H8" s="6" t="s">
        <v>178</v>
      </c>
      <c r="I8" s="6" t="s">
        <v>179</v>
      </c>
      <c r="J8" s="6" t="s">
        <v>184</v>
      </c>
      <c r="K8" s="6"/>
      <c r="L8" s="6" t="s">
        <v>185</v>
      </c>
      <c r="M8" s="7" t="str">
        <f aca="false">IF(D8="scene",IF(AND(F8&lt;&gt;"",C8&lt;&gt;"",G8&lt;&gt;""),"HỢP LỆ","CẦN SỬA"),IF(D8="say",IF(AND(H8&lt;&gt;"",J8&lt;&gt;""),"HỢP LỆ","CẦN SỬA"),IF(D8="choice",IF(AND(E8&lt;&gt;"",H8&lt;&gt;"",I8&lt;&gt;"",J8&lt;&gt;""),"HỢP LỆ","CẦN SỬA"),IF(D8="act",IF(K8&lt;&gt;"","HỢP LỆ","CẦN SỬA"),IF(D8="end","HỢP LỆ","CẦN SỬA")))))</f>
        <v>HỢP LỆ</v>
      </c>
    </row>
    <row r="9" customFormat="false" ht="42" hidden="false" customHeight="true" outlineLevel="0" collapsed="false">
      <c r="A9" s="6" t="n">
        <v>5</v>
      </c>
      <c r="B9" s="6" t="s">
        <v>186</v>
      </c>
      <c r="C9" s="6" t="n">
        <v>1</v>
      </c>
      <c r="D9" s="6" t="s">
        <v>182</v>
      </c>
      <c r="E9" s="6" t="s">
        <v>183</v>
      </c>
      <c r="F9" s="6"/>
      <c r="G9" s="6"/>
      <c r="H9" s="6" t="s">
        <v>178</v>
      </c>
      <c r="I9" s="6" t="s">
        <v>179</v>
      </c>
      <c r="J9" s="6" t="s">
        <v>187</v>
      </c>
      <c r="K9" s="6"/>
      <c r="L9" s="6" t="s">
        <v>185</v>
      </c>
      <c r="M9" s="7" t="str">
        <f aca="false">IF(D9="scene",IF(AND(F9&lt;&gt;"",C9&lt;&gt;"",G9&lt;&gt;""),"HỢP LỆ","CẦN SỬA"),IF(D9="say",IF(AND(H9&lt;&gt;"",J9&lt;&gt;""),"HỢP LỆ","CẦN SỬA"),IF(D9="choice",IF(AND(E9&lt;&gt;"",H9&lt;&gt;"",I9&lt;&gt;"",J9&lt;&gt;""),"HỢP LỆ","CẦN SỬA"),IF(D9="act",IF(K9&lt;&gt;"","HỢP LỆ","CẦN SỬA"),IF(D9="end","HỢP LỆ","CẦN SỬA")))))</f>
        <v>HỢP LỆ</v>
      </c>
    </row>
    <row r="10" customFormat="false" ht="42" hidden="false" customHeight="true" outlineLevel="0" collapsed="false">
      <c r="A10" s="6" t="n">
        <v>6</v>
      </c>
      <c r="B10" s="6" t="s">
        <v>188</v>
      </c>
      <c r="C10" s="6" t="n">
        <v>1</v>
      </c>
      <c r="D10" s="6" t="s">
        <v>189</v>
      </c>
      <c r="E10" s="6"/>
      <c r="F10" s="6"/>
      <c r="G10" s="6"/>
      <c r="H10" s="6"/>
      <c r="I10" s="6"/>
      <c r="J10" s="6"/>
      <c r="K10" s="6" t="s">
        <v>190</v>
      </c>
      <c r="L10" s="6" t="s">
        <v>191</v>
      </c>
      <c r="M10" s="7" t="str">
        <f aca="false">IF(D10="scene",IF(AND(F10&lt;&gt;"",C10&lt;&gt;"",G10&lt;&gt;""),"HỢP LỆ","CẦN SỬA"),IF(D10="say",IF(AND(H10&lt;&gt;"",J10&lt;&gt;""),"HỢP LỆ","CẦN SỬA"),IF(D10="choice",IF(AND(E10&lt;&gt;"",H10&lt;&gt;"",I10&lt;&gt;"",J10&lt;&gt;""),"HỢP LỆ","CẦN SỬA"),IF(D10="act",IF(K10&lt;&gt;"","HỢP LỆ","CẦN SỬA"),IF(D10="end","HỢP LỆ","CẦN SỬA")))))</f>
        <v>HỢP LỆ</v>
      </c>
    </row>
    <row r="11" customFormat="false" ht="42" hidden="false" customHeight="true" outlineLevel="0" collapsed="false">
      <c r="A11" s="6" t="n">
        <v>7</v>
      </c>
      <c r="B11" s="6" t="s">
        <v>192</v>
      </c>
      <c r="C11" s="6" t="n">
        <v>2</v>
      </c>
      <c r="D11" s="6" t="s">
        <v>169</v>
      </c>
      <c r="E11" s="6"/>
      <c r="F11" s="6" t="s">
        <v>193</v>
      </c>
      <c r="G11" s="6" t="s">
        <v>194</v>
      </c>
      <c r="H11" s="6"/>
      <c r="I11" s="6"/>
      <c r="J11" s="6"/>
      <c r="K11" s="6"/>
      <c r="L11" s="6" t="s">
        <v>195</v>
      </c>
      <c r="M11" s="7" t="str">
        <f aca="false">IF(D11="scene",IF(AND(F11&lt;&gt;"",C11&lt;&gt;"",G11&lt;&gt;""),"HỢP LỆ","CẦN SỬA"),IF(D11="say",IF(AND(H11&lt;&gt;"",J11&lt;&gt;""),"HỢP LỆ","CẦN SỬA"),IF(D11="choice",IF(AND(E11&lt;&gt;"",H11&lt;&gt;"",I11&lt;&gt;"",J11&lt;&gt;""),"HỢP LỆ","CẦN SỬA"),IF(D11="act",IF(K11&lt;&gt;"","HỢP LỆ","CẦN SỬA"),IF(D11="end","HỢP LỆ","CẦN SỬA")))))</f>
        <v>HỢP LỆ</v>
      </c>
    </row>
    <row r="12" customFormat="false" ht="42" hidden="false" customHeight="true" outlineLevel="0" collapsed="false">
      <c r="A12" s="6" t="n">
        <v>8</v>
      </c>
      <c r="B12" s="6" t="s">
        <v>196</v>
      </c>
      <c r="C12" s="6" t="n">
        <v>2</v>
      </c>
      <c r="D12" s="6" t="s">
        <v>174</v>
      </c>
      <c r="E12" s="6"/>
      <c r="F12" s="6"/>
      <c r="G12" s="6"/>
      <c r="H12" s="6" t="s">
        <v>175</v>
      </c>
      <c r="I12" s="6"/>
      <c r="J12" s="6" t="s">
        <v>197</v>
      </c>
      <c r="K12" s="6"/>
      <c r="L12" s="6"/>
      <c r="M12" s="7" t="str">
        <f aca="false">IF(D12="scene",IF(AND(F12&lt;&gt;"",C12&lt;&gt;"",G12&lt;&gt;""),"HỢP LỆ","CẦN SỬA"),IF(D12="say",IF(AND(H12&lt;&gt;"",J12&lt;&gt;""),"HỢP LỆ","CẦN SỬA"),IF(D12="choice",IF(AND(E12&lt;&gt;"",H12&lt;&gt;"",I12&lt;&gt;"",J12&lt;&gt;""),"HỢP LỆ","CẦN SỬA"),IF(D12="act",IF(K12&lt;&gt;"","HỢP LỆ","CẦN SỬA"),IF(D12="end","HỢP LỆ","CẦN SỬA")))))</f>
        <v>HỢP LỆ</v>
      </c>
    </row>
    <row r="13" customFormat="false" ht="42" hidden="false" customHeight="true" outlineLevel="0" collapsed="false">
      <c r="A13" s="6" t="n">
        <v>9</v>
      </c>
      <c r="B13" s="6" t="s">
        <v>198</v>
      </c>
      <c r="C13" s="6" t="n">
        <v>2</v>
      </c>
      <c r="D13" s="6" t="s">
        <v>182</v>
      </c>
      <c r="E13" s="6" t="s">
        <v>183</v>
      </c>
      <c r="F13" s="6"/>
      <c r="G13" s="6"/>
      <c r="H13" s="6" t="s">
        <v>199</v>
      </c>
      <c r="I13" s="6" t="s">
        <v>200</v>
      </c>
      <c r="J13" s="6" t="s">
        <v>201</v>
      </c>
      <c r="K13" s="6"/>
      <c r="L13" s="6" t="s">
        <v>185</v>
      </c>
      <c r="M13" s="7" t="str">
        <f aca="false">IF(D13="scene",IF(AND(F13&lt;&gt;"",C13&lt;&gt;"",G13&lt;&gt;""),"HỢP LỆ","CẦN SỬA"),IF(D13="say",IF(AND(H13&lt;&gt;"",J13&lt;&gt;""),"HỢP LỆ","CẦN SỬA"),IF(D13="choice",IF(AND(E13&lt;&gt;"",H13&lt;&gt;"",I13&lt;&gt;"",J13&lt;&gt;""),"HỢP LỆ","CẦN SỬA"),IF(D13="act",IF(K13&lt;&gt;"","HỢP LỆ","CẦN SỬA"),IF(D13="end","HỢP LỆ","CẦN SỬA")))))</f>
        <v>HỢP LỆ</v>
      </c>
    </row>
    <row r="14" customFormat="false" ht="42" hidden="false" customHeight="true" outlineLevel="0" collapsed="false">
      <c r="A14" s="6" t="n">
        <v>10</v>
      </c>
      <c r="B14" s="6" t="s">
        <v>202</v>
      </c>
      <c r="C14" s="6" t="n">
        <v>2</v>
      </c>
      <c r="D14" s="6" t="s">
        <v>189</v>
      </c>
      <c r="E14" s="6"/>
      <c r="F14" s="6"/>
      <c r="G14" s="6"/>
      <c r="H14" s="6"/>
      <c r="I14" s="6"/>
      <c r="J14" s="6"/>
      <c r="K14" s="6" t="s">
        <v>203</v>
      </c>
      <c r="L14" s="6" t="s">
        <v>204</v>
      </c>
      <c r="M14" s="7" t="str">
        <f aca="false">IF(D14="scene",IF(AND(F14&lt;&gt;"",C14&lt;&gt;"",G14&lt;&gt;""),"HỢP LỆ","CẦN SỬA"),IF(D14="say",IF(AND(H14&lt;&gt;"",J14&lt;&gt;""),"HỢP LỆ","CẦN SỬA"),IF(D14="choice",IF(AND(E14&lt;&gt;"",H14&lt;&gt;"",I14&lt;&gt;"",J14&lt;&gt;""),"HỢP LỆ","CẦN SỬA"),IF(D14="act",IF(K14&lt;&gt;"","HỢP LỆ","CẦN SỬA"),IF(D14="end","HỢP LỆ","CẦN SỬA")))))</f>
        <v>HỢP LỆ</v>
      </c>
    </row>
    <row r="15" customFormat="false" ht="42" hidden="false" customHeight="true" outlineLevel="0" collapsed="false">
      <c r="A15" s="6" t="n">
        <v>11</v>
      </c>
      <c r="B15" s="6" t="s">
        <v>205</v>
      </c>
      <c r="C15" s="6" t="n">
        <v>3</v>
      </c>
      <c r="D15" s="6" t="s">
        <v>169</v>
      </c>
      <c r="E15" s="6"/>
      <c r="F15" s="6" t="s">
        <v>206</v>
      </c>
      <c r="G15" s="6" t="s">
        <v>207</v>
      </c>
      <c r="H15" s="6"/>
      <c r="I15" s="6"/>
      <c r="J15" s="6"/>
      <c r="K15" s="6"/>
      <c r="L15" s="6" t="s">
        <v>208</v>
      </c>
      <c r="M15" s="7" t="str">
        <f aca="false">IF(D15="scene",IF(AND(F15&lt;&gt;"",C15&lt;&gt;"",G15&lt;&gt;""),"HỢP LỆ","CẦN SỬA"),IF(D15="say",IF(AND(H15&lt;&gt;"",J15&lt;&gt;""),"HỢP LỆ","CẦN SỬA"),IF(D15="choice",IF(AND(E15&lt;&gt;"",H15&lt;&gt;"",I15&lt;&gt;"",J15&lt;&gt;""),"HỢP LỆ","CẦN SỬA"),IF(D15="act",IF(K15&lt;&gt;"","HỢP LỆ","CẦN SỬA"),IF(D15="end","HỢP LỆ","CẦN SỬA")))))</f>
        <v>HỢP LỆ</v>
      </c>
    </row>
    <row r="16" customFormat="false" ht="42" hidden="false" customHeight="true" outlineLevel="0" collapsed="false">
      <c r="A16" s="6" t="n">
        <v>12</v>
      </c>
      <c r="B16" s="6" t="s">
        <v>209</v>
      </c>
      <c r="C16" s="6" t="n">
        <v>3</v>
      </c>
      <c r="D16" s="6" t="s">
        <v>174</v>
      </c>
      <c r="E16" s="6"/>
      <c r="F16" s="6"/>
      <c r="G16" s="6"/>
      <c r="H16" s="6" t="s">
        <v>175</v>
      </c>
      <c r="I16" s="6"/>
      <c r="J16" s="6" t="s">
        <v>210</v>
      </c>
      <c r="K16" s="6"/>
      <c r="L16" s="6"/>
      <c r="M16" s="7" t="str">
        <f aca="false">IF(D16="scene",IF(AND(F16&lt;&gt;"",C16&lt;&gt;"",G16&lt;&gt;""),"HỢP LỆ","CẦN SỬA"),IF(D16="say",IF(AND(H16&lt;&gt;"",J16&lt;&gt;""),"HỢP LỆ","CẦN SỬA"),IF(D16="choice",IF(AND(E16&lt;&gt;"",H16&lt;&gt;"",I16&lt;&gt;"",J16&lt;&gt;""),"HỢP LỆ","CẦN SỬA"),IF(D16="act",IF(K16&lt;&gt;"","HỢP LỆ","CẦN SỬA"),IF(D16="end","HỢP LỆ","CẦN SỬA")))))</f>
        <v>HỢP LỆ</v>
      </c>
    </row>
    <row r="17" customFormat="false" ht="42" hidden="false" customHeight="true" outlineLevel="0" collapsed="false">
      <c r="A17" s="6" t="n">
        <v>13</v>
      </c>
      <c r="B17" s="6" t="s">
        <v>211</v>
      </c>
      <c r="C17" s="6" t="n">
        <v>3</v>
      </c>
      <c r="D17" s="6" t="s">
        <v>174</v>
      </c>
      <c r="E17" s="6"/>
      <c r="F17" s="6"/>
      <c r="G17" s="6"/>
      <c r="H17" s="6" t="s">
        <v>212</v>
      </c>
      <c r="I17" s="6" t="s">
        <v>179</v>
      </c>
      <c r="J17" s="6" t="s">
        <v>213</v>
      </c>
      <c r="K17" s="6"/>
      <c r="L17" s="6"/>
      <c r="M17" s="7" t="str">
        <f aca="false">IF(D17="scene",IF(AND(F17&lt;&gt;"",C17&lt;&gt;"",G17&lt;&gt;""),"HỢP LỆ","CẦN SỬA"),IF(D17="say",IF(AND(H17&lt;&gt;"",J17&lt;&gt;""),"HỢP LỆ","CẦN SỬA"),IF(D17="choice",IF(AND(E17&lt;&gt;"",H17&lt;&gt;"",I17&lt;&gt;"",J17&lt;&gt;""),"HỢP LỆ","CẦN SỬA"),IF(D17="act",IF(K17&lt;&gt;"","HỢP LỆ","CẦN SỬA"),IF(D17="end","HỢP LỆ","CẦN SỬA")))))</f>
        <v>HỢP LỆ</v>
      </c>
    </row>
    <row r="18" customFormat="false" ht="42" hidden="false" customHeight="true" outlineLevel="0" collapsed="false">
      <c r="A18" s="6" t="n">
        <v>14</v>
      </c>
      <c r="B18" s="6" t="s">
        <v>214</v>
      </c>
      <c r="C18" s="6" t="n">
        <v>3</v>
      </c>
      <c r="D18" s="6" t="s">
        <v>182</v>
      </c>
      <c r="E18" s="6" t="s">
        <v>183</v>
      </c>
      <c r="F18" s="6"/>
      <c r="G18" s="6"/>
      <c r="H18" s="6" t="s">
        <v>212</v>
      </c>
      <c r="I18" s="6" t="s">
        <v>179</v>
      </c>
      <c r="J18" s="6" t="s">
        <v>215</v>
      </c>
      <c r="K18" s="6"/>
      <c r="L18" s="6" t="s">
        <v>185</v>
      </c>
      <c r="M18" s="7" t="str">
        <f aca="false">IF(D18="scene",IF(AND(F18&lt;&gt;"",C18&lt;&gt;"",G18&lt;&gt;""),"HỢP LỆ","CẦN SỬA"),IF(D18="say",IF(AND(H18&lt;&gt;"",J18&lt;&gt;""),"HỢP LỆ","CẦN SỬA"),IF(D18="choice",IF(AND(E18&lt;&gt;"",H18&lt;&gt;"",I18&lt;&gt;"",J18&lt;&gt;""),"HỢP LỆ","CẦN SỬA"),IF(D18="act",IF(K18&lt;&gt;"","HỢP LỆ","CẦN SỬA"),IF(D18="end","HỢP LỆ","CẦN SỬA")))))</f>
        <v>HỢP LỆ</v>
      </c>
    </row>
    <row r="19" customFormat="false" ht="42" hidden="false" customHeight="true" outlineLevel="0" collapsed="false">
      <c r="A19" s="6" t="n">
        <v>15</v>
      </c>
      <c r="B19" s="6" t="s">
        <v>216</v>
      </c>
      <c r="C19" s="6" t="n">
        <v>3</v>
      </c>
      <c r="D19" s="6" t="s">
        <v>189</v>
      </c>
      <c r="E19" s="6"/>
      <c r="F19" s="6"/>
      <c r="G19" s="6"/>
      <c r="H19" s="6"/>
      <c r="I19" s="6"/>
      <c r="J19" s="6"/>
      <c r="K19" s="6" t="s">
        <v>217</v>
      </c>
      <c r="L19" s="6" t="s">
        <v>218</v>
      </c>
      <c r="M19" s="7" t="str">
        <f aca="false">IF(D19="scene",IF(AND(F19&lt;&gt;"",C19&lt;&gt;"",G19&lt;&gt;""),"HỢP LỆ","CẦN SỬA"),IF(D19="say",IF(AND(H19&lt;&gt;"",J19&lt;&gt;""),"HỢP LỆ","CẦN SỬA"),IF(D19="choice",IF(AND(E19&lt;&gt;"",H19&lt;&gt;"",I19&lt;&gt;"",J19&lt;&gt;""),"HỢP LỆ","CẦN SỬA"),IF(D19="act",IF(K19&lt;&gt;"","HỢP LỆ","CẦN SỬA"),IF(D19="end","HỢP LỆ","CẦN SỬA")))))</f>
        <v>HỢP LỆ</v>
      </c>
    </row>
    <row r="20" customFormat="false" ht="42" hidden="false" customHeight="true" outlineLevel="0" collapsed="false">
      <c r="A20" s="6" t="n">
        <v>16</v>
      </c>
      <c r="B20" s="6" t="s">
        <v>219</v>
      </c>
      <c r="C20" s="6"/>
      <c r="D20" s="6" t="s">
        <v>220</v>
      </c>
      <c r="E20" s="6"/>
      <c r="F20" s="6"/>
      <c r="G20" s="6"/>
      <c r="H20" s="6"/>
      <c r="I20" s="6"/>
      <c r="J20" s="6"/>
      <c r="K20" s="6"/>
      <c r="L20" s="6" t="s">
        <v>221</v>
      </c>
      <c r="M20" s="7" t="str">
        <f aca="false">IF(D20="scene",IF(AND(F20&lt;&gt;"",C20&lt;&gt;"",G20&lt;&gt;""),"HỢP LỆ","CẦN SỬA"),IF(D20="say",IF(AND(H20&lt;&gt;"",J20&lt;&gt;""),"HỢP LỆ","CẦN SỬA"),IF(D20="choice",IF(AND(E20&lt;&gt;"",H20&lt;&gt;"",I20&lt;&gt;"",J20&lt;&gt;""),"HỢP LỆ","CẦN SỬA"),IF(D20="act",IF(K20&lt;&gt;"","HỢP LỆ","CẦN SỬA"),IF(D20="end","HỢP LỆ","CẦN SỬA")))))</f>
        <v>HỢP LỆ</v>
      </c>
    </row>
  </sheetData>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42"/>
    <col collapsed="false" customWidth="true" hidden="false" outlineLevel="0" max="4" min="4" style="0" width="10"/>
    <col collapsed="false" customWidth="true" hidden="false" outlineLevel="0" max="5" min="5" style="0" width="6"/>
    <col collapsed="false" customWidth="true" hidden="false" outlineLevel="0" max="6" min="6" style="0" width="13"/>
    <col collapsed="false" customWidth="true" hidden="false" outlineLevel="0" max="7" min="7" style="0" width="11"/>
    <col collapsed="false" customWidth="true" hidden="false" outlineLevel="0" max="8" min="8" style="0" width="40"/>
    <col collapsed="false" customWidth="true" hidden="false" outlineLevel="0" max="9" min="9" style="0" width="16"/>
    <col collapsed="false" customWidth="true" hidden="false" outlineLevel="0" max="10" min="10" style="0" width="14"/>
  </cols>
  <sheetData>
    <row r="1" customFormat="false" ht="19.7" hidden="false" customHeight="false" outlineLevel="0" collapsed="false">
      <c r="A1" s="1" t="s">
        <v>222</v>
      </c>
    </row>
    <row r="2" customFormat="false" ht="15" hidden="false" customHeight="false" outlineLevel="0" collapsed="false">
      <c r="A2" s="8" t="s">
        <v>223</v>
      </c>
      <c r="B2" s="8"/>
      <c r="C2" s="8"/>
      <c r="D2" s="8"/>
      <c r="E2" s="8"/>
      <c r="F2" s="8"/>
      <c r="G2" s="8"/>
      <c r="H2" s="8"/>
      <c r="I2" s="8"/>
      <c r="J2" s="8"/>
    </row>
    <row r="4" customFormat="false" ht="23.85" hidden="false" customHeight="false" outlineLevel="0" collapsed="false">
      <c r="A4" s="4" t="s">
        <v>224</v>
      </c>
      <c r="B4" s="4" t="s">
        <v>225</v>
      </c>
      <c r="C4" s="4" t="s">
        <v>226</v>
      </c>
      <c r="D4" s="4" t="s">
        <v>227</v>
      </c>
      <c r="E4" s="4" t="s">
        <v>228</v>
      </c>
      <c r="F4" s="4" t="s">
        <v>229</v>
      </c>
      <c r="G4" s="4" t="s">
        <v>230</v>
      </c>
      <c r="H4" s="4" t="s">
        <v>231</v>
      </c>
      <c r="I4" s="4" t="s">
        <v>148</v>
      </c>
      <c r="J4" s="4" t="s">
        <v>167</v>
      </c>
    </row>
    <row r="5" customFormat="false" ht="39.75" hidden="false" customHeight="true" outlineLevel="0" collapsed="false">
      <c r="A5" s="6" t="s">
        <v>181</v>
      </c>
      <c r="B5" s="6" t="n">
        <v>1</v>
      </c>
      <c r="C5" s="6" t="s">
        <v>232</v>
      </c>
      <c r="D5" s="6" t="s">
        <v>96</v>
      </c>
      <c r="E5" s="6"/>
      <c r="F5" s="6" t="s">
        <v>178</v>
      </c>
      <c r="G5" s="6" t="s">
        <v>233</v>
      </c>
      <c r="H5" s="6" t="s">
        <v>234</v>
      </c>
      <c r="I5" s="6" t="s">
        <v>235</v>
      </c>
      <c r="J5" s="7" t="str">
        <f aca="false">IF(AND(C5&lt;&gt;"",D5&lt;&gt;"",F5&lt;&gt;"",H5&lt;&gt;""),"HỢP LỆ","CẦN SỬA")</f>
        <v>HỢP LỆ</v>
      </c>
    </row>
    <row r="6" customFormat="false" ht="39.75" hidden="false" customHeight="true" outlineLevel="0" collapsed="false">
      <c r="A6" s="6" t="s">
        <v>181</v>
      </c>
      <c r="B6" s="6" t="n">
        <v>2</v>
      </c>
      <c r="C6" s="6" t="s">
        <v>236</v>
      </c>
      <c r="D6" s="6" t="s">
        <v>137</v>
      </c>
      <c r="E6" s="6"/>
      <c r="F6" s="6" t="s">
        <v>178</v>
      </c>
      <c r="G6" s="6" t="s">
        <v>237</v>
      </c>
      <c r="H6" s="6" t="s">
        <v>238</v>
      </c>
      <c r="I6" s="6" t="s">
        <v>239</v>
      </c>
      <c r="J6" s="7" t="str">
        <f aca="false">IF(AND(C6&lt;&gt;"",D6&lt;&gt;"",F6&lt;&gt;"",H6&lt;&gt;""),"HỢP LỆ","CẦN SỬA")</f>
        <v>HỢP LỆ</v>
      </c>
    </row>
    <row r="7" customFormat="false" ht="39.75" hidden="false" customHeight="true" outlineLevel="0" collapsed="false">
      <c r="A7" s="6" t="s">
        <v>181</v>
      </c>
      <c r="B7" s="6" t="n">
        <v>3</v>
      </c>
      <c r="C7" s="6" t="s">
        <v>240</v>
      </c>
      <c r="D7" s="6" t="s">
        <v>137</v>
      </c>
      <c r="E7" s="6"/>
      <c r="F7" s="6" t="s">
        <v>178</v>
      </c>
      <c r="G7" s="6" t="s">
        <v>237</v>
      </c>
      <c r="H7" s="6" t="s">
        <v>241</v>
      </c>
      <c r="I7" s="6" t="s">
        <v>239</v>
      </c>
      <c r="J7" s="7" t="str">
        <f aca="false">IF(AND(C7&lt;&gt;"",D7&lt;&gt;"",F7&lt;&gt;"",H7&lt;&gt;""),"HỢP LỆ","CẦN SỬA")</f>
        <v>HỢP LỆ</v>
      </c>
    </row>
    <row r="8" customFormat="false" ht="39.75" hidden="false" customHeight="true" outlineLevel="0" collapsed="false">
      <c r="A8" s="6" t="s">
        <v>186</v>
      </c>
      <c r="B8" s="6" t="n">
        <v>1</v>
      </c>
      <c r="C8" s="6" t="s">
        <v>242</v>
      </c>
      <c r="D8" s="6" t="s">
        <v>96</v>
      </c>
      <c r="E8" s="6"/>
      <c r="F8" s="6" t="s">
        <v>178</v>
      </c>
      <c r="G8" s="6" t="s">
        <v>233</v>
      </c>
      <c r="H8" s="6" t="s">
        <v>243</v>
      </c>
      <c r="I8" s="6" t="s">
        <v>235</v>
      </c>
      <c r="J8" s="7" t="str">
        <f aca="false">IF(AND(C8&lt;&gt;"",D8&lt;&gt;"",F8&lt;&gt;"",H8&lt;&gt;""),"HỢP LỆ","CẦN SỬA")</f>
        <v>HỢP LỆ</v>
      </c>
    </row>
    <row r="9" customFormat="false" ht="39.75" hidden="false" customHeight="true" outlineLevel="0" collapsed="false">
      <c r="A9" s="6" t="s">
        <v>186</v>
      </c>
      <c r="B9" s="6" t="n">
        <v>2</v>
      </c>
      <c r="C9" s="6" t="s">
        <v>244</v>
      </c>
      <c r="D9" s="6" t="s">
        <v>137</v>
      </c>
      <c r="E9" s="6"/>
      <c r="F9" s="6" t="s">
        <v>178</v>
      </c>
      <c r="G9" s="6" t="s">
        <v>237</v>
      </c>
      <c r="H9" s="6" t="s">
        <v>245</v>
      </c>
      <c r="I9" s="6" t="s">
        <v>239</v>
      </c>
      <c r="J9" s="7" t="str">
        <f aca="false">IF(AND(C9&lt;&gt;"",D9&lt;&gt;"",F9&lt;&gt;"",H9&lt;&gt;""),"HỢP LỆ","CẦN SỬA")</f>
        <v>HỢP LỆ</v>
      </c>
    </row>
    <row r="10" customFormat="false" ht="39.75" hidden="false" customHeight="true" outlineLevel="0" collapsed="false">
      <c r="A10" s="6" t="s">
        <v>186</v>
      </c>
      <c r="B10" s="6" t="n">
        <v>3</v>
      </c>
      <c r="C10" s="6" t="s">
        <v>246</v>
      </c>
      <c r="D10" s="6" t="s">
        <v>137</v>
      </c>
      <c r="E10" s="6"/>
      <c r="F10" s="6" t="s">
        <v>178</v>
      </c>
      <c r="G10" s="6" t="s">
        <v>237</v>
      </c>
      <c r="H10" s="6" t="s">
        <v>247</v>
      </c>
      <c r="I10" s="6" t="s">
        <v>239</v>
      </c>
      <c r="J10" s="7" t="str">
        <f aca="false">IF(AND(C10&lt;&gt;"",D10&lt;&gt;"",F10&lt;&gt;"",H10&lt;&gt;""),"HỢP LỆ","CẦN SỬA")</f>
        <v>HỢP LỆ</v>
      </c>
    </row>
    <row r="11" customFormat="false" ht="39.75" hidden="false" customHeight="true" outlineLevel="0" collapsed="false">
      <c r="A11" s="6" t="s">
        <v>198</v>
      </c>
      <c r="B11" s="6" t="n">
        <v>1</v>
      </c>
      <c r="C11" s="6" t="s">
        <v>248</v>
      </c>
      <c r="D11" s="6" t="s">
        <v>96</v>
      </c>
      <c r="E11" s="6"/>
      <c r="F11" s="6" t="s">
        <v>199</v>
      </c>
      <c r="G11" s="6" t="s">
        <v>179</v>
      </c>
      <c r="H11" s="6" t="s">
        <v>249</v>
      </c>
      <c r="I11" s="6" t="s">
        <v>235</v>
      </c>
      <c r="J11" s="7" t="str">
        <f aca="false">IF(AND(C11&lt;&gt;"",D11&lt;&gt;"",F11&lt;&gt;"",H11&lt;&gt;""),"HỢP LỆ","CẦN SỬA")</f>
        <v>HỢP LỆ</v>
      </c>
    </row>
    <row r="12" customFormat="false" ht="39.75" hidden="false" customHeight="true" outlineLevel="0" collapsed="false">
      <c r="A12" s="6" t="s">
        <v>198</v>
      </c>
      <c r="B12" s="6" t="n">
        <v>2</v>
      </c>
      <c r="C12" s="6" t="s">
        <v>250</v>
      </c>
      <c r="D12" s="6" t="s">
        <v>137</v>
      </c>
      <c r="E12" s="6"/>
      <c r="F12" s="6" t="s">
        <v>199</v>
      </c>
      <c r="G12" s="6" t="s">
        <v>200</v>
      </c>
      <c r="H12" s="6" t="s">
        <v>251</v>
      </c>
      <c r="I12" s="6" t="s">
        <v>239</v>
      </c>
      <c r="J12" s="7" t="str">
        <f aca="false">IF(AND(C12&lt;&gt;"",D12&lt;&gt;"",F12&lt;&gt;"",H12&lt;&gt;""),"HỢP LỆ","CẦN SỬA")</f>
        <v>HỢP LỆ</v>
      </c>
    </row>
    <row r="13" customFormat="false" ht="39.75" hidden="false" customHeight="true" outlineLevel="0" collapsed="false">
      <c r="A13" s="6" t="s">
        <v>198</v>
      </c>
      <c r="B13" s="6" t="n">
        <v>3</v>
      </c>
      <c r="C13" s="6" t="s">
        <v>252</v>
      </c>
      <c r="D13" s="6" t="s">
        <v>137</v>
      </c>
      <c r="E13" s="6"/>
      <c r="F13" s="6" t="s">
        <v>199</v>
      </c>
      <c r="G13" s="6" t="s">
        <v>200</v>
      </c>
      <c r="H13" s="6" t="s">
        <v>253</v>
      </c>
      <c r="I13" s="6" t="s">
        <v>239</v>
      </c>
      <c r="J13" s="7" t="str">
        <f aca="false">IF(AND(C13&lt;&gt;"",D13&lt;&gt;"",F13&lt;&gt;"",H13&lt;&gt;""),"HỢP LỆ","CẦN SỬA")</f>
        <v>HỢP LỆ</v>
      </c>
    </row>
    <row r="14" customFormat="false" ht="39.75" hidden="false" customHeight="true" outlineLevel="0" collapsed="false">
      <c r="A14" s="6" t="s">
        <v>214</v>
      </c>
      <c r="B14" s="6" t="n">
        <v>1</v>
      </c>
      <c r="C14" s="6" t="s">
        <v>254</v>
      </c>
      <c r="D14" s="6" t="s">
        <v>96</v>
      </c>
      <c r="E14" s="6"/>
      <c r="F14" s="6" t="s">
        <v>212</v>
      </c>
      <c r="G14" s="6" t="s">
        <v>233</v>
      </c>
      <c r="H14" s="6" t="s">
        <v>255</v>
      </c>
      <c r="I14" s="6" t="s">
        <v>235</v>
      </c>
      <c r="J14" s="7" t="str">
        <f aca="false">IF(AND(C14&lt;&gt;"",D14&lt;&gt;"",F14&lt;&gt;"",H14&lt;&gt;""),"HỢP LỆ","CẦN SỬA")</f>
        <v>HỢP LỆ</v>
      </c>
    </row>
    <row r="15" customFormat="false" ht="39.75" hidden="false" customHeight="true" outlineLevel="0" collapsed="false">
      <c r="A15" s="6" t="s">
        <v>214</v>
      </c>
      <c r="B15" s="6" t="n">
        <v>2</v>
      </c>
      <c r="C15" s="6" t="s">
        <v>256</v>
      </c>
      <c r="D15" s="6" t="s">
        <v>137</v>
      </c>
      <c r="E15" s="6"/>
      <c r="F15" s="6" t="s">
        <v>178</v>
      </c>
      <c r="G15" s="6" t="s">
        <v>237</v>
      </c>
      <c r="H15" s="6" t="s">
        <v>257</v>
      </c>
      <c r="I15" s="6" t="s">
        <v>239</v>
      </c>
      <c r="J15" s="7" t="str">
        <f aca="false">IF(AND(C15&lt;&gt;"",D15&lt;&gt;"",F15&lt;&gt;"",H15&lt;&gt;""),"HỢP LỆ","CẦN SỬA")</f>
        <v>HỢP LỆ</v>
      </c>
    </row>
    <row r="16" customFormat="false" ht="39.75" hidden="false" customHeight="true" outlineLevel="0" collapsed="false">
      <c r="A16" s="6" t="s">
        <v>214</v>
      </c>
      <c r="B16" s="6" t="n">
        <v>3</v>
      </c>
      <c r="C16" s="6" t="s">
        <v>258</v>
      </c>
      <c r="D16" s="6" t="s">
        <v>137</v>
      </c>
      <c r="E16" s="6"/>
      <c r="F16" s="6" t="s">
        <v>178</v>
      </c>
      <c r="G16" s="6" t="s">
        <v>237</v>
      </c>
      <c r="H16" s="6" t="s">
        <v>259</v>
      </c>
      <c r="I16" s="6" t="s">
        <v>239</v>
      </c>
      <c r="J16" s="7" t="str">
        <f aca="false">IF(AND(C16&lt;&gt;"",D16&lt;&gt;"",F16&lt;&gt;"",H16&lt;&gt;""),"HỢP LỆ","CẦN SỬA")</f>
        <v>HỢP LỆ</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22"/>
    <col collapsed="false" customWidth="true" hidden="false" outlineLevel="0" max="4" min="4" style="0" width="20"/>
    <col collapsed="false" customWidth="true" hidden="false" outlineLevel="0" max="5" min="5" style="0" width="14"/>
    <col collapsed="false" customWidth="true" hidden="false" outlineLevel="0" max="6" min="6" style="0" width="12"/>
  </cols>
  <sheetData>
    <row r="1" customFormat="false" ht="19.7" hidden="false" customHeight="false" outlineLevel="0" collapsed="false">
      <c r="A1" s="1" t="s">
        <v>260</v>
      </c>
    </row>
    <row r="2" customFormat="false" ht="15" hidden="false" customHeight="false" outlineLevel="0" collapsed="false">
      <c r="A2" s="8" t="s">
        <v>261</v>
      </c>
      <c r="B2" s="8"/>
      <c r="C2" s="8"/>
      <c r="D2" s="8"/>
      <c r="E2" s="8"/>
      <c r="F2" s="8"/>
      <c r="G2" s="8"/>
      <c r="H2" s="8"/>
      <c r="I2" s="8"/>
      <c r="J2" s="8"/>
    </row>
    <row r="4" customFormat="false" ht="15" hidden="false" customHeight="false" outlineLevel="0" collapsed="false">
      <c r="A4" s="3" t="s">
        <v>262</v>
      </c>
    </row>
    <row r="5" customFormat="false" ht="15" hidden="false" customHeight="false" outlineLevel="0" collapsed="false">
      <c r="A5" s="4" t="s">
        <v>162</v>
      </c>
      <c r="B5" s="4" t="s">
        <v>263</v>
      </c>
      <c r="C5" s="4" t="s">
        <v>264</v>
      </c>
    </row>
    <row r="6" customFormat="false" ht="15" hidden="false" customHeight="false" outlineLevel="0" collapsed="false">
      <c r="A6" s="5" t="s">
        <v>175</v>
      </c>
      <c r="B6" s="5" t="s">
        <v>76</v>
      </c>
      <c r="C6" s="5"/>
    </row>
    <row r="7" customFormat="false" ht="15" hidden="false" customHeight="false" outlineLevel="0" collapsed="false">
      <c r="A7" s="5" t="s">
        <v>265</v>
      </c>
      <c r="B7" s="5" t="s">
        <v>266</v>
      </c>
      <c r="C7" s="5" t="s">
        <v>267</v>
      </c>
    </row>
    <row r="8" customFormat="false" ht="15" hidden="false" customHeight="false" outlineLevel="0" collapsed="false">
      <c r="A8" s="5" t="s">
        <v>178</v>
      </c>
      <c r="B8" s="5" t="s">
        <v>268</v>
      </c>
      <c r="C8" s="5" t="s">
        <v>269</v>
      </c>
    </row>
    <row r="9" customFormat="false" ht="15" hidden="false" customHeight="false" outlineLevel="0" collapsed="false">
      <c r="A9" s="5" t="s">
        <v>270</v>
      </c>
      <c r="B9" s="5" t="s">
        <v>271</v>
      </c>
      <c r="C9" s="5" t="s">
        <v>272</v>
      </c>
    </row>
    <row r="10" customFormat="false" ht="15" hidden="false" customHeight="false" outlineLevel="0" collapsed="false">
      <c r="A10" s="5" t="s">
        <v>199</v>
      </c>
      <c r="B10" s="5" t="s">
        <v>273</v>
      </c>
      <c r="C10" s="5" t="s">
        <v>274</v>
      </c>
    </row>
    <row r="11" customFormat="false" ht="15" hidden="false" customHeight="false" outlineLevel="0" collapsed="false">
      <c r="A11" s="5" t="s">
        <v>212</v>
      </c>
      <c r="B11" s="5" t="s">
        <v>275</v>
      </c>
      <c r="C11" s="5" t="s">
        <v>276</v>
      </c>
    </row>
    <row r="13" customFormat="false" ht="15" hidden="false" customHeight="false" outlineLevel="0" collapsed="false">
      <c r="A13" s="3" t="s">
        <v>277</v>
      </c>
    </row>
    <row r="14" customFormat="false" ht="15" hidden="false" customHeight="false" outlineLevel="0" collapsed="false">
      <c r="A14" s="4" t="s">
        <v>278</v>
      </c>
      <c r="B14" s="4" t="s">
        <v>279</v>
      </c>
      <c r="C14" s="4" t="s">
        <v>280</v>
      </c>
    </row>
    <row r="15" customFormat="false" ht="23.85" hidden="false" customHeight="false" outlineLevel="0" collapsed="false">
      <c r="A15" s="5" t="s">
        <v>170</v>
      </c>
      <c r="B15" s="5" t="s">
        <v>281</v>
      </c>
      <c r="C15" s="5" t="s">
        <v>282</v>
      </c>
    </row>
    <row r="16" customFormat="false" ht="23.85" hidden="false" customHeight="false" outlineLevel="0" collapsed="false">
      <c r="A16" s="5" t="s">
        <v>193</v>
      </c>
      <c r="B16" s="5" t="s">
        <v>283</v>
      </c>
      <c r="C16" s="5" t="s">
        <v>282</v>
      </c>
    </row>
    <row r="17" customFormat="false" ht="23.85" hidden="false" customHeight="false" outlineLevel="0" collapsed="false">
      <c r="A17" s="5" t="s">
        <v>206</v>
      </c>
      <c r="B17" s="5" t="s">
        <v>284</v>
      </c>
      <c r="C17" s="5" t="s">
        <v>282</v>
      </c>
    </row>
    <row r="19" customFormat="false" ht="15" hidden="false" customHeight="false" outlineLevel="0" collapsed="false">
      <c r="A19" s="3" t="s">
        <v>285</v>
      </c>
    </row>
    <row r="20" customFormat="false" ht="15" hidden="false" customHeight="false" outlineLevel="0" collapsed="false">
      <c r="A20" s="4" t="s">
        <v>286</v>
      </c>
      <c r="B20" s="4" t="s">
        <v>287</v>
      </c>
    </row>
    <row r="21" customFormat="false" ht="15" hidden="false" customHeight="false" outlineLevel="0" collapsed="false">
      <c r="A21" s="5" t="s">
        <v>179</v>
      </c>
      <c r="B21" s="5" t="s">
        <v>288</v>
      </c>
    </row>
    <row r="22" customFormat="false" ht="15" hidden="false" customHeight="false" outlineLevel="0" collapsed="false">
      <c r="A22" s="5" t="s">
        <v>233</v>
      </c>
      <c r="B22" s="5" t="s">
        <v>289</v>
      </c>
    </row>
    <row r="23" customFormat="false" ht="23.85" hidden="false" customHeight="false" outlineLevel="0" collapsed="false">
      <c r="A23" s="5" t="s">
        <v>237</v>
      </c>
      <c r="B23" s="5" t="s">
        <v>290</v>
      </c>
    </row>
    <row r="24" customFormat="false" ht="15" hidden="false" customHeight="false" outlineLevel="0" collapsed="false">
      <c r="A24" s="5" t="s">
        <v>200</v>
      </c>
      <c r="B24" s="5" t="s">
        <v>291</v>
      </c>
    </row>
    <row r="26" customFormat="false" ht="15" hidden="false" customHeight="false" outlineLevel="0" collapsed="false">
      <c r="A26" s="3" t="s">
        <v>292</v>
      </c>
    </row>
    <row r="27" customFormat="false" ht="15" hidden="false" customHeight="false" outlineLevel="0" collapsed="false">
      <c r="A27" s="4" t="s">
        <v>293</v>
      </c>
      <c r="B27" s="4" t="s">
        <v>294</v>
      </c>
      <c r="C27" s="4" t="s">
        <v>295</v>
      </c>
    </row>
    <row r="28" customFormat="false" ht="23.85" hidden="false" customHeight="false" outlineLevel="0" collapsed="false">
      <c r="A28" s="5" t="s">
        <v>169</v>
      </c>
      <c r="B28" s="5" t="s">
        <v>296</v>
      </c>
      <c r="C28" s="5" t="s">
        <v>297</v>
      </c>
    </row>
    <row r="29" customFormat="false" ht="23.85" hidden="false" customHeight="false" outlineLevel="0" collapsed="false">
      <c r="A29" s="5" t="s">
        <v>174</v>
      </c>
      <c r="B29" s="5" t="s">
        <v>298</v>
      </c>
      <c r="C29" s="5" t="s">
        <v>299</v>
      </c>
    </row>
    <row r="30" customFormat="false" ht="35.05" hidden="false" customHeight="false" outlineLevel="0" collapsed="false">
      <c r="A30" s="5" t="s">
        <v>182</v>
      </c>
      <c r="B30" s="5" t="s">
        <v>300</v>
      </c>
      <c r="C30" s="5" t="s">
        <v>301</v>
      </c>
    </row>
    <row r="31" customFormat="false" ht="15" hidden="false" customHeight="false" outlineLevel="0" collapsed="false">
      <c r="A31" s="5" t="s">
        <v>189</v>
      </c>
      <c r="B31" s="5" t="s">
        <v>165</v>
      </c>
      <c r="C31" s="5" t="s">
        <v>302</v>
      </c>
    </row>
    <row r="32" customFormat="false" ht="15" hidden="false" customHeight="false" outlineLevel="0" collapsed="false">
      <c r="A32" s="5" t="s">
        <v>220</v>
      </c>
      <c r="B32" s="5" t="s">
        <v>303</v>
      </c>
      <c r="C32" s="5" t="s">
        <v>304</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22"/>
    <col collapsed="false" customWidth="true" hidden="false" outlineLevel="0" max="6" min="6" style="0" width="34"/>
    <col collapsed="false" customWidth="true" hidden="false" outlineLevel="0" max="7" min="7" style="0" width="14"/>
  </cols>
  <sheetData>
    <row r="1" customFormat="false" ht="19.7" hidden="false" customHeight="false" outlineLevel="0" collapsed="false">
      <c r="A1" s="1" t="s">
        <v>305</v>
      </c>
    </row>
    <row r="2" customFormat="false" ht="15" hidden="false" customHeight="false" outlineLevel="0" collapsed="false">
      <c r="A2" s="8" t="s">
        <v>306</v>
      </c>
      <c r="B2" s="8"/>
      <c r="C2" s="8"/>
      <c r="D2" s="8"/>
      <c r="E2" s="8"/>
      <c r="F2" s="8"/>
      <c r="G2" s="8"/>
      <c r="H2" s="8"/>
    </row>
    <row r="4" customFormat="false" ht="15" hidden="false" customHeight="false" outlineLevel="0" collapsed="false">
      <c r="A4" s="3" t="s">
        <v>307</v>
      </c>
    </row>
    <row r="5" customFormat="false" ht="15" hidden="false" customHeight="false" outlineLevel="0" collapsed="false">
      <c r="A5" s="4" t="s">
        <v>308</v>
      </c>
      <c r="B5" s="4" t="s">
        <v>309</v>
      </c>
      <c r="C5" s="4" t="s">
        <v>310</v>
      </c>
      <c r="D5" s="4" t="s">
        <v>311</v>
      </c>
      <c r="E5" s="4" t="s">
        <v>312</v>
      </c>
      <c r="F5" s="4" t="s">
        <v>313</v>
      </c>
      <c r="G5" s="4" t="s">
        <v>314</v>
      </c>
      <c r="H5" s="4" t="s">
        <v>315</v>
      </c>
    </row>
    <row r="6" customFormat="false" ht="15" hidden="false" customHeight="false" outlineLevel="0" collapsed="false">
      <c r="A6" s="7" t="n">
        <f aca="false">COUNTA(02_KICH_BAN_NODES!B5:B20)</f>
        <v>16</v>
      </c>
      <c r="B6" s="7" t="n">
        <f aca="false">COUNTIF(02_KICH_BAN_NODES!D5:D20,"scene")</f>
        <v>3</v>
      </c>
      <c r="C6" s="7" t="n">
        <f aca="false">COUNTIF(02_KICH_BAN_NODES!D5:D20,"say")</f>
        <v>5</v>
      </c>
      <c r="D6" s="7" t="n">
        <f aca="false">COUNTIF(02_KICH_BAN_NODES!D5:D20,"choice")</f>
        <v>4</v>
      </c>
      <c r="E6" s="7" t="n">
        <f aca="false">COUNTIF(02_KICH_BAN_NODES!D5:D20,"act")</f>
        <v>3</v>
      </c>
      <c r="F6" s="7" t="n">
        <f aca="false">COUNTIF(02_KICH_BAN_NODES!D5:D20,"end")</f>
        <v>1</v>
      </c>
      <c r="G6" s="7" t="n">
        <f aca="false">COUNTIF(02_KICH_BAN_NODES!M5:M20,"CẦN SỬA")</f>
        <v>0</v>
      </c>
      <c r="H6" s="7" t="n">
        <f aca="false">COUNTIF(03_LUA_CHON!J5:J16,"CẦN SỬA")</f>
        <v>0</v>
      </c>
    </row>
    <row r="8" customFormat="false" ht="15" hidden="false" customHeight="false" outlineLevel="0" collapsed="false">
      <c r="A8" s="3" t="s">
        <v>316</v>
      </c>
    </row>
    <row r="9" customFormat="false" ht="15" hidden="false" customHeight="false" outlineLevel="0" collapsed="false">
      <c r="A9" s="4" t="s">
        <v>317</v>
      </c>
      <c r="B9" s="4" t="s">
        <v>85</v>
      </c>
      <c r="C9" s="4" t="s">
        <v>318</v>
      </c>
      <c r="D9" s="4" t="s">
        <v>75</v>
      </c>
    </row>
    <row r="10" customFormat="false" ht="23.85" hidden="false" customHeight="false" outlineLevel="0" collapsed="false">
      <c r="A10" s="5" t="s">
        <v>319</v>
      </c>
      <c r="B10" s="5" t="n">
        <f aca="false">F6</f>
        <v>1</v>
      </c>
      <c r="C10" s="5" t="str">
        <f aca="false">IF(F6=1,"HỢP LỆ","CẦN SỬA")</f>
        <v>HỢP LỆ</v>
      </c>
      <c r="D10" s="5" t="s">
        <v>320</v>
      </c>
    </row>
    <row r="11" customFormat="false" ht="23.85" hidden="false" customHeight="false" outlineLevel="0" collapsed="false">
      <c r="A11" s="5" t="s">
        <v>321</v>
      </c>
      <c r="B11" s="5" t="n">
        <f aca="false">G6</f>
        <v>0</v>
      </c>
      <c r="C11" s="5" t="str">
        <f aca="false">IF(G6=0,"HỢP LỆ","CẦN SỬA")</f>
        <v>HỢP LỆ</v>
      </c>
      <c r="D11" s="5" t="s">
        <v>322</v>
      </c>
    </row>
    <row r="12" customFormat="false" ht="23.85" hidden="false" customHeight="false" outlineLevel="0" collapsed="false">
      <c r="A12" s="5" t="s">
        <v>323</v>
      </c>
      <c r="B12" s="5" t="n">
        <f aca="false">H6</f>
        <v>0</v>
      </c>
      <c r="C12" s="5" t="str">
        <f aca="false">IF(H6=0,"HỢP LỆ","CẦN SỬA")</f>
        <v>HỢP LỆ</v>
      </c>
      <c r="D12" s="5" t="s">
        <v>324</v>
      </c>
    </row>
    <row r="13" customFormat="false" ht="35.05" hidden="false" customHeight="false" outlineLevel="0" collapsed="false">
      <c r="A13" s="5" t="s">
        <v>325</v>
      </c>
      <c r="B13" s="5" t="n">
        <f aca="false">B6</f>
        <v>3</v>
      </c>
      <c r="C13" s="5" t="str">
        <f aca="false">IF(AND(B6&gt;=2,B6&lt;=4),"HỢP LỆ","NGOÀI KHOẢNG - CẦN REVIEWER")</f>
        <v>HỢP LỆ</v>
      </c>
      <c r="D13" s="5" t="s">
        <v>326</v>
      </c>
    </row>
    <row r="14" customFormat="false" ht="23.85" hidden="false" customHeight="false" outlineLevel="0" collapsed="false">
      <c r="A14" s="5" t="s">
        <v>327</v>
      </c>
      <c r="B14" s="5"/>
      <c r="C14" s="5" t="str">
        <f aca="false">01_THONG_TIN_Game!C22</f>
        <v>CHƯA SẴN SÀNG</v>
      </c>
      <c r="D14" s="5" t="s">
        <v>328</v>
      </c>
    </row>
    <row r="15" customFormat="false" ht="23.85" hidden="false" customHeight="false" outlineLevel="0" collapsed="false">
      <c r="A15" s="5" t="s">
        <v>329</v>
      </c>
      <c r="B15" s="7" t="str">
        <f aca="false">IF(AND(C10="HỢP LỆ",C11="HỢP LỆ",C12="HỢP LỆ",C14="SẴN SÀNG"),"SẴN SÀNG","CHƯA SẴN SÀNG")</f>
        <v>CHƯA SẴN SÀNG</v>
      </c>
      <c r="C15" s="7" t="str">
        <f aca="false">IF(B15="SẴN SÀNG","SẴN SÀNG","CHƯA SẴN SÀNG")</f>
        <v>CHƯA SẴN SÀNG</v>
      </c>
      <c r="D15" s="5" t="s">
        <v>330</v>
      </c>
    </row>
    <row r="17" customFormat="false" ht="15" hidden="false" customHeight="false" outlineLevel="0" collapsed="false">
      <c r="A17" s="3" t="s">
        <v>331</v>
      </c>
    </row>
    <row r="18" customFormat="false" ht="15" hidden="false" customHeight="false" outlineLevel="0" collapsed="false">
      <c r="A18" s="4" t="s">
        <v>332</v>
      </c>
      <c r="B18" s="4" t="s">
        <v>159</v>
      </c>
      <c r="C18" s="4" t="s">
        <v>333</v>
      </c>
      <c r="D18" s="4" t="s">
        <v>334</v>
      </c>
      <c r="E18" s="4" t="s">
        <v>147</v>
      </c>
      <c r="F18" s="4" t="s">
        <v>335</v>
      </c>
    </row>
    <row r="19" customFormat="false" ht="15" hidden="false" customHeight="false" outlineLevel="0" collapsed="false">
      <c r="A19" s="7" t="s">
        <v>181</v>
      </c>
      <c r="B19" s="7" t="str">
        <f aca="false">INDEX(02_KICH_BAN_NODES!E5:E20,MATCH("N004",02_KICH_BAN_NODES!B5:B20,0))</f>
        <v>Kiến thức</v>
      </c>
      <c r="C19" s="7" t="n">
        <f aca="false">COUNTIF(03_LUA_CHON!A5:A16,"N004")</f>
        <v>3</v>
      </c>
      <c r="D19" s="7" t="n">
        <f aca="false">COUNTIFS(03_LUA_CHON!A5:A16,"N004",03_LUA_CHON!D5:D16,"Có")</f>
        <v>1</v>
      </c>
      <c r="E19" s="7" t="str">
        <f aca="false">IF(AND(C19&gt;=2,C19&lt;=4,D19=1),"HỢP LỆ","CẦN SỬA")</f>
        <v>HỢP LỆ</v>
      </c>
      <c r="F19" s="7"/>
    </row>
    <row r="20" customFormat="false" ht="15" hidden="false" customHeight="false" outlineLevel="0" collapsed="false">
      <c r="A20" s="7" t="s">
        <v>186</v>
      </c>
      <c r="B20" s="7" t="str">
        <f aca="false">INDEX(02_KICH_BAN_NODES!E5:E20,MATCH("N005",02_KICH_BAN_NODES!B5:B20,0))</f>
        <v>Kiến thức</v>
      </c>
      <c r="C20" s="7" t="n">
        <f aca="false">COUNTIF(03_LUA_CHON!A5:A16,"N005")</f>
        <v>3</v>
      </c>
      <c r="D20" s="7" t="n">
        <f aca="false">COUNTIFS(03_LUA_CHON!A5:A16,"N005",03_LUA_CHON!D5:D16,"Có")</f>
        <v>1</v>
      </c>
      <c r="E20" s="7" t="str">
        <f aca="false">IF(AND(C20&gt;=2,C20&lt;=4,D20=1),"HỢP LỆ","CẦN SỬA")</f>
        <v>HỢP LỆ</v>
      </c>
      <c r="F20" s="7"/>
    </row>
    <row r="21" customFormat="false" ht="15" hidden="false" customHeight="false" outlineLevel="0" collapsed="false">
      <c r="A21" s="7" t="s">
        <v>198</v>
      </c>
      <c r="B21" s="7" t="str">
        <f aca="false">INDEX(02_KICH_BAN_NODES!E5:E20,MATCH("N009",02_KICH_BAN_NODES!B5:B20,0))</f>
        <v>Kiến thức</v>
      </c>
      <c r="C21" s="7" t="n">
        <f aca="false">COUNTIF(03_LUA_CHON!A5:A16,"N009")</f>
        <v>3</v>
      </c>
      <c r="D21" s="7" t="n">
        <f aca="false">COUNTIFS(03_LUA_CHON!A5:A16,"N009",03_LUA_CHON!D5:D16,"Có")</f>
        <v>1</v>
      </c>
      <c r="E21" s="7" t="str">
        <f aca="false">IF(AND(C21&gt;=2,C21&lt;=4,D21=1),"HỢP LỆ","CẦN SỬA")</f>
        <v>HỢP LỆ</v>
      </c>
      <c r="F21" s="7"/>
    </row>
    <row r="22" customFormat="false" ht="15" hidden="false" customHeight="false" outlineLevel="0" collapsed="false">
      <c r="A22" s="7" t="s">
        <v>214</v>
      </c>
      <c r="B22" s="7" t="str">
        <f aca="false">INDEX(02_KICH_BAN_NODES!E5:E20,MATCH("N014",02_KICH_BAN_NODES!B5:B20,0))</f>
        <v>Kiến thức</v>
      </c>
      <c r="C22" s="7" t="n">
        <f aca="false">COUNTIF(03_LUA_CHON!A5:A16,"N014")</f>
        <v>3</v>
      </c>
      <c r="D22" s="7" t="n">
        <f aca="false">COUNTIFS(03_LUA_CHON!A5:A16,"N014",03_LUA_CHON!D5:D16,"Có")</f>
        <v>1</v>
      </c>
      <c r="E22" s="7" t="str">
        <f aca="false">IF(AND(C22&gt;=2,C22&lt;=4,D22=1),"HỢP LỆ","CẦN SỬA")</f>
        <v>HỢP LỆ</v>
      </c>
      <c r="F22" s="7"/>
    </row>
    <row r="24" customFormat="false" ht="15" hidden="false" customHeight="false" outlineLevel="0" collapsed="false">
      <c r="A24" s="3" t="s">
        <v>336</v>
      </c>
    </row>
    <row r="25" customFormat="false" ht="15" hidden="false" customHeight="false" outlineLevel="0" collapsed="false">
      <c r="A25" s="4" t="s">
        <v>337</v>
      </c>
      <c r="B25" s="4" t="s">
        <v>338</v>
      </c>
    </row>
    <row r="26" customFormat="false" ht="15" hidden="false" customHeight="false" outlineLevel="0" collapsed="false">
      <c r="A26" s="5" t="s">
        <v>339</v>
      </c>
      <c r="B26" s="6" t="s">
        <v>340</v>
      </c>
    </row>
    <row r="27" customFormat="false" ht="15" hidden="false" customHeight="false" outlineLevel="0" collapsed="false">
      <c r="A27" s="5" t="s">
        <v>341</v>
      </c>
      <c r="B27" s="6" t="s">
        <v>340</v>
      </c>
    </row>
    <row r="28" customFormat="false" ht="15" hidden="false" customHeight="false" outlineLevel="0" collapsed="false">
      <c r="A28" s="5" t="s">
        <v>342</v>
      </c>
      <c r="B28" s="6" t="s">
        <v>340</v>
      </c>
    </row>
    <row r="29" customFormat="false" ht="23.85" hidden="false" customHeight="false" outlineLevel="0" collapsed="false">
      <c r="A29" s="5" t="s">
        <v>343</v>
      </c>
      <c r="B29" s="6" t="s">
        <v>340</v>
      </c>
    </row>
    <row r="30" customFormat="false" ht="15" hidden="false" customHeight="false" outlineLevel="0" collapsed="false">
      <c r="A30" s="5" t="s">
        <v>344</v>
      </c>
      <c r="B30" s="6" t="s">
        <v>340</v>
      </c>
    </row>
    <row r="31" customFormat="false" ht="23.85" hidden="false" customHeight="false" outlineLevel="0" collapsed="false">
      <c r="A31" s="5" t="s">
        <v>345</v>
      </c>
      <c r="B31" s="6" t="s">
        <v>340</v>
      </c>
    </row>
    <row r="32" customFormat="false" ht="23.85" hidden="false" customHeight="false" outlineLevel="0" collapsed="false">
      <c r="A32" s="5" t="s">
        <v>346</v>
      </c>
      <c r="B32" s="6" t="s">
        <v>340</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30"/>
    <col collapsed="false" customWidth="true" hidden="false" outlineLevel="0" max="4" min="4" style="0" width="24"/>
    <col collapsed="false" customWidth="true" hidden="false" outlineLevel="0" max="5" min="5" style="0" width="20"/>
    <col collapsed="false" customWidth="true" hidden="false" outlineLevel="0" max="6" min="6" style="0" width="30"/>
    <col collapsed="false" customWidth="true" hidden="false" outlineLevel="0" max="8" min="7" style="0" width="20"/>
  </cols>
  <sheetData>
    <row r="1" customFormat="false" ht="19.7" hidden="false" customHeight="false" outlineLevel="0" collapsed="false">
      <c r="A1" s="1" t="s">
        <v>347</v>
      </c>
    </row>
    <row r="2" customFormat="false" ht="15" hidden="false" customHeight="false" outlineLevel="0" collapsed="false">
      <c r="A2" s="8" t="s">
        <v>348</v>
      </c>
      <c r="B2" s="8"/>
      <c r="C2" s="8"/>
      <c r="D2" s="8"/>
      <c r="E2" s="8"/>
      <c r="F2" s="8"/>
    </row>
    <row r="4" customFormat="false" ht="15" hidden="false" customHeight="false" outlineLevel="0" collapsed="false">
      <c r="A4" s="3" t="s">
        <v>349</v>
      </c>
    </row>
    <row r="5" customFormat="false" ht="15" hidden="false" customHeight="false" outlineLevel="0" collapsed="false">
      <c r="A5" s="4" t="s">
        <v>350</v>
      </c>
      <c r="B5" s="4" t="s">
        <v>351</v>
      </c>
      <c r="C5" s="4" t="s">
        <v>352</v>
      </c>
      <c r="D5" s="4" t="s">
        <v>49</v>
      </c>
      <c r="E5" s="4" t="s">
        <v>148</v>
      </c>
    </row>
    <row r="6" customFormat="false" ht="23.85" hidden="false" customHeight="false" outlineLevel="0" collapsed="false">
      <c r="A6" s="5" t="s">
        <v>353</v>
      </c>
      <c r="B6" s="5" t="s">
        <v>95</v>
      </c>
      <c r="C6" s="5" t="s">
        <v>354</v>
      </c>
      <c r="D6" s="5" t="s">
        <v>96</v>
      </c>
      <c r="E6" s="5" t="s">
        <v>355</v>
      </c>
    </row>
    <row r="7" customFormat="false" ht="23.85" hidden="false" customHeight="false" outlineLevel="0" collapsed="false">
      <c r="A7" s="5" t="s">
        <v>356</v>
      </c>
      <c r="B7" s="5" t="s">
        <v>100</v>
      </c>
      <c r="C7" s="5" t="s">
        <v>357</v>
      </c>
      <c r="D7" s="5" t="s">
        <v>96</v>
      </c>
      <c r="E7" s="5" t="s">
        <v>358</v>
      </c>
    </row>
    <row r="8" customFormat="false" ht="15" hidden="false" customHeight="false" outlineLevel="0" collapsed="false">
      <c r="A8" s="5" t="s">
        <v>359</v>
      </c>
      <c r="B8" s="5" t="s">
        <v>104</v>
      </c>
      <c r="C8" s="5" t="s">
        <v>360</v>
      </c>
      <c r="D8" s="5" t="s">
        <v>96</v>
      </c>
      <c r="E8" s="5" t="s">
        <v>361</v>
      </c>
    </row>
    <row r="9" customFormat="false" ht="15" hidden="false" customHeight="false" outlineLevel="0" collapsed="false">
      <c r="A9" s="5" t="s">
        <v>362</v>
      </c>
      <c r="B9" s="5" t="s">
        <v>363</v>
      </c>
      <c r="C9" s="5" t="s">
        <v>364</v>
      </c>
      <c r="D9" s="5" t="s">
        <v>96</v>
      </c>
      <c r="E9" s="5" t="s">
        <v>365</v>
      </c>
    </row>
    <row r="10" customFormat="false" ht="15" hidden="false" customHeight="false" outlineLevel="0" collapsed="false">
      <c r="A10" s="5" t="s">
        <v>366</v>
      </c>
      <c r="B10" s="5" t="s">
        <v>367</v>
      </c>
      <c r="C10" s="5" t="s">
        <v>368</v>
      </c>
      <c r="D10" s="5" t="s">
        <v>96</v>
      </c>
      <c r="E10" s="5" t="s">
        <v>369</v>
      </c>
    </row>
    <row r="12" customFormat="false" ht="15" hidden="false" customHeight="false" outlineLevel="0" collapsed="false">
      <c r="A12" s="3" t="s">
        <v>370</v>
      </c>
    </row>
    <row r="13" customFormat="false" ht="15" hidden="false" customHeight="false" outlineLevel="0" collapsed="false">
      <c r="A13" s="4" t="s">
        <v>293</v>
      </c>
      <c r="B13" s="4" t="s">
        <v>371</v>
      </c>
      <c r="C13" s="4" t="s">
        <v>295</v>
      </c>
      <c r="D13" s="4" t="s">
        <v>372</v>
      </c>
      <c r="E13" s="4" t="s">
        <v>373</v>
      </c>
      <c r="F13" s="4" t="s">
        <v>70</v>
      </c>
      <c r="G13" s="4" t="s">
        <v>317</v>
      </c>
      <c r="H13" s="4" t="s">
        <v>148</v>
      </c>
    </row>
    <row r="14" customFormat="false" ht="15" hidden="false" customHeight="false" outlineLevel="0" collapsed="false">
      <c r="A14" s="5" t="s">
        <v>169</v>
      </c>
      <c r="B14" s="5" t="s">
        <v>374</v>
      </c>
      <c r="C14" s="5" t="s">
        <v>375</v>
      </c>
      <c r="D14" s="5" t="s">
        <v>137</v>
      </c>
      <c r="E14" s="5" t="s">
        <v>137</v>
      </c>
      <c r="F14" s="5" t="s">
        <v>376</v>
      </c>
      <c r="G14" s="5" t="s">
        <v>377</v>
      </c>
      <c r="H14" s="5" t="s">
        <v>378</v>
      </c>
    </row>
    <row r="15" customFormat="false" ht="23.85" hidden="false" customHeight="false" outlineLevel="0" collapsed="false">
      <c r="A15" s="5" t="s">
        <v>174</v>
      </c>
      <c r="B15" s="5" t="s">
        <v>379</v>
      </c>
      <c r="C15" s="5" t="s">
        <v>380</v>
      </c>
      <c r="D15" s="5" t="s">
        <v>381</v>
      </c>
      <c r="E15" s="5" t="s">
        <v>137</v>
      </c>
      <c r="F15" s="5" t="s">
        <v>376</v>
      </c>
      <c r="G15" s="5" t="s">
        <v>382</v>
      </c>
      <c r="H15" s="5" t="s">
        <v>383</v>
      </c>
    </row>
    <row r="16" customFormat="false" ht="23.85" hidden="false" customHeight="false" outlineLevel="0" collapsed="false">
      <c r="A16" s="5" t="s">
        <v>182</v>
      </c>
      <c r="B16" s="5" t="s">
        <v>384</v>
      </c>
      <c r="C16" s="5" t="s">
        <v>385</v>
      </c>
      <c r="D16" s="5" t="s">
        <v>137</v>
      </c>
      <c r="E16" s="5" t="s">
        <v>386</v>
      </c>
      <c r="F16" s="5" t="s">
        <v>387</v>
      </c>
      <c r="G16" s="5" t="s">
        <v>388</v>
      </c>
      <c r="H16" s="5" t="s">
        <v>389</v>
      </c>
    </row>
    <row r="17" customFormat="false" ht="15" hidden="false" customHeight="false" outlineLevel="0" collapsed="false">
      <c r="A17" s="5" t="s">
        <v>189</v>
      </c>
      <c r="B17" s="5" t="s">
        <v>165</v>
      </c>
      <c r="C17" s="5" t="s">
        <v>390</v>
      </c>
      <c r="D17" s="5" t="s">
        <v>137</v>
      </c>
      <c r="E17" s="5" t="s">
        <v>137</v>
      </c>
      <c r="F17" s="5" t="s">
        <v>376</v>
      </c>
      <c r="G17" s="5" t="s">
        <v>391</v>
      </c>
      <c r="H17" s="5" t="s">
        <v>392</v>
      </c>
    </row>
    <row r="18" customFormat="false" ht="15" hidden="false" customHeight="false" outlineLevel="0" collapsed="false">
      <c r="A18" s="5" t="s">
        <v>220</v>
      </c>
      <c r="B18" s="5" t="s">
        <v>393</v>
      </c>
      <c r="C18" s="5" t="s">
        <v>394</v>
      </c>
      <c r="D18" s="5" t="s">
        <v>395</v>
      </c>
      <c r="E18" s="5" t="s">
        <v>137</v>
      </c>
      <c r="F18" s="5" t="s">
        <v>376</v>
      </c>
      <c r="G18" s="5" t="s">
        <v>396</v>
      </c>
      <c r="H18" s="5" t="s">
        <v>397</v>
      </c>
    </row>
    <row r="20" customFormat="false" ht="15" hidden="false" customHeight="false" outlineLevel="0" collapsed="false">
      <c r="A20" s="3" t="s">
        <v>398</v>
      </c>
    </row>
    <row r="21" customFormat="false" ht="15" hidden="false" customHeight="false" outlineLevel="0" collapsed="false">
      <c r="A21" s="4" t="s">
        <v>399</v>
      </c>
      <c r="B21" s="4" t="s">
        <v>400</v>
      </c>
      <c r="C21" s="4" t="s">
        <v>44</v>
      </c>
      <c r="D21" s="4" t="s">
        <v>93</v>
      </c>
      <c r="E21" s="4" t="s">
        <v>49</v>
      </c>
      <c r="F21" s="4" t="s">
        <v>401</v>
      </c>
    </row>
    <row r="22" customFormat="false" ht="23.85" hidden="false" customHeight="false" outlineLevel="0" collapsed="false">
      <c r="A22" s="5" t="s">
        <v>402</v>
      </c>
      <c r="B22" s="5" t="s">
        <v>403</v>
      </c>
      <c r="C22" s="5" t="s">
        <v>404</v>
      </c>
      <c r="D22" s="5" t="s">
        <v>405</v>
      </c>
      <c r="E22" s="5" t="s">
        <v>96</v>
      </c>
      <c r="F22" s="5" t="s">
        <v>406</v>
      </c>
    </row>
    <row r="23" customFormat="false" ht="23.85" hidden="false" customHeight="false" outlineLevel="0" collapsed="false">
      <c r="A23" s="5" t="s">
        <v>407</v>
      </c>
      <c r="B23" s="5" t="s">
        <v>408</v>
      </c>
      <c r="C23" s="5" t="s">
        <v>409</v>
      </c>
      <c r="D23" s="5" t="s">
        <v>410</v>
      </c>
      <c r="E23" s="5" t="s">
        <v>96</v>
      </c>
      <c r="F23" s="5" t="s">
        <v>411</v>
      </c>
    </row>
    <row r="24" customFormat="false" ht="15" hidden="false" customHeight="false" outlineLevel="0" collapsed="false">
      <c r="A24" s="5" t="s">
        <v>228</v>
      </c>
      <c r="B24" s="5" t="s">
        <v>228</v>
      </c>
      <c r="C24" s="5" t="s">
        <v>412</v>
      </c>
      <c r="D24" s="5" t="s">
        <v>413</v>
      </c>
      <c r="E24" s="5" t="s">
        <v>137</v>
      </c>
      <c r="F24" s="5" t="s">
        <v>414</v>
      </c>
    </row>
    <row r="25" customFormat="false" ht="15" hidden="false" customHeight="false" outlineLevel="0" collapsed="false">
      <c r="A25" s="5" t="s">
        <v>415</v>
      </c>
      <c r="B25" s="5" t="s">
        <v>416</v>
      </c>
      <c r="C25" s="5" t="s">
        <v>417</v>
      </c>
      <c r="D25" s="5" t="s">
        <v>178</v>
      </c>
      <c r="E25" s="5" t="s">
        <v>96</v>
      </c>
      <c r="F25" s="5" t="s">
        <v>418</v>
      </c>
    </row>
    <row r="26" customFormat="false" ht="15" hidden="false" customHeight="false" outlineLevel="0" collapsed="false">
      <c r="A26" s="5" t="s">
        <v>230</v>
      </c>
      <c r="B26" s="5" t="s">
        <v>419</v>
      </c>
      <c r="C26" s="5" t="s">
        <v>420</v>
      </c>
      <c r="D26" s="5" t="s">
        <v>233</v>
      </c>
      <c r="E26" s="5" t="s">
        <v>137</v>
      </c>
      <c r="F26" s="5" t="s">
        <v>421</v>
      </c>
    </row>
    <row r="27" customFormat="false" ht="15" hidden="false" customHeight="false" outlineLevel="0" collapsed="false">
      <c r="A27" s="5" t="s">
        <v>422</v>
      </c>
      <c r="B27" s="5" t="s">
        <v>423</v>
      </c>
      <c r="C27" s="5" t="s">
        <v>424</v>
      </c>
      <c r="D27" s="5" t="s">
        <v>425</v>
      </c>
      <c r="E27" s="5" t="s">
        <v>96</v>
      </c>
      <c r="F27" s="5" t="s">
        <v>426</v>
      </c>
    </row>
    <row r="29" customFormat="false" ht="15" hidden="false" customHeight="false" outlineLevel="0" collapsed="false">
      <c r="A29" s="3" t="s">
        <v>427</v>
      </c>
    </row>
    <row r="30" customFormat="false" ht="15" hidden="false" customHeight="false" outlineLevel="0" collapsed="false">
      <c r="A30" s="4" t="s">
        <v>3</v>
      </c>
      <c r="B30" s="4" t="s">
        <v>428</v>
      </c>
      <c r="C30" s="4" t="s">
        <v>429</v>
      </c>
    </row>
    <row r="31" customFormat="false" ht="23.85" hidden="false" customHeight="false" outlineLevel="0" collapsed="false">
      <c r="A31" s="5" t="n">
        <v>1</v>
      </c>
      <c r="B31" s="5" t="s">
        <v>430</v>
      </c>
      <c r="C31" s="5" t="s">
        <v>431</v>
      </c>
    </row>
    <row r="32" customFormat="false" ht="23.85" hidden="false" customHeight="false" outlineLevel="0" collapsed="false">
      <c r="A32" s="5" t="n">
        <v>2</v>
      </c>
      <c r="B32" s="5" t="s">
        <v>432</v>
      </c>
      <c r="C32" s="5" t="s">
        <v>433</v>
      </c>
    </row>
    <row r="33" customFormat="false" ht="23.85" hidden="false" customHeight="false" outlineLevel="0" collapsed="false">
      <c r="A33" s="5" t="n">
        <v>3</v>
      </c>
      <c r="B33" s="5" t="s">
        <v>434</v>
      </c>
      <c r="C33" s="5" t="s">
        <v>435</v>
      </c>
    </row>
    <row r="34" customFormat="false" ht="23.85" hidden="false" customHeight="false" outlineLevel="0" collapsed="false">
      <c r="A34" s="5" t="n">
        <v>4</v>
      </c>
      <c r="B34" s="5" t="s">
        <v>436</v>
      </c>
      <c r="C34" s="5" t="s">
        <v>437</v>
      </c>
    </row>
    <row r="35" customFormat="false" ht="23.85" hidden="false" customHeight="false" outlineLevel="0" collapsed="false">
      <c r="A35" s="5" t="n">
        <v>5</v>
      </c>
      <c r="B35" s="5" t="s">
        <v>438</v>
      </c>
      <c r="C35" s="5" t="s">
        <v>439</v>
      </c>
    </row>
    <row r="36" customFormat="false" ht="23.85" hidden="false" customHeight="false" outlineLevel="0" collapsed="false">
      <c r="A36" s="5" t="n">
        <v>6</v>
      </c>
      <c r="B36" s="5" t="s">
        <v>440</v>
      </c>
      <c r="C36" s="5" t="s">
        <v>441</v>
      </c>
    </row>
    <row r="37" customFormat="false" ht="23.85" hidden="false" customHeight="false" outlineLevel="0" collapsed="false">
      <c r="A37" s="5" t="n">
        <v>7</v>
      </c>
      <c r="B37" s="5" t="s">
        <v>442</v>
      </c>
      <c r="C37" s="5" t="s">
        <v>443</v>
      </c>
    </row>
    <row r="39" customFormat="false" ht="15" hidden="false" customHeight="false" outlineLevel="0" collapsed="false">
      <c r="A39" s="3" t="s">
        <v>444</v>
      </c>
    </row>
    <row r="40" customFormat="false" ht="23.85" hidden="false" customHeight="false" outlineLevel="0" collapsed="false">
      <c r="A40" s="4" t="s">
        <v>445</v>
      </c>
      <c r="B40" s="4" t="s">
        <v>446</v>
      </c>
    </row>
    <row r="41" customFormat="false" ht="23.85" hidden="false" customHeight="false" outlineLevel="0" collapsed="false">
      <c r="A41" s="5" t="s">
        <v>169</v>
      </c>
      <c r="B41" s="5" t="s">
        <v>447</v>
      </c>
    </row>
    <row r="42" customFormat="false" ht="35.05" hidden="false" customHeight="false" outlineLevel="0" collapsed="false">
      <c r="A42" s="5" t="s">
        <v>174</v>
      </c>
      <c r="B42" s="5" t="s">
        <v>448</v>
      </c>
    </row>
    <row r="43" customFormat="false" ht="35.05" hidden="false" customHeight="false" outlineLevel="0" collapsed="false">
      <c r="A43" s="5" t="s">
        <v>182</v>
      </c>
      <c r="B43" s="5" t="s">
        <v>449</v>
      </c>
    </row>
    <row r="44" customFormat="false" ht="15" hidden="false" customHeight="false" outlineLevel="0" collapsed="false">
      <c r="A44" s="5" t="s">
        <v>189</v>
      </c>
      <c r="B44" s="5" t="s">
        <v>450</v>
      </c>
    </row>
    <row r="45" customFormat="false" ht="15" hidden="false" customHeight="false" outlineLevel="0" collapsed="false">
      <c r="A45" s="5" t="s">
        <v>220</v>
      </c>
      <c r="B45" s="5" t="s">
        <v>304</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2026-07-12T06:43:21Z</dcterms:created>
  <dc:creator>openpyxl</dc:creator>
  <dc:description/>
  <dc:language>en-US</dc:language>
  <cp:lastModifiedBy/>
  <dcterms:modified xsi:type="dcterms:W3CDTF">2026-07-12T06:43:21Z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