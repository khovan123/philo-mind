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oang\Downloads\"/>
    </mc:Choice>
  </mc:AlternateContent>
  <xr:revisionPtr revIDLastSave="0" documentId="13_ncr:1_{601DEE9C-9C22-4C6A-A971-08AF6D51E8CA}" xr6:coauthVersionLast="47" xr6:coauthVersionMax="47" xr10:uidLastSave="{00000000-0000-0000-0000-000000000000}"/>
  <bookViews>
    <workbookView xWindow="22932" yWindow="-108" windowWidth="23256" windowHeight="12456" activeTab="1" xr2:uid="{00000000-000D-0000-FFFF-FFFF00000000}"/>
  </bookViews>
  <sheets>
    <sheet name="00_HUONG_DAN" sheetId="1" r:id="rId1"/>
    <sheet name="01_THONG_TIN_PHIM" sheetId="2" r:id="rId2"/>
    <sheet name="02_KICH_BAN_NODES" sheetId="3" r:id="rId3"/>
    <sheet name="03_LUA_CHON" sheetId="4" r:id="rId4"/>
    <sheet name="04_DANH_MUC" sheetId="5" r:id="rId5"/>
    <sheet name="05_KIEM_TRA_QA" sheetId="6" r:id="rId6"/>
    <sheet name="06_DEV_MAPPING"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18" i="6" l="1"/>
  <c r="F218" i="6" s="1"/>
  <c r="A217" i="6"/>
  <c r="F217" i="6" s="1"/>
  <c r="F216" i="6"/>
  <c r="E216" i="6"/>
  <c r="D216" i="6"/>
  <c r="C216" i="6"/>
  <c r="A216" i="6"/>
  <c r="B216" i="6" s="1"/>
  <c r="A215" i="6"/>
  <c r="F215" i="6" s="1"/>
  <c r="B214" i="6"/>
  <c r="A214" i="6"/>
  <c r="F214" i="6" s="1"/>
  <c r="F213" i="6"/>
  <c r="E213" i="6"/>
  <c r="A213" i="6"/>
  <c r="D213" i="6" s="1"/>
  <c r="C212" i="6"/>
  <c r="A212" i="6"/>
  <c r="F212" i="6" s="1"/>
  <c r="B211" i="6"/>
  <c r="A211" i="6"/>
  <c r="F211" i="6" s="1"/>
  <c r="A210" i="6"/>
  <c r="F210" i="6" s="1"/>
  <c r="A209" i="6"/>
  <c r="F209" i="6" s="1"/>
  <c r="F208" i="6"/>
  <c r="E208" i="6"/>
  <c r="D208" i="6"/>
  <c r="C208" i="6"/>
  <c r="A208" i="6"/>
  <c r="B208" i="6" s="1"/>
  <c r="A207" i="6"/>
  <c r="F207" i="6" s="1"/>
  <c r="B206" i="6"/>
  <c r="A206" i="6"/>
  <c r="F206" i="6" s="1"/>
  <c r="F205" i="6"/>
  <c r="E205" i="6"/>
  <c r="A205" i="6"/>
  <c r="D205" i="6" s="1"/>
  <c r="E204" i="6"/>
  <c r="C204" i="6"/>
  <c r="A204" i="6"/>
  <c r="F204" i="6" s="1"/>
  <c r="B203" i="6"/>
  <c r="A203" i="6"/>
  <c r="F203" i="6" s="1"/>
  <c r="A202" i="6"/>
  <c r="F202" i="6" s="1"/>
  <c r="A201" i="6"/>
  <c r="F201" i="6" s="1"/>
  <c r="F200" i="6"/>
  <c r="E200" i="6"/>
  <c r="D200" i="6"/>
  <c r="C200" i="6"/>
  <c r="A200" i="6"/>
  <c r="B200" i="6" s="1"/>
  <c r="A199" i="6"/>
  <c r="F199" i="6" s="1"/>
  <c r="B198" i="6"/>
  <c r="A198" i="6"/>
  <c r="F198" i="6" s="1"/>
  <c r="F197" i="6"/>
  <c r="E197" i="6"/>
  <c r="A197" i="6"/>
  <c r="D197" i="6" s="1"/>
  <c r="E196" i="6"/>
  <c r="C196" i="6"/>
  <c r="A196" i="6"/>
  <c r="F196" i="6" s="1"/>
  <c r="B195" i="6"/>
  <c r="A195" i="6"/>
  <c r="F195" i="6" s="1"/>
  <c r="A194" i="6"/>
  <c r="F194" i="6" s="1"/>
  <c r="A193" i="6"/>
  <c r="F193" i="6" s="1"/>
  <c r="F192" i="6"/>
  <c r="E192" i="6"/>
  <c r="D192" i="6"/>
  <c r="C192" i="6"/>
  <c r="A192" i="6"/>
  <c r="B192" i="6" s="1"/>
  <c r="A191" i="6"/>
  <c r="F191" i="6" s="1"/>
  <c r="B190" i="6"/>
  <c r="A190" i="6"/>
  <c r="F190" i="6" s="1"/>
  <c r="F189" i="6"/>
  <c r="E189" i="6"/>
  <c r="A189" i="6"/>
  <c r="D189" i="6" s="1"/>
  <c r="E188" i="6"/>
  <c r="C188" i="6"/>
  <c r="A188" i="6"/>
  <c r="F188" i="6" s="1"/>
  <c r="B187" i="6"/>
  <c r="A187" i="6"/>
  <c r="F187" i="6" s="1"/>
  <c r="A186" i="6"/>
  <c r="F186" i="6" s="1"/>
  <c r="A185" i="6"/>
  <c r="F185" i="6" s="1"/>
  <c r="F184" i="6"/>
  <c r="E184" i="6"/>
  <c r="D184" i="6"/>
  <c r="C184" i="6"/>
  <c r="A184" i="6"/>
  <c r="B184" i="6" s="1"/>
  <c r="A183" i="6"/>
  <c r="F183" i="6" s="1"/>
  <c r="A182" i="6"/>
  <c r="F182" i="6" s="1"/>
  <c r="F181" i="6"/>
  <c r="E181" i="6"/>
  <c r="A181" i="6"/>
  <c r="D181" i="6" s="1"/>
  <c r="A180" i="6"/>
  <c r="F180" i="6" s="1"/>
  <c r="B179" i="6"/>
  <c r="A179" i="6"/>
  <c r="F179" i="6" s="1"/>
  <c r="A178" i="6"/>
  <c r="F178" i="6" s="1"/>
  <c r="C177" i="6"/>
  <c r="A177" i="6"/>
  <c r="F177" i="6" s="1"/>
  <c r="F176" i="6"/>
  <c r="E176" i="6"/>
  <c r="D176" i="6"/>
  <c r="C176" i="6"/>
  <c r="A176" i="6"/>
  <c r="B176" i="6" s="1"/>
  <c r="A175" i="6"/>
  <c r="F175" i="6" s="1"/>
  <c r="A174" i="6"/>
  <c r="F174" i="6" s="1"/>
  <c r="F173" i="6"/>
  <c r="E173" i="6"/>
  <c r="A173" i="6"/>
  <c r="D173" i="6" s="1"/>
  <c r="A172" i="6"/>
  <c r="F172" i="6" s="1"/>
  <c r="C171" i="6"/>
  <c r="A171" i="6"/>
  <c r="F171" i="6" s="1"/>
  <c r="A170" i="6"/>
  <c r="F170" i="6" s="1"/>
  <c r="C169" i="6"/>
  <c r="A169" i="6"/>
  <c r="F169" i="6" s="1"/>
  <c r="F168" i="6"/>
  <c r="E168" i="6"/>
  <c r="D168" i="6"/>
  <c r="C168" i="6"/>
  <c r="A168" i="6"/>
  <c r="B168" i="6" s="1"/>
  <c r="A167" i="6"/>
  <c r="F167" i="6" s="1"/>
  <c r="A166" i="6"/>
  <c r="F166" i="6" s="1"/>
  <c r="F165" i="6"/>
  <c r="E165" i="6"/>
  <c r="C165" i="6"/>
  <c r="A165" i="6"/>
  <c r="D165" i="6" s="1"/>
  <c r="A164" i="6"/>
  <c r="F164" i="6" s="1"/>
  <c r="C163" i="6"/>
  <c r="A163" i="6"/>
  <c r="F163" i="6" s="1"/>
  <c r="A162" i="6"/>
  <c r="F162" i="6" s="1"/>
  <c r="C161" i="6"/>
  <c r="A161" i="6"/>
  <c r="F161" i="6" s="1"/>
  <c r="F160" i="6"/>
  <c r="E160" i="6"/>
  <c r="D160" i="6"/>
  <c r="C160" i="6"/>
  <c r="A160" i="6"/>
  <c r="B160" i="6" s="1"/>
  <c r="A159" i="6"/>
  <c r="F159" i="6" s="1"/>
  <c r="A158" i="6"/>
  <c r="F158" i="6" s="1"/>
  <c r="F157" i="6"/>
  <c r="E157" i="6"/>
  <c r="C157" i="6"/>
  <c r="A157" i="6"/>
  <c r="D157" i="6" s="1"/>
  <c r="A156" i="6"/>
  <c r="F156" i="6" s="1"/>
  <c r="C155" i="6"/>
  <c r="A155" i="6"/>
  <c r="F155" i="6" s="1"/>
  <c r="A154" i="6"/>
  <c r="F154" i="6" s="1"/>
  <c r="C153" i="6"/>
  <c r="A153" i="6"/>
  <c r="F153" i="6" s="1"/>
  <c r="F152" i="6"/>
  <c r="E152" i="6"/>
  <c r="D152" i="6"/>
  <c r="C152" i="6"/>
  <c r="A152" i="6"/>
  <c r="B152" i="6" s="1"/>
  <c r="A151" i="6"/>
  <c r="F151" i="6" s="1"/>
  <c r="A150" i="6"/>
  <c r="F150" i="6" s="1"/>
  <c r="F149" i="6"/>
  <c r="E149" i="6"/>
  <c r="C149" i="6"/>
  <c r="A149" i="6"/>
  <c r="D149" i="6" s="1"/>
  <c r="A148" i="6"/>
  <c r="F148" i="6" s="1"/>
  <c r="C147" i="6"/>
  <c r="A147" i="6"/>
  <c r="F147" i="6" s="1"/>
  <c r="A146" i="6"/>
  <c r="F146" i="6" s="1"/>
  <c r="C145" i="6"/>
  <c r="A145" i="6"/>
  <c r="F145" i="6" s="1"/>
  <c r="F144" i="6"/>
  <c r="E144" i="6"/>
  <c r="D144" i="6"/>
  <c r="C144" i="6"/>
  <c r="A144" i="6"/>
  <c r="B144" i="6" s="1"/>
  <c r="A143" i="6"/>
  <c r="F143" i="6" s="1"/>
  <c r="A142" i="6"/>
  <c r="F142" i="6" s="1"/>
  <c r="F141" i="6"/>
  <c r="E141" i="6"/>
  <c r="C141" i="6"/>
  <c r="A141" i="6"/>
  <c r="D141" i="6" s="1"/>
  <c r="A140" i="6"/>
  <c r="F140" i="6" s="1"/>
  <c r="C139" i="6"/>
  <c r="A139" i="6"/>
  <c r="F139" i="6" s="1"/>
  <c r="A138" i="6"/>
  <c r="F138" i="6" s="1"/>
  <c r="C137" i="6"/>
  <c r="A137" i="6"/>
  <c r="F137" i="6" s="1"/>
  <c r="F136" i="6"/>
  <c r="E136" i="6"/>
  <c r="D136" i="6"/>
  <c r="C136" i="6"/>
  <c r="A136" i="6"/>
  <c r="B136" i="6" s="1"/>
  <c r="C135" i="6"/>
  <c r="A135" i="6"/>
  <c r="F135" i="6" s="1"/>
  <c r="A134" i="6"/>
  <c r="F134" i="6" s="1"/>
  <c r="F133" i="6"/>
  <c r="E133" i="6"/>
  <c r="C133" i="6"/>
  <c r="A133" i="6"/>
  <c r="D133" i="6" s="1"/>
  <c r="E132" i="6"/>
  <c r="A132" i="6"/>
  <c r="F132" i="6" s="1"/>
  <c r="C131" i="6"/>
  <c r="A131" i="6"/>
  <c r="F131" i="6" s="1"/>
  <c r="A130" i="6"/>
  <c r="F130" i="6" s="1"/>
  <c r="C129" i="6"/>
  <c r="A129" i="6"/>
  <c r="F129" i="6" s="1"/>
  <c r="F128" i="6"/>
  <c r="E128" i="6"/>
  <c r="D128" i="6"/>
  <c r="C128" i="6"/>
  <c r="A128" i="6"/>
  <c r="B128" i="6" s="1"/>
  <c r="C127" i="6"/>
  <c r="A127" i="6"/>
  <c r="F127" i="6" s="1"/>
  <c r="A126" i="6"/>
  <c r="F126" i="6" s="1"/>
  <c r="F125" i="6"/>
  <c r="E125" i="6"/>
  <c r="C125" i="6"/>
  <c r="A125" i="6"/>
  <c r="D125" i="6" s="1"/>
  <c r="E124" i="6"/>
  <c r="A124" i="6"/>
  <c r="F124" i="6" s="1"/>
  <c r="C123" i="6"/>
  <c r="A123" i="6"/>
  <c r="F123" i="6" s="1"/>
  <c r="A122" i="6"/>
  <c r="F122" i="6" s="1"/>
  <c r="C121" i="6"/>
  <c r="A121" i="6"/>
  <c r="F121" i="6" s="1"/>
  <c r="E120" i="6"/>
  <c r="D120" i="6"/>
  <c r="C120" i="6"/>
  <c r="A120" i="6"/>
  <c r="B120" i="6" s="1"/>
  <c r="C119" i="6"/>
  <c r="A119" i="6"/>
  <c r="F119" i="6" s="1"/>
  <c r="A118" i="6"/>
  <c r="F118" i="6" s="1"/>
  <c r="F117" i="6"/>
  <c r="E117" i="6"/>
  <c r="C117" i="6"/>
  <c r="A117" i="6"/>
  <c r="D117" i="6" s="1"/>
  <c r="E116" i="6"/>
  <c r="A116" i="6"/>
  <c r="F116" i="6" s="1"/>
  <c r="C115" i="6"/>
  <c r="A115" i="6"/>
  <c r="F115" i="6" s="1"/>
  <c r="A114" i="6"/>
  <c r="F114" i="6" s="1"/>
  <c r="C113" i="6"/>
  <c r="A113" i="6"/>
  <c r="F113" i="6" s="1"/>
  <c r="E112" i="6"/>
  <c r="D112" i="6"/>
  <c r="C112" i="6"/>
  <c r="A112" i="6"/>
  <c r="B112" i="6" s="1"/>
  <c r="C111" i="6"/>
  <c r="A111" i="6"/>
  <c r="F111" i="6" s="1"/>
  <c r="A110" i="6"/>
  <c r="F110" i="6" s="1"/>
  <c r="F109" i="6"/>
  <c r="E109" i="6"/>
  <c r="C109" i="6"/>
  <c r="A109" i="6"/>
  <c r="D109" i="6" s="1"/>
  <c r="E108" i="6"/>
  <c r="A108" i="6"/>
  <c r="F108" i="6" s="1"/>
  <c r="C107" i="6"/>
  <c r="A107" i="6"/>
  <c r="F107" i="6" s="1"/>
  <c r="A106" i="6"/>
  <c r="F106" i="6" s="1"/>
  <c r="C105" i="6"/>
  <c r="A105" i="6"/>
  <c r="F105" i="6" s="1"/>
  <c r="E104" i="6"/>
  <c r="D104" i="6"/>
  <c r="C104" i="6"/>
  <c r="A104" i="6"/>
  <c r="B104" i="6" s="1"/>
  <c r="C103" i="6"/>
  <c r="A103" i="6"/>
  <c r="F103" i="6" s="1"/>
  <c r="A102" i="6"/>
  <c r="F102" i="6" s="1"/>
  <c r="F101" i="6"/>
  <c r="E101" i="6"/>
  <c r="C101" i="6"/>
  <c r="A101" i="6"/>
  <c r="D101" i="6" s="1"/>
  <c r="E100" i="6"/>
  <c r="A100" i="6"/>
  <c r="F100" i="6" s="1"/>
  <c r="A99" i="6"/>
  <c r="F99" i="6" s="1"/>
  <c r="A98" i="6"/>
  <c r="F98" i="6" s="1"/>
  <c r="C97" i="6"/>
  <c r="A97" i="6"/>
  <c r="F97" i="6" s="1"/>
  <c r="E96" i="6"/>
  <c r="D96" i="6"/>
  <c r="C96" i="6"/>
  <c r="A96" i="6"/>
  <c r="B96" i="6" s="1"/>
  <c r="C95" i="6"/>
  <c r="A95" i="6"/>
  <c r="F95" i="6" s="1"/>
  <c r="A94" i="6"/>
  <c r="F94" i="6" s="1"/>
  <c r="F93" i="6"/>
  <c r="E93" i="6"/>
  <c r="C93" i="6"/>
  <c r="A93" i="6"/>
  <c r="D93" i="6" s="1"/>
  <c r="E92" i="6"/>
  <c r="A92" i="6"/>
  <c r="F92" i="6" s="1"/>
  <c r="A91" i="6"/>
  <c r="F91" i="6" s="1"/>
  <c r="A90" i="6"/>
  <c r="F90" i="6" s="1"/>
  <c r="C89" i="6"/>
  <c r="A89" i="6"/>
  <c r="F89" i="6" s="1"/>
  <c r="E88" i="6"/>
  <c r="D88" i="6"/>
  <c r="C88" i="6"/>
  <c r="A88" i="6"/>
  <c r="B88" i="6" s="1"/>
  <c r="C87" i="6"/>
  <c r="A87" i="6"/>
  <c r="F87" i="6" s="1"/>
  <c r="A86" i="6"/>
  <c r="F86" i="6" s="1"/>
  <c r="F85" i="6"/>
  <c r="E85" i="6"/>
  <c r="C85" i="6"/>
  <c r="A85" i="6"/>
  <c r="D85" i="6" s="1"/>
  <c r="E84" i="6"/>
  <c r="A84" i="6"/>
  <c r="F84" i="6" s="1"/>
  <c r="A83" i="6"/>
  <c r="F83" i="6" s="1"/>
  <c r="A82" i="6"/>
  <c r="F82" i="6" s="1"/>
  <c r="C81" i="6"/>
  <c r="A81" i="6"/>
  <c r="F81" i="6" s="1"/>
  <c r="E80" i="6"/>
  <c r="D80" i="6"/>
  <c r="C80" i="6"/>
  <c r="A80" i="6"/>
  <c r="B80" i="6" s="1"/>
  <c r="C79" i="6"/>
  <c r="A79" i="6"/>
  <c r="F79" i="6" s="1"/>
  <c r="A78" i="6"/>
  <c r="F78" i="6" s="1"/>
  <c r="F77" i="6"/>
  <c r="E77" i="6"/>
  <c r="C77" i="6"/>
  <c r="A77" i="6"/>
  <c r="D77" i="6" s="1"/>
  <c r="E76" i="6"/>
  <c r="A76" i="6"/>
  <c r="F76" i="6" s="1"/>
  <c r="A75" i="6"/>
  <c r="F75" i="6" s="1"/>
  <c r="A74" i="6"/>
  <c r="F74" i="6" s="1"/>
  <c r="C73" i="6"/>
  <c r="A73" i="6"/>
  <c r="F73" i="6" s="1"/>
  <c r="E72" i="6"/>
  <c r="D72" i="6"/>
  <c r="C72" i="6"/>
  <c r="A72" i="6"/>
  <c r="B72" i="6" s="1"/>
  <c r="E71" i="6"/>
  <c r="C71" i="6"/>
  <c r="A71" i="6"/>
  <c r="F71" i="6" s="1"/>
  <c r="A70" i="6"/>
  <c r="F70" i="6" s="1"/>
  <c r="F69" i="6"/>
  <c r="E69" i="6"/>
  <c r="C69" i="6"/>
  <c r="A69" i="6"/>
  <c r="D69" i="6" s="1"/>
  <c r="E68" i="6"/>
  <c r="A68" i="6"/>
  <c r="F68" i="6" s="1"/>
  <c r="A67" i="6"/>
  <c r="F67" i="6" s="1"/>
  <c r="A66" i="6"/>
  <c r="F66" i="6" s="1"/>
  <c r="C65" i="6"/>
  <c r="A65" i="6"/>
  <c r="F65" i="6" s="1"/>
  <c r="E64" i="6"/>
  <c r="D64" i="6"/>
  <c r="C64" i="6"/>
  <c r="A64" i="6"/>
  <c r="B64" i="6" s="1"/>
  <c r="E63" i="6"/>
  <c r="C63" i="6"/>
  <c r="A63" i="6"/>
  <c r="F63" i="6" s="1"/>
  <c r="A62" i="6"/>
  <c r="F62" i="6" s="1"/>
  <c r="F61" i="6"/>
  <c r="E61" i="6"/>
  <c r="C61" i="6"/>
  <c r="A61" i="6"/>
  <c r="D61" i="6" s="1"/>
  <c r="E60" i="6"/>
  <c r="A60" i="6"/>
  <c r="F60" i="6" s="1"/>
  <c r="A59" i="6"/>
  <c r="F59" i="6" s="1"/>
  <c r="A58" i="6"/>
  <c r="F58" i="6" s="1"/>
  <c r="C57" i="6"/>
  <c r="A57" i="6"/>
  <c r="F57" i="6" s="1"/>
  <c r="E56" i="6"/>
  <c r="D56" i="6"/>
  <c r="C56" i="6"/>
  <c r="A56" i="6"/>
  <c r="B56" i="6" s="1"/>
  <c r="E55" i="6"/>
  <c r="C55" i="6"/>
  <c r="A55" i="6"/>
  <c r="F55" i="6" s="1"/>
  <c r="A54" i="6"/>
  <c r="F54" i="6" s="1"/>
  <c r="F53" i="6"/>
  <c r="E53" i="6"/>
  <c r="C53" i="6"/>
  <c r="A53" i="6"/>
  <c r="D53" i="6" s="1"/>
  <c r="E52" i="6"/>
  <c r="A52" i="6"/>
  <c r="F52" i="6" s="1"/>
  <c r="A51" i="6"/>
  <c r="F51" i="6" s="1"/>
  <c r="A50" i="6"/>
  <c r="F50" i="6" s="1"/>
  <c r="C49" i="6"/>
  <c r="A49" i="6"/>
  <c r="F49" i="6" s="1"/>
  <c r="D48" i="6"/>
  <c r="C48" i="6"/>
  <c r="A48" i="6"/>
  <c r="B48" i="6" s="1"/>
  <c r="C47" i="6"/>
  <c r="A47" i="6"/>
  <c r="A46" i="6"/>
  <c r="C45" i="6"/>
  <c r="A45" i="6"/>
  <c r="D45" i="6" s="1"/>
  <c r="A44" i="6"/>
  <c r="A43" i="6"/>
  <c r="A42" i="6"/>
  <c r="F42" i="6" s="1"/>
  <c r="E41" i="6"/>
  <c r="C41" i="6"/>
  <c r="A41" i="6"/>
  <c r="F41" i="6" s="1"/>
  <c r="D40" i="6"/>
  <c r="C40" i="6"/>
  <c r="A40" i="6"/>
  <c r="B40" i="6" s="1"/>
  <c r="E39" i="6"/>
  <c r="C39" i="6"/>
  <c r="A39" i="6"/>
  <c r="F39" i="6" s="1"/>
  <c r="A38" i="6"/>
  <c r="C37" i="6"/>
  <c r="A37" i="6"/>
  <c r="D37" i="6" s="1"/>
  <c r="A36" i="6"/>
  <c r="A35" i="6"/>
  <c r="A34" i="6"/>
  <c r="C33" i="6"/>
  <c r="A33" i="6"/>
  <c r="C32" i="6"/>
  <c r="A32" i="6"/>
  <c r="B32" i="6" s="1"/>
  <c r="E31" i="6"/>
  <c r="C31" i="6"/>
  <c r="A31" i="6"/>
  <c r="F31" i="6" s="1"/>
  <c r="E30" i="6"/>
  <c r="A30" i="6"/>
  <c r="F30" i="6" s="1"/>
  <c r="F29" i="6"/>
  <c r="E29" i="6"/>
  <c r="C29" i="6"/>
  <c r="A29" i="6"/>
  <c r="D29" i="6" s="1"/>
  <c r="A28" i="6"/>
  <c r="A27" i="6"/>
  <c r="A26" i="6"/>
  <c r="C25" i="6"/>
  <c r="A25" i="6"/>
  <c r="C24" i="6"/>
  <c r="A24" i="6"/>
  <c r="B24" i="6" s="1"/>
  <c r="C23" i="6"/>
  <c r="A23" i="6"/>
  <c r="A22" i="6"/>
  <c r="F21" i="6"/>
  <c r="E21" i="6"/>
  <c r="C21" i="6"/>
  <c r="A21" i="6"/>
  <c r="D21" i="6" s="1"/>
  <c r="E20" i="6"/>
  <c r="A20" i="6"/>
  <c r="F20" i="6" s="1"/>
  <c r="A19" i="6"/>
  <c r="F19" i="6" s="1"/>
  <c r="B13" i="6"/>
  <c r="C13" i="6" s="1"/>
  <c r="F6" i="6"/>
  <c r="B10" i="6" s="1"/>
  <c r="C10" i="6" s="1"/>
  <c r="E6" i="6"/>
  <c r="D6" i="6"/>
  <c r="C6" i="6"/>
  <c r="B6" i="6"/>
  <c r="A6" i="6"/>
  <c r="K404" i="4"/>
  <c r="J404" i="4"/>
  <c r="K403" i="4"/>
  <c r="J403" i="4"/>
  <c r="K402" i="4"/>
  <c r="J402" i="4"/>
  <c r="K401" i="4"/>
  <c r="J401" i="4"/>
  <c r="K400" i="4"/>
  <c r="J400" i="4"/>
  <c r="K399" i="4"/>
  <c r="J399" i="4"/>
  <c r="K398" i="4"/>
  <c r="J398" i="4"/>
  <c r="K397" i="4"/>
  <c r="J397" i="4"/>
  <c r="K396" i="4"/>
  <c r="J396" i="4"/>
  <c r="K395" i="4"/>
  <c r="J395" i="4"/>
  <c r="K394" i="4"/>
  <c r="J394" i="4"/>
  <c r="K393" i="4"/>
  <c r="J393" i="4"/>
  <c r="K392" i="4"/>
  <c r="J392" i="4"/>
  <c r="K391" i="4"/>
  <c r="J391" i="4"/>
  <c r="K390" i="4"/>
  <c r="J390" i="4"/>
  <c r="K389" i="4"/>
  <c r="J389" i="4"/>
  <c r="K388" i="4"/>
  <c r="J388" i="4"/>
  <c r="K387" i="4"/>
  <c r="J387" i="4"/>
  <c r="K386" i="4"/>
  <c r="J386" i="4"/>
  <c r="K385" i="4"/>
  <c r="J385" i="4"/>
  <c r="K384" i="4"/>
  <c r="J384" i="4"/>
  <c r="K383" i="4"/>
  <c r="J383" i="4"/>
  <c r="K382" i="4"/>
  <c r="J382" i="4"/>
  <c r="K381" i="4"/>
  <c r="J381" i="4"/>
  <c r="K380" i="4"/>
  <c r="J380" i="4"/>
  <c r="K379" i="4"/>
  <c r="J379" i="4"/>
  <c r="K378" i="4"/>
  <c r="J378" i="4"/>
  <c r="K377" i="4"/>
  <c r="J377" i="4"/>
  <c r="K376" i="4"/>
  <c r="J376" i="4"/>
  <c r="K375" i="4"/>
  <c r="J375" i="4"/>
  <c r="K374" i="4"/>
  <c r="J374" i="4"/>
  <c r="K373" i="4"/>
  <c r="J373" i="4"/>
  <c r="K372" i="4"/>
  <c r="J372" i="4"/>
  <c r="K371" i="4"/>
  <c r="J371" i="4"/>
  <c r="K370" i="4"/>
  <c r="J370" i="4"/>
  <c r="K369" i="4"/>
  <c r="J369" i="4"/>
  <c r="K368" i="4"/>
  <c r="J368" i="4"/>
  <c r="K367" i="4"/>
  <c r="J367" i="4"/>
  <c r="K366" i="4"/>
  <c r="J366" i="4"/>
  <c r="K365" i="4"/>
  <c r="J365" i="4"/>
  <c r="K364" i="4"/>
  <c r="J364" i="4"/>
  <c r="K363" i="4"/>
  <c r="J363" i="4"/>
  <c r="K362" i="4"/>
  <c r="J362" i="4"/>
  <c r="K361" i="4"/>
  <c r="J361" i="4"/>
  <c r="K360" i="4"/>
  <c r="J360" i="4"/>
  <c r="K359" i="4"/>
  <c r="J359" i="4"/>
  <c r="K358" i="4"/>
  <c r="J358" i="4"/>
  <c r="K357" i="4"/>
  <c r="J357" i="4"/>
  <c r="K356" i="4"/>
  <c r="J356" i="4"/>
  <c r="K355" i="4"/>
  <c r="J355" i="4"/>
  <c r="K354" i="4"/>
  <c r="J354" i="4"/>
  <c r="K353" i="4"/>
  <c r="J353" i="4"/>
  <c r="K352" i="4"/>
  <c r="J352" i="4"/>
  <c r="K351" i="4"/>
  <c r="J351" i="4"/>
  <c r="K350" i="4"/>
  <c r="J350" i="4"/>
  <c r="K349" i="4"/>
  <c r="J349" i="4"/>
  <c r="K348" i="4"/>
  <c r="J348" i="4"/>
  <c r="K347" i="4"/>
  <c r="J347" i="4"/>
  <c r="K346" i="4"/>
  <c r="J346" i="4"/>
  <c r="K345" i="4"/>
  <c r="J345" i="4"/>
  <c r="K344" i="4"/>
  <c r="J344" i="4"/>
  <c r="K343" i="4"/>
  <c r="J343" i="4"/>
  <c r="K342" i="4"/>
  <c r="J342" i="4"/>
  <c r="K341" i="4"/>
  <c r="J341" i="4"/>
  <c r="K340" i="4"/>
  <c r="J340" i="4"/>
  <c r="K339" i="4"/>
  <c r="J339" i="4"/>
  <c r="K338" i="4"/>
  <c r="J338" i="4"/>
  <c r="K337" i="4"/>
  <c r="J337" i="4"/>
  <c r="K336" i="4"/>
  <c r="J336" i="4"/>
  <c r="K335" i="4"/>
  <c r="J335" i="4"/>
  <c r="K334" i="4"/>
  <c r="J334" i="4"/>
  <c r="K333" i="4"/>
  <c r="J333" i="4"/>
  <c r="K332" i="4"/>
  <c r="J332" i="4"/>
  <c r="K331" i="4"/>
  <c r="J331" i="4"/>
  <c r="K330" i="4"/>
  <c r="J330" i="4"/>
  <c r="K329" i="4"/>
  <c r="J329" i="4"/>
  <c r="K328" i="4"/>
  <c r="J328" i="4"/>
  <c r="K327" i="4"/>
  <c r="J327" i="4"/>
  <c r="K326" i="4"/>
  <c r="J326" i="4"/>
  <c r="K325" i="4"/>
  <c r="J325" i="4"/>
  <c r="K324" i="4"/>
  <c r="J324" i="4"/>
  <c r="K323" i="4"/>
  <c r="J323" i="4"/>
  <c r="K322" i="4"/>
  <c r="J322" i="4"/>
  <c r="K321" i="4"/>
  <c r="J321" i="4"/>
  <c r="K320" i="4"/>
  <c r="J320" i="4"/>
  <c r="K319" i="4"/>
  <c r="J319" i="4"/>
  <c r="K318" i="4"/>
  <c r="J318" i="4"/>
  <c r="K317" i="4"/>
  <c r="J317" i="4"/>
  <c r="K316" i="4"/>
  <c r="J316" i="4"/>
  <c r="K315" i="4"/>
  <c r="J315" i="4"/>
  <c r="K314" i="4"/>
  <c r="J314" i="4"/>
  <c r="K313" i="4"/>
  <c r="J313" i="4"/>
  <c r="K312" i="4"/>
  <c r="J312" i="4"/>
  <c r="K311" i="4"/>
  <c r="J311" i="4"/>
  <c r="K310" i="4"/>
  <c r="J310" i="4"/>
  <c r="K309" i="4"/>
  <c r="J309" i="4"/>
  <c r="K308" i="4"/>
  <c r="J308" i="4"/>
  <c r="K307" i="4"/>
  <c r="J307" i="4"/>
  <c r="K306" i="4"/>
  <c r="J306" i="4"/>
  <c r="K305" i="4"/>
  <c r="J305" i="4"/>
  <c r="K304" i="4"/>
  <c r="J304" i="4"/>
  <c r="K303" i="4"/>
  <c r="J303" i="4"/>
  <c r="K302" i="4"/>
  <c r="J302" i="4"/>
  <c r="K301" i="4"/>
  <c r="J301" i="4"/>
  <c r="K300" i="4"/>
  <c r="J300" i="4"/>
  <c r="K299" i="4"/>
  <c r="J299" i="4"/>
  <c r="K298" i="4"/>
  <c r="J298" i="4"/>
  <c r="K297" i="4"/>
  <c r="J297" i="4"/>
  <c r="K296" i="4"/>
  <c r="J296" i="4"/>
  <c r="K295" i="4"/>
  <c r="J295" i="4"/>
  <c r="K294" i="4"/>
  <c r="J294" i="4"/>
  <c r="K293" i="4"/>
  <c r="J293" i="4"/>
  <c r="K292" i="4"/>
  <c r="J292" i="4"/>
  <c r="K291" i="4"/>
  <c r="J291" i="4"/>
  <c r="K290" i="4"/>
  <c r="J290" i="4"/>
  <c r="K289" i="4"/>
  <c r="J289" i="4"/>
  <c r="K288" i="4"/>
  <c r="J288" i="4"/>
  <c r="K287" i="4"/>
  <c r="J287" i="4"/>
  <c r="K286" i="4"/>
  <c r="J286" i="4"/>
  <c r="K285" i="4"/>
  <c r="J285" i="4"/>
  <c r="K284" i="4"/>
  <c r="J284" i="4"/>
  <c r="K283" i="4"/>
  <c r="J283" i="4"/>
  <c r="K282" i="4"/>
  <c r="J282" i="4"/>
  <c r="K281" i="4"/>
  <c r="J281" i="4"/>
  <c r="K280" i="4"/>
  <c r="J280" i="4"/>
  <c r="K279" i="4"/>
  <c r="J279" i="4"/>
  <c r="K278" i="4"/>
  <c r="J278" i="4"/>
  <c r="K277" i="4"/>
  <c r="J277" i="4"/>
  <c r="K276" i="4"/>
  <c r="J276" i="4"/>
  <c r="K275" i="4"/>
  <c r="J275" i="4"/>
  <c r="K274" i="4"/>
  <c r="J274" i="4"/>
  <c r="K273" i="4"/>
  <c r="J273" i="4"/>
  <c r="K272" i="4"/>
  <c r="J272" i="4"/>
  <c r="K271" i="4"/>
  <c r="J271" i="4"/>
  <c r="K270" i="4"/>
  <c r="J270" i="4"/>
  <c r="K269" i="4"/>
  <c r="J269" i="4"/>
  <c r="K268" i="4"/>
  <c r="J268" i="4"/>
  <c r="K267" i="4"/>
  <c r="J267" i="4"/>
  <c r="K266" i="4"/>
  <c r="J266" i="4"/>
  <c r="K265" i="4"/>
  <c r="J265" i="4"/>
  <c r="K264" i="4"/>
  <c r="J264" i="4"/>
  <c r="K263" i="4"/>
  <c r="J263" i="4"/>
  <c r="K262" i="4"/>
  <c r="J262" i="4"/>
  <c r="K261" i="4"/>
  <c r="J261" i="4"/>
  <c r="K260" i="4"/>
  <c r="J260" i="4"/>
  <c r="K259" i="4"/>
  <c r="J259" i="4"/>
  <c r="K258" i="4"/>
  <c r="J258" i="4"/>
  <c r="K257" i="4"/>
  <c r="J257" i="4"/>
  <c r="K256" i="4"/>
  <c r="J256" i="4"/>
  <c r="K255" i="4"/>
  <c r="J255" i="4"/>
  <c r="K254" i="4"/>
  <c r="J254" i="4"/>
  <c r="K253" i="4"/>
  <c r="J253" i="4"/>
  <c r="K252" i="4"/>
  <c r="J252" i="4"/>
  <c r="K251" i="4"/>
  <c r="J251" i="4"/>
  <c r="K250" i="4"/>
  <c r="J250" i="4"/>
  <c r="K249" i="4"/>
  <c r="J249" i="4"/>
  <c r="K248" i="4"/>
  <c r="J248" i="4"/>
  <c r="K247" i="4"/>
  <c r="J247" i="4"/>
  <c r="K246" i="4"/>
  <c r="J246" i="4"/>
  <c r="K245" i="4"/>
  <c r="J245" i="4"/>
  <c r="K244" i="4"/>
  <c r="J244" i="4"/>
  <c r="K243" i="4"/>
  <c r="J243" i="4"/>
  <c r="K242" i="4"/>
  <c r="J242" i="4"/>
  <c r="K241" i="4"/>
  <c r="J241" i="4"/>
  <c r="K240" i="4"/>
  <c r="J240" i="4"/>
  <c r="K239" i="4"/>
  <c r="J239" i="4"/>
  <c r="K238" i="4"/>
  <c r="J238" i="4"/>
  <c r="K237" i="4"/>
  <c r="J237" i="4"/>
  <c r="K236" i="4"/>
  <c r="J236" i="4"/>
  <c r="K235" i="4"/>
  <c r="J235" i="4"/>
  <c r="K234" i="4"/>
  <c r="J234" i="4"/>
  <c r="K233" i="4"/>
  <c r="J233" i="4"/>
  <c r="K232" i="4"/>
  <c r="J232" i="4"/>
  <c r="K231" i="4"/>
  <c r="J231" i="4"/>
  <c r="K230" i="4"/>
  <c r="J230" i="4"/>
  <c r="K229" i="4"/>
  <c r="J229" i="4"/>
  <c r="K228" i="4"/>
  <c r="J228" i="4"/>
  <c r="K227" i="4"/>
  <c r="J227" i="4"/>
  <c r="K226" i="4"/>
  <c r="J226" i="4"/>
  <c r="K225" i="4"/>
  <c r="J225" i="4"/>
  <c r="K224" i="4"/>
  <c r="J224" i="4"/>
  <c r="K223" i="4"/>
  <c r="J223" i="4"/>
  <c r="K222" i="4"/>
  <c r="J222" i="4"/>
  <c r="K221" i="4"/>
  <c r="J221" i="4"/>
  <c r="K220" i="4"/>
  <c r="J220" i="4"/>
  <c r="K219" i="4"/>
  <c r="J219" i="4"/>
  <c r="K218" i="4"/>
  <c r="J218" i="4"/>
  <c r="K217" i="4"/>
  <c r="J217" i="4"/>
  <c r="K216" i="4"/>
  <c r="J216" i="4"/>
  <c r="K215" i="4"/>
  <c r="J215" i="4"/>
  <c r="K214" i="4"/>
  <c r="J214" i="4"/>
  <c r="K213" i="4"/>
  <c r="J213" i="4"/>
  <c r="K212" i="4"/>
  <c r="J212" i="4"/>
  <c r="K211" i="4"/>
  <c r="J211" i="4"/>
  <c r="K210" i="4"/>
  <c r="J210" i="4"/>
  <c r="K209" i="4"/>
  <c r="J209" i="4"/>
  <c r="K208" i="4"/>
  <c r="J208" i="4"/>
  <c r="K207" i="4"/>
  <c r="J207" i="4"/>
  <c r="K206" i="4"/>
  <c r="J206" i="4"/>
  <c r="K205" i="4"/>
  <c r="J205" i="4"/>
  <c r="K204" i="4"/>
  <c r="J204" i="4"/>
  <c r="K203" i="4"/>
  <c r="J203" i="4"/>
  <c r="K202" i="4"/>
  <c r="J202" i="4"/>
  <c r="K201" i="4"/>
  <c r="J201" i="4"/>
  <c r="K200" i="4"/>
  <c r="J200" i="4"/>
  <c r="K199" i="4"/>
  <c r="J199" i="4"/>
  <c r="K198" i="4"/>
  <c r="J198" i="4"/>
  <c r="K197" i="4"/>
  <c r="J197" i="4"/>
  <c r="K196" i="4"/>
  <c r="J196" i="4"/>
  <c r="K195" i="4"/>
  <c r="J195" i="4"/>
  <c r="K194" i="4"/>
  <c r="J194" i="4"/>
  <c r="K193" i="4"/>
  <c r="J193" i="4"/>
  <c r="K192" i="4"/>
  <c r="J192" i="4"/>
  <c r="K191" i="4"/>
  <c r="J191" i="4"/>
  <c r="K190" i="4"/>
  <c r="J190" i="4"/>
  <c r="K189" i="4"/>
  <c r="J189" i="4"/>
  <c r="K188" i="4"/>
  <c r="J188" i="4"/>
  <c r="K187" i="4"/>
  <c r="J187" i="4"/>
  <c r="K186" i="4"/>
  <c r="J186" i="4"/>
  <c r="K185" i="4"/>
  <c r="J185" i="4"/>
  <c r="K184" i="4"/>
  <c r="J184" i="4"/>
  <c r="K183" i="4"/>
  <c r="J183" i="4"/>
  <c r="K182" i="4"/>
  <c r="J182" i="4"/>
  <c r="K181" i="4"/>
  <c r="J181" i="4"/>
  <c r="K180" i="4"/>
  <c r="J180" i="4"/>
  <c r="K179" i="4"/>
  <c r="J179" i="4"/>
  <c r="K178" i="4"/>
  <c r="J178" i="4"/>
  <c r="K177" i="4"/>
  <c r="J177" i="4"/>
  <c r="K176" i="4"/>
  <c r="J176" i="4"/>
  <c r="K175" i="4"/>
  <c r="J175" i="4"/>
  <c r="K174" i="4"/>
  <c r="J174" i="4"/>
  <c r="K173" i="4"/>
  <c r="J173" i="4"/>
  <c r="K172" i="4"/>
  <c r="J172" i="4"/>
  <c r="K171" i="4"/>
  <c r="J171" i="4"/>
  <c r="K170" i="4"/>
  <c r="J170" i="4"/>
  <c r="K169" i="4"/>
  <c r="J169" i="4"/>
  <c r="K168" i="4"/>
  <c r="J168" i="4"/>
  <c r="K167" i="4"/>
  <c r="J167" i="4"/>
  <c r="K166" i="4"/>
  <c r="J166" i="4"/>
  <c r="K165" i="4"/>
  <c r="J165" i="4"/>
  <c r="K164" i="4"/>
  <c r="J164" i="4"/>
  <c r="K163" i="4"/>
  <c r="J163" i="4"/>
  <c r="K162" i="4"/>
  <c r="J162" i="4"/>
  <c r="K161" i="4"/>
  <c r="J161" i="4"/>
  <c r="K160" i="4"/>
  <c r="J160" i="4"/>
  <c r="K159" i="4"/>
  <c r="J159" i="4"/>
  <c r="K158" i="4"/>
  <c r="J158" i="4"/>
  <c r="K157" i="4"/>
  <c r="J157" i="4"/>
  <c r="K156" i="4"/>
  <c r="J156" i="4"/>
  <c r="K155" i="4"/>
  <c r="J155" i="4"/>
  <c r="K154" i="4"/>
  <c r="J154" i="4"/>
  <c r="K153" i="4"/>
  <c r="J153" i="4"/>
  <c r="K152" i="4"/>
  <c r="J152" i="4"/>
  <c r="K151" i="4"/>
  <c r="J151" i="4"/>
  <c r="K150" i="4"/>
  <c r="J150" i="4"/>
  <c r="K149" i="4"/>
  <c r="J149" i="4"/>
  <c r="K148" i="4"/>
  <c r="J148" i="4"/>
  <c r="K147" i="4"/>
  <c r="J147" i="4"/>
  <c r="K146" i="4"/>
  <c r="J146" i="4"/>
  <c r="K145" i="4"/>
  <c r="J145" i="4"/>
  <c r="K144" i="4"/>
  <c r="J144" i="4"/>
  <c r="K143" i="4"/>
  <c r="J143" i="4"/>
  <c r="K142" i="4"/>
  <c r="J142" i="4"/>
  <c r="K141" i="4"/>
  <c r="J141" i="4"/>
  <c r="K140" i="4"/>
  <c r="J140" i="4"/>
  <c r="K139" i="4"/>
  <c r="J139" i="4"/>
  <c r="K138" i="4"/>
  <c r="J138" i="4"/>
  <c r="K137" i="4"/>
  <c r="J137" i="4"/>
  <c r="K136" i="4"/>
  <c r="J136" i="4"/>
  <c r="K135" i="4"/>
  <c r="J135" i="4"/>
  <c r="K134" i="4"/>
  <c r="J134" i="4"/>
  <c r="K133" i="4"/>
  <c r="J133" i="4"/>
  <c r="K132" i="4"/>
  <c r="J132" i="4"/>
  <c r="K131" i="4"/>
  <c r="J131" i="4"/>
  <c r="K130" i="4"/>
  <c r="J130" i="4"/>
  <c r="K129" i="4"/>
  <c r="J129" i="4"/>
  <c r="K128" i="4"/>
  <c r="J128" i="4"/>
  <c r="K127" i="4"/>
  <c r="J127" i="4"/>
  <c r="K126" i="4"/>
  <c r="J126" i="4"/>
  <c r="K125" i="4"/>
  <c r="J125" i="4"/>
  <c r="K124" i="4"/>
  <c r="J124" i="4"/>
  <c r="K123" i="4"/>
  <c r="J123" i="4"/>
  <c r="K122" i="4"/>
  <c r="J122" i="4"/>
  <c r="K121" i="4"/>
  <c r="J121" i="4"/>
  <c r="K120" i="4"/>
  <c r="J120" i="4"/>
  <c r="K119" i="4"/>
  <c r="J119" i="4"/>
  <c r="K118" i="4"/>
  <c r="J118" i="4"/>
  <c r="K117" i="4"/>
  <c r="J117" i="4"/>
  <c r="K116" i="4"/>
  <c r="J116" i="4"/>
  <c r="K115" i="4"/>
  <c r="J115" i="4"/>
  <c r="K114" i="4"/>
  <c r="J114" i="4"/>
  <c r="K113" i="4"/>
  <c r="J113" i="4"/>
  <c r="K112" i="4"/>
  <c r="J112" i="4"/>
  <c r="K111" i="4"/>
  <c r="J111" i="4"/>
  <c r="K110" i="4"/>
  <c r="J110" i="4"/>
  <c r="K109" i="4"/>
  <c r="J109" i="4"/>
  <c r="K108" i="4"/>
  <c r="J108" i="4"/>
  <c r="K107" i="4"/>
  <c r="J107" i="4"/>
  <c r="K106" i="4"/>
  <c r="J106" i="4"/>
  <c r="K105" i="4"/>
  <c r="J105" i="4"/>
  <c r="K104" i="4"/>
  <c r="J104" i="4"/>
  <c r="K103" i="4"/>
  <c r="J103" i="4"/>
  <c r="K102" i="4"/>
  <c r="J102" i="4"/>
  <c r="K101" i="4"/>
  <c r="J101" i="4"/>
  <c r="K100" i="4"/>
  <c r="J100" i="4"/>
  <c r="K99" i="4"/>
  <c r="J99" i="4"/>
  <c r="K98" i="4"/>
  <c r="J98" i="4"/>
  <c r="K97" i="4"/>
  <c r="J97" i="4"/>
  <c r="K96" i="4"/>
  <c r="J96" i="4"/>
  <c r="K95" i="4"/>
  <c r="J95" i="4"/>
  <c r="K94" i="4"/>
  <c r="J94" i="4"/>
  <c r="K93" i="4"/>
  <c r="J93" i="4"/>
  <c r="K92" i="4"/>
  <c r="J92" i="4"/>
  <c r="K91" i="4"/>
  <c r="J91" i="4"/>
  <c r="K90" i="4"/>
  <c r="J90" i="4"/>
  <c r="K89" i="4"/>
  <c r="J89" i="4"/>
  <c r="K88" i="4"/>
  <c r="J88" i="4"/>
  <c r="K87" i="4"/>
  <c r="J87" i="4"/>
  <c r="K86" i="4"/>
  <c r="J86" i="4"/>
  <c r="K85" i="4"/>
  <c r="J85" i="4"/>
  <c r="K84" i="4"/>
  <c r="J84" i="4"/>
  <c r="K83" i="4"/>
  <c r="J83" i="4"/>
  <c r="K82" i="4"/>
  <c r="J82" i="4"/>
  <c r="K81" i="4"/>
  <c r="J81" i="4"/>
  <c r="K80" i="4"/>
  <c r="J80" i="4"/>
  <c r="K79" i="4"/>
  <c r="J79" i="4"/>
  <c r="K78" i="4"/>
  <c r="J78" i="4"/>
  <c r="K77" i="4"/>
  <c r="J77" i="4"/>
  <c r="K76" i="4"/>
  <c r="J76" i="4"/>
  <c r="K75" i="4"/>
  <c r="J75" i="4"/>
  <c r="K74" i="4"/>
  <c r="J74" i="4"/>
  <c r="K73" i="4"/>
  <c r="J73" i="4"/>
  <c r="K72" i="4"/>
  <c r="J72" i="4"/>
  <c r="K71" i="4"/>
  <c r="J71" i="4"/>
  <c r="K70" i="4"/>
  <c r="J70" i="4"/>
  <c r="K69" i="4"/>
  <c r="J69" i="4"/>
  <c r="K68" i="4"/>
  <c r="J68" i="4"/>
  <c r="K67" i="4"/>
  <c r="J67" i="4"/>
  <c r="K66" i="4"/>
  <c r="J66" i="4"/>
  <c r="K65" i="4"/>
  <c r="J65" i="4"/>
  <c r="K64" i="4"/>
  <c r="J64" i="4"/>
  <c r="K63" i="4"/>
  <c r="J63" i="4"/>
  <c r="K62" i="4"/>
  <c r="J62" i="4"/>
  <c r="K61" i="4"/>
  <c r="J61" i="4"/>
  <c r="K60" i="4"/>
  <c r="J60" i="4"/>
  <c r="K59" i="4"/>
  <c r="J59" i="4"/>
  <c r="K58" i="4"/>
  <c r="J58" i="4" s="1"/>
  <c r="K57" i="4"/>
  <c r="J57" i="4" s="1"/>
  <c r="K56" i="4"/>
  <c r="J56" i="4" s="1"/>
  <c r="K55" i="4"/>
  <c r="J55" i="4" s="1"/>
  <c r="K54" i="4"/>
  <c r="J54" i="4" s="1"/>
  <c r="K53" i="4"/>
  <c r="J53" i="4" s="1"/>
  <c r="K52" i="4"/>
  <c r="J52" i="4"/>
  <c r="K51" i="4"/>
  <c r="J51" i="4" s="1"/>
  <c r="K50" i="4"/>
  <c r="J50" i="4" s="1"/>
  <c r="K49" i="4"/>
  <c r="J49" i="4" s="1"/>
  <c r="K48" i="4"/>
  <c r="J48" i="4" s="1"/>
  <c r="K47" i="4"/>
  <c r="J47" i="4" s="1"/>
  <c r="K46" i="4"/>
  <c r="J46" i="4" s="1"/>
  <c r="K45" i="4"/>
  <c r="J45" i="4" s="1"/>
  <c r="K44" i="4"/>
  <c r="J44" i="4"/>
  <c r="K43" i="4"/>
  <c r="J43" i="4" s="1"/>
  <c r="K42" i="4"/>
  <c r="J42" i="4" s="1"/>
  <c r="K41" i="4"/>
  <c r="J41" i="4" s="1"/>
  <c r="K40" i="4"/>
  <c r="J40" i="4" s="1"/>
  <c r="K39" i="4"/>
  <c r="J39" i="4" s="1"/>
  <c r="K38" i="4"/>
  <c r="J38" i="4" s="1"/>
  <c r="K37" i="4"/>
  <c r="J37" i="4" s="1"/>
  <c r="K36" i="4"/>
  <c r="J36" i="4"/>
  <c r="K35" i="4"/>
  <c r="J35" i="4" s="1"/>
  <c r="K34" i="4"/>
  <c r="J34" i="4" s="1"/>
  <c r="K33" i="4"/>
  <c r="J33" i="4" s="1"/>
  <c r="K32" i="4"/>
  <c r="J32" i="4" s="1"/>
  <c r="K31" i="4"/>
  <c r="J31" i="4" s="1"/>
  <c r="K30" i="4"/>
  <c r="J30" i="4" s="1"/>
  <c r="K29" i="4"/>
  <c r="J29" i="4" s="1"/>
  <c r="K28" i="4"/>
  <c r="J28" i="4"/>
  <c r="K27" i="4"/>
  <c r="J27" i="4" s="1"/>
  <c r="K26" i="4"/>
  <c r="J26" i="4" s="1"/>
  <c r="K25" i="4"/>
  <c r="J25" i="4" s="1"/>
  <c r="K24" i="4"/>
  <c r="J24" i="4" s="1"/>
  <c r="K23" i="4"/>
  <c r="J23" i="4" s="1"/>
  <c r="K22" i="4"/>
  <c r="J22" i="4" s="1"/>
  <c r="K21" i="4"/>
  <c r="J21" i="4" s="1"/>
  <c r="K20" i="4"/>
  <c r="J20" i="4"/>
  <c r="K19" i="4"/>
  <c r="J19" i="4" s="1"/>
  <c r="K18" i="4"/>
  <c r="J18" i="4" s="1"/>
  <c r="K17" i="4"/>
  <c r="J17" i="4" s="1"/>
  <c r="K16" i="4"/>
  <c r="J16" i="4" s="1"/>
  <c r="K15" i="4"/>
  <c r="J15" i="4" s="1"/>
  <c r="K14" i="4"/>
  <c r="J14" i="4" s="1"/>
  <c r="K13" i="4"/>
  <c r="J13" i="4" s="1"/>
  <c r="K12" i="4"/>
  <c r="J12" i="4"/>
  <c r="K11" i="4"/>
  <c r="J11" i="4" s="1"/>
  <c r="K10" i="4"/>
  <c r="J10" i="4" s="1"/>
  <c r="K9" i="4"/>
  <c r="J9" i="4" s="1"/>
  <c r="K8" i="4"/>
  <c r="J8" i="4" s="1"/>
  <c r="K7" i="4"/>
  <c r="J7" i="4" s="1"/>
  <c r="K6" i="4"/>
  <c r="J6" i="4" s="1"/>
  <c r="K5" i="4"/>
  <c r="J5" i="4" s="1"/>
  <c r="N204" i="3"/>
  <c r="M204" i="3"/>
  <c r="N203" i="3"/>
  <c r="M203" i="3"/>
  <c r="N202" i="3"/>
  <c r="M202" i="3"/>
  <c r="N201" i="3"/>
  <c r="M201" i="3"/>
  <c r="N200" i="3"/>
  <c r="M200" i="3"/>
  <c r="N199" i="3"/>
  <c r="M199" i="3"/>
  <c r="N198" i="3"/>
  <c r="M198" i="3"/>
  <c r="N197" i="3"/>
  <c r="M197" i="3"/>
  <c r="N196" i="3"/>
  <c r="M196" i="3"/>
  <c r="N195" i="3"/>
  <c r="M195" i="3"/>
  <c r="N194" i="3"/>
  <c r="M194" i="3"/>
  <c r="N193" i="3"/>
  <c r="M193" i="3"/>
  <c r="N192" i="3"/>
  <c r="M192" i="3"/>
  <c r="N191" i="3"/>
  <c r="M191" i="3"/>
  <c r="N190" i="3"/>
  <c r="M190" i="3"/>
  <c r="N189" i="3"/>
  <c r="M189" i="3"/>
  <c r="N188" i="3"/>
  <c r="M188" i="3"/>
  <c r="N187" i="3"/>
  <c r="M187" i="3"/>
  <c r="N186" i="3"/>
  <c r="M186" i="3"/>
  <c r="N185" i="3"/>
  <c r="M185" i="3"/>
  <c r="N184" i="3"/>
  <c r="M184" i="3"/>
  <c r="N183" i="3"/>
  <c r="M183" i="3"/>
  <c r="N182" i="3"/>
  <c r="M182" i="3"/>
  <c r="N181" i="3"/>
  <c r="M181" i="3"/>
  <c r="N180" i="3"/>
  <c r="M180" i="3"/>
  <c r="N179" i="3"/>
  <c r="M179" i="3"/>
  <c r="N178" i="3"/>
  <c r="M178" i="3"/>
  <c r="N177" i="3"/>
  <c r="M177" i="3"/>
  <c r="N176" i="3"/>
  <c r="M176" i="3"/>
  <c r="N175" i="3"/>
  <c r="M175" i="3"/>
  <c r="N174" i="3"/>
  <c r="M174" i="3"/>
  <c r="N173" i="3"/>
  <c r="M173" i="3"/>
  <c r="N172" i="3"/>
  <c r="M172" i="3"/>
  <c r="N171" i="3"/>
  <c r="M171" i="3"/>
  <c r="N170" i="3"/>
  <c r="M170" i="3"/>
  <c r="N169" i="3"/>
  <c r="M169" i="3"/>
  <c r="N168" i="3"/>
  <c r="M168" i="3"/>
  <c r="N167" i="3"/>
  <c r="M167" i="3"/>
  <c r="N166" i="3"/>
  <c r="M166" i="3"/>
  <c r="N165" i="3"/>
  <c r="M165" i="3"/>
  <c r="N164" i="3"/>
  <c r="M164" i="3"/>
  <c r="N163" i="3"/>
  <c r="M163" i="3"/>
  <c r="N162" i="3"/>
  <c r="M162" i="3"/>
  <c r="N161" i="3"/>
  <c r="M161" i="3"/>
  <c r="N160" i="3"/>
  <c r="M160" i="3"/>
  <c r="N159" i="3"/>
  <c r="M159" i="3"/>
  <c r="N158" i="3"/>
  <c r="M158" i="3"/>
  <c r="N157" i="3"/>
  <c r="M157" i="3"/>
  <c r="N156" i="3"/>
  <c r="M156" i="3"/>
  <c r="N155" i="3"/>
  <c r="M155" i="3"/>
  <c r="N154" i="3"/>
  <c r="M154" i="3"/>
  <c r="N153" i="3"/>
  <c r="M153" i="3"/>
  <c r="N152" i="3"/>
  <c r="M152" i="3"/>
  <c r="N151" i="3"/>
  <c r="M151" i="3"/>
  <c r="N150" i="3"/>
  <c r="M150" i="3"/>
  <c r="N149" i="3"/>
  <c r="M149" i="3"/>
  <c r="N148" i="3"/>
  <c r="M148" i="3"/>
  <c r="N147" i="3"/>
  <c r="M147" i="3"/>
  <c r="N146" i="3"/>
  <c r="M146" i="3"/>
  <c r="N145" i="3"/>
  <c r="M145" i="3"/>
  <c r="N144" i="3"/>
  <c r="M144" i="3"/>
  <c r="N143" i="3"/>
  <c r="M143" i="3"/>
  <c r="N142" i="3"/>
  <c r="M142" i="3"/>
  <c r="N141" i="3"/>
  <c r="M141" i="3"/>
  <c r="N140" i="3"/>
  <c r="M140" i="3"/>
  <c r="N139" i="3"/>
  <c r="M139" i="3"/>
  <c r="N138" i="3"/>
  <c r="M138" i="3"/>
  <c r="N137" i="3"/>
  <c r="M137" i="3"/>
  <c r="N136" i="3"/>
  <c r="M136" i="3"/>
  <c r="N135" i="3"/>
  <c r="M135" i="3"/>
  <c r="N134" i="3"/>
  <c r="M134" i="3"/>
  <c r="N133" i="3"/>
  <c r="M133" i="3"/>
  <c r="N132" i="3"/>
  <c r="M132" i="3"/>
  <c r="N131" i="3"/>
  <c r="M131" i="3"/>
  <c r="N130" i="3"/>
  <c r="M130" i="3"/>
  <c r="N129" i="3"/>
  <c r="M129" i="3"/>
  <c r="N128" i="3"/>
  <c r="M128" i="3"/>
  <c r="N127" i="3"/>
  <c r="M127" i="3"/>
  <c r="N126" i="3"/>
  <c r="M126" i="3"/>
  <c r="N125" i="3"/>
  <c r="M125" i="3"/>
  <c r="N124" i="3"/>
  <c r="M124" i="3"/>
  <c r="N123" i="3"/>
  <c r="M123" i="3"/>
  <c r="N122" i="3"/>
  <c r="M122" i="3"/>
  <c r="N121" i="3"/>
  <c r="M121" i="3"/>
  <c r="N120" i="3"/>
  <c r="M120" i="3"/>
  <c r="N119" i="3"/>
  <c r="M119" i="3"/>
  <c r="N118" i="3"/>
  <c r="M118" i="3"/>
  <c r="N117" i="3"/>
  <c r="M117" i="3"/>
  <c r="N116" i="3"/>
  <c r="M116" i="3"/>
  <c r="N115" i="3"/>
  <c r="M115" i="3"/>
  <c r="N114" i="3"/>
  <c r="M114" i="3"/>
  <c r="N113" i="3"/>
  <c r="M113" i="3"/>
  <c r="N112" i="3"/>
  <c r="M112" i="3"/>
  <c r="N111" i="3"/>
  <c r="M111" i="3"/>
  <c r="N110" i="3"/>
  <c r="M110" i="3"/>
  <c r="N109" i="3"/>
  <c r="M109" i="3"/>
  <c r="N108" i="3"/>
  <c r="M108" i="3"/>
  <c r="N107" i="3"/>
  <c r="M107" i="3"/>
  <c r="N106" i="3"/>
  <c r="M106" i="3"/>
  <c r="N105" i="3"/>
  <c r="M105" i="3"/>
  <c r="N104" i="3"/>
  <c r="M104" i="3"/>
  <c r="N103" i="3"/>
  <c r="M103" i="3"/>
  <c r="N102" i="3"/>
  <c r="M102" i="3"/>
  <c r="N101" i="3"/>
  <c r="M101" i="3"/>
  <c r="N100" i="3"/>
  <c r="M100" i="3"/>
  <c r="N99" i="3"/>
  <c r="M99" i="3"/>
  <c r="N98" i="3"/>
  <c r="M98" i="3"/>
  <c r="N97" i="3"/>
  <c r="M97" i="3"/>
  <c r="N96" i="3"/>
  <c r="M96" i="3"/>
  <c r="N95" i="3"/>
  <c r="M95" i="3"/>
  <c r="N94" i="3"/>
  <c r="M94" i="3"/>
  <c r="N93" i="3"/>
  <c r="M93" i="3"/>
  <c r="N92" i="3"/>
  <c r="M92" i="3"/>
  <c r="N91" i="3"/>
  <c r="M91" i="3"/>
  <c r="N90" i="3"/>
  <c r="M90" i="3"/>
  <c r="N89" i="3"/>
  <c r="M89" i="3"/>
  <c r="N88" i="3"/>
  <c r="M88" i="3"/>
  <c r="N87" i="3"/>
  <c r="M87" i="3"/>
  <c r="N86" i="3"/>
  <c r="M86" i="3"/>
  <c r="N85" i="3"/>
  <c r="M85" i="3"/>
  <c r="N84" i="3"/>
  <c r="M84" i="3"/>
  <c r="N83" i="3"/>
  <c r="M83" i="3"/>
  <c r="N82" i="3"/>
  <c r="M82" i="3"/>
  <c r="N81" i="3"/>
  <c r="M81" i="3"/>
  <c r="N80" i="3"/>
  <c r="M80" i="3"/>
  <c r="N79" i="3"/>
  <c r="M79" i="3"/>
  <c r="N78" i="3"/>
  <c r="M78" i="3"/>
  <c r="N77" i="3"/>
  <c r="M77" i="3"/>
  <c r="N76" i="3"/>
  <c r="M76" i="3"/>
  <c r="N75" i="3"/>
  <c r="M75" i="3"/>
  <c r="N74" i="3"/>
  <c r="M74" i="3"/>
  <c r="N73" i="3"/>
  <c r="M73" i="3"/>
  <c r="N72" i="3"/>
  <c r="M72" i="3"/>
  <c r="N71" i="3"/>
  <c r="M71" i="3"/>
  <c r="N70" i="3"/>
  <c r="M70" i="3"/>
  <c r="N69" i="3"/>
  <c r="M69" i="3"/>
  <c r="N68" i="3"/>
  <c r="M68" i="3"/>
  <c r="N67" i="3"/>
  <c r="M67" i="3"/>
  <c r="N66" i="3"/>
  <c r="M66" i="3"/>
  <c r="N65" i="3"/>
  <c r="M65" i="3"/>
  <c r="N64" i="3"/>
  <c r="M64" i="3"/>
  <c r="N63" i="3"/>
  <c r="M63" i="3"/>
  <c r="N62" i="3"/>
  <c r="M62" i="3"/>
  <c r="N61" i="3"/>
  <c r="M61" i="3"/>
  <c r="N60" i="3"/>
  <c r="M60" i="3"/>
  <c r="N59" i="3"/>
  <c r="M59" i="3"/>
  <c r="N58" i="3"/>
  <c r="M58" i="3"/>
  <c r="N57" i="3"/>
  <c r="M57" i="3"/>
  <c r="N56" i="3"/>
  <c r="M56" i="3"/>
  <c r="N55" i="3"/>
  <c r="M55" i="3"/>
  <c r="N54" i="3"/>
  <c r="M54" i="3"/>
  <c r="N53" i="3"/>
  <c r="M53" i="3"/>
  <c r="N52" i="3"/>
  <c r="M52" i="3"/>
  <c r="N51" i="3"/>
  <c r="M51" i="3"/>
  <c r="N50" i="3"/>
  <c r="M50" i="3"/>
  <c r="N49" i="3"/>
  <c r="M49" i="3"/>
  <c r="N48" i="3"/>
  <c r="M48" i="3"/>
  <c r="N47" i="3"/>
  <c r="M47" i="3"/>
  <c r="N46" i="3"/>
  <c r="M46" i="3"/>
  <c r="N45" i="3"/>
  <c r="M45" i="3"/>
  <c r="N44" i="3"/>
  <c r="M44" i="3"/>
  <c r="N43" i="3"/>
  <c r="M43" i="3"/>
  <c r="N42" i="3"/>
  <c r="M42" i="3"/>
  <c r="N41" i="3"/>
  <c r="M41" i="3"/>
  <c r="N40" i="3"/>
  <c r="M40" i="3"/>
  <c r="N39" i="3"/>
  <c r="M39" i="3"/>
  <c r="N38" i="3"/>
  <c r="M38" i="3"/>
  <c r="N37" i="3"/>
  <c r="M37" i="3" s="1"/>
  <c r="N36" i="3"/>
  <c r="M36" i="3"/>
  <c r="N35" i="3"/>
  <c r="M35" i="3" s="1"/>
  <c r="N34" i="3"/>
  <c r="M34" i="3" s="1"/>
  <c r="N33" i="3"/>
  <c r="M33" i="3" s="1"/>
  <c r="N32" i="3"/>
  <c r="M32" i="3" s="1"/>
  <c r="N31" i="3"/>
  <c r="M31" i="3" s="1"/>
  <c r="N30" i="3"/>
  <c r="M30" i="3" s="1"/>
  <c r="N29" i="3"/>
  <c r="M29" i="3" s="1"/>
  <c r="N28" i="3"/>
  <c r="M28" i="3"/>
  <c r="N27" i="3"/>
  <c r="M27" i="3" s="1"/>
  <c r="N26" i="3"/>
  <c r="M26" i="3" s="1"/>
  <c r="N25" i="3"/>
  <c r="M25" i="3" s="1"/>
  <c r="N24" i="3"/>
  <c r="M24" i="3" s="1"/>
  <c r="N23" i="3"/>
  <c r="M23" i="3" s="1"/>
  <c r="N22" i="3"/>
  <c r="M22" i="3" s="1"/>
  <c r="N21" i="3"/>
  <c r="M21" i="3" s="1"/>
  <c r="N20" i="3"/>
  <c r="M20" i="3"/>
  <c r="N19" i="3"/>
  <c r="M19" i="3" s="1"/>
  <c r="N18" i="3"/>
  <c r="M18" i="3" s="1"/>
  <c r="N17" i="3"/>
  <c r="M17" i="3" s="1"/>
  <c r="N16" i="3"/>
  <c r="M16" i="3" s="1"/>
  <c r="N15" i="3"/>
  <c r="M15" i="3" s="1"/>
  <c r="N14" i="3"/>
  <c r="M14" i="3" s="1"/>
  <c r="N13" i="3"/>
  <c r="M13" i="3" s="1"/>
  <c r="N12" i="3"/>
  <c r="M12" i="3"/>
  <c r="N11" i="3"/>
  <c r="M11" i="3" s="1"/>
  <c r="N10" i="3"/>
  <c r="M10" i="3" s="1"/>
  <c r="N9" i="3"/>
  <c r="M9" i="3" s="1"/>
  <c r="N8" i="3"/>
  <c r="M8" i="3" s="1"/>
  <c r="N7" i="3"/>
  <c r="M7" i="3" s="1"/>
  <c r="N6" i="3"/>
  <c r="M6" i="3" s="1"/>
  <c r="N5" i="3"/>
  <c r="M5" i="3" s="1"/>
  <c r="C21" i="2"/>
  <c r="B21" i="2"/>
  <c r="B20" i="2"/>
  <c r="C20" i="2" s="1"/>
  <c r="B22" i="2" s="1"/>
  <c r="H6" i="6" l="1"/>
  <c r="B12" i="6" s="1"/>
  <c r="C12" i="6" s="1"/>
  <c r="F38" i="6"/>
  <c r="B14" i="6"/>
  <c r="C14" i="6" s="1"/>
  <c r="C22" i="2"/>
  <c r="E48" i="6"/>
  <c r="G6" i="6"/>
  <c r="B11" i="6" s="1"/>
  <c r="C11" i="6" s="1"/>
  <c r="B15" i="6" s="1"/>
  <c r="C15" i="6" s="1"/>
  <c r="B19" i="6"/>
  <c r="D24" i="6"/>
  <c r="E24" i="6" s="1"/>
  <c r="B27" i="6"/>
  <c r="F27" i="6" s="1"/>
  <c r="D32" i="6"/>
  <c r="B35" i="6"/>
  <c r="B43" i="6"/>
  <c r="E43" i="6" s="1"/>
  <c r="B51" i="6"/>
  <c r="B59" i="6"/>
  <c r="B67" i="6"/>
  <c r="B75" i="6"/>
  <c r="B83" i="6"/>
  <c r="B91" i="6"/>
  <c r="B99" i="6"/>
  <c r="B107" i="6"/>
  <c r="B115" i="6"/>
  <c r="B123" i="6"/>
  <c r="B131" i="6"/>
  <c r="B139" i="6"/>
  <c r="B147" i="6"/>
  <c r="B155" i="6"/>
  <c r="B163" i="6"/>
  <c r="B171" i="6"/>
  <c r="C19" i="6"/>
  <c r="C27" i="6"/>
  <c r="E27" i="6" s="1"/>
  <c r="E32" i="6"/>
  <c r="C35" i="6"/>
  <c r="E35" i="6" s="1"/>
  <c r="E40" i="6"/>
  <c r="C43" i="6"/>
  <c r="F43" i="6" s="1"/>
  <c r="C51" i="6"/>
  <c r="C59" i="6"/>
  <c r="C67" i="6"/>
  <c r="C75" i="6"/>
  <c r="C83" i="6"/>
  <c r="C91" i="6"/>
  <c r="C99" i="6"/>
  <c r="C179" i="6"/>
  <c r="C187" i="6"/>
  <c r="C195" i="6"/>
  <c r="C203" i="6"/>
  <c r="C211" i="6"/>
  <c r="D19" i="6"/>
  <c r="B22" i="6"/>
  <c r="D27" i="6"/>
  <c r="B30" i="6"/>
  <c r="F32" i="6"/>
  <c r="D35" i="6"/>
  <c r="B38" i="6"/>
  <c r="F40" i="6"/>
  <c r="D43" i="6"/>
  <c r="B46" i="6"/>
  <c r="F48" i="6"/>
  <c r="D51" i="6"/>
  <c r="B54" i="6"/>
  <c r="F56" i="6"/>
  <c r="D59" i="6"/>
  <c r="B62" i="6"/>
  <c r="F64" i="6"/>
  <c r="D67" i="6"/>
  <c r="B70" i="6"/>
  <c r="F72" i="6"/>
  <c r="D75" i="6"/>
  <c r="B78" i="6"/>
  <c r="F80" i="6"/>
  <c r="D83" i="6"/>
  <c r="B86" i="6"/>
  <c r="F88" i="6"/>
  <c r="D91" i="6"/>
  <c r="B94" i="6"/>
  <c r="F96" i="6"/>
  <c r="D99" i="6"/>
  <c r="B102" i="6"/>
  <c r="F104" i="6"/>
  <c r="D107" i="6"/>
  <c r="B110" i="6"/>
  <c r="F112" i="6"/>
  <c r="D115" i="6"/>
  <c r="B118" i="6"/>
  <c r="F120" i="6"/>
  <c r="D123" i="6"/>
  <c r="B126" i="6"/>
  <c r="D131" i="6"/>
  <c r="B134" i="6"/>
  <c r="D139" i="6"/>
  <c r="B142" i="6"/>
  <c r="D147" i="6"/>
  <c r="B150" i="6"/>
  <c r="D155" i="6"/>
  <c r="B158" i="6"/>
  <c r="D163" i="6"/>
  <c r="B166" i="6"/>
  <c r="D171" i="6"/>
  <c r="B174" i="6"/>
  <c r="D179" i="6"/>
  <c r="B182" i="6"/>
  <c r="D187" i="6"/>
  <c r="D195" i="6"/>
  <c r="D203" i="6"/>
  <c r="D211" i="6"/>
  <c r="E19" i="6"/>
  <c r="C22" i="6"/>
  <c r="E22" i="6" s="1"/>
  <c r="C30" i="6"/>
  <c r="C38" i="6"/>
  <c r="C46" i="6"/>
  <c r="F46" i="6" s="1"/>
  <c r="E51" i="6"/>
  <c r="C54" i="6"/>
  <c r="E59" i="6"/>
  <c r="C62" i="6"/>
  <c r="E67" i="6"/>
  <c r="C70" i="6"/>
  <c r="E75" i="6"/>
  <c r="C78" i="6"/>
  <c r="E83" i="6"/>
  <c r="C86" i="6"/>
  <c r="E91" i="6"/>
  <c r="C94" i="6"/>
  <c r="E99" i="6"/>
  <c r="C102" i="6"/>
  <c r="E107" i="6"/>
  <c r="C110" i="6"/>
  <c r="E115" i="6"/>
  <c r="C118" i="6"/>
  <c r="E123" i="6"/>
  <c r="C126" i="6"/>
  <c r="E131" i="6"/>
  <c r="C134" i="6"/>
  <c r="E139" i="6"/>
  <c r="C142" i="6"/>
  <c r="E147" i="6"/>
  <c r="C150" i="6"/>
  <c r="E155" i="6"/>
  <c r="C158" i="6"/>
  <c r="E163" i="6"/>
  <c r="C166" i="6"/>
  <c r="E171" i="6"/>
  <c r="C174" i="6"/>
  <c r="E179" i="6"/>
  <c r="C182" i="6"/>
  <c r="E187" i="6"/>
  <c r="C190" i="6"/>
  <c r="E195" i="6"/>
  <c r="C198" i="6"/>
  <c r="E203" i="6"/>
  <c r="C206" i="6"/>
  <c r="E211" i="6"/>
  <c r="C214" i="6"/>
  <c r="D22" i="6"/>
  <c r="B25" i="6"/>
  <c r="F25" i="6" s="1"/>
  <c r="D30" i="6"/>
  <c r="B33" i="6"/>
  <c r="F33" i="6" s="1"/>
  <c r="D38" i="6"/>
  <c r="E38" i="6" s="1"/>
  <c r="B41" i="6"/>
  <c r="D46" i="6"/>
  <c r="E46" i="6" s="1"/>
  <c r="B49" i="6"/>
  <c r="D54" i="6"/>
  <c r="B57" i="6"/>
  <c r="D62" i="6"/>
  <c r="B65" i="6"/>
  <c r="D70" i="6"/>
  <c r="B73" i="6"/>
  <c r="D78" i="6"/>
  <c r="B81" i="6"/>
  <c r="D86" i="6"/>
  <c r="B89" i="6"/>
  <c r="D94" i="6"/>
  <c r="B97" i="6"/>
  <c r="D102" i="6"/>
  <c r="B105" i="6"/>
  <c r="D110" i="6"/>
  <c r="B113" i="6"/>
  <c r="D118" i="6"/>
  <c r="B121" i="6"/>
  <c r="D126" i="6"/>
  <c r="B129" i="6"/>
  <c r="D134" i="6"/>
  <c r="B137" i="6"/>
  <c r="D142" i="6"/>
  <c r="B145" i="6"/>
  <c r="D150" i="6"/>
  <c r="B153" i="6"/>
  <c r="D158" i="6"/>
  <c r="B161" i="6"/>
  <c r="D166" i="6"/>
  <c r="B169" i="6"/>
  <c r="D174" i="6"/>
  <c r="B177" i="6"/>
  <c r="D182" i="6"/>
  <c r="B185" i="6"/>
  <c r="D190" i="6"/>
  <c r="B193" i="6"/>
  <c r="D198" i="6"/>
  <c r="B201" i="6"/>
  <c r="D206" i="6"/>
  <c r="B209" i="6"/>
  <c r="D214" i="6"/>
  <c r="B217" i="6"/>
  <c r="E54" i="6"/>
  <c r="E62" i="6"/>
  <c r="E70" i="6"/>
  <c r="E78" i="6"/>
  <c r="E86" i="6"/>
  <c r="E94" i="6"/>
  <c r="E102" i="6"/>
  <c r="E110" i="6"/>
  <c r="E118" i="6"/>
  <c r="E126" i="6"/>
  <c r="E134" i="6"/>
  <c r="E142" i="6"/>
  <c r="E150" i="6"/>
  <c r="E158" i="6"/>
  <c r="E166" i="6"/>
  <c r="E174" i="6"/>
  <c r="E182" i="6"/>
  <c r="C185" i="6"/>
  <c r="E190" i="6"/>
  <c r="C193" i="6"/>
  <c r="E198" i="6"/>
  <c r="C201" i="6"/>
  <c r="E206" i="6"/>
  <c r="C209" i="6"/>
  <c r="E214" i="6"/>
  <c r="C217" i="6"/>
  <c r="B20" i="6"/>
  <c r="D25" i="6"/>
  <c r="B28" i="6"/>
  <c r="D33" i="6"/>
  <c r="B36" i="6"/>
  <c r="D41" i="6"/>
  <c r="B44" i="6"/>
  <c r="D49" i="6"/>
  <c r="B52" i="6"/>
  <c r="D57" i="6"/>
  <c r="B60" i="6"/>
  <c r="D65" i="6"/>
  <c r="B68" i="6"/>
  <c r="D73" i="6"/>
  <c r="B76" i="6"/>
  <c r="D81" i="6"/>
  <c r="B84" i="6"/>
  <c r="D89" i="6"/>
  <c r="B92" i="6"/>
  <c r="D97" i="6"/>
  <c r="B100" i="6"/>
  <c r="D105" i="6"/>
  <c r="B108" i="6"/>
  <c r="D113" i="6"/>
  <c r="B116" i="6"/>
  <c r="D121" i="6"/>
  <c r="B124" i="6"/>
  <c r="D129" i="6"/>
  <c r="B132" i="6"/>
  <c r="D137" i="6"/>
  <c r="B140" i="6"/>
  <c r="D145" i="6"/>
  <c r="B148" i="6"/>
  <c r="D153" i="6"/>
  <c r="B156" i="6"/>
  <c r="D161" i="6"/>
  <c r="B164" i="6"/>
  <c r="D169" i="6"/>
  <c r="B172" i="6"/>
  <c r="D177" i="6"/>
  <c r="B180" i="6"/>
  <c r="D185" i="6"/>
  <c r="B188" i="6"/>
  <c r="D193" i="6"/>
  <c r="B196" i="6"/>
  <c r="D201" i="6"/>
  <c r="B204" i="6"/>
  <c r="D209" i="6"/>
  <c r="B212" i="6"/>
  <c r="D217" i="6"/>
  <c r="C20" i="6"/>
  <c r="C28" i="6"/>
  <c r="F28" i="6" s="1"/>
  <c r="C36" i="6"/>
  <c r="F36" i="6" s="1"/>
  <c r="C44" i="6"/>
  <c r="F44" i="6" s="1"/>
  <c r="E49" i="6"/>
  <c r="C52" i="6"/>
  <c r="E57" i="6"/>
  <c r="C60" i="6"/>
  <c r="E65" i="6"/>
  <c r="C68" i="6"/>
  <c r="E73" i="6"/>
  <c r="C76" i="6"/>
  <c r="E81" i="6"/>
  <c r="C84" i="6"/>
  <c r="E89" i="6"/>
  <c r="C92" i="6"/>
  <c r="E97" i="6"/>
  <c r="C100" i="6"/>
  <c r="E105" i="6"/>
  <c r="C108" i="6"/>
  <c r="E113" i="6"/>
  <c r="C116" i="6"/>
  <c r="E121" i="6"/>
  <c r="C124" i="6"/>
  <c r="E129" i="6"/>
  <c r="C132" i="6"/>
  <c r="E137" i="6"/>
  <c r="C140" i="6"/>
  <c r="E145" i="6"/>
  <c r="C148" i="6"/>
  <c r="E153" i="6"/>
  <c r="C156" i="6"/>
  <c r="E161" i="6"/>
  <c r="C164" i="6"/>
  <c r="E169" i="6"/>
  <c r="C172" i="6"/>
  <c r="E177" i="6"/>
  <c r="C180" i="6"/>
  <c r="E185" i="6"/>
  <c r="E193" i="6"/>
  <c r="E201" i="6"/>
  <c r="E209" i="6"/>
  <c r="E217" i="6"/>
  <c r="D20" i="6"/>
  <c r="B23" i="6"/>
  <c r="E23" i="6" s="1"/>
  <c r="D28" i="6"/>
  <c r="B31" i="6"/>
  <c r="D36" i="6"/>
  <c r="B39" i="6"/>
  <c r="D44" i="6"/>
  <c r="B47" i="6"/>
  <c r="F47" i="6" s="1"/>
  <c r="D52" i="6"/>
  <c r="B55" i="6"/>
  <c r="D60" i="6"/>
  <c r="B63" i="6"/>
  <c r="D68" i="6"/>
  <c r="B71" i="6"/>
  <c r="D76" i="6"/>
  <c r="B79" i="6"/>
  <c r="D84" i="6"/>
  <c r="B87" i="6"/>
  <c r="D92" i="6"/>
  <c r="B95" i="6"/>
  <c r="D100" i="6"/>
  <c r="B103" i="6"/>
  <c r="D108" i="6"/>
  <c r="B111" i="6"/>
  <c r="D116" i="6"/>
  <c r="B119" i="6"/>
  <c r="D124" i="6"/>
  <c r="B127" i="6"/>
  <c r="D132" i="6"/>
  <c r="B135" i="6"/>
  <c r="D140" i="6"/>
  <c r="B143" i="6"/>
  <c r="D148" i="6"/>
  <c r="B151" i="6"/>
  <c r="D156" i="6"/>
  <c r="B159" i="6"/>
  <c r="D164" i="6"/>
  <c r="B167" i="6"/>
  <c r="D172" i="6"/>
  <c r="B175" i="6"/>
  <c r="D180" i="6"/>
  <c r="B183" i="6"/>
  <c r="D188" i="6"/>
  <c r="B191" i="6"/>
  <c r="D196" i="6"/>
  <c r="B199" i="6"/>
  <c r="D204" i="6"/>
  <c r="B207" i="6"/>
  <c r="D212" i="6"/>
  <c r="B215" i="6"/>
  <c r="E140" i="6"/>
  <c r="C143" i="6"/>
  <c r="E148" i="6"/>
  <c r="C151" i="6"/>
  <c r="E156" i="6"/>
  <c r="C159" i="6"/>
  <c r="E164" i="6"/>
  <c r="C167" i="6"/>
  <c r="E172" i="6"/>
  <c r="C175" i="6"/>
  <c r="E180" i="6"/>
  <c r="C183" i="6"/>
  <c r="C191" i="6"/>
  <c r="C199" i="6"/>
  <c r="C207" i="6"/>
  <c r="E212" i="6"/>
  <c r="C215" i="6"/>
  <c r="D23" i="6"/>
  <c r="B26" i="6"/>
  <c r="E26" i="6" s="1"/>
  <c r="D31" i="6"/>
  <c r="B34" i="6"/>
  <c r="D39" i="6"/>
  <c r="B42" i="6"/>
  <c r="D47" i="6"/>
  <c r="B50" i="6"/>
  <c r="D55" i="6"/>
  <c r="B58" i="6"/>
  <c r="D63" i="6"/>
  <c r="B66" i="6"/>
  <c r="D71" i="6"/>
  <c r="B74" i="6"/>
  <c r="D79" i="6"/>
  <c r="B82" i="6"/>
  <c r="D87" i="6"/>
  <c r="B90" i="6"/>
  <c r="D95" i="6"/>
  <c r="B98" i="6"/>
  <c r="D103" i="6"/>
  <c r="B106" i="6"/>
  <c r="D111" i="6"/>
  <c r="B114" i="6"/>
  <c r="D119" i="6"/>
  <c r="B122" i="6"/>
  <c r="D127" i="6"/>
  <c r="B130" i="6"/>
  <c r="D135" i="6"/>
  <c r="B138" i="6"/>
  <c r="D143" i="6"/>
  <c r="B146" i="6"/>
  <c r="D151" i="6"/>
  <c r="B154" i="6"/>
  <c r="D159" i="6"/>
  <c r="B162" i="6"/>
  <c r="D167" i="6"/>
  <c r="B170" i="6"/>
  <c r="D175" i="6"/>
  <c r="B178" i="6"/>
  <c r="D183" i="6"/>
  <c r="B186" i="6"/>
  <c r="D191" i="6"/>
  <c r="B194" i="6"/>
  <c r="D199" i="6"/>
  <c r="B202" i="6"/>
  <c r="D207" i="6"/>
  <c r="B210" i="6"/>
  <c r="D215" i="6"/>
  <c r="B218" i="6"/>
  <c r="C26" i="6"/>
  <c r="F26" i="6" s="1"/>
  <c r="C34" i="6"/>
  <c r="F34" i="6" s="1"/>
  <c r="C42" i="6"/>
  <c r="C50" i="6"/>
  <c r="C58" i="6"/>
  <c r="C66" i="6"/>
  <c r="C74" i="6"/>
  <c r="E79" i="6"/>
  <c r="C82" i="6"/>
  <c r="E87" i="6"/>
  <c r="C90" i="6"/>
  <c r="E95" i="6"/>
  <c r="C98" i="6"/>
  <c r="E103" i="6"/>
  <c r="C106" i="6"/>
  <c r="E111" i="6"/>
  <c r="C114" i="6"/>
  <c r="E119" i="6"/>
  <c r="C122" i="6"/>
  <c r="E127" i="6"/>
  <c r="C130" i="6"/>
  <c r="E135" i="6"/>
  <c r="C138" i="6"/>
  <c r="E143" i="6"/>
  <c r="C146" i="6"/>
  <c r="E151" i="6"/>
  <c r="C154" i="6"/>
  <c r="E159" i="6"/>
  <c r="C162" i="6"/>
  <c r="E167" i="6"/>
  <c r="C170" i="6"/>
  <c r="E175" i="6"/>
  <c r="C178" i="6"/>
  <c r="E183" i="6"/>
  <c r="C186" i="6"/>
  <c r="E191" i="6"/>
  <c r="C194" i="6"/>
  <c r="E199" i="6"/>
  <c r="C202" i="6"/>
  <c r="E207" i="6"/>
  <c r="C210" i="6"/>
  <c r="E215" i="6"/>
  <c r="C218" i="6"/>
  <c r="B21" i="6"/>
  <c r="D26" i="6"/>
  <c r="B29" i="6"/>
  <c r="D34" i="6"/>
  <c r="E34" i="6" s="1"/>
  <c r="B37" i="6"/>
  <c r="E37" i="6" s="1"/>
  <c r="D42" i="6"/>
  <c r="B45" i="6"/>
  <c r="D50" i="6"/>
  <c r="B53" i="6"/>
  <c r="D58" i="6"/>
  <c r="B61" i="6"/>
  <c r="D66" i="6"/>
  <c r="B69" i="6"/>
  <c r="D74" i="6"/>
  <c r="B77" i="6"/>
  <c r="D82" i="6"/>
  <c r="B85" i="6"/>
  <c r="D90" i="6"/>
  <c r="B93" i="6"/>
  <c r="D98" i="6"/>
  <c r="B101" i="6"/>
  <c r="D106" i="6"/>
  <c r="B109" i="6"/>
  <c r="D114" i="6"/>
  <c r="B117" i="6"/>
  <c r="D122" i="6"/>
  <c r="B125" i="6"/>
  <c r="D130" i="6"/>
  <c r="B133" i="6"/>
  <c r="D138" i="6"/>
  <c r="B141" i="6"/>
  <c r="D146" i="6"/>
  <c r="B149" i="6"/>
  <c r="D154" i="6"/>
  <c r="B157" i="6"/>
  <c r="D162" i="6"/>
  <c r="B165" i="6"/>
  <c r="D170" i="6"/>
  <c r="B173" i="6"/>
  <c r="D178" i="6"/>
  <c r="B181" i="6"/>
  <c r="D186" i="6"/>
  <c r="B189" i="6"/>
  <c r="D194" i="6"/>
  <c r="B197" i="6"/>
  <c r="D202" i="6"/>
  <c r="B205" i="6"/>
  <c r="D210" i="6"/>
  <c r="B213" i="6"/>
  <c r="D218" i="6"/>
  <c r="E42" i="6"/>
  <c r="E50" i="6"/>
  <c r="E58" i="6"/>
  <c r="E66" i="6"/>
  <c r="E74" i="6"/>
  <c r="E82" i="6"/>
  <c r="E90" i="6"/>
  <c r="E98" i="6"/>
  <c r="E106" i="6"/>
  <c r="E114" i="6"/>
  <c r="E122" i="6"/>
  <c r="E130" i="6"/>
  <c r="E138" i="6"/>
  <c r="E146" i="6"/>
  <c r="E154" i="6"/>
  <c r="E162" i="6"/>
  <c r="E170" i="6"/>
  <c r="C173" i="6"/>
  <c r="E178" i="6"/>
  <c r="C181" i="6"/>
  <c r="E186" i="6"/>
  <c r="C189" i="6"/>
  <c r="E194" i="6"/>
  <c r="C197" i="6"/>
  <c r="E202" i="6"/>
  <c r="C205" i="6"/>
  <c r="E210" i="6"/>
  <c r="C213" i="6"/>
  <c r="E218" i="6"/>
  <c r="F37" i="6" l="1"/>
  <c r="F35" i="6"/>
  <c r="F23" i="6"/>
  <c r="F22" i="6"/>
  <c r="F24" i="6"/>
  <c r="E33" i="6"/>
  <c r="E47" i="6"/>
  <c r="E25" i="6"/>
  <c r="E44" i="6"/>
  <c r="E36" i="6"/>
  <c r="F45" i="6"/>
  <c r="E45" i="6"/>
  <c r="E28" i="6"/>
</calcChain>
</file>

<file path=xl/sharedStrings.xml><?xml version="1.0" encoding="utf-8"?>
<sst xmlns="http://schemas.openxmlformats.org/spreadsheetml/2006/main" count="1064" uniqueCount="555">
  <si>
    <t xml:space="preserve">MẪU NHẬP KỊCH BẢN GAME TƯƠNG TÁC </t>
  </si>
  <si>
    <t>Workbook chuẩn hóa cấu trúc từ 15-movie-template.ts. Team tài liệu nhập ô màu vàng; team dev dùng các bảng dữ liệu đã chuẩn hóa để dựng mảng script JSON/TypeScript và upsert movie.</t>
  </si>
  <si>
    <t>1. QUY TRÌNH SỬ DỤNG</t>
  </si>
  <si>
    <t>Bước</t>
  </si>
  <si>
    <t>Người thực hiện</t>
  </si>
  <si>
    <t>Thao tác</t>
  </si>
  <si>
    <t>Kết quả cần đạt</t>
  </si>
  <si>
    <t>Không được làm</t>
  </si>
  <si>
    <t>Team tài liệu</t>
  </si>
  <si>
    <t>Điền 01_THONG_TIN_Game</t>
  </si>
  <si>
    <t>Đủ mã chương, mục, tiêu đề và thông tin seed</t>
  </si>
  <si>
    <t>Không đổi tên trường kỹ thuật</t>
  </si>
  <si>
    <t>Điền 02_KICH_BAN_NODES theo NodeOrder</t>
  </si>
  <si>
    <t>Mỗi dòng là 1 scene/say/choice/act/end</t>
  </si>
  <si>
    <t>Không gộp nhiều node trong một dòng</t>
  </si>
  <si>
    <t>Điền 03_LUA_CHON theo ChoiceNodeId</t>
  </si>
  <si>
    <t>Mỗi choice có 2–4 phương án và đúng quy tắc ChoiceMode</t>
  </si>
  <si>
    <t>Không bỏ phản hồi phương án</t>
  </si>
  <si>
    <t>Reviewer</t>
  </si>
  <si>
    <t>Kiểm tra 05_KIEM_TRA_QA</t>
  </si>
  <si>
    <t>Không còn lỗi cấu trúc; checklist chuyên môn đạt</t>
  </si>
  <si>
    <t>Không bàn giao khi còn CẦN SỬA</t>
  </si>
  <si>
    <t>Team dev</t>
  </si>
  <si>
    <t>Chuyển đổi theo 06_DEV_MAPPING</t>
  </si>
  <si>
    <t>Seed chạy được và upsert theo muc</t>
  </si>
  <si>
    <t>Không tự thay đổi nội dung chuyên môn</t>
  </si>
  <si>
    <t>2. QUY ƯỚC MÀU VÀ TRẠNG THÁI</t>
  </si>
  <si>
    <t>Màu/Trạng thái</t>
  </si>
  <si>
    <t>Ý nghĩa</t>
  </si>
  <si>
    <t>Hành động</t>
  </si>
  <si>
    <t>Ô màu vàng</t>
  </si>
  <si>
    <t>Dữ liệu team tài liệu được phép nhập/sửa</t>
  </si>
  <si>
    <t>Điền nội dung, không xóa tiêu đề cột</t>
  </si>
  <si>
    <t>Ô màu xám</t>
  </si>
  <si>
    <t>Công thức hoặc thông tin kỹ thuật</t>
  </si>
  <si>
    <t>Không sửa</t>
  </si>
  <si>
    <t>HỢP LỆ</t>
  </si>
  <si>
    <t>Dòng đạt kiểm tra cấu trúc cơ bản</t>
  </si>
  <si>
    <t>Chuyển sang review chuyên môn</t>
  </si>
  <si>
    <t>CẦN SỬA</t>
  </si>
  <si>
    <t>Thiếu dữ liệu, sai liên kết hoặc sai quy tắc</t>
  </si>
  <si>
    <t>Đọc cột Lỗi cấu trúc và chỉnh lại</t>
  </si>
  <si>
    <t>3. QUY TẮC NỘI DUNG BẮT BUỘC</t>
  </si>
  <si>
    <t>Nhóm</t>
  </si>
  <si>
    <t>Quy tắc</t>
  </si>
  <si>
    <t>Mức độ</t>
  </si>
  <si>
    <t>Lý do</t>
  </si>
  <si>
    <t>Cấu trúc game</t>
  </si>
  <si>
    <t>Thông thường 2–4 màn; mỗi màn bắt đầu bằng scene, kết thúc bằng act; toàn game có đúng 1 end.</t>
  </si>
  <si>
    <t>Bắt buộc</t>
  </si>
  <si>
    <t>Khớp ScriptNode trong template.</t>
  </si>
  <si>
    <t>Choice kiến thức</t>
  </si>
  <si>
    <t>ChoiceMode = Kiến thức: 2–4 phương án và đúng 1 IsCorrect = Có.</t>
  </si>
  <si>
    <t>Dùng để kiểm tra và chấm đúng/sai.</t>
  </si>
  <si>
    <t>Choice tương tác</t>
  </si>
  <si>
    <t>ChoiceMode = Tương tác: 2–4 phương án và không đánh dấu đáp án đúng; có thể dùng dc.</t>
  </si>
  <si>
    <t>Khớp các lựa chọn thái độ/thiện cảm trong kịch bản mẫu.</t>
  </si>
  <si>
    <t>Phản hồi</t>
  </si>
  <si>
    <t>Mọi phương án phải có ReplyText; phương án sai của câu kiến thức phải giải thích vì sao sai.</t>
  </si>
  <si>
    <t>Bảo đảm giá trị học tập.</t>
  </si>
  <si>
    <t>Nhân vật</t>
  </si>
  <si>
    <t>Chỉ dùng SpeakerKey trong danh mục; nhân vật mới phải được dev bổ sung vào CHARACTERS.</t>
  </si>
  <si>
    <t>Tránh key không tồn tại.</t>
  </si>
  <si>
    <t>Cảnh nền</t>
  </si>
  <si>
    <t>Chỉ dùng Background trong danh mục; cảnh mới cần asset/SVG được dev xác nhận.</t>
  </si>
  <si>
    <t>Tránh thiếu tài nguyên giao diện.</t>
  </si>
  <si>
    <t>Văn bản</t>
  </si>
  <si>
    <t>Không dùng HTML; câu hỏi không đánh đố; lời thoại tự nhiên, phù hợp vai trò.</t>
  </si>
  <si>
    <t>Khuyến nghị cao</t>
  </si>
  <si>
    <t>Theo nguyên tắc biên soạn của template.</t>
  </si>
  <si>
    <t>Thứ tự</t>
  </si>
  <si>
    <t>NodeOrder và NodeId phải duy nhất; option sắp xếp bằng OptionOrder.</t>
  </si>
  <si>
    <t>Bảo toàn thứ tự mảng script/opts.</t>
  </si>
  <si>
    <t>4. TRƯỜNG HỢP ĐẶC BIỆT</t>
  </si>
  <si>
    <t>Tình huống</t>
  </si>
  <si>
    <t>Cách xử lý</t>
  </si>
  <si>
    <t>Lời dẫn chuyện</t>
  </si>
  <si>
    <t>NodeType = say, SpeakerKey = narr, Mood để trống.</t>
  </si>
  <si>
    <t>Choice mở đầu kiểu “Bạn sẵn sàng chứ?”</t>
  </si>
  <si>
    <t>Chọn ChoiceMode = Tương tác; IsCorrect của mọi option = Không; dùng dc nếu cần.</t>
  </si>
  <si>
    <t>Thêm nhân vật/cảnh nền</t>
  </si>
  <si>
    <t>Bổ sung tại 04_DANH_MUC, ghi rõ cần dev bổ sung và chỉ dùng sau khi được duyệt.</t>
  </si>
  <si>
    <t>Điểm thiện cảm dc</t>
  </si>
  <si>
    <t>Nhập số nguyên dương/âm khi cần; để trống để dùng cơ chế mặc định.</t>
  </si>
  <si>
    <t>Thông tin mẫu</t>
  </si>
  <si>
    <t>Giá trị</t>
  </si>
  <si>
    <t>Nguồn cấu trúc</t>
  </si>
  <si>
    <t>15-movie-template.ts</t>
  </si>
  <si>
    <t>Phiên bản workbook</t>
  </si>
  <si>
    <t>1.1.0 — 2026-07-10</t>
  </si>
  <si>
    <t>01 — THÔNG TIN game / THÔNG SỐ SEED</t>
  </si>
  <si>
    <t>Điền cột Giá trị. Trường có Bắt buộc = Có phải hoàn thành trước khi bàn giao.</t>
  </si>
  <si>
    <t>Trường kỹ thuật</t>
  </si>
  <si>
    <t>Ví dụ</t>
  </si>
  <si>
    <t>Quy tắc / Ghi chú</t>
  </si>
  <si>
    <t>chapterCode</t>
  </si>
  <si>
    <t>Có</t>
  </si>
  <si>
    <t>2</t>
  </si>
  <si>
    <t>Phải tồn tại trong bảng chapter trước khi seed.</t>
  </si>
  <si>
    <t>muc</t>
  </si>
  <si>
    <t>2.1</t>
  </si>
  <si>
    <t>Khóa nghiệp vụ dùng tìm movie hiện có để update/create.</t>
  </si>
  <si>
    <t>movieTitle</t>
  </si>
  <si>
    <t>game tương tác: Hàng hóa và tiền tệ</t>
  </si>
  <si>
    <t>Tên hiển thị của game.</t>
  </si>
  <si>
    <t>seedFunctionName</t>
  </si>
  <si>
    <t>seedMovieChuong2</t>
  </si>
  <si>
    <t>camelCase, không dấu, duy nhất.</t>
  </si>
  <si>
    <t>outputFileName</t>
  </si>
  <si>
    <t>16-movie-chuong-2.ts</t>
  </si>
  <si>
    <t>Tên file TypeScript sau chuyển đổi.</t>
  </si>
  <si>
    <t>seedLogLabel</t>
  </si>
  <si>
    <t>Interactive Movies (Chương 2)</t>
  </si>
  <si>
    <t>Nhãn dùng trong seedLog().</t>
  </si>
  <si>
    <t>author</t>
  </si>
  <si>
    <t>Nguyễn Văn A</t>
  </si>
  <si>
    <t>Người biên soạn.</t>
  </si>
  <si>
    <t>reviewer</t>
  </si>
  <si>
    <t>Trần Thị B</t>
  </si>
  <si>
    <t>Người duyệt nội dung.</t>
  </si>
  <si>
    <t>version</t>
  </si>
  <si>
    <t>1.1</t>
  </si>
  <si>
    <t>Tăng version khi chỉnh sau bàn giao.</t>
  </si>
  <si>
    <t>documentStatus</t>
  </si>
  <si>
    <t>Đã duyệt</t>
  </si>
  <si>
    <t>Chỉ bàn giao khi Đã duyệt.</t>
  </si>
  <si>
    <t>sourceReference</t>
  </si>
  <si>
    <t>Không</t>
  </si>
  <si>
    <t>Giáo trình Chương 2, trang 30–45</t>
  </si>
  <si>
    <t>Nguồn chuyên môn.</t>
  </si>
  <si>
    <t>changeSummary</t>
  </si>
  <si>
    <t>Tạo mới kịch bản Chương 2</t>
  </si>
  <si>
    <t>Tóm tắt thay đổi.</t>
  </si>
  <si>
    <t>KIỂM TRA NHANH</t>
  </si>
  <si>
    <t>Chỉ số</t>
  </si>
  <si>
    <t>Trạng thái</t>
  </si>
  <si>
    <t>Trường bắt buộc còn trống</t>
  </si>
  <si>
    <t>Trạng thái tài liệu</t>
  </si>
  <si>
    <t>Sẵn sàng bàn giao dev</t>
  </si>
  <si>
    <t>Ghi chú</t>
  </si>
  <si>
    <t>Công thức chỉ kiểm tra cấu trúc; reviewer vẫn phải kiểm tra kiến thức.</t>
  </si>
  <si>
    <t>02 — KỊCH BẢN: DANH SÁCH SCRIPT NODE</t>
  </si>
  <si>
    <t>Mỗi dòng là một ScriptNode. ChoiceMode chỉ dùng để QA/biên soạn và không cần ghi vào object TypeScript.</t>
  </si>
  <si>
    <t>NodeOrder*</t>
  </si>
  <si>
    <t>NodeId*</t>
  </si>
  <si>
    <t>ActNo</t>
  </si>
  <si>
    <t>NodeType*</t>
  </si>
  <si>
    <t>ChoiceMode</t>
  </si>
  <si>
    <t>Background</t>
  </si>
  <si>
    <t>SceneName</t>
  </si>
  <si>
    <t>SpeakerKey</t>
  </si>
  <si>
    <t>Mood</t>
  </si>
  <si>
    <t>Text / Question</t>
  </si>
  <si>
    <t>ActRoman</t>
  </si>
  <si>
    <t>Ghi chú biên soạn</t>
  </si>
  <si>
    <t>Lỗi cấu trúc</t>
  </si>
  <si>
    <t>03 — PHƯƠNG ÁN CHO CÁC NODE CHOICE</t>
  </si>
  <si>
    <t>Choice kiến thức: đúng 1 đáp án. Choice tương tác: không có đáp án đúng, có thể nhập dc để thay đổi thiện cảm.</t>
  </si>
  <si>
    <t>ChoiceNodeId*</t>
  </si>
  <si>
    <t>OptionOrder*</t>
  </si>
  <si>
    <t>OptionText*</t>
  </si>
  <si>
    <t>IsCorrect*</t>
  </si>
  <si>
    <t>dc</t>
  </si>
  <si>
    <t>ReplySpeaker*</t>
  </si>
  <si>
    <t>ReplyMood</t>
  </si>
  <si>
    <t>ReplyText*</t>
  </si>
  <si>
    <t>04 — DANH MỤC KỸ THUẬT DÙNG CHUNG</t>
  </si>
  <si>
    <t>Các vùng danh mục là nguồn dropdown. Dòng trống phía dưới dành cho tài nguyên mới đã được dev xác nhận.</t>
  </si>
  <si>
    <t>NHÂN VẬT</t>
  </si>
  <si>
    <t>CẢNH NỀN</t>
  </si>
  <si>
    <t>MOOD</t>
  </si>
  <si>
    <t>NODE TYPE</t>
  </si>
  <si>
    <t>Tên hiển thị</t>
  </si>
  <si>
    <t>Vai trò</t>
  </si>
  <si>
    <t>BackgroundKey</t>
  </si>
  <si>
    <t>Mô tả</t>
  </si>
  <si>
    <t>Tình trạng asset</t>
  </si>
  <si>
    <t>MoodKey</t>
  </si>
  <si>
    <t>Ý nghĩa gợi ý</t>
  </si>
  <si>
    <t>NodeType</t>
  </si>
  <si>
    <t>Trường bắt buộc</t>
  </si>
  <si>
    <t>Object đầu ra</t>
  </si>
  <si>
    <t>narr</t>
  </si>
  <si>
    <t>thukho</t>
  </si>
  <si>
    <t>Thư khố / tầng hầm lưu trữ, tông nâu ấm</t>
  </si>
  <si>
    <t>Có sẵn</t>
  </si>
  <si>
    <t>neutral</t>
  </si>
  <si>
    <t>Bình thường / trung lập</t>
  </si>
  <si>
    <t>scene</t>
  </si>
  <si>
    <t>ActNo, Background, SceneName</t>
  </si>
  <si>
    <t>{ t: "scene", bg, act, name }</t>
  </si>
  <si>
    <t>you</t>
  </si>
  <si>
    <t>Bạn</t>
  </si>
  <si>
    <t>Trợ lý nghiên cứu</t>
  </si>
  <si>
    <t>hoithao</t>
  </si>
  <si>
    <t>Hội trường / hội thảo, tông tím xanh</t>
  </si>
  <si>
    <t>happy</t>
  </si>
  <si>
    <t>Vui / khích lệ</t>
  </si>
  <si>
    <t>say</t>
  </si>
  <si>
    <t>SpeakerKey, Text; Mood trừ narr</t>
  </si>
  <si>
    <t>{ t: "say", who, mood?, text }</t>
  </si>
  <si>
    <t>lam</t>
  </si>
  <si>
    <t>GS. Lâm</t>
  </si>
  <si>
    <t>Người hướng dẫn</t>
  </si>
  <si>
    <t>buctham</t>
  </si>
  <si>
    <t>Bục thẩm / khán phòng, tông đỏ trầm</t>
  </si>
  <si>
    <t>concern</t>
  </si>
  <si>
    <t>Quan ngại / sửa sai nhẹ nhàng</t>
  </si>
  <si>
    <t>choice</t>
  </si>
  <si>
    <t>ChoiceMode, SpeakerKey, Mood, Question + options</t>
  </si>
  <si>
    <t>{ t: "choice", who, mood, q, opts }</t>
  </si>
  <si>
    <t>an</t>
  </si>
  <si>
    <t>Thủ thư An</t>
  </si>
  <si>
    <t>Thủ thư lưu trữ</t>
  </si>
  <si>
    <t>stern</t>
  </si>
  <si>
    <t>Nghiêm khắc / phản biện</t>
  </si>
  <si>
    <t>act</t>
  </si>
  <si>
    <t>{ t: "act", n }</t>
  </si>
  <si>
    <t>khoa</t>
  </si>
  <si>
    <t>TS. Khoa</t>
  </si>
  <si>
    <t>Phản biện viên</t>
  </si>
  <si>
    <t>end</t>
  </si>
  <si>
    <t>Không có trường phụ</t>
  </si>
  <si>
    <t>{ t: "end" }</t>
  </si>
  <si>
    <t>minh</t>
  </si>
  <si>
    <t>SV. Minh</t>
  </si>
  <si>
    <t>Sinh viên</t>
  </si>
  <si>
    <t>05 — KIỂM TRA CHẤT LƯỢNG TRƯỚC KHI BÀN GIAO</t>
  </si>
  <si>
    <t>QA tự động kiểm tra cấu trúc; reviewer vẫn cần duyệt kiến thức, chính tả và tính tự nhiên.</t>
  </si>
  <si>
    <t>TỔNG QUAN</t>
  </si>
  <si>
    <t>Tổng node</t>
  </si>
  <si>
    <t>Scene</t>
  </si>
  <si>
    <t>Say</t>
  </si>
  <si>
    <t>Choice</t>
  </si>
  <si>
    <t>Act</t>
  </si>
  <si>
    <t>End</t>
  </si>
  <si>
    <t>Lỗi node</t>
  </si>
  <si>
    <t>Lỗi option</t>
  </si>
  <si>
    <t>CÁC ĐIỀU KIỆN BẮT BUỘC</t>
  </si>
  <si>
    <t>Kiểm tra</t>
  </si>
  <si>
    <t>Kết quả</t>
  </si>
  <si>
    <t>Có đúng 1 node end</t>
  </si>
  <si>
    <t>Giữ đúng một end ở cuối phim.</t>
  </si>
  <si>
    <t>Không có lỗi node</t>
  </si>
  <si>
    <t>Xem cột Lỗi cấu trúc sheet 02.</t>
  </si>
  <si>
    <t>Không có lỗi option</t>
  </si>
  <si>
    <t>Xem cột Lỗi cấu trúc sheet 03.</t>
  </si>
  <si>
    <t>Số scene thông thường 2–4</t>
  </si>
  <si>
    <t>Ngoài khoảng cần reviewer xác nhận.</t>
  </si>
  <si>
    <t>Metadata sẵn sàng</t>
  </si>
  <si>
    <t>Hoàn tất sheet 01 và Đã duyệt.</t>
  </si>
  <si>
    <t>KẾT LUẬN BÀN GIAO</t>
  </si>
  <si>
    <t>Chỉ bàn giao khi SẴN SÀNG.</t>
  </si>
  <si>
    <t>KIỂM TRA TỪNG CHOICE NODE</t>
  </si>
  <si>
    <t>CHECKLIST REVIEWER</t>
  </si>
  <si>
    <t>ChoiceNodeId</t>
  </si>
  <si>
    <t>Số option</t>
  </si>
  <si>
    <t>Số đáp án đúng</t>
  </si>
  <si>
    <t>Lỗi</t>
  </si>
  <si>
    <t>Mục review</t>
  </si>
  <si>
    <t>Xác nhận</t>
  </si>
  <si>
    <t>Kiến thức đúng nguồn</t>
  </si>
  <si>
    <t>Chưa kiểm tra</t>
  </si>
  <si>
    <t>Câu hỏi không đánh đố</t>
  </si>
  <si>
    <t>Phản hồi sai có giải thích</t>
  </si>
  <si>
    <t>Lời thoại tự nhiên, đúng vai</t>
  </si>
  <si>
    <t>Không có HTML / lỗi chính tả</t>
  </si>
  <si>
    <t>Tên màn và chuyển cảnh hợp lý</t>
  </si>
  <si>
    <t>Đã chạy thử seed ở môi trường dev</t>
  </si>
  <si>
    <t>06 — MAPPING EXCEL → TYPESCRIPT / PRISMA SEED</t>
  </si>
  <si>
    <t>Dành cho dev. ChoiceMode là metadata biên soạn, chỉ dùng để validate và không xuất vào ScriptNode.</t>
  </si>
  <si>
    <t>1. MAPPING THÔNG TIN MOVIE</t>
  </si>
  <si>
    <t>Excel</t>
  </si>
  <si>
    <t>Biến seed</t>
  </si>
  <si>
    <t>Prisma / Mục đích</t>
  </si>
  <si>
    <t>01!chapterCode</t>
  </si>
  <si>
    <t>chapter.findUnique({ where: { code } })</t>
  </si>
  <si>
    <t>Không tìm thấy chapter thì cảnh báo và return.</t>
  </si>
  <si>
    <t>01!muc</t>
  </si>
  <si>
    <t>movie.findFirst({ where: { muc } })</t>
  </si>
  <si>
    <t>Khóa xác định update/create.</t>
  </si>
  <si>
    <t>01!movieTitle</t>
  </si>
  <si>
    <t>movie.title</t>
  </si>
  <si>
    <t>Tên hiển thị.</t>
  </si>
  <si>
    <t>01!seedFunctionName</t>
  </si>
  <si>
    <t>Tên export function</t>
  </si>
  <si>
    <t>Đăng ký vào seed/index.ts</t>
  </si>
  <si>
    <t>Phải duy nhất.</t>
  </si>
  <si>
    <t>01!seedLogLabel</t>
  </si>
  <si>
    <t>seedLog(label, 1)</t>
  </si>
  <si>
    <t>Log seed</t>
  </si>
  <si>
    <t>Đổi theo chương.</t>
  </si>
  <si>
    <t>2. MAPPING SCRIPT NODE</t>
  </si>
  <si>
    <t>Excel fields</t>
  </si>
  <si>
    <t>Bỏ qua khi rỗng</t>
  </si>
  <si>
    <t>Liên kết option</t>
  </si>
  <si>
    <t>Background, ActNo, SceneName</t>
  </si>
  <si>
    <t>{ t:"scene", bg, act, name }</t>
  </si>
  <si>
    <t>NodeOrder</t>
  </si>
  <si>
    <t>Đủ 3 trường</t>
  </si>
  <si>
    <t>Đầu màn.</t>
  </si>
  <si>
    <t>SpeakerKey, Mood, Text</t>
  </si>
  <si>
    <t>{ t:"say", who, mood?, text }</t>
  </si>
  <si>
    <t>mood</t>
  </si>
  <si>
    <t>who/text bắt buộc</t>
  </si>
  <si>
    <t>narr thường không có mood.</t>
  </si>
  <si>
    <t>SpeakerKey, Mood, Question</t>
  </si>
  <si>
    <t>{ t:"choice", who, mood, q, opts }</t>
  </si>
  <si>
    <t>Join 03 theo ChoiceNodeId</t>
  </si>
  <si>
    <t>NodeOrder + OptionOrder</t>
  </si>
  <si>
    <t>2–4 opts, theo ChoiceMode</t>
  </si>
  <si>
    <t>Không xuất ChoiceMode.</t>
  </si>
  <si>
    <t>{ t:"act", n }</t>
  </si>
  <si>
    <t>n bắt buộc</t>
  </si>
  <si>
    <t>Cuối màn.</t>
  </si>
  <si>
    <t>{ t:"end" }</t>
  </si>
  <si>
    <t>Tất cả</t>
  </si>
  <si>
    <t>Đúng 1 node</t>
  </si>
  <si>
    <t>Cuối phim.</t>
  </si>
  <si>
    <t>3. MAPPING CHOICE OPTION</t>
  </si>
  <si>
    <t>Excel field</t>
  </si>
  <si>
    <t>Output field</t>
  </si>
  <si>
    <t>Lưu ý</t>
  </si>
  <si>
    <t>OptionText</t>
  </si>
  <si>
    <t>text</t>
  </si>
  <si>
    <t>Giữ nguyên chuỗi</t>
  </si>
  <si>
    <t>Em sẵn sàng.</t>
  </si>
  <si>
    <t>Không tự thêm A/B/C nếu UI không yêu cầu.</t>
  </si>
  <si>
    <t>IsCorrect</t>
  </si>
  <si>
    <t>correct</t>
  </si>
  <si>
    <t>Chỉ xuất correct:true khi "Có"</t>
  </si>
  <si>
    <t>true</t>
  </si>
  <si>
    <t>Tương tác: tất cả = Không; không xuất false.</t>
  </si>
  <si>
    <t>Chỉ xuất khi có số</t>
  </si>
  <si>
    <t>8 hoặc -2</t>
  </si>
  <si>
    <t>Dùng cho thiện cảm.</t>
  </si>
  <si>
    <t>ReplySpeaker</t>
  </si>
  <si>
    <t>reply.who</t>
  </si>
  <si>
    <t>Key hợp lệ</t>
  </si>
  <si>
    <t>reply.t luôn là say.</t>
  </si>
  <si>
    <t>reply.mood</t>
  </si>
  <si>
    <t>Bỏ qua nếu trống</t>
  </si>
  <si>
    <t>narr thường trống.</t>
  </si>
  <si>
    <t>ReplyText</t>
  </si>
  <si>
    <t>reply.text</t>
  </si>
  <si>
    <t>Giữ nguyên</t>
  </si>
  <si>
    <t>Tinh thần tốt.</t>
  </si>
  <si>
    <t>Sai kiến thức cần giải thích.</t>
  </si>
  <si>
    <t>4. THUẬT TOÁN CHUYỂN ĐỔI ĐỀ XUẤT</t>
  </si>
  <si>
    <t>Xử lý</t>
  </si>
  <si>
    <t>Chi tiết</t>
  </si>
  <si>
    <t>Đọc metadata</t>
  </si>
  <si>
    <t>Lấy chapterCode, muc, movieTitle, tên hàm/file.</t>
  </si>
  <si>
    <t>Đọc node</t>
  </si>
  <si>
    <t>Bỏ NodeOrder trống; sort tăng dần; kiểm tra NodeId duy nhất.</t>
  </si>
  <si>
    <t>Đọc option</t>
  </si>
  <si>
    <t>Bỏ ChoiceNodeId trống; group theo ID; sort OptionOrder.</t>
  </si>
  <si>
    <t>Dựng script</t>
  </si>
  <si>
    <t>Switch NodeType; choice gắn opts đã group; bỏ ChoiceMode.</t>
  </si>
  <si>
    <t>Tạo option</t>
  </si>
  <si>
    <t>correct chỉ khi Có; dc/mood chỉ khi có giá trị; reply luôn t=say.</t>
  </si>
  <si>
    <t>Upsert movie</t>
  </si>
  <si>
    <t>Tìm chapter; tìm movie theo muc; update hoặc create.</t>
  </si>
  <si>
    <t>Đăng ký seed</t>
  </si>
  <si>
    <t>Import và gọi hàm trong services/src/seed/index.ts.</t>
  </si>
  <si>
    <t>5. MẪU OBJECT ĐẦU RA</t>
  </si>
  <si>
    <t>Loại</t>
  </si>
  <si>
    <t>Ví dụ TypeScript / JSON tương ứng</t>
  </si>
  <si>
    <t>{ t: "scene", bg: "thukho", act: 1, name: "Màn I · Nguồn gốc" }</t>
  </si>
  <si>
    <t>{ t: "say", who: "lam", mood: "neutral", text: "Chào trợ lý mới." }</t>
  </si>
  <si>
    <t>{ t: "choice", who: "lam", mood: "neutral", q: "...", opts: [ /* từ sheet 03 */ ] }</t>
  </si>
  <si>
    <t>{ t: "act", n: "I" }</t>
  </si>
  <si>
    <t>5</t>
  </si>
  <si>
    <t>5.3</t>
  </si>
  <si>
    <t>Game tương tác: Các quan hệ lợi ích kinh tế ở Việt Nam</t>
  </si>
  <si>
    <t>seedMovieChuong5Muc53</t>
  </si>
  <si>
    <t>17-movie-chuong-5-muc-5-3.ts</t>
  </si>
  <si>
    <t>Interactive Movies (Chương 5 - Mục 5.3)</t>
  </si>
  <si>
    <t>1.0</t>
  </si>
  <si>
    <t>Đang soạn</t>
  </si>
  <si>
    <t>Giáo trình Kinh tế chính trị Mác - Lênin, Chương 5, Mục 5.3, trang gốc 123–139.</t>
  </si>
  <si>
    <t>Bao phủ lợi ích kinh tế, quan hệ lợi ích và vai trò Nhà nước trong bảo đảm hài hòa lợi ích.</t>
  </si>
  <si>
    <t>N001</t>
  </si>
  <si>
    <t>Màn I · Lợi ích kinh tế — động lực của chủ thể</t>
  </si>
  <si>
    <t>Bắt đầu màn 1</t>
  </si>
  <si>
    <t>N002</t>
  </si>
  <si>
    <t>Một bàn cân xuất hiện với ba biểu tượng: tiền lương của người lao động, lợi nhuận của doanh nghiệp và nguồn lực dành cho xã hội.</t>
  </si>
  <si>
    <t>N003</t>
  </si>
  <si>
    <t>Lợi ích kinh tế hình thành trong những quan hệ xã hội cụ thể và trở thành động lực chi phối hành vi.</t>
  </si>
  <si>
    <t>N004</t>
  </si>
  <si>
    <t>Tương tác</t>
  </si>
  <si>
    <t>Bạn muốn nhập vai chủ thể nào để bắt đầu?</t>
  </si>
  <si>
    <t>Nhập option ở sheet 03</t>
  </si>
  <si>
    <t>N005</t>
  </si>
  <si>
    <t>Kiến thức</t>
  </si>
  <si>
    <t>Khái niệm lợi ích được hiểu như thế nào?</t>
  </si>
  <si>
    <t>N006</t>
  </si>
  <si>
    <t>Lợi ích kinh tế là gì?</t>
  </si>
  <si>
    <t>N007</t>
  </si>
  <si>
    <t>Bản chất của lợi ích kinh tế phản ánh điều gì?</t>
  </si>
  <si>
    <t>N008</t>
  </si>
  <si>
    <t>Lợi ích kinh tế thường biểu hiện qua những hình thức nào?</t>
  </si>
  <si>
    <t>N009</t>
  </si>
  <si>
    <t>Vai trò quan trọng của lợi ích kinh tế là gì?</t>
  </si>
  <si>
    <t>N010</t>
  </si>
  <si>
    <t>Nhân tố nào ảnh hưởng đến lợi ích kinh tế?</t>
  </si>
  <si>
    <t>N011</t>
  </si>
  <si>
    <t>I</t>
  </si>
  <si>
    <t>Kết thúc màn I</t>
  </si>
  <si>
    <t>N012</t>
  </si>
  <si>
    <t>Màn II · Mạng lưới quan hệ lợi ích</t>
  </si>
  <si>
    <t>Bắt đầu màn 2</t>
  </si>
  <si>
    <t>N013</t>
  </si>
  <si>
    <t>Sơ đồ hội trường nối người lao động, người sử dụng lao động, doanh nghiệp, nhóm xã hội, Nhà nước và thị trường quốc tế thành mạng lưới phụ thuộc lẫn nhau.</t>
  </si>
  <si>
    <t>N014</t>
  </si>
  <si>
    <t>Quan hệ lợi ích có thể vừa thống nhất vừa mâu thuẫn, tạo nhu cầu hợp tác, thương lượng và điều tiết.</t>
  </si>
  <si>
    <t>N015</t>
  </si>
  <si>
    <t>Quan hệ lợi ích kinh tế được hiểu là gì?</t>
  </si>
  <si>
    <t>N016</t>
  </si>
  <si>
    <t>Sự thống nhất giữa các lợi ích kinh tế thể hiện ở đâu?</t>
  </si>
  <si>
    <t>N017</t>
  </si>
  <si>
    <t>Vì sao các quan hệ lợi ích có thể phát sinh mâu thuẫn?</t>
  </si>
  <si>
    <t>N018</t>
  </si>
  <si>
    <t>Những quan hệ lợi ích kinh tế chủ yếu nào thường được xem xét?</t>
  </si>
  <si>
    <t>N019</t>
  </si>
  <si>
    <t>Quan hệ giữa người lao động và người sử dụng lao động vừa thống nhất vừa mâu thuẫn như thế nào?</t>
  </si>
  <si>
    <t>N020</t>
  </si>
  <si>
    <t>Nhận định nào đúng về lợi ích cá nhân, lợi ích nhóm và lợi ích xã hội?</t>
  </si>
  <si>
    <t>N021</t>
  </si>
  <si>
    <t>II</t>
  </si>
  <si>
    <t>Kết thúc màn II</t>
  </si>
  <si>
    <t>N022</t>
  </si>
  <si>
    <t>Màn III · Nhà nước và bài toán hài hòa lợi ích</t>
  </si>
  <si>
    <t>Bắt đầu màn 3</t>
  </si>
  <si>
    <t>N023</t>
  </si>
  <si>
    <t>Một cuộc thương lượng giả định diễn ra khi người lao động yêu cầu tăng lương, doanh nghiệp lo chi phí, còn xã hội cần việc làm, nguồn thu và ổn định.</t>
  </si>
  <si>
    <t>N024</t>
  </si>
  <si>
    <t>Hài hòa không có nghĩa làm mọi lợi ích giống nhau; Nhà nước phải tạo môi trường, điều tiết và giải quyết mâu thuẫn.</t>
  </si>
  <si>
    <t>N025</t>
  </si>
  <si>
    <t>Vai trò đầu tiên của Nhà nước trong bảo đảm hài hòa lợi ích là gì?</t>
  </si>
  <si>
    <t>N026</t>
  </si>
  <si>
    <t>Nhà nước điều hòa lợi ích giữa cá nhân, doanh nghiệp và xã hội bằng cách nào?</t>
  </si>
  <si>
    <t>N027</t>
  </si>
  <si>
    <t>Để kiểm soát các quan hệ lợi ích có ảnh hưởng tiêu cực, Nhà nước cần làm gì?</t>
  </si>
  <si>
    <t>N028</t>
  </si>
  <si>
    <t>Nguyên tắc phù hợp khi giải quyết mâu thuẫn lợi ích kinh tế là gì?</t>
  </si>
  <si>
    <t>N029</t>
  </si>
  <si>
    <t>Chính sách nào thể hiện cách tiếp cận hài hòa lợi ích bền vững?</t>
  </si>
  <si>
    <t>N030</t>
  </si>
  <si>
    <t>Trong một tranh chấp tiền lương, cách xử lý nào phù hợp nhất?</t>
  </si>
  <si>
    <t>N031</t>
  </si>
  <si>
    <t>Bạn đã hoàn thành mục 5.3: lợi ích kinh tế, quan hệ lợi ích và vai trò Nhà nước trong bảo đảm hài hòa.</t>
  </si>
  <si>
    <t>N032</t>
  </si>
  <si>
    <t>III</t>
  </si>
  <si>
    <t>Kết thúc màn III</t>
  </si>
  <si>
    <t>N033</t>
  </si>
  <si>
    <t>Kết thúc toàn bộ game</t>
  </si>
  <si>
    <t>Người lao động quan tâm việc làm, thu nhập và điều kiện lao động.</t>
  </si>
  <si>
    <t>Tốt. Bạn sẽ thấy lợi ích kinh tế gắn trực tiếp với tiền lương và cơ hội phát triển.</t>
  </si>
  <si>
    <t>Chủ doanh nghiệp quan tâm lợi nhuận, hiệu quả và khả năng mở rộng.</t>
  </si>
  <si>
    <t>Được. Lợi ích doanh nghiệp bền vững phải gắn với người lao động, khách hàng và xã hội.</t>
  </si>
  <si>
    <t>Sự thỏa mãn nhu cầu của con người, được nhận thức trong những quan hệ xã hội và điều kiện phát triển nhất định.</t>
  </si>
  <si>
    <t>Chính xác. Lợi ích gắn với nhu cầu được nhận thức và những quan hệ xã hội cụ thể.</t>
  </si>
  <si>
    <t>Đáp án đúng</t>
  </si>
  <si>
    <t>Bất kỳ mong muốn nhất thời nào, không phụ thuộc điều kiện xã hội.</t>
  </si>
  <si>
    <t>Chưa đúng. Lợi ích gắn với nhu cầu được nhận thức và những quan hệ xã hội cụ thể.</t>
  </si>
  <si>
    <t>Đáp án nhiễu</t>
  </si>
  <si>
    <t>Chỉ là sự thỏa mãn nhu cầu tinh thần.</t>
  </si>
  <si>
    <t>Lợi ích vật chất thu được khi con người thực hiện các hoạt động kinh tế.</t>
  </si>
  <si>
    <t>Chính xác. Lợi ích kinh tế gắn với sản xuất, lao động, kinh doanh và trao đổi.</t>
  </si>
  <si>
    <t>Chỉ là cảm giác hài lòng, không liên quan thu nhập hay tài sản.</t>
  </si>
  <si>
    <t>Chưa đúng. Lợi ích kinh tế gắn với sản xuất, lao động, kinh doanh và trao đổi.</t>
  </si>
  <si>
    <t>Chỉ là lợi nhuận của chủ doanh nghiệp.</t>
  </si>
  <si>
    <t>Mục đích và động cơ của các quan hệ giữa những chủ thể trong nền sản xuất xã hội.</t>
  </si>
  <si>
    <t>Chính xác. Đằng sau tiền lương, lợi nhuận và thu nhập là quan hệ giữa các chủ thể.</t>
  </si>
  <si>
    <t>Chỉ một con số tiền tệ, không phản ánh quan hệ xã hội.</t>
  </si>
  <si>
    <t>Chưa đúng. Đằng sau tiền lương, lợi nhuận và thu nhập là quan hệ giữa các chủ thể.</t>
  </si>
  <si>
    <t>Một trạng thái tâm lý tách khỏi vị trí kinh tế của chủ thể.</t>
  </si>
  <si>
    <t>Tiền lương, lợi nhuận, lợi tức, địa tô, thu nhập và các lợi ích vật chất khác phù hợp vị trí của chủ thể.</t>
  </si>
  <si>
    <t>Chính xác. Hình thức biểu hiện khác nhau tùy vị trí và vai trò của chủ thể.</t>
  </si>
  <si>
    <t>Chỉ biểu hiện qua tiền lương.</t>
  </si>
  <si>
    <t>Chưa đúng. Hình thức biểu hiện khác nhau tùy vị trí và vai trò của chủ thể.</t>
  </si>
  <si>
    <t>Chỉ biểu hiện bằng quyền lực chính trị.</t>
  </si>
  <si>
    <t>Là động lực trực tiếp thúc đẩy lao động, đầu tư, đổi mới, nâng cao hiệu quả và tạo cơ sở vật chất cho các lợi ích xã hội khác.</t>
  </si>
  <si>
    <t>Chính xác. Lợi ích chính đáng tạo động lực đóng góp vào phát triển sản xuất và xã hội.</t>
  </si>
  <si>
    <t>Làm cho mọi chủ thể không thể hợp tác.</t>
  </si>
  <si>
    <t>Chưa đúng. Lợi ích chính đáng tạo động lực đóng góp vào phát triển sản xuất và xã hội.</t>
  </si>
  <si>
    <t>Không có ảnh hưởng vì hành vi chỉ do mệnh lệnh quyết định.</t>
  </si>
  <si>
    <t>Trình độ lực lượng sản xuất, địa vị trong quan hệ sản xuất, chính sách của Nhà nước và mức độ hội nhập kinh tế quốc tế.</t>
  </si>
  <si>
    <t>Chính xác. Lợi ích chịu tác động của nhiều điều kiện kinh tế - xã hội khách quan.</t>
  </si>
  <si>
    <t>Chỉ sở thích cá nhân.</t>
  </si>
  <si>
    <t>Chưa đúng. Lợi ích chịu tác động của nhiều điều kiện kinh tế - xã hội khách quan.</t>
  </si>
  <si>
    <t>Chỉ giá của một hàng hóa tại một thời điểm.</t>
  </si>
  <si>
    <t>Sự tương tác giữa cá nhân, cộng đồng, tổ chức, bộ phận kinh tế và quốc gia nhằm xác lập, thực hiện các lợi ích kinh tế.</t>
  </si>
  <si>
    <t>Chính xác. Quan hệ lợi ích phản ánh cách các chủ thể liên kết, hợp tác và đấu tranh để thực hiện lợi ích.</t>
  </si>
  <si>
    <t>Chỉ là quan hệ mua bán giữa người tiêu dùng và cửa hàng.</t>
  </si>
  <si>
    <t>Chưa đúng. Quan hệ lợi ích phản ánh cách các chủ thể liên kết, hợp tác và đấu tranh để thực hiện lợi ích.</t>
  </si>
  <si>
    <t>Chỉ tồn tại trong nội bộ doanh nghiệp.</t>
  </si>
  <si>
    <t>Lợi ích của chủ thể này thường tạo điều kiện cho lợi ích của chủ thể khác, như doanh nghiệp phát triển tạo việc làm và lao động hiệu quả giúp doanh nghiệp tăng trưởng.</t>
  </si>
  <si>
    <t>Chính xác. Các lợi ích khác nhau nhưng có thể phụ thuộc và hỗ trợ nhau.</t>
  </si>
  <si>
    <t>Mọi chủ thể luôn nhận cùng một mức lợi ích.</t>
  </si>
  <si>
    <t>Chưa đúng. Các lợi ích khác nhau nhưng có thể phụ thuộc và hỗ trợ nhau.</t>
  </si>
  <si>
    <t>Sự thống nhất chỉ có khi một bên từ bỏ hoàn toàn lợi ích.</t>
  </si>
  <si>
    <t>Do chủ thể có vị trí, mục tiêu, nguồn lực và yêu cầu phân chia kết quả khác nhau.</t>
  </si>
  <si>
    <t>Chính xác. Mâu thuẫn có cơ sở vật chất khách quan và cần được nhận diện, điều hòa.</t>
  </si>
  <si>
    <t>Vì mọi lợi ích đều bất hợp pháp và đối lập tuyệt đối.</t>
  </si>
  <si>
    <t>Chưa đúng. Mâu thuẫn có cơ sở vật chất khách quan và cần được nhận diện, điều hòa.</t>
  </si>
  <si>
    <t>Chỉ do hiểu lầm ngôn ngữ.</t>
  </si>
  <si>
    <t>Giữa người lao động và người sử dụng lao động; giữa những người sử dụng lao động; giữa những người lao động; giữa lợi ích cá nhân, nhóm và xã hội.</t>
  </si>
  <si>
    <t>Chính xác. Các quan hệ lợi ích tồn tại đa dạng, đan xen từ cá nhân đến xã hội.</t>
  </si>
  <si>
    <t>Chỉ quan hệ giữa người lao động với Nhà nước.</t>
  </si>
  <si>
    <t>Chưa đúng. Các quan hệ lợi ích tồn tại đa dạng, đan xen từ cá nhân đến xã hội.</t>
  </si>
  <si>
    <t>Chỉ quan hệ giữa doanh nghiệp trong nước và doanh nghiệp nước ngoài.</t>
  </si>
  <si>
    <t>Hai bên cùng cần doanh nghiệp hiệu quả, nhưng có thể khác nhau về tiền lương, thời gian, điều kiện lao động và phần phân chia kết quả.</t>
  </si>
  <si>
    <t>Chính xác. Sự phụ thuộc tạo thống nhất, còn phân chia và điều kiện lao động có thể tạo mâu thuẫn.</t>
  </si>
  <si>
    <t>Hai bên luôn có lợi ích giống hệt nhau.</t>
  </si>
  <si>
    <t>Chưa đúng. Sự phụ thuộc tạo thống nhất, còn phân chia và điều kiện lao động có thể tạo mâu thuẫn.</t>
  </si>
  <si>
    <t>Hai bên hoàn toàn đối lập nên không thể hợp tác.</t>
  </si>
  <si>
    <t>Lợi ích cá nhân chính đáng là động lực; lợi ích nhóm có thể tích cực nếu phù hợp lợi ích xã hội, nhưng lợi ích nhóm tiêu cực phải được kiểm soát.</t>
  </si>
  <si>
    <t>Chính xác. Cần tôn trọng lợi ích chính đáng nhưng đặt trong pháp luật và lợi ích chung.</t>
  </si>
  <si>
    <t>Mọi lợi ích cá nhân đều đối lập với lợi ích xã hội.</t>
  </si>
  <si>
    <t>Chưa đúng. Cần tôn trọng lợi ích chính đáng nhưng đặt trong pháp luật và lợi ích chung.</t>
  </si>
  <si>
    <t>Mọi lợi ích nhóm đều có lợi nên không cần giám sát.</t>
  </si>
  <si>
    <t>Bảo vệ lợi ích hợp pháp và tạo môi trường chính trị, pháp luật, hạ tầng, kinh tế vĩ mô thuận lợi cho các chủ thể tìm kiếm lợi ích chính đáng.</t>
  </si>
  <si>
    <t>Chính xác. Môi trường ổn định, minh bạch và bình đẳng giúp các chủ thể thực hiện lợi ích hợp pháp.</t>
  </si>
  <si>
    <t>Ấn định trực tiếp lợi ích cụ thể của từng cá nhân.</t>
  </si>
  <si>
    <t>Chưa đúng. Môi trường ổn định, minh bạch và bình đẳng giúp các chủ thể thực hiện lợi ích hợp pháp.</t>
  </si>
  <si>
    <t>Chỉ bảo vệ lợi ích của chủ thể có tiềm lực lớn.</t>
  </si>
  <si>
    <t>Phát triển lực lượng sản xuất, thực hiện phân phối hợp lý, giảm chênh lệch quá mức và tạo cơ hội tiếp cận nguồn lực, dịch vụ cơ bản.</t>
  </si>
  <si>
    <t>Chính xác. Điều hòa lợi ích cần cả mở rộng của cải, phân phối hợp lý và tạo cơ hội.</t>
  </si>
  <si>
    <t>Chia đều mọi thu nhập bất kể đóng góp.</t>
  </si>
  <si>
    <t>Chưa đúng. Điều hòa lợi ích cần cả mở rộng của cải, phân phối hợp lý và tạo cơ hội.</t>
  </si>
  <si>
    <t>Không cần quan tâm phân hóa thu nhập.</t>
  </si>
  <si>
    <t>Xây dựng bộ máy liêm chính, công khai minh bạch, kiểm soát quyền lực và thu nhập; chống tham nhũng, buôn lậu, trốn thuế và lợi ích nhóm.</t>
  </si>
  <si>
    <t>Chính xác. Thu nhập bất hợp pháp và lợi ích nhóm tiêu cực làm tổn hại xã hội.</t>
  </si>
  <si>
    <t>Bỏ qua vi phạm nếu chủ thể tạo nhiều doanh thu.</t>
  </si>
  <si>
    <t>Chưa đúng. Thu nhập bất hợp pháp và lợi ích nhóm tiêu cực làm tổn hại xã hội.</t>
  </si>
  <si>
    <t>Giữ bí mật cơ chế, chính sách để tránh giám sát.</t>
  </si>
  <si>
    <t>Có sự tham gia của các bên, đối thoại và nhân nhượng hợp lý, tuân thủ pháp luật và đặt lợi ích đất nước, lợi ích chung lên trên.</t>
  </si>
  <si>
    <t>Chính xác. Khi xung đột phát sinh cần đối thoại, hòa giải và cơ chế pháp luật.</t>
  </si>
  <si>
    <t>Bên có quyền lực kinh tế lớn hơn được toàn quyền quyết định.</t>
  </si>
  <si>
    <t>Chưa đúng. Khi xung đột phát sinh cần đối thoại, hòa giải và cơ chế pháp luật.</t>
  </si>
  <si>
    <t>Trì hoãn vô thời hạn và để xung đột tự biến mất.</t>
  </si>
  <si>
    <t>Khuyến khích làm giàu hợp pháp, bảo vệ quyền người lao động, thực hiện thuế và an sinh hợp lý, tạo cơ hội học tập, việc làm và xử lý nghiêm trục lợi.</t>
  </si>
  <si>
    <t>Chính xác. Chính sách bền vững phải kết hợp động lực cá nhân, trách nhiệm xã hội và lợi ích chung.</t>
  </si>
  <si>
    <t>Cấm mọi hoạt động làm giàu.</t>
  </si>
  <si>
    <t>Chưa đúng. Chính sách bền vững phải kết hợp động lực cá nhân, trách nhiệm xã hội và lợi ích chung.</t>
  </si>
  <si>
    <t>Chỉ tăng trợ cấp mà không tạo cơ hội tiếp cận nguồn lực.</t>
  </si>
  <si>
    <t>Tổ chức đối thoại trên cơ sở hợp đồng, pháp luật, năng lực doanh nghiệp và quyền lợi chính đáng của người lao động.</t>
  </si>
  <si>
    <t>Chính xác. Giải quyết phải dựa trên đối thoại, chứng cứ, pháp luật và lợi ích hợp pháp của các bên.</t>
  </si>
  <si>
    <t>Doanh nghiệp tự quyết, người lao động không được tham gia.</t>
  </si>
  <si>
    <t>Chưa đúng. Giải quyết phải dựa trên đối thoại, chứng cứ, pháp luật và lợi ích hợp pháp của các bên.</t>
  </si>
  <si>
    <t>Có thể sử dụng bất kỳ biện pháp nào, không cần tuân thủ pháp luật.</t>
  </si>
  <si>
    <t>Bùi Lê Long Đại</t>
  </si>
  <si>
    <t>Lê Đặng Nhật Huy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</si>
</sst>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b/>
      <sz val="16"/>
      <color rgb="FFFFFFFF"/>
      <name val="Carlito"/>
    </font>
    <font>
      <i/>
      <sz val="10"/>
      <color rgb="FF17365D"/>
      <name val="Carlito"/>
    </font>
    <font>
      <b/>
      <sz val="11"/>
      <color rgb="FFFFFFFF"/>
      <name val="Carlito"/>
    </font>
    <font>
      <b/>
      <sz val="10"/>
      <color rgb="FFFFFFFF"/>
      <name val="Carlito"/>
    </font>
    <font>
      <b/>
      <sz val="14"/>
      <color rgb="FF17365D"/>
      <name val="Carlito"/>
    </font>
    <font>
      <sz val="11"/>
      <name val="Carlito"/>
    </font>
  </fonts>
  <fills count="11">
    <fill>
      <patternFill patternType="none"/>
    </fill>
    <fill>
      <patternFill patternType="gray125"/>
    </fill>
    <fill>
      <patternFill patternType="solid">
        <fgColor rgb="FF17365D"/>
      </patternFill>
    </fill>
    <fill>
      <patternFill patternType="solid">
        <fgColor rgb="FFD9EAF7"/>
      </patternFill>
    </fill>
    <fill>
      <patternFill patternType="solid">
        <fgColor rgb="FF0F6B78"/>
      </patternFill>
    </fill>
    <fill>
      <patternFill patternType="solid">
        <fgColor rgb="FF1F4E78"/>
      </patternFill>
    </fill>
    <fill>
      <patternFill patternType="solid">
        <fgColor rgb="FFFFF2CC"/>
      </patternFill>
    </fill>
    <fill>
      <patternFill patternType="solid">
        <fgColor rgb="FFE7E6E6"/>
      </patternFill>
    </fill>
    <fill>
      <patternFill patternType="solid">
        <fgColor rgb="FFE2F0D9"/>
      </patternFill>
    </fill>
    <fill>
      <patternFill patternType="solid">
        <fgColor rgb="FFFCE4D6"/>
      </patternFill>
    </fill>
    <fill>
      <patternFill patternType="solid">
        <fgColor rgb="FFFFF9E6"/>
      </patternFill>
    </fill>
  </fills>
  <borders count="1">
    <border>
      <left/>
      <right/>
      <top/>
      <bottom/>
      <diagonal/>
    </border>
  </borders>
  <cellStyleXfs count="3">
    <xf numFmtId="0" fontId="0" fillId="0" borderId="0"/>
    <xf numFmtId="0" fontId="6" fillId="0" borderId="0"/>
    <xf numFmtId="0" fontId="6" fillId="0" borderId="0"/>
  </cellStyleXfs>
  <cellXfs count="21">
    <xf numFmtId="0" fontId="0" fillId="0" borderId="0" xfId="0"/>
    <xf numFmtId="0" fontId="4" fillId="5" borderId="0" xfId="1" applyFont="1" applyFill="1" applyAlignment="1">
      <alignment horizontal="center" vertical="center" wrapText="1"/>
    </xf>
    <xf numFmtId="0" fontId="0" fillId="0" borderId="0" xfId="1" applyFont="1" applyAlignment="1">
      <alignment wrapText="1"/>
    </xf>
    <xf numFmtId="0" fontId="0" fillId="0" borderId="0" xfId="1" applyFont="1" applyAlignment="1">
      <alignment vertical="top" wrapText="1"/>
    </xf>
    <xf numFmtId="0" fontId="0" fillId="0" borderId="0" xfId="1" applyFont="1" applyAlignment="1">
      <alignment horizontal="center" vertical="top" wrapText="1"/>
    </xf>
    <xf numFmtId="0" fontId="0" fillId="6" borderId="0" xfId="1" applyFont="1" applyFill="1" applyAlignment="1">
      <alignment wrapText="1"/>
    </xf>
    <xf numFmtId="0" fontId="0" fillId="7" borderId="0" xfId="1" applyFont="1" applyFill="1" applyAlignment="1">
      <alignment wrapText="1"/>
    </xf>
    <xf numFmtId="0" fontId="0" fillId="8" borderId="0" xfId="1" applyFont="1" applyFill="1" applyAlignment="1">
      <alignment wrapText="1"/>
    </xf>
    <xf numFmtId="0" fontId="0" fillId="9" borderId="0" xfId="1" applyFont="1" applyFill="1" applyAlignment="1">
      <alignment wrapText="1"/>
    </xf>
    <xf numFmtId="0" fontId="0" fillId="0" borderId="0" xfId="1" applyFont="1" applyAlignment="1">
      <alignment horizontal="center" wrapText="1"/>
    </xf>
    <xf numFmtId="0" fontId="0" fillId="3" borderId="0" xfId="1" applyFont="1" applyFill="1" applyAlignment="1">
      <alignment wrapText="1"/>
    </xf>
    <xf numFmtId="0" fontId="0" fillId="10" borderId="0" xfId="1" applyFont="1" applyFill="1" applyAlignment="1">
      <alignment wrapText="1"/>
    </xf>
    <xf numFmtId="0" fontId="0" fillId="3" borderId="0" xfId="1" applyFont="1" applyFill="1" applyAlignment="1">
      <alignment horizontal="center" wrapText="1"/>
    </xf>
    <xf numFmtId="0" fontId="0" fillId="6" borderId="0" xfId="1" applyFont="1" applyFill="1" applyAlignment="1">
      <alignment horizontal="center" wrapText="1"/>
    </xf>
    <xf numFmtId="0" fontId="5" fillId="3" borderId="0" xfId="1" applyFont="1" applyFill="1" applyAlignment="1">
      <alignment horizontal="center"/>
    </xf>
    <xf numFmtId="0" fontId="0" fillId="6" borderId="0" xfId="2" applyFont="1" applyFill="1" applyAlignment="1">
      <alignment wrapText="1"/>
    </xf>
    <xf numFmtId="0" fontId="0" fillId="6" borderId="0" xfId="2" applyFont="1" applyFill="1" applyAlignment="1">
      <alignment horizontal="center" wrapText="1"/>
    </xf>
    <xf numFmtId="0" fontId="0" fillId="7" borderId="0" xfId="2" applyFont="1" applyFill="1" applyAlignment="1">
      <alignment wrapText="1"/>
    </xf>
    <xf numFmtId="0" fontId="3" fillId="4" borderId="0" xfId="1" applyFont="1" applyFill="1" applyAlignment="1">
      <alignment vertical="center"/>
    </xf>
    <xf numFmtId="0" fontId="1" fillId="2" borderId="0" xfId="1" applyFont="1" applyFill="1" applyAlignment="1">
      <alignment horizontal="center" vertical="center"/>
    </xf>
    <xf numFmtId="0" fontId="2" fillId="3" borderId="0" xfId="1" applyFont="1" applyFill="1" applyAlignment="1">
      <alignment vertical="center" wrapText="1"/>
    </xf>
  </cellXfs>
  <cellStyles count="3">
    <cellStyle name="Bình thường" xfId="2" xr:uid="{00000000-0005-0000-0000-000000000000}"/>
    <cellStyle name="Normal" xfId="0" builtinId="0"/>
    <cellStyle name="Normal 2" xfId="1" xr:uid="{00000000-0005-0000-0000-000001000000}"/>
  </cellStyles>
  <dxfs count="22">
    <dxf>
      <font>
        <b/>
        <color rgb="FFC00000"/>
      </font>
      <fill>
        <patternFill>
          <bgColor rgb="FFFCE4D6"/>
        </patternFill>
      </fill>
    </dxf>
    <dxf>
      <font>
        <b/>
        <color rgb="FF548235"/>
      </font>
      <fill>
        <patternFill>
          <bgColor rgb="FFE2F0D9"/>
        </patternFill>
      </fill>
    </dxf>
    <dxf>
      <font>
        <b/>
        <color rgb="FFC00000"/>
      </font>
      <fill>
        <patternFill>
          <bgColor rgb="FFFCE4D6"/>
        </patternFill>
      </fill>
    </dxf>
    <dxf>
      <font>
        <b/>
        <color rgb="FF548235"/>
      </font>
      <fill>
        <patternFill>
          <bgColor rgb="FFE2F0D9"/>
        </patternFill>
      </fill>
    </dxf>
    <dxf>
      <font>
        <b/>
        <color rgb="FF9C6500"/>
      </font>
      <fill>
        <patternFill>
          <bgColor rgb="FFFFF2CC"/>
        </patternFill>
      </fill>
    </dxf>
    <dxf>
      <font>
        <b/>
        <color rgb="FFC00000"/>
      </font>
      <fill>
        <patternFill>
          <bgColor rgb="FFFCE4D6"/>
        </patternFill>
      </fill>
    </dxf>
    <dxf>
      <font>
        <b/>
        <color rgb="FF548235"/>
      </font>
      <fill>
        <patternFill>
          <bgColor rgb="FFE2F0D9"/>
        </patternFill>
      </fill>
    </dxf>
    <dxf>
      <font>
        <b/>
        <color rgb="FF548235"/>
      </font>
      <fill>
        <patternFill>
          <bgColor rgb="FFE2F0D9"/>
        </patternFill>
      </fill>
    </dxf>
    <dxf>
      <font>
        <color rgb="FFC00000"/>
      </font>
      <fill>
        <patternFill>
          <bgColor rgb="FFFCE4D6"/>
        </patternFill>
      </fill>
    </dxf>
    <dxf>
      <font>
        <b/>
        <color rgb="FFC00000"/>
      </font>
      <fill>
        <patternFill>
          <bgColor rgb="FFFCE4D6"/>
        </patternFill>
      </fill>
    </dxf>
    <dxf>
      <font>
        <b/>
        <color rgb="FF548235"/>
      </font>
      <fill>
        <patternFill>
          <bgColor rgb="FFE2F0D9"/>
        </patternFill>
      </fill>
    </dxf>
    <dxf>
      <fill>
        <patternFill>
          <bgColor rgb="FFFFF9E6"/>
        </patternFill>
      </fill>
    </dxf>
    <dxf>
      <font>
        <b/>
      </font>
      <fill>
        <patternFill>
          <bgColor rgb="FFE2F0D9"/>
        </patternFill>
      </fill>
    </dxf>
    <dxf>
      <font>
        <color rgb="FFC00000"/>
      </font>
      <fill>
        <patternFill>
          <bgColor rgb="FFFCE4D6"/>
        </patternFill>
      </fill>
    </dxf>
    <dxf>
      <font>
        <b/>
        <color rgb="FFC00000"/>
      </font>
      <fill>
        <patternFill>
          <bgColor rgb="FFFCE4D6"/>
        </patternFill>
      </fill>
    </dxf>
    <dxf>
      <font>
        <b/>
        <color rgb="FF548235"/>
      </font>
      <fill>
        <patternFill>
          <bgColor rgb="FFE2F0D9"/>
        </patternFill>
      </fill>
    </dxf>
    <dxf>
      <fill>
        <patternFill>
          <bgColor rgb="FFFFF9E6"/>
        </patternFill>
      </fill>
    </dxf>
    <dxf>
      <fill>
        <patternFill>
          <bgColor rgb="FFE2F0D9"/>
        </patternFill>
      </fill>
    </dxf>
    <dxf>
      <fill>
        <patternFill>
          <bgColor rgb="FFE4DFEC"/>
        </patternFill>
      </fill>
    </dxf>
    <dxf>
      <fill>
        <patternFill>
          <bgColor rgb="FFD9EAF7"/>
        </patternFill>
      </fill>
    </dxf>
    <dxf>
      <font>
        <b/>
        <color rgb="FFC00000"/>
      </font>
      <fill>
        <patternFill>
          <bgColor rgb="FFFCE4D6"/>
        </patternFill>
      </fill>
    </dxf>
    <dxf>
      <font>
        <b/>
        <color rgb="FF548235"/>
      </font>
      <fill>
        <patternFill>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ovieMetadataTable" displayName="MovieMetadataTable" ref="A4:E16">
  <tableColumns count="5">
    <tableColumn id="1" xr3:uid="{00000000-0010-0000-0000-000001000000}" name="Trường kỹ thuật"/>
    <tableColumn id="2" xr3:uid="{00000000-0010-0000-0000-000002000000}" name="Bắt buộc"/>
    <tableColumn id="3" xr3:uid="{00000000-0010-0000-0000-000003000000}" name="Giá trị"/>
    <tableColumn id="4" xr3:uid="{00000000-0010-0000-0000-000004000000}" name="Ví dụ"/>
    <tableColumn id="5" xr3:uid="{00000000-0010-0000-0000-000005000000}" name="Quy tắc / Ghi chú"/>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criptNodesTable" displayName="ScriptNodesTable" ref="A4:N204">
  <tableColumns count="14">
    <tableColumn id="1" xr3:uid="{00000000-0010-0000-0100-000001000000}" name="NodeOrder*"/>
    <tableColumn id="2" xr3:uid="{00000000-0010-0000-0100-000002000000}" name="NodeId*"/>
    <tableColumn id="3" xr3:uid="{00000000-0010-0000-0100-000003000000}" name="ActNo"/>
    <tableColumn id="4" xr3:uid="{00000000-0010-0000-0100-000004000000}" name="NodeType*"/>
    <tableColumn id="5" xr3:uid="{00000000-0010-0000-0100-000005000000}" name="ChoiceMode"/>
    <tableColumn id="6" xr3:uid="{00000000-0010-0000-0100-000006000000}" name="Background"/>
    <tableColumn id="7" xr3:uid="{00000000-0010-0000-0100-000007000000}" name="SceneName"/>
    <tableColumn id="8" xr3:uid="{00000000-0010-0000-0100-000008000000}" name="SpeakerKey"/>
    <tableColumn id="9" xr3:uid="{00000000-0010-0000-0100-000009000000}" name="Mood"/>
    <tableColumn id="10" xr3:uid="{00000000-0010-0000-0100-00000A000000}" name="Text / Question"/>
    <tableColumn id="11" xr3:uid="{00000000-0010-0000-0100-00000B000000}" name="ActRoman"/>
    <tableColumn id="12" xr3:uid="{00000000-0010-0000-0100-00000C000000}" name="Ghi chú biên soạn"/>
    <tableColumn id="13" xr3:uid="{00000000-0010-0000-0100-00000D000000}" name="Trạng thái"/>
    <tableColumn id="14" xr3:uid="{00000000-0010-0000-0100-00000E000000}" name="Lỗi cấu trúc"/>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hoiceOptionsTable" displayName="ChoiceOptionsTable" ref="A4:K404">
  <tableColumns count="11">
    <tableColumn id="1" xr3:uid="{00000000-0010-0000-0200-000001000000}" name="ChoiceNodeId*"/>
    <tableColumn id="2" xr3:uid="{00000000-0010-0000-0200-000002000000}" name="OptionOrder*"/>
    <tableColumn id="3" xr3:uid="{00000000-0010-0000-0200-000003000000}" name="OptionText*"/>
    <tableColumn id="4" xr3:uid="{00000000-0010-0000-0200-000004000000}" name="IsCorrect*"/>
    <tableColumn id="5" xr3:uid="{00000000-0010-0000-0200-000005000000}" name="dc"/>
    <tableColumn id="6" xr3:uid="{00000000-0010-0000-0200-000006000000}" name="ReplySpeaker*"/>
    <tableColumn id="7" xr3:uid="{00000000-0010-0000-0200-000007000000}" name="ReplyMood"/>
    <tableColumn id="8" xr3:uid="{00000000-0010-0000-0200-000008000000}" name="ReplyText*"/>
    <tableColumn id="9" xr3:uid="{00000000-0010-0000-0200-000009000000}" name="Ghi chú"/>
    <tableColumn id="10" xr3:uid="{00000000-0010-0000-0200-00000A000000}" name="Trạng thái"/>
    <tableColumn id="11" xr3:uid="{00000000-0010-0000-0200-00000B000000}" name="Lỗi cấu trúc"/>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haracterCatalogTable" displayName="CharacterCatalogTable" ref="A5:C20">
  <tableColumns count="3">
    <tableColumn id="1" xr3:uid="{00000000-0010-0000-0300-000001000000}" name="SpeakerKey"/>
    <tableColumn id="2" xr3:uid="{00000000-0010-0000-0300-000002000000}" name="Tên hiển thị"/>
    <tableColumn id="3" xr3:uid="{00000000-0010-0000-0300-000003000000}" name="Vai trò"/>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ceneCatalogTable" displayName="SceneCatalogTable" ref="D5:F20">
  <tableColumns count="3">
    <tableColumn id="1" xr3:uid="{00000000-0010-0000-0400-000001000000}" name="BackgroundKey"/>
    <tableColumn id="2" xr3:uid="{00000000-0010-0000-0400-000002000000}" name="Mô tả"/>
    <tableColumn id="3" xr3:uid="{00000000-0010-0000-0400-000003000000}" name="Tình trạng asse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MoodCatalogTable" displayName="MoodCatalogTable" ref="G5:H9">
  <tableColumns count="2">
    <tableColumn id="1" xr3:uid="{00000000-0010-0000-0500-000001000000}" name="MoodKey"/>
    <tableColumn id="2" xr3:uid="{00000000-0010-0000-0500-000002000000}" name="Ý nghĩa gợi ý"/>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NodeTypeCatalogTable" displayName="NodeTypeCatalogTable" ref="J5:L10">
  <tableColumns count="3">
    <tableColumn id="1" xr3:uid="{00000000-0010-0000-0600-000001000000}" name="NodeType"/>
    <tableColumn id="2" xr3:uid="{00000000-0010-0000-0600-000002000000}" name="Trường bắt buộc"/>
    <tableColumn id="3" xr3:uid="{00000000-0010-0000-0600-000003000000}" name="Object đầu ra"/>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 Id="rId4"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9"/>
  <sheetViews>
    <sheetView workbookViewId="0">
      <selection sqref="A1:H1"/>
    </sheetView>
  </sheetViews>
  <sheetFormatPr defaultRowHeight="14.25"/>
  <cols>
    <col min="1" max="1" width="18" customWidth="1"/>
    <col min="2" max="2" width="26" customWidth="1"/>
    <col min="3" max="3" width="40" customWidth="1"/>
    <col min="4" max="4" width="38" customWidth="1"/>
    <col min="5" max="5" width="24" customWidth="1"/>
    <col min="6" max="8" width="4" customWidth="1"/>
  </cols>
  <sheetData>
    <row r="1" spans="1:8" ht="30" customHeight="1">
      <c r="A1" s="19" t="s">
        <v>0</v>
      </c>
      <c r="B1" s="19"/>
      <c r="C1" s="19"/>
      <c r="D1" s="19"/>
      <c r="E1" s="19"/>
      <c r="F1" s="19"/>
      <c r="G1" s="19"/>
      <c r="H1" s="19"/>
    </row>
    <row r="2" spans="1:8" ht="36" customHeight="1">
      <c r="A2" s="20" t="s">
        <v>1</v>
      </c>
      <c r="B2" s="20"/>
      <c r="C2" s="20"/>
      <c r="D2" s="20"/>
      <c r="E2" s="20"/>
      <c r="F2" s="20"/>
      <c r="G2" s="20"/>
      <c r="H2" s="20"/>
    </row>
    <row r="4" spans="1:8" ht="24" customHeight="1">
      <c r="A4" s="18" t="s">
        <v>2</v>
      </c>
      <c r="B4" s="18"/>
      <c r="C4" s="18"/>
      <c r="D4" s="18"/>
      <c r="E4" s="18"/>
      <c r="F4" s="18"/>
      <c r="G4" s="18"/>
      <c r="H4" s="18"/>
    </row>
    <row r="5" spans="1:8" ht="39.950000000000003" customHeight="1">
      <c r="A5" s="1" t="s">
        <v>3</v>
      </c>
      <c r="B5" s="1" t="s">
        <v>4</v>
      </c>
      <c r="C5" s="1" t="s">
        <v>5</v>
      </c>
      <c r="D5" s="1" t="s">
        <v>6</v>
      </c>
      <c r="E5" s="1" t="s">
        <v>7</v>
      </c>
      <c r="F5" s="1"/>
      <c r="G5" s="1"/>
      <c r="H5" s="1"/>
    </row>
    <row r="6" spans="1:8" ht="28.5">
      <c r="A6" s="4">
        <v>1</v>
      </c>
      <c r="B6" s="3" t="s">
        <v>8</v>
      </c>
      <c r="C6" s="3" t="s">
        <v>9</v>
      </c>
      <c r="D6" s="3" t="s">
        <v>10</v>
      </c>
      <c r="E6" s="3" t="s">
        <v>11</v>
      </c>
      <c r="F6" s="3"/>
      <c r="G6" s="3"/>
      <c r="H6" s="3"/>
    </row>
    <row r="7" spans="1:8" ht="28.5">
      <c r="A7" s="4">
        <v>2</v>
      </c>
      <c r="B7" s="3" t="s">
        <v>8</v>
      </c>
      <c r="C7" s="3" t="s">
        <v>12</v>
      </c>
      <c r="D7" s="3" t="s">
        <v>13</v>
      </c>
      <c r="E7" s="3" t="s">
        <v>14</v>
      </c>
      <c r="F7" s="3"/>
      <c r="G7" s="3"/>
      <c r="H7" s="3"/>
    </row>
    <row r="8" spans="1:8" ht="28.5">
      <c r="A8" s="4">
        <v>3</v>
      </c>
      <c r="B8" s="3" t="s">
        <v>8</v>
      </c>
      <c r="C8" s="3" t="s">
        <v>15</v>
      </c>
      <c r="D8" s="3" t="s">
        <v>16</v>
      </c>
      <c r="E8" s="3" t="s">
        <v>17</v>
      </c>
      <c r="F8" s="3"/>
      <c r="G8" s="3"/>
      <c r="H8" s="3"/>
    </row>
    <row r="9" spans="1:8" ht="28.5">
      <c r="A9" s="4">
        <v>4</v>
      </c>
      <c r="B9" s="3" t="s">
        <v>18</v>
      </c>
      <c r="C9" s="3" t="s">
        <v>19</v>
      </c>
      <c r="D9" s="3" t="s">
        <v>20</v>
      </c>
      <c r="E9" s="3" t="s">
        <v>21</v>
      </c>
      <c r="F9" s="3"/>
      <c r="G9" s="3"/>
      <c r="H9" s="3"/>
    </row>
    <row r="10" spans="1:8" ht="28.5">
      <c r="A10" s="4">
        <v>5</v>
      </c>
      <c r="B10" s="3" t="s">
        <v>22</v>
      </c>
      <c r="C10" s="3" t="s">
        <v>23</v>
      </c>
      <c r="D10" s="3" t="s">
        <v>24</v>
      </c>
      <c r="E10" s="3" t="s">
        <v>25</v>
      </c>
      <c r="F10" s="3"/>
      <c r="G10" s="3"/>
      <c r="H10" s="3"/>
    </row>
    <row r="12" spans="1:8" ht="24" customHeight="1">
      <c r="A12" s="18" t="s">
        <v>26</v>
      </c>
      <c r="B12" s="18"/>
      <c r="C12" s="18"/>
      <c r="D12" s="18"/>
      <c r="E12" s="18"/>
      <c r="F12" s="18"/>
      <c r="G12" s="18"/>
      <c r="H12" s="18"/>
    </row>
    <row r="13" spans="1:8" ht="39.950000000000003" customHeight="1">
      <c r="A13" s="1" t="s">
        <v>27</v>
      </c>
      <c r="B13" s="1" t="s">
        <v>28</v>
      </c>
      <c r="C13" s="1" t="s">
        <v>29</v>
      </c>
      <c r="D13" s="1"/>
      <c r="E13" s="1"/>
      <c r="F13" s="1"/>
      <c r="G13" s="1"/>
      <c r="H13" s="1"/>
    </row>
    <row r="14" spans="1:8" ht="28.5">
      <c r="A14" s="5" t="s">
        <v>30</v>
      </c>
      <c r="B14" s="2" t="s">
        <v>31</v>
      </c>
      <c r="C14" s="2" t="s">
        <v>32</v>
      </c>
      <c r="D14" s="2"/>
      <c r="E14" s="2"/>
      <c r="F14" s="2"/>
      <c r="G14" s="2"/>
      <c r="H14" s="2"/>
    </row>
    <row r="15" spans="1:8" ht="28.5">
      <c r="A15" s="6" t="s">
        <v>33</v>
      </c>
      <c r="B15" s="2" t="s">
        <v>34</v>
      </c>
      <c r="C15" s="2" t="s">
        <v>35</v>
      </c>
      <c r="D15" s="2"/>
      <c r="E15" s="2"/>
      <c r="F15" s="2"/>
      <c r="G15" s="2"/>
      <c r="H15" s="2"/>
    </row>
    <row r="16" spans="1:8" ht="28.5">
      <c r="A16" s="7" t="s">
        <v>36</v>
      </c>
      <c r="B16" s="2" t="s">
        <v>37</v>
      </c>
      <c r="C16" s="2" t="s">
        <v>38</v>
      </c>
      <c r="D16" s="2"/>
      <c r="E16" s="2"/>
      <c r="F16" s="2"/>
      <c r="G16" s="2"/>
      <c r="H16" s="2"/>
    </row>
    <row r="17" spans="1:8" ht="28.5">
      <c r="A17" s="8" t="s">
        <v>39</v>
      </c>
      <c r="B17" s="2" t="s">
        <v>40</v>
      </c>
      <c r="C17" s="2" t="s">
        <v>41</v>
      </c>
      <c r="D17" s="2"/>
      <c r="E17" s="2"/>
      <c r="F17" s="2"/>
      <c r="G17" s="2"/>
      <c r="H17" s="2"/>
    </row>
    <row r="19" spans="1:8" ht="24" customHeight="1">
      <c r="A19" s="18" t="s">
        <v>42</v>
      </c>
      <c r="B19" s="18"/>
      <c r="C19" s="18"/>
      <c r="D19" s="18"/>
      <c r="E19" s="18"/>
      <c r="F19" s="18"/>
      <c r="G19" s="18"/>
      <c r="H19" s="18"/>
    </row>
    <row r="20" spans="1:8" ht="39.950000000000003" customHeight="1">
      <c r="A20" s="1" t="s">
        <v>43</v>
      </c>
      <c r="B20" s="1" t="s">
        <v>44</v>
      </c>
      <c r="C20" s="1" t="s">
        <v>45</v>
      </c>
      <c r="D20" s="1" t="s">
        <v>46</v>
      </c>
      <c r="E20" s="1"/>
      <c r="F20" s="1"/>
      <c r="G20" s="1"/>
      <c r="H20" s="1"/>
    </row>
    <row r="21" spans="1:8" ht="57">
      <c r="A21" s="2" t="s">
        <v>47</v>
      </c>
      <c r="B21" s="2" t="s">
        <v>48</v>
      </c>
      <c r="C21" s="9" t="s">
        <v>49</v>
      </c>
      <c r="D21" s="2" t="s">
        <v>50</v>
      </c>
      <c r="E21" s="2"/>
      <c r="F21" s="2"/>
      <c r="G21" s="2"/>
      <c r="H21" s="2"/>
    </row>
    <row r="22" spans="1:8" ht="42.75">
      <c r="A22" s="2" t="s">
        <v>51</v>
      </c>
      <c r="B22" s="2" t="s">
        <v>52</v>
      </c>
      <c r="C22" s="9" t="s">
        <v>49</v>
      </c>
      <c r="D22" s="2" t="s">
        <v>53</v>
      </c>
      <c r="E22" s="2"/>
      <c r="F22" s="2"/>
      <c r="G22" s="2"/>
      <c r="H22" s="2"/>
    </row>
    <row r="23" spans="1:8" ht="57">
      <c r="A23" s="2" t="s">
        <v>54</v>
      </c>
      <c r="B23" s="2" t="s">
        <v>55</v>
      </c>
      <c r="C23" s="9" t="s">
        <v>49</v>
      </c>
      <c r="D23" s="2" t="s">
        <v>56</v>
      </c>
      <c r="E23" s="2"/>
      <c r="F23" s="2"/>
      <c r="G23" s="2"/>
      <c r="H23" s="2"/>
    </row>
    <row r="24" spans="1:8" ht="57">
      <c r="A24" s="2" t="s">
        <v>57</v>
      </c>
      <c r="B24" s="2" t="s">
        <v>58</v>
      </c>
      <c r="C24" s="9" t="s">
        <v>49</v>
      </c>
      <c r="D24" s="2" t="s">
        <v>59</v>
      </c>
      <c r="E24" s="2"/>
      <c r="F24" s="2"/>
      <c r="G24" s="2"/>
      <c r="H24" s="2"/>
    </row>
    <row r="25" spans="1:8" ht="57">
      <c r="A25" s="2" t="s">
        <v>60</v>
      </c>
      <c r="B25" s="2" t="s">
        <v>61</v>
      </c>
      <c r="C25" s="9" t="s">
        <v>49</v>
      </c>
      <c r="D25" s="2" t="s">
        <v>62</v>
      </c>
      <c r="E25" s="2"/>
      <c r="F25" s="2"/>
      <c r="G25" s="2"/>
      <c r="H25" s="2"/>
    </row>
    <row r="26" spans="1:8" ht="57">
      <c r="A26" s="2" t="s">
        <v>63</v>
      </c>
      <c r="B26" s="2" t="s">
        <v>64</v>
      </c>
      <c r="C26" s="9" t="s">
        <v>49</v>
      </c>
      <c r="D26" s="2" t="s">
        <v>65</v>
      </c>
      <c r="E26" s="2"/>
      <c r="F26" s="2"/>
      <c r="G26" s="2"/>
      <c r="H26" s="2"/>
    </row>
    <row r="27" spans="1:8" ht="42.75">
      <c r="A27" s="2" t="s">
        <v>66</v>
      </c>
      <c r="B27" s="2" t="s">
        <v>67</v>
      </c>
      <c r="C27" s="9" t="s">
        <v>68</v>
      </c>
      <c r="D27" s="2" t="s">
        <v>69</v>
      </c>
      <c r="E27" s="2"/>
      <c r="F27" s="2"/>
      <c r="G27" s="2"/>
      <c r="H27" s="2"/>
    </row>
    <row r="28" spans="1:8" ht="42.75">
      <c r="A28" s="2" t="s">
        <v>70</v>
      </c>
      <c r="B28" s="2" t="s">
        <v>71</v>
      </c>
      <c r="C28" s="9" t="s">
        <v>49</v>
      </c>
      <c r="D28" s="2" t="s">
        <v>72</v>
      </c>
      <c r="E28" s="2"/>
      <c r="F28" s="2"/>
      <c r="G28" s="2"/>
      <c r="H28" s="2"/>
    </row>
    <row r="30" spans="1:8" ht="24" customHeight="1">
      <c r="A30" s="18" t="s">
        <v>73</v>
      </c>
      <c r="B30" s="18"/>
      <c r="C30" s="18"/>
      <c r="D30" s="18"/>
      <c r="E30" s="18"/>
      <c r="F30" s="18"/>
      <c r="G30" s="18"/>
      <c r="H30" s="18"/>
    </row>
    <row r="31" spans="1:8" ht="39.950000000000003" customHeight="1">
      <c r="A31" s="1" t="s">
        <v>74</v>
      </c>
      <c r="B31" s="1" t="s">
        <v>75</v>
      </c>
      <c r="C31" s="1"/>
      <c r="D31" s="1"/>
      <c r="E31" s="1"/>
      <c r="F31" s="1"/>
      <c r="G31" s="1"/>
      <c r="H31" s="1"/>
    </row>
    <row r="32" spans="1:8" ht="28.5">
      <c r="A32" s="2" t="s">
        <v>76</v>
      </c>
      <c r="B32" s="2" t="s">
        <v>77</v>
      </c>
      <c r="C32" s="2"/>
      <c r="D32" s="2"/>
      <c r="E32" s="2"/>
      <c r="F32" s="2"/>
      <c r="G32" s="2"/>
      <c r="H32" s="2"/>
    </row>
    <row r="33" spans="1:8" ht="42.75">
      <c r="A33" s="2" t="s">
        <v>78</v>
      </c>
      <c r="B33" s="2" t="s">
        <v>79</v>
      </c>
      <c r="C33" s="2"/>
      <c r="D33" s="2"/>
      <c r="E33" s="2"/>
      <c r="F33" s="2"/>
      <c r="G33" s="2"/>
      <c r="H33" s="2"/>
    </row>
    <row r="34" spans="1:8" ht="42.75">
      <c r="A34" s="2" t="s">
        <v>80</v>
      </c>
      <c r="B34" s="2" t="s">
        <v>81</v>
      </c>
      <c r="C34" s="2"/>
      <c r="D34" s="2"/>
      <c r="E34" s="2"/>
      <c r="F34" s="2"/>
      <c r="G34" s="2"/>
      <c r="H34" s="2"/>
    </row>
    <row r="35" spans="1:8" ht="42.75">
      <c r="A35" s="2" t="s">
        <v>82</v>
      </c>
      <c r="B35" s="2" t="s">
        <v>83</v>
      </c>
      <c r="C35" s="2"/>
      <c r="D35" s="2"/>
      <c r="E35" s="2"/>
      <c r="F35" s="2"/>
      <c r="G35" s="2"/>
      <c r="H35" s="2"/>
    </row>
    <row r="37" spans="1:8" ht="39.950000000000003" customHeight="1">
      <c r="A37" s="1" t="s">
        <v>84</v>
      </c>
      <c r="B37" s="1" t="s">
        <v>85</v>
      </c>
      <c r="C37" s="1"/>
      <c r="D37" s="1"/>
      <c r="E37" s="1"/>
      <c r="F37" s="1"/>
      <c r="G37" s="1"/>
      <c r="H37" s="1"/>
    </row>
    <row r="38" spans="1:8">
      <c r="A38" t="s">
        <v>86</v>
      </c>
      <c r="B38" t="s">
        <v>87</v>
      </c>
    </row>
    <row r="39" spans="1:8">
      <c r="A39" t="s">
        <v>88</v>
      </c>
      <c r="B39" t="s">
        <v>89</v>
      </c>
    </row>
  </sheetData>
  <mergeCells count="6">
    <mergeCell ref="A30:H30"/>
    <mergeCell ref="A1:H1"/>
    <mergeCell ref="A2:H2"/>
    <mergeCell ref="A4:H4"/>
    <mergeCell ref="A12:H12"/>
    <mergeCell ref="A19:H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3"/>
  <sheetViews>
    <sheetView tabSelected="1" workbookViewId="0">
      <selection activeCell="C13" sqref="C13"/>
    </sheetView>
  </sheetViews>
  <sheetFormatPr defaultRowHeight="14.25"/>
  <cols>
    <col min="1" max="1" width="24" customWidth="1"/>
    <col min="2" max="2" width="12" customWidth="1"/>
    <col min="3" max="3" width="55" customWidth="1"/>
    <col min="4" max="4" width="34" customWidth="1"/>
    <col min="5" max="5" width="48" customWidth="1"/>
  </cols>
  <sheetData>
    <row r="1" spans="1:5" ht="19.149999999999999" customHeight="1">
      <c r="A1" s="19" t="s">
        <v>90</v>
      </c>
      <c r="B1" s="19"/>
      <c r="C1" s="19"/>
      <c r="D1" s="19"/>
      <c r="E1" s="19"/>
    </row>
    <row r="2" spans="1:5" ht="36" customHeight="1">
      <c r="A2" s="20" t="s">
        <v>91</v>
      </c>
      <c r="B2" s="20"/>
      <c r="C2" s="20"/>
      <c r="D2" s="20"/>
      <c r="E2" s="20"/>
    </row>
    <row r="4" spans="1:5" ht="15" customHeight="1">
      <c r="A4" s="1" t="s">
        <v>92</v>
      </c>
      <c r="B4" s="1" t="s">
        <v>49</v>
      </c>
      <c r="C4" s="1" t="s">
        <v>85</v>
      </c>
      <c r="D4" s="1" t="s">
        <v>93</v>
      </c>
      <c r="E4" s="1" t="s">
        <v>94</v>
      </c>
    </row>
    <row r="5" spans="1:5" ht="15" customHeight="1">
      <c r="A5" s="10" t="s">
        <v>95</v>
      </c>
      <c r="B5" s="12" t="s">
        <v>96</v>
      </c>
      <c r="C5" s="15" t="s">
        <v>372</v>
      </c>
      <c r="D5" s="11" t="s">
        <v>97</v>
      </c>
      <c r="E5" s="11" t="s">
        <v>98</v>
      </c>
    </row>
    <row r="6" spans="1:5" ht="15" customHeight="1">
      <c r="A6" s="10" t="s">
        <v>99</v>
      </c>
      <c r="B6" s="12" t="s">
        <v>96</v>
      </c>
      <c r="C6" s="15" t="s">
        <v>373</v>
      </c>
      <c r="D6" s="11" t="s">
        <v>100</v>
      </c>
      <c r="E6" s="11" t="s">
        <v>101</v>
      </c>
    </row>
    <row r="7" spans="1:5" ht="15" customHeight="1">
      <c r="A7" s="10" t="s">
        <v>102</v>
      </c>
      <c r="B7" s="12" t="s">
        <v>96</v>
      </c>
      <c r="C7" s="15" t="s">
        <v>374</v>
      </c>
      <c r="D7" s="11" t="s">
        <v>103</v>
      </c>
      <c r="E7" s="11" t="s">
        <v>104</v>
      </c>
    </row>
    <row r="8" spans="1:5" ht="15" customHeight="1">
      <c r="A8" s="10" t="s">
        <v>105</v>
      </c>
      <c r="B8" s="12" t="s">
        <v>96</v>
      </c>
      <c r="C8" s="15" t="s">
        <v>375</v>
      </c>
      <c r="D8" s="11" t="s">
        <v>106</v>
      </c>
      <c r="E8" s="11" t="s">
        <v>107</v>
      </c>
    </row>
    <row r="9" spans="1:5" ht="15" customHeight="1">
      <c r="A9" s="10" t="s">
        <v>108</v>
      </c>
      <c r="B9" s="12" t="s">
        <v>96</v>
      </c>
      <c r="C9" s="15" t="s">
        <v>376</v>
      </c>
      <c r="D9" s="11" t="s">
        <v>109</v>
      </c>
      <c r="E9" s="11" t="s">
        <v>110</v>
      </c>
    </row>
    <row r="10" spans="1:5" ht="15" customHeight="1">
      <c r="A10" s="10" t="s">
        <v>111</v>
      </c>
      <c r="B10" s="12" t="s">
        <v>96</v>
      </c>
      <c r="C10" s="15" t="s">
        <v>377</v>
      </c>
      <c r="D10" s="11" t="s">
        <v>112</v>
      </c>
      <c r="E10" s="11" t="s">
        <v>113</v>
      </c>
    </row>
    <row r="11" spans="1:5" ht="15" customHeight="1">
      <c r="A11" s="10" t="s">
        <v>114</v>
      </c>
      <c r="B11" s="12" t="s">
        <v>96</v>
      </c>
      <c r="C11" s="15" t="s">
        <v>553</v>
      </c>
      <c r="D11" s="11" t="s">
        <v>115</v>
      </c>
      <c r="E11" s="11" t="s">
        <v>116</v>
      </c>
    </row>
    <row r="12" spans="1:5" ht="15" customHeight="1">
      <c r="A12" s="10" t="s">
        <v>117</v>
      </c>
      <c r="B12" s="12" t="s">
        <v>96</v>
      </c>
      <c r="C12" s="15" t="s">
        <v>554</v>
      </c>
      <c r="D12" s="11" t="s">
        <v>118</v>
      </c>
      <c r="E12" s="11" t="s">
        <v>119</v>
      </c>
    </row>
    <row r="13" spans="1:5" ht="15" customHeight="1">
      <c r="A13" s="10" t="s">
        <v>120</v>
      </c>
      <c r="B13" s="12" t="s">
        <v>96</v>
      </c>
      <c r="C13" s="15" t="s">
        <v>378</v>
      </c>
      <c r="D13" s="11" t="s">
        <v>121</v>
      </c>
      <c r="E13" s="11" t="s">
        <v>122</v>
      </c>
    </row>
    <row r="14" spans="1:5" ht="15" customHeight="1">
      <c r="A14" s="10" t="s">
        <v>123</v>
      </c>
      <c r="B14" s="12" t="s">
        <v>96</v>
      </c>
      <c r="C14" s="15" t="s">
        <v>379</v>
      </c>
      <c r="D14" s="11" t="s">
        <v>124</v>
      </c>
      <c r="E14" s="11" t="s">
        <v>125</v>
      </c>
    </row>
    <row r="15" spans="1:5" ht="26.45" customHeight="1">
      <c r="A15" s="10" t="s">
        <v>126</v>
      </c>
      <c r="B15" s="12" t="s">
        <v>127</v>
      </c>
      <c r="C15" s="15" t="s">
        <v>380</v>
      </c>
      <c r="D15" s="11" t="s">
        <v>128</v>
      </c>
      <c r="E15" s="11" t="s">
        <v>129</v>
      </c>
    </row>
    <row r="16" spans="1:5" ht="26.45" customHeight="1">
      <c r="A16" s="10" t="s">
        <v>130</v>
      </c>
      <c r="B16" s="12" t="s">
        <v>127</v>
      </c>
      <c r="C16" s="15" t="s">
        <v>381</v>
      </c>
      <c r="D16" s="11" t="s">
        <v>131</v>
      </c>
      <c r="E16" s="11" t="s">
        <v>132</v>
      </c>
    </row>
    <row r="18" spans="1:5" ht="15" customHeight="1">
      <c r="A18" s="18" t="s">
        <v>133</v>
      </c>
      <c r="B18" s="18"/>
      <c r="C18" s="18"/>
      <c r="D18" s="18"/>
      <c r="E18" s="18"/>
    </row>
    <row r="19" spans="1:5" ht="15" customHeight="1">
      <c r="A19" s="1" t="s">
        <v>134</v>
      </c>
      <c r="B19" s="1" t="s">
        <v>85</v>
      </c>
      <c r="C19" s="1" t="s">
        <v>135</v>
      </c>
    </row>
    <row r="20" spans="1:5" ht="15" customHeight="1">
      <c r="A20" s="2" t="s">
        <v>136</v>
      </c>
      <c r="B20" s="6">
        <f>COUNTBLANK(C5:C14)</f>
        <v>0</v>
      </c>
      <c r="C20" s="6" t="str">
        <f>IF(B20=0,"HỢP LỆ","CẦN SỬA")</f>
        <v>HỢP LỆ</v>
      </c>
    </row>
    <row r="21" spans="1:5" ht="15" customHeight="1">
      <c r="A21" s="2" t="s">
        <v>137</v>
      </c>
      <c r="B21" s="6" t="str">
        <f>C14</f>
        <v>Đang soạn</v>
      </c>
      <c r="C21" s="6" t="str">
        <f>IF(B21="Đã duyệt","HỢP LỆ","CHƯA DUYỆT")</f>
        <v>CHƯA DUYỆT</v>
      </c>
    </row>
    <row r="22" spans="1:5" ht="15" customHeight="1">
      <c r="A22" s="2" t="s">
        <v>138</v>
      </c>
      <c r="B22" s="6" t="str">
        <f>IF(AND(C20="HỢP LỆ",C21="HỢP LỆ"),"CÓ","KHÔNG")</f>
        <v>KHÔNG</v>
      </c>
      <c r="C22" s="6" t="str">
        <f>IF(B22="CÓ","HỢP LỆ","CẦN SỬA")</f>
        <v>CẦN SỬA</v>
      </c>
    </row>
    <row r="23" spans="1:5" ht="66" customHeight="1">
      <c r="A23" s="2" t="s">
        <v>139</v>
      </c>
      <c r="B23" s="2" t="s">
        <v>140</v>
      </c>
      <c r="C23" s="2"/>
    </row>
  </sheetData>
  <mergeCells count="3">
    <mergeCell ref="A1:E1"/>
    <mergeCell ref="A2:E2"/>
    <mergeCell ref="A18:E18"/>
  </mergeCells>
  <conditionalFormatting sqref="C20:C22">
    <cfRule type="expression" dxfId="21" priority="1">
      <formula>C20="HỢP LỆ"</formula>
    </cfRule>
    <cfRule type="expression" dxfId="20" priority="2">
      <formula>OR(C20="CẦN SỬA",C20="CHƯA DUYỆT")</formula>
    </cfRule>
  </conditionalFormatting>
  <dataValidations count="1">
    <dataValidation type="list" sqref="C14" xr:uid="{00000000-0002-0000-0100-000000000000}">
      <formula1>"Đang soạn,Chờ review,Cần chỉnh sửa,Đã duyệt"</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04"/>
  <sheetViews>
    <sheetView workbookViewId="0"/>
  </sheetViews>
  <sheetFormatPr defaultRowHeight="14.25"/>
  <cols>
    <col min="1" max="1" width="11" customWidth="1"/>
    <col min="2" max="2" width="12" customWidth="1"/>
    <col min="3" max="3" width="8" customWidth="1"/>
    <col min="4" max="4" width="12" customWidth="1"/>
    <col min="5" max="6" width="14" customWidth="1"/>
    <col min="7" max="7" width="29" customWidth="1"/>
    <col min="8" max="8" width="13" customWidth="1"/>
    <col min="9" max="9" width="12" customWidth="1"/>
    <col min="10" max="10" width="64" customWidth="1"/>
    <col min="11" max="11" width="11" customWidth="1"/>
    <col min="12" max="12" width="23" customWidth="1"/>
    <col min="13" max="13" width="13" customWidth="1"/>
    <col min="14" max="14" width="31" customWidth="1"/>
  </cols>
  <sheetData>
    <row r="1" spans="1:14" ht="30" customHeight="1">
      <c r="A1" s="19" t="s">
        <v>141</v>
      </c>
      <c r="B1" s="19"/>
      <c r="C1" s="19"/>
      <c r="D1" s="19"/>
      <c r="E1" s="19"/>
      <c r="F1" s="19"/>
      <c r="G1" s="19"/>
      <c r="H1" s="19"/>
      <c r="I1" s="19"/>
      <c r="J1" s="19"/>
      <c r="K1" s="19"/>
      <c r="L1" s="19"/>
      <c r="M1" s="19"/>
      <c r="N1" s="19"/>
    </row>
    <row r="2" spans="1:14" ht="36" customHeight="1">
      <c r="A2" s="20" t="s">
        <v>142</v>
      </c>
      <c r="B2" s="20"/>
      <c r="C2" s="20"/>
      <c r="D2" s="20"/>
      <c r="E2" s="20"/>
      <c r="F2" s="20"/>
      <c r="G2" s="20"/>
      <c r="H2" s="20"/>
      <c r="I2" s="20"/>
      <c r="J2" s="20"/>
      <c r="K2" s="20"/>
      <c r="L2" s="20"/>
      <c r="M2" s="20"/>
      <c r="N2" s="20"/>
    </row>
    <row r="4" spans="1:14" ht="39.950000000000003" customHeight="1">
      <c r="A4" s="1" t="s">
        <v>143</v>
      </c>
      <c r="B4" s="1" t="s">
        <v>144</v>
      </c>
      <c r="C4" s="1" t="s">
        <v>145</v>
      </c>
      <c r="D4" s="1" t="s">
        <v>146</v>
      </c>
      <c r="E4" s="1" t="s">
        <v>147</v>
      </c>
      <c r="F4" s="1" t="s">
        <v>148</v>
      </c>
      <c r="G4" s="1" t="s">
        <v>149</v>
      </c>
      <c r="H4" s="1" t="s">
        <v>150</v>
      </c>
      <c r="I4" s="1" t="s">
        <v>151</v>
      </c>
      <c r="J4" s="1" t="s">
        <v>152</v>
      </c>
      <c r="K4" s="1" t="s">
        <v>153</v>
      </c>
      <c r="L4" s="1" t="s">
        <v>154</v>
      </c>
      <c r="M4" s="1" t="s">
        <v>135</v>
      </c>
      <c r="N4" s="1" t="s">
        <v>155</v>
      </c>
    </row>
    <row r="5" spans="1:14" ht="26.45" customHeight="1">
      <c r="A5" s="16">
        <v>1</v>
      </c>
      <c r="B5" s="16" t="s">
        <v>382</v>
      </c>
      <c r="C5" s="16">
        <v>1</v>
      </c>
      <c r="D5" s="16" t="s">
        <v>188</v>
      </c>
      <c r="E5" s="16"/>
      <c r="F5" s="15" t="s">
        <v>183</v>
      </c>
      <c r="G5" s="15" t="s">
        <v>383</v>
      </c>
      <c r="H5" s="15"/>
      <c r="I5" s="15"/>
      <c r="J5" s="15"/>
      <c r="K5" s="15"/>
      <c r="L5" s="15" t="s">
        <v>384</v>
      </c>
      <c r="M5" s="17" t="str">
        <f t="shared" ref="M5:M36" si="0">IF(A5="","",IF(N5="","HỢP LỆ","CẦN SỬA"))</f>
        <v>HỢP LỆ</v>
      </c>
      <c r="N5" s="17" t="str">
        <f t="shared" ref="N5:N36" si="1">IF(A5="","",IF(B5="","Thiếu NodeId",IF(D5="","Thiếu NodeType",IF(COUNTIF($B$5:$B$204,B5)&gt;1,"NodeId bị trùng",IF(COUNTIF($A$5:$A$204,A5)&gt;1,"NodeOrder bị trùng",IF(AND(D5="scene",OR(C5="",F5="",G5="")),"scene cần ActNo, Background, SceneName",IF(AND(D5="say",OR(H5="",J5="")),"say cần SpeakerKey và Text",IF(AND(D5="choice",OR(E5="",H5="",I5="",J5="")),"choice cần ChoiceMode, SpeakerKey, Mood, Question",IF(AND(D5="act",K5=""),"act cần số La Mã",IF(AND(D5="end",COUNTIF($D$5:$D$204,"end")&lt;&gt;1),"Phải có đúng 1 node end",""))))))))))</f>
        <v/>
      </c>
    </row>
    <row r="6" spans="1:14" ht="26.45" customHeight="1">
      <c r="A6" s="16">
        <v>2</v>
      </c>
      <c r="B6" s="16" t="s">
        <v>385</v>
      </c>
      <c r="C6" s="16">
        <v>1</v>
      </c>
      <c r="D6" s="16" t="s">
        <v>198</v>
      </c>
      <c r="E6" s="16"/>
      <c r="F6" s="15"/>
      <c r="G6" s="15"/>
      <c r="H6" s="15" t="s">
        <v>182</v>
      </c>
      <c r="I6" s="15"/>
      <c r="J6" s="15" t="s">
        <v>386</v>
      </c>
      <c r="K6" s="15"/>
      <c r="L6" s="15"/>
      <c r="M6" s="17" t="str">
        <f t="shared" si="0"/>
        <v>HỢP LỆ</v>
      </c>
      <c r="N6" s="17" t="str">
        <f t="shared" si="1"/>
        <v/>
      </c>
    </row>
    <row r="7" spans="1:14" ht="26.45" customHeight="1">
      <c r="A7" s="16">
        <v>3</v>
      </c>
      <c r="B7" s="16" t="s">
        <v>387</v>
      </c>
      <c r="C7" s="16">
        <v>1</v>
      </c>
      <c r="D7" s="16" t="s">
        <v>198</v>
      </c>
      <c r="E7" s="16"/>
      <c r="F7" s="15"/>
      <c r="G7" s="15"/>
      <c r="H7" s="15" t="s">
        <v>201</v>
      </c>
      <c r="I7" s="15" t="s">
        <v>186</v>
      </c>
      <c r="J7" s="15" t="s">
        <v>388</v>
      </c>
      <c r="K7" s="15"/>
      <c r="L7" s="15"/>
      <c r="M7" s="17" t="str">
        <f t="shared" si="0"/>
        <v>HỢP LỆ</v>
      </c>
      <c r="N7" s="17" t="str">
        <f t="shared" si="1"/>
        <v/>
      </c>
    </row>
    <row r="8" spans="1:14" ht="15" customHeight="1">
      <c r="A8" s="16">
        <v>4</v>
      </c>
      <c r="B8" s="16" t="s">
        <v>389</v>
      </c>
      <c r="C8" s="16">
        <v>1</v>
      </c>
      <c r="D8" s="16" t="s">
        <v>208</v>
      </c>
      <c r="E8" s="16" t="s">
        <v>390</v>
      </c>
      <c r="F8" s="15"/>
      <c r="G8" s="15"/>
      <c r="H8" s="15" t="s">
        <v>201</v>
      </c>
      <c r="I8" s="15" t="s">
        <v>186</v>
      </c>
      <c r="J8" s="15" t="s">
        <v>391</v>
      </c>
      <c r="K8" s="15"/>
      <c r="L8" s="15" t="s">
        <v>392</v>
      </c>
      <c r="M8" s="17" t="str">
        <f t="shared" si="0"/>
        <v>HỢP LỆ</v>
      </c>
      <c r="N8" s="17" t="str">
        <f t="shared" si="1"/>
        <v/>
      </c>
    </row>
    <row r="9" spans="1:14" ht="15" customHeight="1">
      <c r="A9" s="16">
        <v>5</v>
      </c>
      <c r="B9" s="16" t="s">
        <v>393</v>
      </c>
      <c r="C9" s="16">
        <v>1</v>
      </c>
      <c r="D9" s="16" t="s">
        <v>208</v>
      </c>
      <c r="E9" s="16" t="s">
        <v>394</v>
      </c>
      <c r="F9" s="15"/>
      <c r="G9" s="15"/>
      <c r="H9" s="15" t="s">
        <v>224</v>
      </c>
      <c r="I9" s="15" t="s">
        <v>186</v>
      </c>
      <c r="J9" s="15" t="s">
        <v>395</v>
      </c>
      <c r="K9" s="15"/>
      <c r="L9" s="15" t="s">
        <v>392</v>
      </c>
      <c r="M9" s="17" t="str">
        <f t="shared" si="0"/>
        <v>HỢP LỆ</v>
      </c>
      <c r="N9" s="17" t="str">
        <f t="shared" si="1"/>
        <v/>
      </c>
    </row>
    <row r="10" spans="1:14" ht="15" customHeight="1">
      <c r="A10" s="16">
        <v>6</v>
      </c>
      <c r="B10" s="16" t="s">
        <v>396</v>
      </c>
      <c r="C10" s="16">
        <v>1</v>
      </c>
      <c r="D10" s="16" t="s">
        <v>208</v>
      </c>
      <c r="E10" s="16" t="s">
        <v>394</v>
      </c>
      <c r="F10" s="15"/>
      <c r="G10" s="15"/>
      <c r="H10" s="15" t="s">
        <v>211</v>
      </c>
      <c r="I10" s="15" t="s">
        <v>186</v>
      </c>
      <c r="J10" s="15" t="s">
        <v>397</v>
      </c>
      <c r="K10" s="15"/>
      <c r="L10" s="15" t="s">
        <v>392</v>
      </c>
      <c r="M10" s="17" t="str">
        <f t="shared" si="0"/>
        <v>HỢP LỆ</v>
      </c>
      <c r="N10" s="17" t="str">
        <f t="shared" si="1"/>
        <v/>
      </c>
    </row>
    <row r="11" spans="1:14" ht="15" customHeight="1">
      <c r="A11" s="16">
        <v>7</v>
      </c>
      <c r="B11" s="16" t="s">
        <v>398</v>
      </c>
      <c r="C11" s="16">
        <v>1</v>
      </c>
      <c r="D11" s="16" t="s">
        <v>208</v>
      </c>
      <c r="E11" s="16" t="s">
        <v>394</v>
      </c>
      <c r="F11" s="15"/>
      <c r="G11" s="15"/>
      <c r="H11" s="15" t="s">
        <v>218</v>
      </c>
      <c r="I11" s="15" t="s">
        <v>186</v>
      </c>
      <c r="J11" s="15" t="s">
        <v>399</v>
      </c>
      <c r="K11" s="15"/>
      <c r="L11" s="15" t="s">
        <v>392</v>
      </c>
      <c r="M11" s="17" t="str">
        <f t="shared" si="0"/>
        <v>HỢP LỆ</v>
      </c>
      <c r="N11" s="17" t="str">
        <f t="shared" si="1"/>
        <v/>
      </c>
    </row>
    <row r="12" spans="1:14" ht="15" customHeight="1">
      <c r="A12" s="16">
        <v>8</v>
      </c>
      <c r="B12" s="16" t="s">
        <v>400</v>
      </c>
      <c r="C12" s="16">
        <v>1</v>
      </c>
      <c r="D12" s="16" t="s">
        <v>208</v>
      </c>
      <c r="E12" s="16" t="s">
        <v>394</v>
      </c>
      <c r="F12" s="15"/>
      <c r="G12" s="15"/>
      <c r="H12" s="15" t="s">
        <v>201</v>
      </c>
      <c r="I12" s="15" t="s">
        <v>186</v>
      </c>
      <c r="J12" s="15" t="s">
        <v>401</v>
      </c>
      <c r="K12" s="15"/>
      <c r="L12" s="15" t="s">
        <v>392</v>
      </c>
      <c r="M12" s="17" t="str">
        <f t="shared" si="0"/>
        <v>HỢP LỆ</v>
      </c>
      <c r="N12" s="17" t="str">
        <f t="shared" si="1"/>
        <v/>
      </c>
    </row>
    <row r="13" spans="1:14" ht="15" customHeight="1">
      <c r="A13" s="16">
        <v>9</v>
      </c>
      <c r="B13" s="16" t="s">
        <v>402</v>
      </c>
      <c r="C13" s="16">
        <v>1</v>
      </c>
      <c r="D13" s="16" t="s">
        <v>208</v>
      </c>
      <c r="E13" s="16" t="s">
        <v>394</v>
      </c>
      <c r="F13" s="15"/>
      <c r="G13" s="15"/>
      <c r="H13" s="15" t="s">
        <v>211</v>
      </c>
      <c r="I13" s="15" t="s">
        <v>186</v>
      </c>
      <c r="J13" s="15" t="s">
        <v>403</v>
      </c>
      <c r="K13" s="15"/>
      <c r="L13" s="15" t="s">
        <v>392</v>
      </c>
      <c r="M13" s="17" t="str">
        <f t="shared" si="0"/>
        <v>HỢP LỆ</v>
      </c>
      <c r="N13" s="17" t="str">
        <f t="shared" si="1"/>
        <v/>
      </c>
    </row>
    <row r="14" spans="1:14" ht="15" customHeight="1">
      <c r="A14" s="16">
        <v>10</v>
      </c>
      <c r="B14" s="16" t="s">
        <v>404</v>
      </c>
      <c r="C14" s="16">
        <v>1</v>
      </c>
      <c r="D14" s="16" t="s">
        <v>208</v>
      </c>
      <c r="E14" s="16" t="s">
        <v>394</v>
      </c>
      <c r="F14" s="15"/>
      <c r="G14" s="15"/>
      <c r="H14" s="15" t="s">
        <v>218</v>
      </c>
      <c r="I14" s="15" t="s">
        <v>186</v>
      </c>
      <c r="J14" s="15" t="s">
        <v>405</v>
      </c>
      <c r="K14" s="15"/>
      <c r="L14" s="15" t="s">
        <v>392</v>
      </c>
      <c r="M14" s="17" t="str">
        <f t="shared" si="0"/>
        <v>HỢP LỆ</v>
      </c>
      <c r="N14" s="17" t="str">
        <f t="shared" si="1"/>
        <v/>
      </c>
    </row>
    <row r="15" spans="1:14" ht="15" customHeight="1">
      <c r="A15" s="16">
        <v>11</v>
      </c>
      <c r="B15" s="16" t="s">
        <v>406</v>
      </c>
      <c r="C15" s="16">
        <v>1</v>
      </c>
      <c r="D15" s="16" t="s">
        <v>216</v>
      </c>
      <c r="E15" s="16"/>
      <c r="F15" s="15"/>
      <c r="G15" s="15"/>
      <c r="H15" s="15"/>
      <c r="I15" s="15"/>
      <c r="J15" s="15"/>
      <c r="K15" s="15" t="s">
        <v>407</v>
      </c>
      <c r="L15" s="15" t="s">
        <v>408</v>
      </c>
      <c r="M15" s="17" t="str">
        <f t="shared" si="0"/>
        <v>HỢP LỆ</v>
      </c>
      <c r="N15" s="17" t="str">
        <f t="shared" si="1"/>
        <v/>
      </c>
    </row>
    <row r="16" spans="1:14" ht="15" customHeight="1">
      <c r="A16" s="16">
        <v>12</v>
      </c>
      <c r="B16" s="16" t="s">
        <v>409</v>
      </c>
      <c r="C16" s="16">
        <v>2</v>
      </c>
      <c r="D16" s="16" t="s">
        <v>188</v>
      </c>
      <c r="E16" s="16"/>
      <c r="F16" s="15" t="s">
        <v>194</v>
      </c>
      <c r="G16" s="15" t="s">
        <v>410</v>
      </c>
      <c r="H16" s="15"/>
      <c r="I16" s="15"/>
      <c r="J16" s="15"/>
      <c r="K16" s="15"/>
      <c r="L16" s="15" t="s">
        <v>411</v>
      </c>
      <c r="M16" s="17" t="str">
        <f t="shared" si="0"/>
        <v>HỢP LỆ</v>
      </c>
      <c r="N16" s="17" t="str">
        <f t="shared" si="1"/>
        <v/>
      </c>
    </row>
    <row r="17" spans="1:14" ht="26.45" customHeight="1">
      <c r="A17" s="16">
        <v>13</v>
      </c>
      <c r="B17" s="16" t="s">
        <v>412</v>
      </c>
      <c r="C17" s="16">
        <v>2</v>
      </c>
      <c r="D17" s="16" t="s">
        <v>198</v>
      </c>
      <c r="E17" s="16"/>
      <c r="F17" s="15"/>
      <c r="G17" s="15"/>
      <c r="H17" s="15" t="s">
        <v>182</v>
      </c>
      <c r="I17" s="15"/>
      <c r="J17" s="15" t="s">
        <v>413</v>
      </c>
      <c r="K17" s="15"/>
      <c r="L17" s="15"/>
      <c r="M17" s="17" t="str">
        <f t="shared" si="0"/>
        <v>HỢP LỆ</v>
      </c>
      <c r="N17" s="17" t="str">
        <f t="shared" si="1"/>
        <v/>
      </c>
    </row>
    <row r="18" spans="1:14" ht="26.45" customHeight="1">
      <c r="A18" s="16">
        <v>14</v>
      </c>
      <c r="B18" s="16" t="s">
        <v>414</v>
      </c>
      <c r="C18" s="16">
        <v>2</v>
      </c>
      <c r="D18" s="16" t="s">
        <v>198</v>
      </c>
      <c r="E18" s="16"/>
      <c r="F18" s="15"/>
      <c r="G18" s="15"/>
      <c r="H18" s="15" t="s">
        <v>211</v>
      </c>
      <c r="I18" s="15" t="s">
        <v>186</v>
      </c>
      <c r="J18" s="15" t="s">
        <v>415</v>
      </c>
      <c r="K18" s="15"/>
      <c r="L18" s="15"/>
      <c r="M18" s="17" t="str">
        <f t="shared" si="0"/>
        <v>HỢP LỆ</v>
      </c>
      <c r="N18" s="17" t="str">
        <f t="shared" si="1"/>
        <v/>
      </c>
    </row>
    <row r="19" spans="1:14" ht="15" customHeight="1">
      <c r="A19" s="16">
        <v>15</v>
      </c>
      <c r="B19" s="16" t="s">
        <v>416</v>
      </c>
      <c r="C19" s="16">
        <v>2</v>
      </c>
      <c r="D19" s="16" t="s">
        <v>208</v>
      </c>
      <c r="E19" s="16" t="s">
        <v>394</v>
      </c>
      <c r="F19" s="15"/>
      <c r="G19" s="15"/>
      <c r="H19" s="15" t="s">
        <v>211</v>
      </c>
      <c r="I19" s="15" t="s">
        <v>186</v>
      </c>
      <c r="J19" s="15" t="s">
        <v>417</v>
      </c>
      <c r="K19" s="15"/>
      <c r="L19" s="15" t="s">
        <v>392</v>
      </c>
      <c r="M19" s="17" t="str">
        <f t="shared" si="0"/>
        <v>HỢP LỆ</v>
      </c>
      <c r="N19" s="17" t="str">
        <f t="shared" si="1"/>
        <v/>
      </c>
    </row>
    <row r="20" spans="1:14" ht="15" customHeight="1">
      <c r="A20" s="16">
        <v>16</v>
      </c>
      <c r="B20" s="16" t="s">
        <v>418</v>
      </c>
      <c r="C20" s="16">
        <v>2</v>
      </c>
      <c r="D20" s="16" t="s">
        <v>208</v>
      </c>
      <c r="E20" s="16" t="s">
        <v>394</v>
      </c>
      <c r="F20" s="15"/>
      <c r="G20" s="15"/>
      <c r="H20" s="15" t="s">
        <v>201</v>
      </c>
      <c r="I20" s="15" t="s">
        <v>186</v>
      </c>
      <c r="J20" s="15" t="s">
        <v>419</v>
      </c>
      <c r="K20" s="15"/>
      <c r="L20" s="15" t="s">
        <v>392</v>
      </c>
      <c r="M20" s="17" t="str">
        <f t="shared" si="0"/>
        <v>HỢP LỆ</v>
      </c>
      <c r="N20" s="17" t="str">
        <f t="shared" si="1"/>
        <v/>
      </c>
    </row>
    <row r="21" spans="1:14" ht="15" customHeight="1">
      <c r="A21" s="16">
        <v>17</v>
      </c>
      <c r="B21" s="16" t="s">
        <v>420</v>
      </c>
      <c r="C21" s="16">
        <v>2</v>
      </c>
      <c r="D21" s="16" t="s">
        <v>208</v>
      </c>
      <c r="E21" s="16" t="s">
        <v>394</v>
      </c>
      <c r="F21" s="15"/>
      <c r="G21" s="15"/>
      <c r="H21" s="15" t="s">
        <v>218</v>
      </c>
      <c r="I21" s="15" t="s">
        <v>186</v>
      </c>
      <c r="J21" s="15" t="s">
        <v>421</v>
      </c>
      <c r="K21" s="15"/>
      <c r="L21" s="15" t="s">
        <v>392</v>
      </c>
      <c r="M21" s="17" t="str">
        <f t="shared" si="0"/>
        <v>HỢP LỆ</v>
      </c>
      <c r="N21" s="17" t="str">
        <f t="shared" si="1"/>
        <v/>
      </c>
    </row>
    <row r="22" spans="1:14" ht="15" customHeight="1">
      <c r="A22" s="16">
        <v>18</v>
      </c>
      <c r="B22" s="16" t="s">
        <v>422</v>
      </c>
      <c r="C22" s="16">
        <v>2</v>
      </c>
      <c r="D22" s="16" t="s">
        <v>208</v>
      </c>
      <c r="E22" s="16" t="s">
        <v>394</v>
      </c>
      <c r="F22" s="15"/>
      <c r="G22" s="15"/>
      <c r="H22" s="15" t="s">
        <v>224</v>
      </c>
      <c r="I22" s="15" t="s">
        <v>186</v>
      </c>
      <c r="J22" s="15" t="s">
        <v>423</v>
      </c>
      <c r="K22" s="15"/>
      <c r="L22" s="15" t="s">
        <v>392</v>
      </c>
      <c r="M22" s="17" t="str">
        <f t="shared" si="0"/>
        <v>HỢP LỆ</v>
      </c>
      <c r="N22" s="17" t="str">
        <f t="shared" si="1"/>
        <v/>
      </c>
    </row>
    <row r="23" spans="1:14" ht="26.45" customHeight="1">
      <c r="A23" s="16">
        <v>19</v>
      </c>
      <c r="B23" s="16" t="s">
        <v>424</v>
      </c>
      <c r="C23" s="16">
        <v>2</v>
      </c>
      <c r="D23" s="16" t="s">
        <v>208</v>
      </c>
      <c r="E23" s="16" t="s">
        <v>394</v>
      </c>
      <c r="F23" s="15"/>
      <c r="G23" s="15"/>
      <c r="H23" s="15" t="s">
        <v>201</v>
      </c>
      <c r="I23" s="15" t="s">
        <v>186</v>
      </c>
      <c r="J23" s="15" t="s">
        <v>425</v>
      </c>
      <c r="K23" s="15"/>
      <c r="L23" s="15" t="s">
        <v>392</v>
      </c>
      <c r="M23" s="17" t="str">
        <f t="shared" si="0"/>
        <v>HỢP LỆ</v>
      </c>
      <c r="N23" s="17" t="str">
        <f t="shared" si="1"/>
        <v/>
      </c>
    </row>
    <row r="24" spans="1:14" ht="15" customHeight="1">
      <c r="A24" s="16">
        <v>20</v>
      </c>
      <c r="B24" s="16" t="s">
        <v>426</v>
      </c>
      <c r="C24" s="16">
        <v>2</v>
      </c>
      <c r="D24" s="16" t="s">
        <v>208</v>
      </c>
      <c r="E24" s="16" t="s">
        <v>394</v>
      </c>
      <c r="F24" s="15"/>
      <c r="G24" s="15"/>
      <c r="H24" s="15" t="s">
        <v>211</v>
      </c>
      <c r="I24" s="15" t="s">
        <v>186</v>
      </c>
      <c r="J24" s="15" t="s">
        <v>427</v>
      </c>
      <c r="K24" s="15"/>
      <c r="L24" s="15" t="s">
        <v>392</v>
      </c>
      <c r="M24" s="17" t="str">
        <f t="shared" si="0"/>
        <v>HỢP LỆ</v>
      </c>
      <c r="N24" s="17" t="str">
        <f t="shared" si="1"/>
        <v/>
      </c>
    </row>
    <row r="25" spans="1:14" ht="15" customHeight="1">
      <c r="A25" s="16">
        <v>21</v>
      </c>
      <c r="B25" s="16" t="s">
        <v>428</v>
      </c>
      <c r="C25" s="16">
        <v>2</v>
      </c>
      <c r="D25" s="16" t="s">
        <v>216</v>
      </c>
      <c r="E25" s="16"/>
      <c r="F25" s="15"/>
      <c r="G25" s="15"/>
      <c r="H25" s="15"/>
      <c r="I25" s="15"/>
      <c r="J25" s="15"/>
      <c r="K25" s="15" t="s">
        <v>429</v>
      </c>
      <c r="L25" s="15" t="s">
        <v>430</v>
      </c>
      <c r="M25" s="17" t="str">
        <f t="shared" si="0"/>
        <v>HỢP LỆ</v>
      </c>
      <c r="N25" s="17" t="str">
        <f t="shared" si="1"/>
        <v/>
      </c>
    </row>
    <row r="26" spans="1:14" ht="26.45" customHeight="1">
      <c r="A26" s="16">
        <v>22</v>
      </c>
      <c r="B26" s="16" t="s">
        <v>431</v>
      </c>
      <c r="C26" s="16">
        <v>3</v>
      </c>
      <c r="D26" s="16" t="s">
        <v>188</v>
      </c>
      <c r="E26" s="16"/>
      <c r="F26" s="15" t="s">
        <v>204</v>
      </c>
      <c r="G26" s="15" t="s">
        <v>432</v>
      </c>
      <c r="H26" s="15"/>
      <c r="I26" s="15"/>
      <c r="J26" s="15"/>
      <c r="K26" s="15"/>
      <c r="L26" s="15" t="s">
        <v>433</v>
      </c>
      <c r="M26" s="17" t="str">
        <f t="shared" si="0"/>
        <v>HỢP LỆ</v>
      </c>
      <c r="N26" s="17" t="str">
        <f t="shared" si="1"/>
        <v/>
      </c>
    </row>
    <row r="27" spans="1:14" ht="26.45" customHeight="1">
      <c r="A27" s="16">
        <v>23</v>
      </c>
      <c r="B27" s="16" t="s">
        <v>434</v>
      </c>
      <c r="C27" s="16">
        <v>3</v>
      </c>
      <c r="D27" s="16" t="s">
        <v>198</v>
      </c>
      <c r="E27" s="16"/>
      <c r="F27" s="15"/>
      <c r="G27" s="15"/>
      <c r="H27" s="15" t="s">
        <v>182</v>
      </c>
      <c r="I27" s="15"/>
      <c r="J27" s="15" t="s">
        <v>435</v>
      </c>
      <c r="K27" s="15"/>
      <c r="L27" s="15"/>
      <c r="M27" s="17" t="str">
        <f t="shared" si="0"/>
        <v>HỢP LỆ</v>
      </c>
      <c r="N27" s="17" t="str">
        <f t="shared" si="1"/>
        <v/>
      </c>
    </row>
    <row r="28" spans="1:14" ht="26.45" customHeight="1">
      <c r="A28" s="16">
        <v>24</v>
      </c>
      <c r="B28" s="16" t="s">
        <v>436</v>
      </c>
      <c r="C28" s="16">
        <v>3</v>
      </c>
      <c r="D28" s="16" t="s">
        <v>198</v>
      </c>
      <c r="E28" s="16"/>
      <c r="F28" s="15"/>
      <c r="G28" s="15"/>
      <c r="H28" s="15" t="s">
        <v>218</v>
      </c>
      <c r="I28" s="15" t="s">
        <v>214</v>
      </c>
      <c r="J28" s="15" t="s">
        <v>437</v>
      </c>
      <c r="K28" s="15"/>
      <c r="L28" s="15"/>
      <c r="M28" s="17" t="str">
        <f t="shared" si="0"/>
        <v>HỢP LỆ</v>
      </c>
      <c r="N28" s="17" t="str">
        <f t="shared" si="1"/>
        <v/>
      </c>
    </row>
    <row r="29" spans="1:14" ht="15" customHeight="1">
      <c r="A29" s="16">
        <v>25</v>
      </c>
      <c r="B29" s="16" t="s">
        <v>438</v>
      </c>
      <c r="C29" s="16">
        <v>3</v>
      </c>
      <c r="D29" s="16" t="s">
        <v>208</v>
      </c>
      <c r="E29" s="16" t="s">
        <v>394</v>
      </c>
      <c r="F29" s="15"/>
      <c r="G29" s="15"/>
      <c r="H29" s="15" t="s">
        <v>218</v>
      </c>
      <c r="I29" s="15" t="s">
        <v>186</v>
      </c>
      <c r="J29" s="15" t="s">
        <v>439</v>
      </c>
      <c r="K29" s="15"/>
      <c r="L29" s="15" t="s">
        <v>392</v>
      </c>
      <c r="M29" s="17" t="str">
        <f t="shared" si="0"/>
        <v>HỢP LỆ</v>
      </c>
      <c r="N29" s="17" t="str">
        <f t="shared" si="1"/>
        <v/>
      </c>
    </row>
    <row r="30" spans="1:14" ht="15" customHeight="1">
      <c r="A30" s="16">
        <v>26</v>
      </c>
      <c r="B30" s="16" t="s">
        <v>440</v>
      </c>
      <c r="C30" s="16">
        <v>3</v>
      </c>
      <c r="D30" s="16" t="s">
        <v>208</v>
      </c>
      <c r="E30" s="16" t="s">
        <v>394</v>
      </c>
      <c r="F30" s="15"/>
      <c r="G30" s="15"/>
      <c r="H30" s="15" t="s">
        <v>201</v>
      </c>
      <c r="I30" s="15" t="s">
        <v>186</v>
      </c>
      <c r="J30" s="15" t="s">
        <v>441</v>
      </c>
      <c r="K30" s="15"/>
      <c r="L30" s="15" t="s">
        <v>392</v>
      </c>
      <c r="M30" s="17" t="str">
        <f t="shared" si="0"/>
        <v>HỢP LỆ</v>
      </c>
      <c r="N30" s="17" t="str">
        <f t="shared" si="1"/>
        <v/>
      </c>
    </row>
    <row r="31" spans="1:14" ht="15" customHeight="1">
      <c r="A31" s="16">
        <v>27</v>
      </c>
      <c r="B31" s="16" t="s">
        <v>442</v>
      </c>
      <c r="C31" s="16">
        <v>3</v>
      </c>
      <c r="D31" s="16" t="s">
        <v>208</v>
      </c>
      <c r="E31" s="16" t="s">
        <v>394</v>
      </c>
      <c r="F31" s="15"/>
      <c r="G31" s="15"/>
      <c r="H31" s="15" t="s">
        <v>211</v>
      </c>
      <c r="I31" s="15" t="s">
        <v>186</v>
      </c>
      <c r="J31" s="15" t="s">
        <v>443</v>
      </c>
      <c r="K31" s="15"/>
      <c r="L31" s="15" t="s">
        <v>392</v>
      </c>
      <c r="M31" s="17" t="str">
        <f t="shared" si="0"/>
        <v>HỢP LỆ</v>
      </c>
      <c r="N31" s="17" t="str">
        <f t="shared" si="1"/>
        <v/>
      </c>
    </row>
    <row r="32" spans="1:14" ht="15" customHeight="1">
      <c r="A32" s="16">
        <v>28</v>
      </c>
      <c r="B32" s="16" t="s">
        <v>444</v>
      </c>
      <c r="C32" s="16">
        <v>3</v>
      </c>
      <c r="D32" s="16" t="s">
        <v>208</v>
      </c>
      <c r="E32" s="16" t="s">
        <v>394</v>
      </c>
      <c r="F32" s="15"/>
      <c r="G32" s="15"/>
      <c r="H32" s="15" t="s">
        <v>218</v>
      </c>
      <c r="I32" s="15" t="s">
        <v>186</v>
      </c>
      <c r="J32" s="15" t="s">
        <v>445</v>
      </c>
      <c r="K32" s="15"/>
      <c r="L32" s="15" t="s">
        <v>392</v>
      </c>
      <c r="M32" s="17" t="str">
        <f t="shared" si="0"/>
        <v>HỢP LỆ</v>
      </c>
      <c r="N32" s="17" t="str">
        <f t="shared" si="1"/>
        <v/>
      </c>
    </row>
    <row r="33" spans="1:14" ht="15" customHeight="1">
      <c r="A33" s="16">
        <v>29</v>
      </c>
      <c r="B33" s="16" t="s">
        <v>446</v>
      </c>
      <c r="C33" s="16">
        <v>3</v>
      </c>
      <c r="D33" s="16" t="s">
        <v>208</v>
      </c>
      <c r="E33" s="16" t="s">
        <v>394</v>
      </c>
      <c r="F33" s="15"/>
      <c r="G33" s="15"/>
      <c r="H33" s="15" t="s">
        <v>224</v>
      </c>
      <c r="I33" s="15" t="s">
        <v>186</v>
      </c>
      <c r="J33" s="15" t="s">
        <v>447</v>
      </c>
      <c r="K33" s="15"/>
      <c r="L33" s="15" t="s">
        <v>392</v>
      </c>
      <c r="M33" s="17" t="str">
        <f t="shared" si="0"/>
        <v>HỢP LỆ</v>
      </c>
      <c r="N33" s="17" t="str">
        <f t="shared" si="1"/>
        <v/>
      </c>
    </row>
    <row r="34" spans="1:14" ht="15" customHeight="1">
      <c r="A34" s="16">
        <v>30</v>
      </c>
      <c r="B34" s="16" t="s">
        <v>448</v>
      </c>
      <c r="C34" s="16">
        <v>3</v>
      </c>
      <c r="D34" s="16" t="s">
        <v>208</v>
      </c>
      <c r="E34" s="16" t="s">
        <v>394</v>
      </c>
      <c r="F34" s="15"/>
      <c r="G34" s="15"/>
      <c r="H34" s="15" t="s">
        <v>201</v>
      </c>
      <c r="I34" s="15" t="s">
        <v>186</v>
      </c>
      <c r="J34" s="15" t="s">
        <v>449</v>
      </c>
      <c r="K34" s="15"/>
      <c r="L34" s="15" t="s">
        <v>392</v>
      </c>
      <c r="M34" s="17" t="str">
        <f t="shared" si="0"/>
        <v>HỢP LỆ</v>
      </c>
      <c r="N34" s="17" t="str">
        <f t="shared" si="1"/>
        <v/>
      </c>
    </row>
    <row r="35" spans="1:14" ht="26.45" customHeight="1">
      <c r="A35" s="16">
        <v>31</v>
      </c>
      <c r="B35" s="16" t="s">
        <v>450</v>
      </c>
      <c r="C35" s="16">
        <v>3</v>
      </c>
      <c r="D35" s="16" t="s">
        <v>198</v>
      </c>
      <c r="E35" s="16"/>
      <c r="F35" s="15"/>
      <c r="G35" s="15"/>
      <c r="H35" s="15" t="s">
        <v>201</v>
      </c>
      <c r="I35" s="15" t="s">
        <v>196</v>
      </c>
      <c r="J35" s="15" t="s">
        <v>451</v>
      </c>
      <c r="K35" s="15"/>
      <c r="L35" s="15"/>
      <c r="M35" s="17" t="str">
        <f t="shared" si="0"/>
        <v>HỢP LỆ</v>
      </c>
      <c r="N35" s="17" t="str">
        <f t="shared" si="1"/>
        <v/>
      </c>
    </row>
    <row r="36" spans="1:14" ht="15" customHeight="1">
      <c r="A36" s="16">
        <v>32</v>
      </c>
      <c r="B36" s="16" t="s">
        <v>452</v>
      </c>
      <c r="C36" s="16">
        <v>3</v>
      </c>
      <c r="D36" s="16" t="s">
        <v>216</v>
      </c>
      <c r="E36" s="16"/>
      <c r="F36" s="15"/>
      <c r="G36" s="15"/>
      <c r="H36" s="15"/>
      <c r="I36" s="15"/>
      <c r="J36" s="15"/>
      <c r="K36" s="15" t="s">
        <v>453</v>
      </c>
      <c r="L36" s="15" t="s">
        <v>454</v>
      </c>
      <c r="M36" s="17" t="str">
        <f t="shared" si="0"/>
        <v>HỢP LỆ</v>
      </c>
      <c r="N36" s="17" t="str">
        <f t="shared" si="1"/>
        <v/>
      </c>
    </row>
    <row r="37" spans="1:14" ht="15" customHeight="1">
      <c r="A37" s="16">
        <v>33</v>
      </c>
      <c r="B37" s="16" t="s">
        <v>455</v>
      </c>
      <c r="C37" s="16"/>
      <c r="D37" s="16" t="s">
        <v>221</v>
      </c>
      <c r="E37" s="16"/>
      <c r="F37" s="15"/>
      <c r="G37" s="15"/>
      <c r="H37" s="15"/>
      <c r="I37" s="15"/>
      <c r="J37" s="15"/>
      <c r="K37" s="15"/>
      <c r="L37" s="15" t="s">
        <v>456</v>
      </c>
      <c r="M37" s="17" t="str">
        <f t="shared" ref="M37:M68" si="2">IF(A37="","",IF(N37="","HỢP LỆ","CẦN SỬA"))</f>
        <v>HỢP LỆ</v>
      </c>
      <c r="N37" s="17" t="str">
        <f t="shared" ref="N37:N68" si="3">IF(A37="","",IF(B37="","Thiếu NodeId",IF(D37="","Thiếu NodeType",IF(COUNTIF($B$5:$B$204,B37)&gt;1,"NodeId bị trùng",IF(COUNTIF($A$5:$A$204,A37)&gt;1,"NodeOrder bị trùng",IF(AND(D37="scene",OR(C37="",F37="",G37="")),"scene cần ActNo, Background, SceneName",IF(AND(D37="say",OR(H37="",J37="")),"say cần SpeakerKey và Text",IF(AND(D37="choice",OR(E37="",H37="",I37="",J37="")),"choice cần ChoiceMode, SpeakerKey, Mood, Question",IF(AND(D37="act",K37=""),"act cần số La Mã",IF(AND(D37="end",COUNTIF($D$5:$D$204,"end")&lt;&gt;1),"Phải có đúng 1 node end",""))))))))))</f>
        <v/>
      </c>
    </row>
    <row r="38" spans="1:14">
      <c r="A38" s="13"/>
      <c r="B38" s="13"/>
      <c r="C38" s="13"/>
      <c r="D38" s="13"/>
      <c r="E38" s="13"/>
      <c r="F38" s="5"/>
      <c r="G38" s="5"/>
      <c r="H38" s="5"/>
      <c r="I38" s="5"/>
      <c r="J38" s="5"/>
      <c r="K38" s="5"/>
      <c r="L38" s="5"/>
      <c r="M38" s="6" t="str">
        <f t="shared" si="2"/>
        <v/>
      </c>
      <c r="N38" s="6" t="str">
        <f t="shared" si="3"/>
        <v/>
      </c>
    </row>
    <row r="39" spans="1:14">
      <c r="A39" s="13"/>
      <c r="B39" s="13"/>
      <c r="C39" s="13"/>
      <c r="D39" s="13"/>
      <c r="E39" s="13"/>
      <c r="F39" s="5"/>
      <c r="G39" s="5"/>
      <c r="H39" s="5"/>
      <c r="I39" s="5"/>
      <c r="J39" s="5"/>
      <c r="K39" s="5"/>
      <c r="L39" s="5"/>
      <c r="M39" s="6" t="str">
        <f t="shared" si="2"/>
        <v/>
      </c>
      <c r="N39" s="6" t="str">
        <f t="shared" si="3"/>
        <v/>
      </c>
    </row>
    <row r="40" spans="1:14">
      <c r="A40" s="13"/>
      <c r="B40" s="13"/>
      <c r="C40" s="13"/>
      <c r="D40" s="13"/>
      <c r="E40" s="13"/>
      <c r="F40" s="5"/>
      <c r="G40" s="5"/>
      <c r="H40" s="5"/>
      <c r="I40" s="5"/>
      <c r="J40" s="5"/>
      <c r="K40" s="5"/>
      <c r="L40" s="5"/>
      <c r="M40" s="6" t="str">
        <f t="shared" si="2"/>
        <v/>
      </c>
      <c r="N40" s="6" t="str">
        <f t="shared" si="3"/>
        <v/>
      </c>
    </row>
    <row r="41" spans="1:14">
      <c r="A41" s="13"/>
      <c r="B41" s="13"/>
      <c r="C41" s="13"/>
      <c r="D41" s="13"/>
      <c r="E41" s="13"/>
      <c r="F41" s="5"/>
      <c r="G41" s="5"/>
      <c r="H41" s="5"/>
      <c r="I41" s="5"/>
      <c r="J41" s="5"/>
      <c r="K41" s="5"/>
      <c r="L41" s="5"/>
      <c r="M41" s="6" t="str">
        <f t="shared" si="2"/>
        <v/>
      </c>
      <c r="N41" s="6" t="str">
        <f t="shared" si="3"/>
        <v/>
      </c>
    </row>
    <row r="42" spans="1:14">
      <c r="A42" s="13"/>
      <c r="B42" s="13"/>
      <c r="C42" s="13"/>
      <c r="D42" s="13"/>
      <c r="E42" s="13"/>
      <c r="F42" s="5"/>
      <c r="G42" s="5"/>
      <c r="H42" s="5"/>
      <c r="I42" s="5"/>
      <c r="J42" s="5"/>
      <c r="K42" s="5"/>
      <c r="L42" s="5"/>
      <c r="M42" s="6" t="str">
        <f t="shared" si="2"/>
        <v/>
      </c>
      <c r="N42" s="6" t="str">
        <f t="shared" si="3"/>
        <v/>
      </c>
    </row>
    <row r="43" spans="1:14">
      <c r="A43" s="13"/>
      <c r="B43" s="13"/>
      <c r="C43" s="13"/>
      <c r="D43" s="13"/>
      <c r="E43" s="13"/>
      <c r="F43" s="5"/>
      <c r="G43" s="5"/>
      <c r="H43" s="5"/>
      <c r="I43" s="5"/>
      <c r="J43" s="5"/>
      <c r="K43" s="5"/>
      <c r="L43" s="5"/>
      <c r="M43" s="6" t="str">
        <f t="shared" si="2"/>
        <v/>
      </c>
      <c r="N43" s="6" t="str">
        <f t="shared" si="3"/>
        <v/>
      </c>
    </row>
    <row r="44" spans="1:14">
      <c r="A44" s="13"/>
      <c r="B44" s="13"/>
      <c r="C44" s="13"/>
      <c r="D44" s="13"/>
      <c r="E44" s="13"/>
      <c r="F44" s="5"/>
      <c r="G44" s="5"/>
      <c r="H44" s="5"/>
      <c r="I44" s="5"/>
      <c r="J44" s="5"/>
      <c r="K44" s="5"/>
      <c r="L44" s="5"/>
      <c r="M44" s="6" t="str">
        <f t="shared" si="2"/>
        <v/>
      </c>
      <c r="N44" s="6" t="str">
        <f t="shared" si="3"/>
        <v/>
      </c>
    </row>
    <row r="45" spans="1:14">
      <c r="A45" s="13"/>
      <c r="B45" s="13"/>
      <c r="C45" s="13"/>
      <c r="D45" s="13"/>
      <c r="E45" s="13"/>
      <c r="F45" s="5"/>
      <c r="G45" s="5"/>
      <c r="H45" s="5"/>
      <c r="I45" s="5"/>
      <c r="J45" s="5"/>
      <c r="K45" s="5"/>
      <c r="L45" s="5"/>
      <c r="M45" s="6" t="str">
        <f t="shared" si="2"/>
        <v/>
      </c>
      <c r="N45" s="6" t="str">
        <f t="shared" si="3"/>
        <v/>
      </c>
    </row>
    <row r="46" spans="1:14">
      <c r="A46" s="13"/>
      <c r="B46" s="13"/>
      <c r="C46" s="13"/>
      <c r="D46" s="13"/>
      <c r="E46" s="13"/>
      <c r="F46" s="5"/>
      <c r="G46" s="5"/>
      <c r="H46" s="5"/>
      <c r="I46" s="5"/>
      <c r="J46" s="5"/>
      <c r="K46" s="5"/>
      <c r="L46" s="5"/>
      <c r="M46" s="6" t="str">
        <f t="shared" si="2"/>
        <v/>
      </c>
      <c r="N46" s="6" t="str">
        <f t="shared" si="3"/>
        <v/>
      </c>
    </row>
    <row r="47" spans="1:14">
      <c r="A47" s="13"/>
      <c r="B47" s="13"/>
      <c r="C47" s="13"/>
      <c r="D47" s="13"/>
      <c r="E47" s="13"/>
      <c r="F47" s="5"/>
      <c r="G47" s="5"/>
      <c r="H47" s="5"/>
      <c r="I47" s="5"/>
      <c r="J47" s="5"/>
      <c r="K47" s="5"/>
      <c r="L47" s="5"/>
      <c r="M47" s="6" t="str">
        <f t="shared" si="2"/>
        <v/>
      </c>
      <c r="N47" s="6" t="str">
        <f t="shared" si="3"/>
        <v/>
      </c>
    </row>
    <row r="48" spans="1:14">
      <c r="A48" s="13"/>
      <c r="B48" s="13"/>
      <c r="C48" s="13"/>
      <c r="D48" s="13"/>
      <c r="E48" s="13"/>
      <c r="F48" s="5"/>
      <c r="G48" s="5"/>
      <c r="H48" s="5"/>
      <c r="I48" s="5"/>
      <c r="J48" s="5"/>
      <c r="K48" s="5"/>
      <c r="L48" s="5"/>
      <c r="M48" s="6" t="str">
        <f t="shared" si="2"/>
        <v/>
      </c>
      <c r="N48" s="6" t="str">
        <f t="shared" si="3"/>
        <v/>
      </c>
    </row>
    <row r="49" spans="1:14">
      <c r="A49" s="13"/>
      <c r="B49" s="13"/>
      <c r="C49" s="13"/>
      <c r="D49" s="13"/>
      <c r="E49" s="13"/>
      <c r="F49" s="5"/>
      <c r="G49" s="5"/>
      <c r="H49" s="5"/>
      <c r="I49" s="5"/>
      <c r="J49" s="5"/>
      <c r="K49" s="5"/>
      <c r="L49" s="5"/>
      <c r="M49" s="6" t="str">
        <f t="shared" si="2"/>
        <v/>
      </c>
      <c r="N49" s="6" t="str">
        <f t="shared" si="3"/>
        <v/>
      </c>
    </row>
    <row r="50" spans="1:14">
      <c r="A50" s="13"/>
      <c r="B50" s="13"/>
      <c r="C50" s="13"/>
      <c r="D50" s="13"/>
      <c r="E50" s="13"/>
      <c r="F50" s="5"/>
      <c r="G50" s="5"/>
      <c r="H50" s="5"/>
      <c r="I50" s="5"/>
      <c r="J50" s="5"/>
      <c r="K50" s="5"/>
      <c r="L50" s="5"/>
      <c r="M50" s="6" t="str">
        <f t="shared" si="2"/>
        <v/>
      </c>
      <c r="N50" s="6" t="str">
        <f t="shared" si="3"/>
        <v/>
      </c>
    </row>
    <row r="51" spans="1:14">
      <c r="A51" s="13"/>
      <c r="B51" s="13"/>
      <c r="C51" s="13"/>
      <c r="D51" s="13"/>
      <c r="E51" s="13"/>
      <c r="F51" s="5"/>
      <c r="G51" s="5"/>
      <c r="H51" s="5"/>
      <c r="I51" s="5"/>
      <c r="J51" s="5"/>
      <c r="K51" s="5"/>
      <c r="L51" s="5"/>
      <c r="M51" s="6" t="str">
        <f t="shared" si="2"/>
        <v/>
      </c>
      <c r="N51" s="6" t="str">
        <f t="shared" si="3"/>
        <v/>
      </c>
    </row>
    <row r="52" spans="1:14">
      <c r="A52" s="13"/>
      <c r="B52" s="13"/>
      <c r="C52" s="13"/>
      <c r="D52" s="13"/>
      <c r="E52" s="13"/>
      <c r="F52" s="5"/>
      <c r="G52" s="5"/>
      <c r="H52" s="5"/>
      <c r="I52" s="5"/>
      <c r="J52" s="5"/>
      <c r="K52" s="5"/>
      <c r="L52" s="5"/>
      <c r="M52" s="6" t="str">
        <f t="shared" si="2"/>
        <v/>
      </c>
      <c r="N52" s="6" t="str">
        <f t="shared" si="3"/>
        <v/>
      </c>
    </row>
    <row r="53" spans="1:14">
      <c r="A53" s="13"/>
      <c r="B53" s="13"/>
      <c r="C53" s="13"/>
      <c r="D53" s="13"/>
      <c r="E53" s="13"/>
      <c r="F53" s="5"/>
      <c r="G53" s="5"/>
      <c r="H53" s="5"/>
      <c r="I53" s="5"/>
      <c r="J53" s="5"/>
      <c r="K53" s="5"/>
      <c r="L53" s="5"/>
      <c r="M53" s="6" t="str">
        <f t="shared" si="2"/>
        <v/>
      </c>
      <c r="N53" s="6" t="str">
        <f t="shared" si="3"/>
        <v/>
      </c>
    </row>
    <row r="54" spans="1:14">
      <c r="A54" s="13"/>
      <c r="B54" s="13"/>
      <c r="C54" s="13"/>
      <c r="D54" s="13"/>
      <c r="E54" s="13"/>
      <c r="F54" s="5"/>
      <c r="G54" s="5"/>
      <c r="H54" s="5"/>
      <c r="I54" s="5"/>
      <c r="J54" s="5"/>
      <c r="K54" s="5"/>
      <c r="L54" s="5"/>
      <c r="M54" s="6" t="str">
        <f t="shared" si="2"/>
        <v/>
      </c>
      <c r="N54" s="6" t="str">
        <f t="shared" si="3"/>
        <v/>
      </c>
    </row>
    <row r="55" spans="1:14">
      <c r="A55" s="13"/>
      <c r="B55" s="13"/>
      <c r="C55" s="13"/>
      <c r="D55" s="13"/>
      <c r="E55" s="13"/>
      <c r="F55" s="5"/>
      <c r="G55" s="5"/>
      <c r="H55" s="5"/>
      <c r="I55" s="5"/>
      <c r="J55" s="5"/>
      <c r="K55" s="5"/>
      <c r="L55" s="5"/>
      <c r="M55" s="6" t="str">
        <f t="shared" si="2"/>
        <v/>
      </c>
      <c r="N55" s="6" t="str">
        <f t="shared" si="3"/>
        <v/>
      </c>
    </row>
    <row r="56" spans="1:14">
      <c r="A56" s="13"/>
      <c r="B56" s="13"/>
      <c r="C56" s="13"/>
      <c r="D56" s="13"/>
      <c r="E56" s="13"/>
      <c r="F56" s="5"/>
      <c r="G56" s="5"/>
      <c r="H56" s="5"/>
      <c r="I56" s="5"/>
      <c r="J56" s="5"/>
      <c r="K56" s="5"/>
      <c r="L56" s="5"/>
      <c r="M56" s="6" t="str">
        <f t="shared" si="2"/>
        <v/>
      </c>
      <c r="N56" s="6" t="str">
        <f t="shared" si="3"/>
        <v/>
      </c>
    </row>
    <row r="57" spans="1:14">
      <c r="A57" s="13"/>
      <c r="B57" s="13"/>
      <c r="C57" s="13"/>
      <c r="D57" s="13"/>
      <c r="E57" s="13"/>
      <c r="F57" s="5"/>
      <c r="G57" s="5"/>
      <c r="H57" s="5"/>
      <c r="I57" s="5"/>
      <c r="J57" s="5"/>
      <c r="K57" s="5"/>
      <c r="L57" s="5"/>
      <c r="M57" s="6" t="str">
        <f t="shared" si="2"/>
        <v/>
      </c>
      <c r="N57" s="6" t="str">
        <f t="shared" si="3"/>
        <v/>
      </c>
    </row>
    <row r="58" spans="1:14">
      <c r="A58" s="13"/>
      <c r="B58" s="13"/>
      <c r="C58" s="13"/>
      <c r="D58" s="13"/>
      <c r="E58" s="13"/>
      <c r="F58" s="5"/>
      <c r="G58" s="5"/>
      <c r="H58" s="5"/>
      <c r="I58" s="5"/>
      <c r="J58" s="5"/>
      <c r="K58" s="5"/>
      <c r="L58" s="5"/>
      <c r="M58" s="6" t="str">
        <f t="shared" si="2"/>
        <v/>
      </c>
      <c r="N58" s="6" t="str">
        <f t="shared" si="3"/>
        <v/>
      </c>
    </row>
    <row r="59" spans="1:14">
      <c r="A59" s="13"/>
      <c r="B59" s="13"/>
      <c r="C59" s="13"/>
      <c r="D59" s="13"/>
      <c r="E59" s="13"/>
      <c r="F59" s="5"/>
      <c r="G59" s="5"/>
      <c r="H59" s="5"/>
      <c r="I59" s="5"/>
      <c r="J59" s="5"/>
      <c r="K59" s="5"/>
      <c r="L59" s="5"/>
      <c r="M59" s="6" t="str">
        <f t="shared" si="2"/>
        <v/>
      </c>
      <c r="N59" s="6" t="str">
        <f t="shared" si="3"/>
        <v/>
      </c>
    </row>
    <row r="60" spans="1:14">
      <c r="A60" s="13"/>
      <c r="B60" s="13"/>
      <c r="C60" s="13"/>
      <c r="D60" s="13"/>
      <c r="E60" s="13"/>
      <c r="F60" s="5"/>
      <c r="G60" s="5"/>
      <c r="H60" s="5"/>
      <c r="I60" s="5"/>
      <c r="J60" s="5"/>
      <c r="K60" s="5"/>
      <c r="L60" s="5"/>
      <c r="M60" s="6" t="str">
        <f t="shared" si="2"/>
        <v/>
      </c>
      <c r="N60" s="6" t="str">
        <f t="shared" si="3"/>
        <v/>
      </c>
    </row>
    <row r="61" spans="1:14">
      <c r="A61" s="13"/>
      <c r="B61" s="13"/>
      <c r="C61" s="13"/>
      <c r="D61" s="13"/>
      <c r="E61" s="13"/>
      <c r="F61" s="5"/>
      <c r="G61" s="5"/>
      <c r="H61" s="5"/>
      <c r="I61" s="5"/>
      <c r="J61" s="5"/>
      <c r="K61" s="5"/>
      <c r="L61" s="5"/>
      <c r="M61" s="6" t="str">
        <f t="shared" si="2"/>
        <v/>
      </c>
      <c r="N61" s="6" t="str">
        <f t="shared" si="3"/>
        <v/>
      </c>
    </row>
    <row r="62" spans="1:14">
      <c r="A62" s="13"/>
      <c r="B62" s="13"/>
      <c r="C62" s="13"/>
      <c r="D62" s="13"/>
      <c r="E62" s="13"/>
      <c r="F62" s="5"/>
      <c r="G62" s="5"/>
      <c r="H62" s="5"/>
      <c r="I62" s="5"/>
      <c r="J62" s="5"/>
      <c r="K62" s="5"/>
      <c r="L62" s="5"/>
      <c r="M62" s="6" t="str">
        <f t="shared" si="2"/>
        <v/>
      </c>
      <c r="N62" s="6" t="str">
        <f t="shared" si="3"/>
        <v/>
      </c>
    </row>
    <row r="63" spans="1:14">
      <c r="A63" s="13"/>
      <c r="B63" s="13"/>
      <c r="C63" s="13"/>
      <c r="D63" s="13"/>
      <c r="E63" s="13"/>
      <c r="F63" s="5"/>
      <c r="G63" s="5"/>
      <c r="H63" s="5"/>
      <c r="I63" s="5"/>
      <c r="J63" s="5"/>
      <c r="K63" s="5"/>
      <c r="L63" s="5"/>
      <c r="M63" s="6" t="str">
        <f t="shared" si="2"/>
        <v/>
      </c>
      <c r="N63" s="6" t="str">
        <f t="shared" si="3"/>
        <v/>
      </c>
    </row>
    <row r="64" spans="1:14">
      <c r="A64" s="13"/>
      <c r="B64" s="13"/>
      <c r="C64" s="13"/>
      <c r="D64" s="13"/>
      <c r="E64" s="13"/>
      <c r="F64" s="5"/>
      <c r="G64" s="5"/>
      <c r="H64" s="5"/>
      <c r="I64" s="5"/>
      <c r="J64" s="5"/>
      <c r="K64" s="5"/>
      <c r="L64" s="5"/>
      <c r="M64" s="6" t="str">
        <f t="shared" si="2"/>
        <v/>
      </c>
      <c r="N64" s="6" t="str">
        <f t="shared" si="3"/>
        <v/>
      </c>
    </row>
    <row r="65" spans="1:14">
      <c r="A65" s="13"/>
      <c r="B65" s="13"/>
      <c r="C65" s="13"/>
      <c r="D65" s="13"/>
      <c r="E65" s="13"/>
      <c r="F65" s="5"/>
      <c r="G65" s="5"/>
      <c r="H65" s="5"/>
      <c r="I65" s="5"/>
      <c r="J65" s="5"/>
      <c r="K65" s="5"/>
      <c r="L65" s="5"/>
      <c r="M65" s="6" t="str">
        <f t="shared" si="2"/>
        <v/>
      </c>
      <c r="N65" s="6" t="str">
        <f t="shared" si="3"/>
        <v/>
      </c>
    </row>
    <row r="66" spans="1:14">
      <c r="A66" s="13"/>
      <c r="B66" s="13"/>
      <c r="C66" s="13"/>
      <c r="D66" s="13"/>
      <c r="E66" s="13"/>
      <c r="F66" s="5"/>
      <c r="G66" s="5"/>
      <c r="H66" s="5"/>
      <c r="I66" s="5"/>
      <c r="J66" s="5"/>
      <c r="K66" s="5"/>
      <c r="L66" s="5"/>
      <c r="M66" s="6" t="str">
        <f t="shared" si="2"/>
        <v/>
      </c>
      <c r="N66" s="6" t="str">
        <f t="shared" si="3"/>
        <v/>
      </c>
    </row>
    <row r="67" spans="1:14">
      <c r="A67" s="13"/>
      <c r="B67" s="13"/>
      <c r="C67" s="13"/>
      <c r="D67" s="13"/>
      <c r="E67" s="13"/>
      <c r="F67" s="5"/>
      <c r="G67" s="5"/>
      <c r="H67" s="5"/>
      <c r="I67" s="5"/>
      <c r="J67" s="5"/>
      <c r="K67" s="5"/>
      <c r="L67" s="5"/>
      <c r="M67" s="6" t="str">
        <f t="shared" si="2"/>
        <v/>
      </c>
      <c r="N67" s="6" t="str">
        <f t="shared" si="3"/>
        <v/>
      </c>
    </row>
    <row r="68" spans="1:14">
      <c r="A68" s="13"/>
      <c r="B68" s="13"/>
      <c r="C68" s="13"/>
      <c r="D68" s="13"/>
      <c r="E68" s="13"/>
      <c r="F68" s="5"/>
      <c r="G68" s="5"/>
      <c r="H68" s="5"/>
      <c r="I68" s="5"/>
      <c r="J68" s="5"/>
      <c r="K68" s="5"/>
      <c r="L68" s="5"/>
      <c r="M68" s="6" t="str">
        <f t="shared" si="2"/>
        <v/>
      </c>
      <c r="N68" s="6" t="str">
        <f t="shared" si="3"/>
        <v/>
      </c>
    </row>
    <row r="69" spans="1:14">
      <c r="A69" s="13"/>
      <c r="B69" s="13"/>
      <c r="C69" s="13"/>
      <c r="D69" s="13"/>
      <c r="E69" s="13"/>
      <c r="F69" s="5"/>
      <c r="G69" s="5"/>
      <c r="H69" s="5"/>
      <c r="I69" s="5"/>
      <c r="J69" s="5"/>
      <c r="K69" s="5"/>
      <c r="L69" s="5"/>
      <c r="M69" s="6" t="str">
        <f t="shared" ref="M69:M100" si="4">IF(A69="","",IF(N69="","HỢP LỆ","CẦN SỬA"))</f>
        <v/>
      </c>
      <c r="N69" s="6" t="str">
        <f t="shared" ref="N69:N100" si="5">IF(A69="","",IF(B69="","Thiếu NodeId",IF(D69="","Thiếu NodeType",IF(COUNTIF($B$5:$B$204,B69)&gt;1,"NodeId bị trùng",IF(COUNTIF($A$5:$A$204,A69)&gt;1,"NodeOrder bị trùng",IF(AND(D69="scene",OR(C69="",F69="",G69="")),"scene cần ActNo, Background, SceneName",IF(AND(D69="say",OR(H69="",J69="")),"say cần SpeakerKey và Text",IF(AND(D69="choice",OR(E69="",H69="",I69="",J69="")),"choice cần ChoiceMode, SpeakerKey, Mood, Question",IF(AND(D69="act",K69=""),"act cần số La Mã",IF(AND(D69="end",COUNTIF($D$5:$D$204,"end")&lt;&gt;1),"Phải có đúng 1 node end",""))))))))))</f>
        <v/>
      </c>
    </row>
    <row r="70" spans="1:14">
      <c r="A70" s="13"/>
      <c r="B70" s="13"/>
      <c r="C70" s="13"/>
      <c r="D70" s="13"/>
      <c r="E70" s="13"/>
      <c r="F70" s="5"/>
      <c r="G70" s="5"/>
      <c r="H70" s="5"/>
      <c r="I70" s="5"/>
      <c r="J70" s="5"/>
      <c r="K70" s="5"/>
      <c r="L70" s="5"/>
      <c r="M70" s="6" t="str">
        <f t="shared" si="4"/>
        <v/>
      </c>
      <c r="N70" s="6" t="str">
        <f t="shared" si="5"/>
        <v/>
      </c>
    </row>
    <row r="71" spans="1:14">
      <c r="A71" s="13"/>
      <c r="B71" s="13"/>
      <c r="C71" s="13"/>
      <c r="D71" s="13"/>
      <c r="E71" s="13"/>
      <c r="F71" s="5"/>
      <c r="G71" s="5"/>
      <c r="H71" s="5"/>
      <c r="I71" s="5"/>
      <c r="J71" s="5"/>
      <c r="K71" s="5"/>
      <c r="L71" s="5"/>
      <c r="M71" s="6" t="str">
        <f t="shared" si="4"/>
        <v/>
      </c>
      <c r="N71" s="6" t="str">
        <f t="shared" si="5"/>
        <v/>
      </c>
    </row>
    <row r="72" spans="1:14">
      <c r="A72" s="13"/>
      <c r="B72" s="13"/>
      <c r="C72" s="13"/>
      <c r="D72" s="13"/>
      <c r="E72" s="13"/>
      <c r="F72" s="5"/>
      <c r="G72" s="5"/>
      <c r="H72" s="5"/>
      <c r="I72" s="5"/>
      <c r="J72" s="5"/>
      <c r="K72" s="5"/>
      <c r="L72" s="5"/>
      <c r="M72" s="6" t="str">
        <f t="shared" si="4"/>
        <v/>
      </c>
      <c r="N72" s="6" t="str">
        <f t="shared" si="5"/>
        <v/>
      </c>
    </row>
    <row r="73" spans="1:14">
      <c r="A73" s="13"/>
      <c r="B73" s="13"/>
      <c r="C73" s="13"/>
      <c r="D73" s="13"/>
      <c r="E73" s="13"/>
      <c r="F73" s="5"/>
      <c r="G73" s="5"/>
      <c r="H73" s="5"/>
      <c r="I73" s="5"/>
      <c r="J73" s="5"/>
      <c r="K73" s="5"/>
      <c r="L73" s="5"/>
      <c r="M73" s="6" t="str">
        <f t="shared" si="4"/>
        <v/>
      </c>
      <c r="N73" s="6" t="str">
        <f t="shared" si="5"/>
        <v/>
      </c>
    </row>
    <row r="74" spans="1:14">
      <c r="A74" s="13"/>
      <c r="B74" s="13"/>
      <c r="C74" s="13"/>
      <c r="D74" s="13"/>
      <c r="E74" s="13"/>
      <c r="F74" s="5"/>
      <c r="G74" s="5"/>
      <c r="H74" s="5"/>
      <c r="I74" s="5"/>
      <c r="J74" s="5"/>
      <c r="K74" s="5"/>
      <c r="L74" s="5"/>
      <c r="M74" s="6" t="str">
        <f t="shared" si="4"/>
        <v/>
      </c>
      <c r="N74" s="6" t="str">
        <f t="shared" si="5"/>
        <v/>
      </c>
    </row>
    <row r="75" spans="1:14">
      <c r="A75" s="13"/>
      <c r="B75" s="13"/>
      <c r="C75" s="13"/>
      <c r="D75" s="13"/>
      <c r="E75" s="13"/>
      <c r="F75" s="5"/>
      <c r="G75" s="5"/>
      <c r="H75" s="5"/>
      <c r="I75" s="5"/>
      <c r="J75" s="5"/>
      <c r="K75" s="5"/>
      <c r="L75" s="5"/>
      <c r="M75" s="6" t="str">
        <f t="shared" si="4"/>
        <v/>
      </c>
      <c r="N75" s="6" t="str">
        <f t="shared" si="5"/>
        <v/>
      </c>
    </row>
    <row r="76" spans="1:14">
      <c r="A76" s="13"/>
      <c r="B76" s="13"/>
      <c r="C76" s="13"/>
      <c r="D76" s="13"/>
      <c r="E76" s="13"/>
      <c r="F76" s="5"/>
      <c r="G76" s="5"/>
      <c r="H76" s="5"/>
      <c r="I76" s="5"/>
      <c r="J76" s="5"/>
      <c r="K76" s="5"/>
      <c r="L76" s="5"/>
      <c r="M76" s="6" t="str">
        <f t="shared" si="4"/>
        <v/>
      </c>
      <c r="N76" s="6" t="str">
        <f t="shared" si="5"/>
        <v/>
      </c>
    </row>
    <row r="77" spans="1:14">
      <c r="A77" s="13"/>
      <c r="B77" s="13"/>
      <c r="C77" s="13"/>
      <c r="D77" s="13"/>
      <c r="E77" s="13"/>
      <c r="F77" s="5"/>
      <c r="G77" s="5"/>
      <c r="H77" s="5"/>
      <c r="I77" s="5"/>
      <c r="J77" s="5"/>
      <c r="K77" s="5"/>
      <c r="L77" s="5"/>
      <c r="M77" s="6" t="str">
        <f t="shared" si="4"/>
        <v/>
      </c>
      <c r="N77" s="6" t="str">
        <f t="shared" si="5"/>
        <v/>
      </c>
    </row>
    <row r="78" spans="1:14">
      <c r="A78" s="13"/>
      <c r="B78" s="13"/>
      <c r="C78" s="13"/>
      <c r="D78" s="13"/>
      <c r="E78" s="13"/>
      <c r="F78" s="5"/>
      <c r="G78" s="5"/>
      <c r="H78" s="5"/>
      <c r="I78" s="5"/>
      <c r="J78" s="5"/>
      <c r="K78" s="5"/>
      <c r="L78" s="5"/>
      <c r="M78" s="6" t="str">
        <f t="shared" si="4"/>
        <v/>
      </c>
      <c r="N78" s="6" t="str">
        <f t="shared" si="5"/>
        <v/>
      </c>
    </row>
    <row r="79" spans="1:14">
      <c r="A79" s="13"/>
      <c r="B79" s="13"/>
      <c r="C79" s="13"/>
      <c r="D79" s="13"/>
      <c r="E79" s="13"/>
      <c r="F79" s="5"/>
      <c r="G79" s="5"/>
      <c r="H79" s="5"/>
      <c r="I79" s="5"/>
      <c r="J79" s="5"/>
      <c r="K79" s="5"/>
      <c r="L79" s="5"/>
      <c r="M79" s="6" t="str">
        <f t="shared" si="4"/>
        <v/>
      </c>
      <c r="N79" s="6" t="str">
        <f t="shared" si="5"/>
        <v/>
      </c>
    </row>
    <row r="80" spans="1:14">
      <c r="A80" s="13"/>
      <c r="B80" s="13"/>
      <c r="C80" s="13"/>
      <c r="D80" s="13"/>
      <c r="E80" s="13"/>
      <c r="F80" s="5"/>
      <c r="G80" s="5"/>
      <c r="H80" s="5"/>
      <c r="I80" s="5"/>
      <c r="J80" s="5"/>
      <c r="K80" s="5"/>
      <c r="L80" s="5"/>
      <c r="M80" s="6" t="str">
        <f t="shared" si="4"/>
        <v/>
      </c>
      <c r="N80" s="6" t="str">
        <f t="shared" si="5"/>
        <v/>
      </c>
    </row>
    <row r="81" spans="1:14">
      <c r="A81" s="13"/>
      <c r="B81" s="13"/>
      <c r="C81" s="13"/>
      <c r="D81" s="13"/>
      <c r="E81" s="13"/>
      <c r="F81" s="5"/>
      <c r="G81" s="5"/>
      <c r="H81" s="5"/>
      <c r="I81" s="5"/>
      <c r="J81" s="5"/>
      <c r="K81" s="5"/>
      <c r="L81" s="5"/>
      <c r="M81" s="6" t="str">
        <f t="shared" si="4"/>
        <v/>
      </c>
      <c r="N81" s="6" t="str">
        <f t="shared" si="5"/>
        <v/>
      </c>
    </row>
    <row r="82" spans="1:14">
      <c r="A82" s="13"/>
      <c r="B82" s="13"/>
      <c r="C82" s="13"/>
      <c r="D82" s="13"/>
      <c r="E82" s="13"/>
      <c r="F82" s="5"/>
      <c r="G82" s="5"/>
      <c r="H82" s="5"/>
      <c r="I82" s="5"/>
      <c r="J82" s="5"/>
      <c r="K82" s="5"/>
      <c r="L82" s="5"/>
      <c r="M82" s="6" t="str">
        <f t="shared" si="4"/>
        <v/>
      </c>
      <c r="N82" s="6" t="str">
        <f t="shared" si="5"/>
        <v/>
      </c>
    </row>
    <row r="83" spans="1:14">
      <c r="A83" s="13"/>
      <c r="B83" s="13"/>
      <c r="C83" s="13"/>
      <c r="D83" s="13"/>
      <c r="E83" s="13"/>
      <c r="F83" s="5"/>
      <c r="G83" s="5"/>
      <c r="H83" s="5"/>
      <c r="I83" s="5"/>
      <c r="J83" s="5"/>
      <c r="K83" s="5"/>
      <c r="L83" s="5"/>
      <c r="M83" s="6" t="str">
        <f t="shared" si="4"/>
        <v/>
      </c>
      <c r="N83" s="6" t="str">
        <f t="shared" si="5"/>
        <v/>
      </c>
    </row>
    <row r="84" spans="1:14">
      <c r="A84" s="13"/>
      <c r="B84" s="13"/>
      <c r="C84" s="13"/>
      <c r="D84" s="13"/>
      <c r="E84" s="13"/>
      <c r="F84" s="5"/>
      <c r="G84" s="5"/>
      <c r="H84" s="5"/>
      <c r="I84" s="5"/>
      <c r="J84" s="5"/>
      <c r="K84" s="5"/>
      <c r="L84" s="5"/>
      <c r="M84" s="6" t="str">
        <f t="shared" si="4"/>
        <v/>
      </c>
      <c r="N84" s="6" t="str">
        <f t="shared" si="5"/>
        <v/>
      </c>
    </row>
    <row r="85" spans="1:14">
      <c r="A85" s="13"/>
      <c r="B85" s="13"/>
      <c r="C85" s="13"/>
      <c r="D85" s="13"/>
      <c r="E85" s="13"/>
      <c r="F85" s="5"/>
      <c r="G85" s="5"/>
      <c r="H85" s="5"/>
      <c r="I85" s="5"/>
      <c r="J85" s="5"/>
      <c r="K85" s="5"/>
      <c r="L85" s="5"/>
      <c r="M85" s="6" t="str">
        <f t="shared" si="4"/>
        <v/>
      </c>
      <c r="N85" s="6" t="str">
        <f t="shared" si="5"/>
        <v/>
      </c>
    </row>
    <row r="86" spans="1:14">
      <c r="A86" s="13"/>
      <c r="B86" s="13"/>
      <c r="C86" s="13"/>
      <c r="D86" s="13"/>
      <c r="E86" s="13"/>
      <c r="F86" s="5"/>
      <c r="G86" s="5"/>
      <c r="H86" s="5"/>
      <c r="I86" s="5"/>
      <c r="J86" s="5"/>
      <c r="K86" s="5"/>
      <c r="L86" s="5"/>
      <c r="M86" s="6" t="str">
        <f t="shared" si="4"/>
        <v/>
      </c>
      <c r="N86" s="6" t="str">
        <f t="shared" si="5"/>
        <v/>
      </c>
    </row>
    <row r="87" spans="1:14">
      <c r="A87" s="13"/>
      <c r="B87" s="13"/>
      <c r="C87" s="13"/>
      <c r="D87" s="13"/>
      <c r="E87" s="13"/>
      <c r="F87" s="5"/>
      <c r="G87" s="5"/>
      <c r="H87" s="5"/>
      <c r="I87" s="5"/>
      <c r="J87" s="5"/>
      <c r="K87" s="5"/>
      <c r="L87" s="5"/>
      <c r="M87" s="6" t="str">
        <f t="shared" si="4"/>
        <v/>
      </c>
      <c r="N87" s="6" t="str">
        <f t="shared" si="5"/>
        <v/>
      </c>
    </row>
    <row r="88" spans="1:14">
      <c r="A88" s="13"/>
      <c r="B88" s="13"/>
      <c r="C88" s="13"/>
      <c r="D88" s="13"/>
      <c r="E88" s="13"/>
      <c r="F88" s="5"/>
      <c r="G88" s="5"/>
      <c r="H88" s="5"/>
      <c r="I88" s="5"/>
      <c r="J88" s="5"/>
      <c r="K88" s="5"/>
      <c r="L88" s="5"/>
      <c r="M88" s="6" t="str">
        <f t="shared" si="4"/>
        <v/>
      </c>
      <c r="N88" s="6" t="str">
        <f t="shared" si="5"/>
        <v/>
      </c>
    </row>
    <row r="89" spans="1:14">
      <c r="A89" s="13"/>
      <c r="B89" s="13"/>
      <c r="C89" s="13"/>
      <c r="D89" s="13"/>
      <c r="E89" s="13"/>
      <c r="F89" s="5"/>
      <c r="G89" s="5"/>
      <c r="H89" s="5"/>
      <c r="I89" s="5"/>
      <c r="J89" s="5"/>
      <c r="K89" s="5"/>
      <c r="L89" s="5"/>
      <c r="M89" s="6" t="str">
        <f t="shared" si="4"/>
        <v/>
      </c>
      <c r="N89" s="6" t="str">
        <f t="shared" si="5"/>
        <v/>
      </c>
    </row>
    <row r="90" spans="1:14">
      <c r="A90" s="13"/>
      <c r="B90" s="13"/>
      <c r="C90" s="13"/>
      <c r="D90" s="13"/>
      <c r="E90" s="13"/>
      <c r="F90" s="5"/>
      <c r="G90" s="5"/>
      <c r="H90" s="5"/>
      <c r="I90" s="5"/>
      <c r="J90" s="5"/>
      <c r="K90" s="5"/>
      <c r="L90" s="5"/>
      <c r="M90" s="6" t="str">
        <f t="shared" si="4"/>
        <v/>
      </c>
      <c r="N90" s="6" t="str">
        <f t="shared" si="5"/>
        <v/>
      </c>
    </row>
    <row r="91" spans="1:14">
      <c r="A91" s="13"/>
      <c r="B91" s="13"/>
      <c r="C91" s="13"/>
      <c r="D91" s="13"/>
      <c r="E91" s="13"/>
      <c r="F91" s="5"/>
      <c r="G91" s="5"/>
      <c r="H91" s="5"/>
      <c r="I91" s="5"/>
      <c r="J91" s="5"/>
      <c r="K91" s="5"/>
      <c r="L91" s="5"/>
      <c r="M91" s="6" t="str">
        <f t="shared" si="4"/>
        <v/>
      </c>
      <c r="N91" s="6" t="str">
        <f t="shared" si="5"/>
        <v/>
      </c>
    </row>
    <row r="92" spans="1:14">
      <c r="A92" s="13"/>
      <c r="B92" s="13"/>
      <c r="C92" s="13"/>
      <c r="D92" s="13"/>
      <c r="E92" s="13"/>
      <c r="F92" s="5"/>
      <c r="G92" s="5"/>
      <c r="H92" s="5"/>
      <c r="I92" s="5"/>
      <c r="J92" s="5"/>
      <c r="K92" s="5"/>
      <c r="L92" s="5"/>
      <c r="M92" s="6" t="str">
        <f t="shared" si="4"/>
        <v/>
      </c>
      <c r="N92" s="6" t="str">
        <f t="shared" si="5"/>
        <v/>
      </c>
    </row>
    <row r="93" spans="1:14">
      <c r="A93" s="13"/>
      <c r="B93" s="13"/>
      <c r="C93" s="13"/>
      <c r="D93" s="13"/>
      <c r="E93" s="13"/>
      <c r="F93" s="5"/>
      <c r="G93" s="5"/>
      <c r="H93" s="5"/>
      <c r="I93" s="5"/>
      <c r="J93" s="5"/>
      <c r="K93" s="5"/>
      <c r="L93" s="5"/>
      <c r="M93" s="6" t="str">
        <f t="shared" si="4"/>
        <v/>
      </c>
      <c r="N93" s="6" t="str">
        <f t="shared" si="5"/>
        <v/>
      </c>
    </row>
    <row r="94" spans="1:14">
      <c r="A94" s="13"/>
      <c r="B94" s="13"/>
      <c r="C94" s="13"/>
      <c r="D94" s="13"/>
      <c r="E94" s="13"/>
      <c r="F94" s="5"/>
      <c r="G94" s="5"/>
      <c r="H94" s="5"/>
      <c r="I94" s="5"/>
      <c r="J94" s="5"/>
      <c r="K94" s="5"/>
      <c r="L94" s="5"/>
      <c r="M94" s="6" t="str">
        <f t="shared" si="4"/>
        <v/>
      </c>
      <c r="N94" s="6" t="str">
        <f t="shared" si="5"/>
        <v/>
      </c>
    </row>
    <row r="95" spans="1:14">
      <c r="A95" s="13"/>
      <c r="B95" s="13"/>
      <c r="C95" s="13"/>
      <c r="D95" s="13"/>
      <c r="E95" s="13"/>
      <c r="F95" s="5"/>
      <c r="G95" s="5"/>
      <c r="H95" s="5"/>
      <c r="I95" s="5"/>
      <c r="J95" s="5"/>
      <c r="K95" s="5"/>
      <c r="L95" s="5"/>
      <c r="M95" s="6" t="str">
        <f t="shared" si="4"/>
        <v/>
      </c>
      <c r="N95" s="6" t="str">
        <f t="shared" si="5"/>
        <v/>
      </c>
    </row>
    <row r="96" spans="1:14">
      <c r="A96" s="13"/>
      <c r="B96" s="13"/>
      <c r="C96" s="13"/>
      <c r="D96" s="13"/>
      <c r="E96" s="13"/>
      <c r="F96" s="5"/>
      <c r="G96" s="5"/>
      <c r="H96" s="5"/>
      <c r="I96" s="5"/>
      <c r="J96" s="5"/>
      <c r="K96" s="5"/>
      <c r="L96" s="5"/>
      <c r="M96" s="6" t="str">
        <f t="shared" si="4"/>
        <v/>
      </c>
      <c r="N96" s="6" t="str">
        <f t="shared" si="5"/>
        <v/>
      </c>
    </row>
    <row r="97" spans="1:14">
      <c r="A97" s="13"/>
      <c r="B97" s="13"/>
      <c r="C97" s="13"/>
      <c r="D97" s="13"/>
      <c r="E97" s="13"/>
      <c r="F97" s="5"/>
      <c r="G97" s="5"/>
      <c r="H97" s="5"/>
      <c r="I97" s="5"/>
      <c r="J97" s="5"/>
      <c r="K97" s="5"/>
      <c r="L97" s="5"/>
      <c r="M97" s="6" t="str">
        <f t="shared" si="4"/>
        <v/>
      </c>
      <c r="N97" s="6" t="str">
        <f t="shared" si="5"/>
        <v/>
      </c>
    </row>
    <row r="98" spans="1:14">
      <c r="A98" s="13"/>
      <c r="B98" s="13"/>
      <c r="C98" s="13"/>
      <c r="D98" s="13"/>
      <c r="E98" s="13"/>
      <c r="F98" s="5"/>
      <c r="G98" s="5"/>
      <c r="H98" s="5"/>
      <c r="I98" s="5"/>
      <c r="J98" s="5"/>
      <c r="K98" s="5"/>
      <c r="L98" s="5"/>
      <c r="M98" s="6" t="str">
        <f t="shared" si="4"/>
        <v/>
      </c>
      <c r="N98" s="6" t="str">
        <f t="shared" si="5"/>
        <v/>
      </c>
    </row>
    <row r="99" spans="1:14">
      <c r="A99" s="13"/>
      <c r="B99" s="13"/>
      <c r="C99" s="13"/>
      <c r="D99" s="13"/>
      <c r="E99" s="13"/>
      <c r="F99" s="5"/>
      <c r="G99" s="5"/>
      <c r="H99" s="5"/>
      <c r="I99" s="5"/>
      <c r="J99" s="5"/>
      <c r="K99" s="5"/>
      <c r="L99" s="5"/>
      <c r="M99" s="6" t="str">
        <f t="shared" si="4"/>
        <v/>
      </c>
      <c r="N99" s="6" t="str">
        <f t="shared" si="5"/>
        <v/>
      </c>
    </row>
    <row r="100" spans="1:14">
      <c r="A100" s="13"/>
      <c r="B100" s="13"/>
      <c r="C100" s="13"/>
      <c r="D100" s="13"/>
      <c r="E100" s="13"/>
      <c r="F100" s="5"/>
      <c r="G100" s="5"/>
      <c r="H100" s="5"/>
      <c r="I100" s="5"/>
      <c r="J100" s="5"/>
      <c r="K100" s="5"/>
      <c r="L100" s="5"/>
      <c r="M100" s="6" t="str">
        <f t="shared" si="4"/>
        <v/>
      </c>
      <c r="N100" s="6" t="str">
        <f t="shared" si="5"/>
        <v/>
      </c>
    </row>
    <row r="101" spans="1:14">
      <c r="A101" s="13"/>
      <c r="B101" s="13"/>
      <c r="C101" s="13"/>
      <c r="D101" s="13"/>
      <c r="E101" s="13"/>
      <c r="F101" s="5"/>
      <c r="G101" s="5"/>
      <c r="H101" s="5"/>
      <c r="I101" s="5"/>
      <c r="J101" s="5"/>
      <c r="K101" s="5"/>
      <c r="L101" s="5"/>
      <c r="M101" s="6" t="str">
        <f t="shared" ref="M101:M132" si="6">IF(A101="","",IF(N101="","HỢP LỆ","CẦN SỬA"))</f>
        <v/>
      </c>
      <c r="N101" s="6" t="str">
        <f t="shared" ref="N101:N132" si="7">IF(A101="","",IF(B101="","Thiếu NodeId",IF(D101="","Thiếu NodeType",IF(COUNTIF($B$5:$B$204,B101)&gt;1,"NodeId bị trùng",IF(COUNTIF($A$5:$A$204,A101)&gt;1,"NodeOrder bị trùng",IF(AND(D101="scene",OR(C101="",F101="",G101="")),"scene cần ActNo, Background, SceneName",IF(AND(D101="say",OR(H101="",J101="")),"say cần SpeakerKey và Text",IF(AND(D101="choice",OR(E101="",H101="",I101="",J101="")),"choice cần ChoiceMode, SpeakerKey, Mood, Question",IF(AND(D101="act",K101=""),"act cần số La Mã",IF(AND(D101="end",COUNTIF($D$5:$D$204,"end")&lt;&gt;1),"Phải có đúng 1 node end",""))))))))))</f>
        <v/>
      </c>
    </row>
    <row r="102" spans="1:14">
      <c r="A102" s="13"/>
      <c r="B102" s="13"/>
      <c r="C102" s="13"/>
      <c r="D102" s="13"/>
      <c r="E102" s="13"/>
      <c r="F102" s="5"/>
      <c r="G102" s="5"/>
      <c r="H102" s="5"/>
      <c r="I102" s="5"/>
      <c r="J102" s="5"/>
      <c r="K102" s="5"/>
      <c r="L102" s="5"/>
      <c r="M102" s="6" t="str">
        <f t="shared" si="6"/>
        <v/>
      </c>
      <c r="N102" s="6" t="str">
        <f t="shared" si="7"/>
        <v/>
      </c>
    </row>
    <row r="103" spans="1:14">
      <c r="A103" s="13"/>
      <c r="B103" s="13"/>
      <c r="C103" s="13"/>
      <c r="D103" s="13"/>
      <c r="E103" s="13"/>
      <c r="F103" s="5"/>
      <c r="G103" s="5"/>
      <c r="H103" s="5"/>
      <c r="I103" s="5"/>
      <c r="J103" s="5"/>
      <c r="K103" s="5"/>
      <c r="L103" s="5"/>
      <c r="M103" s="6" t="str">
        <f t="shared" si="6"/>
        <v/>
      </c>
      <c r="N103" s="6" t="str">
        <f t="shared" si="7"/>
        <v/>
      </c>
    </row>
    <row r="104" spans="1:14">
      <c r="A104" s="13"/>
      <c r="B104" s="13"/>
      <c r="C104" s="13"/>
      <c r="D104" s="13"/>
      <c r="E104" s="13"/>
      <c r="F104" s="5"/>
      <c r="G104" s="5"/>
      <c r="H104" s="5"/>
      <c r="I104" s="5"/>
      <c r="J104" s="5"/>
      <c r="K104" s="5"/>
      <c r="L104" s="5"/>
      <c r="M104" s="6" t="str">
        <f t="shared" si="6"/>
        <v/>
      </c>
      <c r="N104" s="6" t="str">
        <f t="shared" si="7"/>
        <v/>
      </c>
    </row>
    <row r="105" spans="1:14">
      <c r="A105" s="13"/>
      <c r="B105" s="13"/>
      <c r="C105" s="13"/>
      <c r="D105" s="13"/>
      <c r="E105" s="13"/>
      <c r="F105" s="5"/>
      <c r="G105" s="5"/>
      <c r="H105" s="5"/>
      <c r="I105" s="5"/>
      <c r="J105" s="5"/>
      <c r="K105" s="5"/>
      <c r="L105" s="5"/>
      <c r="M105" s="6" t="str">
        <f t="shared" si="6"/>
        <v/>
      </c>
      <c r="N105" s="6" t="str">
        <f t="shared" si="7"/>
        <v/>
      </c>
    </row>
    <row r="106" spans="1:14">
      <c r="A106" s="13"/>
      <c r="B106" s="13"/>
      <c r="C106" s="13"/>
      <c r="D106" s="13"/>
      <c r="E106" s="13"/>
      <c r="F106" s="5"/>
      <c r="G106" s="5"/>
      <c r="H106" s="5"/>
      <c r="I106" s="5"/>
      <c r="J106" s="5"/>
      <c r="K106" s="5"/>
      <c r="L106" s="5"/>
      <c r="M106" s="6" t="str">
        <f t="shared" si="6"/>
        <v/>
      </c>
      <c r="N106" s="6" t="str">
        <f t="shared" si="7"/>
        <v/>
      </c>
    </row>
    <row r="107" spans="1:14">
      <c r="A107" s="13"/>
      <c r="B107" s="13"/>
      <c r="C107" s="13"/>
      <c r="D107" s="13"/>
      <c r="E107" s="13"/>
      <c r="F107" s="5"/>
      <c r="G107" s="5"/>
      <c r="H107" s="5"/>
      <c r="I107" s="5"/>
      <c r="J107" s="5"/>
      <c r="K107" s="5"/>
      <c r="L107" s="5"/>
      <c r="M107" s="6" t="str">
        <f t="shared" si="6"/>
        <v/>
      </c>
      <c r="N107" s="6" t="str">
        <f t="shared" si="7"/>
        <v/>
      </c>
    </row>
    <row r="108" spans="1:14">
      <c r="A108" s="13"/>
      <c r="B108" s="13"/>
      <c r="C108" s="13"/>
      <c r="D108" s="13"/>
      <c r="E108" s="13"/>
      <c r="F108" s="5"/>
      <c r="G108" s="5"/>
      <c r="H108" s="5"/>
      <c r="I108" s="5"/>
      <c r="J108" s="5"/>
      <c r="K108" s="5"/>
      <c r="L108" s="5"/>
      <c r="M108" s="6" t="str">
        <f t="shared" si="6"/>
        <v/>
      </c>
      <c r="N108" s="6" t="str">
        <f t="shared" si="7"/>
        <v/>
      </c>
    </row>
    <row r="109" spans="1:14">
      <c r="A109" s="13"/>
      <c r="B109" s="13"/>
      <c r="C109" s="13"/>
      <c r="D109" s="13"/>
      <c r="E109" s="13"/>
      <c r="F109" s="5"/>
      <c r="G109" s="5"/>
      <c r="H109" s="5"/>
      <c r="I109" s="5"/>
      <c r="J109" s="5"/>
      <c r="K109" s="5"/>
      <c r="L109" s="5"/>
      <c r="M109" s="6" t="str">
        <f t="shared" si="6"/>
        <v/>
      </c>
      <c r="N109" s="6" t="str">
        <f t="shared" si="7"/>
        <v/>
      </c>
    </row>
    <row r="110" spans="1:14">
      <c r="A110" s="13"/>
      <c r="B110" s="13"/>
      <c r="C110" s="13"/>
      <c r="D110" s="13"/>
      <c r="E110" s="13"/>
      <c r="F110" s="5"/>
      <c r="G110" s="5"/>
      <c r="H110" s="5"/>
      <c r="I110" s="5"/>
      <c r="J110" s="5"/>
      <c r="K110" s="5"/>
      <c r="L110" s="5"/>
      <c r="M110" s="6" t="str">
        <f t="shared" si="6"/>
        <v/>
      </c>
      <c r="N110" s="6" t="str">
        <f t="shared" si="7"/>
        <v/>
      </c>
    </row>
    <row r="111" spans="1:14">
      <c r="A111" s="13"/>
      <c r="B111" s="13"/>
      <c r="C111" s="13"/>
      <c r="D111" s="13"/>
      <c r="E111" s="13"/>
      <c r="F111" s="5"/>
      <c r="G111" s="5"/>
      <c r="H111" s="5"/>
      <c r="I111" s="5"/>
      <c r="J111" s="5"/>
      <c r="K111" s="5"/>
      <c r="L111" s="5"/>
      <c r="M111" s="6" t="str">
        <f t="shared" si="6"/>
        <v/>
      </c>
      <c r="N111" s="6" t="str">
        <f t="shared" si="7"/>
        <v/>
      </c>
    </row>
    <row r="112" spans="1:14">
      <c r="A112" s="13"/>
      <c r="B112" s="13"/>
      <c r="C112" s="13"/>
      <c r="D112" s="13"/>
      <c r="E112" s="13"/>
      <c r="F112" s="5"/>
      <c r="G112" s="5"/>
      <c r="H112" s="5"/>
      <c r="I112" s="5"/>
      <c r="J112" s="5"/>
      <c r="K112" s="5"/>
      <c r="L112" s="5"/>
      <c r="M112" s="6" t="str">
        <f t="shared" si="6"/>
        <v/>
      </c>
      <c r="N112" s="6" t="str">
        <f t="shared" si="7"/>
        <v/>
      </c>
    </row>
    <row r="113" spans="1:14">
      <c r="A113" s="13"/>
      <c r="B113" s="13"/>
      <c r="C113" s="13"/>
      <c r="D113" s="13"/>
      <c r="E113" s="13"/>
      <c r="F113" s="5"/>
      <c r="G113" s="5"/>
      <c r="H113" s="5"/>
      <c r="I113" s="5"/>
      <c r="J113" s="5"/>
      <c r="K113" s="5"/>
      <c r="L113" s="5"/>
      <c r="M113" s="6" t="str">
        <f t="shared" si="6"/>
        <v/>
      </c>
      <c r="N113" s="6" t="str">
        <f t="shared" si="7"/>
        <v/>
      </c>
    </row>
    <row r="114" spans="1:14">
      <c r="A114" s="13"/>
      <c r="B114" s="13"/>
      <c r="C114" s="13"/>
      <c r="D114" s="13"/>
      <c r="E114" s="13"/>
      <c r="F114" s="5"/>
      <c r="G114" s="5"/>
      <c r="H114" s="5"/>
      <c r="I114" s="5"/>
      <c r="J114" s="5"/>
      <c r="K114" s="5"/>
      <c r="L114" s="5"/>
      <c r="M114" s="6" t="str">
        <f t="shared" si="6"/>
        <v/>
      </c>
      <c r="N114" s="6" t="str">
        <f t="shared" si="7"/>
        <v/>
      </c>
    </row>
    <row r="115" spans="1:14">
      <c r="A115" s="13"/>
      <c r="B115" s="13"/>
      <c r="C115" s="13"/>
      <c r="D115" s="13"/>
      <c r="E115" s="13"/>
      <c r="F115" s="5"/>
      <c r="G115" s="5"/>
      <c r="H115" s="5"/>
      <c r="I115" s="5"/>
      <c r="J115" s="5"/>
      <c r="K115" s="5"/>
      <c r="L115" s="5"/>
      <c r="M115" s="6" t="str">
        <f t="shared" si="6"/>
        <v/>
      </c>
      <c r="N115" s="6" t="str">
        <f t="shared" si="7"/>
        <v/>
      </c>
    </row>
    <row r="116" spans="1:14">
      <c r="A116" s="13"/>
      <c r="B116" s="13"/>
      <c r="C116" s="13"/>
      <c r="D116" s="13"/>
      <c r="E116" s="13"/>
      <c r="F116" s="5"/>
      <c r="G116" s="5"/>
      <c r="H116" s="5"/>
      <c r="I116" s="5"/>
      <c r="J116" s="5"/>
      <c r="K116" s="5"/>
      <c r="L116" s="5"/>
      <c r="M116" s="6" t="str">
        <f t="shared" si="6"/>
        <v/>
      </c>
      <c r="N116" s="6" t="str">
        <f t="shared" si="7"/>
        <v/>
      </c>
    </row>
    <row r="117" spans="1:14">
      <c r="A117" s="13"/>
      <c r="B117" s="13"/>
      <c r="C117" s="13"/>
      <c r="D117" s="13"/>
      <c r="E117" s="13"/>
      <c r="F117" s="5"/>
      <c r="G117" s="5"/>
      <c r="H117" s="5"/>
      <c r="I117" s="5"/>
      <c r="J117" s="5"/>
      <c r="K117" s="5"/>
      <c r="L117" s="5"/>
      <c r="M117" s="6" t="str">
        <f t="shared" si="6"/>
        <v/>
      </c>
      <c r="N117" s="6" t="str">
        <f t="shared" si="7"/>
        <v/>
      </c>
    </row>
    <row r="118" spans="1:14">
      <c r="A118" s="13"/>
      <c r="B118" s="13"/>
      <c r="C118" s="13"/>
      <c r="D118" s="13"/>
      <c r="E118" s="13"/>
      <c r="F118" s="5"/>
      <c r="G118" s="5"/>
      <c r="H118" s="5"/>
      <c r="I118" s="5"/>
      <c r="J118" s="5"/>
      <c r="K118" s="5"/>
      <c r="L118" s="5"/>
      <c r="M118" s="6" t="str">
        <f t="shared" si="6"/>
        <v/>
      </c>
      <c r="N118" s="6" t="str">
        <f t="shared" si="7"/>
        <v/>
      </c>
    </row>
    <row r="119" spans="1:14">
      <c r="A119" s="13"/>
      <c r="B119" s="13"/>
      <c r="C119" s="13"/>
      <c r="D119" s="13"/>
      <c r="E119" s="13"/>
      <c r="F119" s="5"/>
      <c r="G119" s="5"/>
      <c r="H119" s="5"/>
      <c r="I119" s="5"/>
      <c r="J119" s="5"/>
      <c r="K119" s="5"/>
      <c r="L119" s="5"/>
      <c r="M119" s="6" t="str">
        <f t="shared" si="6"/>
        <v/>
      </c>
      <c r="N119" s="6" t="str">
        <f t="shared" si="7"/>
        <v/>
      </c>
    </row>
    <row r="120" spans="1:14">
      <c r="A120" s="13"/>
      <c r="B120" s="13"/>
      <c r="C120" s="13"/>
      <c r="D120" s="13"/>
      <c r="E120" s="13"/>
      <c r="F120" s="5"/>
      <c r="G120" s="5"/>
      <c r="H120" s="5"/>
      <c r="I120" s="5"/>
      <c r="J120" s="5"/>
      <c r="K120" s="5"/>
      <c r="L120" s="5"/>
      <c r="M120" s="6" t="str">
        <f t="shared" si="6"/>
        <v/>
      </c>
      <c r="N120" s="6" t="str">
        <f t="shared" si="7"/>
        <v/>
      </c>
    </row>
    <row r="121" spans="1:14">
      <c r="A121" s="13"/>
      <c r="B121" s="13"/>
      <c r="C121" s="13"/>
      <c r="D121" s="13"/>
      <c r="E121" s="13"/>
      <c r="F121" s="5"/>
      <c r="G121" s="5"/>
      <c r="H121" s="5"/>
      <c r="I121" s="5"/>
      <c r="J121" s="5"/>
      <c r="K121" s="5"/>
      <c r="L121" s="5"/>
      <c r="M121" s="6" t="str">
        <f t="shared" si="6"/>
        <v/>
      </c>
      <c r="N121" s="6" t="str">
        <f t="shared" si="7"/>
        <v/>
      </c>
    </row>
    <row r="122" spans="1:14">
      <c r="A122" s="13"/>
      <c r="B122" s="13"/>
      <c r="C122" s="13"/>
      <c r="D122" s="13"/>
      <c r="E122" s="13"/>
      <c r="F122" s="5"/>
      <c r="G122" s="5"/>
      <c r="H122" s="5"/>
      <c r="I122" s="5"/>
      <c r="J122" s="5"/>
      <c r="K122" s="5"/>
      <c r="L122" s="5"/>
      <c r="M122" s="6" t="str">
        <f t="shared" si="6"/>
        <v/>
      </c>
      <c r="N122" s="6" t="str">
        <f t="shared" si="7"/>
        <v/>
      </c>
    </row>
    <row r="123" spans="1:14">
      <c r="A123" s="13"/>
      <c r="B123" s="13"/>
      <c r="C123" s="13"/>
      <c r="D123" s="13"/>
      <c r="E123" s="13"/>
      <c r="F123" s="5"/>
      <c r="G123" s="5"/>
      <c r="H123" s="5"/>
      <c r="I123" s="5"/>
      <c r="J123" s="5"/>
      <c r="K123" s="5"/>
      <c r="L123" s="5"/>
      <c r="M123" s="6" t="str">
        <f t="shared" si="6"/>
        <v/>
      </c>
      <c r="N123" s="6" t="str">
        <f t="shared" si="7"/>
        <v/>
      </c>
    </row>
    <row r="124" spans="1:14">
      <c r="A124" s="13"/>
      <c r="B124" s="13"/>
      <c r="C124" s="13"/>
      <c r="D124" s="13"/>
      <c r="E124" s="13"/>
      <c r="F124" s="5"/>
      <c r="G124" s="5"/>
      <c r="H124" s="5"/>
      <c r="I124" s="5"/>
      <c r="J124" s="5"/>
      <c r="K124" s="5"/>
      <c r="L124" s="5"/>
      <c r="M124" s="6" t="str">
        <f t="shared" si="6"/>
        <v/>
      </c>
      <c r="N124" s="6" t="str">
        <f t="shared" si="7"/>
        <v/>
      </c>
    </row>
    <row r="125" spans="1:14">
      <c r="A125" s="13"/>
      <c r="B125" s="13"/>
      <c r="C125" s="13"/>
      <c r="D125" s="13"/>
      <c r="E125" s="13"/>
      <c r="F125" s="5"/>
      <c r="G125" s="5"/>
      <c r="H125" s="5"/>
      <c r="I125" s="5"/>
      <c r="J125" s="5"/>
      <c r="K125" s="5"/>
      <c r="L125" s="5"/>
      <c r="M125" s="6" t="str">
        <f t="shared" si="6"/>
        <v/>
      </c>
      <c r="N125" s="6" t="str">
        <f t="shared" si="7"/>
        <v/>
      </c>
    </row>
    <row r="126" spans="1:14">
      <c r="A126" s="13"/>
      <c r="B126" s="13"/>
      <c r="C126" s="13"/>
      <c r="D126" s="13"/>
      <c r="E126" s="13"/>
      <c r="F126" s="5"/>
      <c r="G126" s="5"/>
      <c r="H126" s="5"/>
      <c r="I126" s="5"/>
      <c r="J126" s="5"/>
      <c r="K126" s="5"/>
      <c r="L126" s="5"/>
      <c r="M126" s="6" t="str">
        <f t="shared" si="6"/>
        <v/>
      </c>
      <c r="N126" s="6" t="str">
        <f t="shared" si="7"/>
        <v/>
      </c>
    </row>
    <row r="127" spans="1:14">
      <c r="A127" s="13"/>
      <c r="B127" s="13"/>
      <c r="C127" s="13"/>
      <c r="D127" s="13"/>
      <c r="E127" s="13"/>
      <c r="F127" s="5"/>
      <c r="G127" s="5"/>
      <c r="H127" s="5"/>
      <c r="I127" s="5"/>
      <c r="J127" s="5"/>
      <c r="K127" s="5"/>
      <c r="L127" s="5"/>
      <c r="M127" s="6" t="str">
        <f t="shared" si="6"/>
        <v/>
      </c>
      <c r="N127" s="6" t="str">
        <f t="shared" si="7"/>
        <v/>
      </c>
    </row>
    <row r="128" spans="1:14">
      <c r="A128" s="13"/>
      <c r="B128" s="13"/>
      <c r="C128" s="13"/>
      <c r="D128" s="13"/>
      <c r="E128" s="13"/>
      <c r="F128" s="5"/>
      <c r="G128" s="5"/>
      <c r="H128" s="5"/>
      <c r="I128" s="5"/>
      <c r="J128" s="5"/>
      <c r="K128" s="5"/>
      <c r="L128" s="5"/>
      <c r="M128" s="6" t="str">
        <f t="shared" si="6"/>
        <v/>
      </c>
      <c r="N128" s="6" t="str">
        <f t="shared" si="7"/>
        <v/>
      </c>
    </row>
    <row r="129" spans="1:14">
      <c r="A129" s="13"/>
      <c r="B129" s="13"/>
      <c r="C129" s="13"/>
      <c r="D129" s="13"/>
      <c r="E129" s="13"/>
      <c r="F129" s="5"/>
      <c r="G129" s="5"/>
      <c r="H129" s="5"/>
      <c r="I129" s="5"/>
      <c r="J129" s="5"/>
      <c r="K129" s="5"/>
      <c r="L129" s="5"/>
      <c r="M129" s="6" t="str">
        <f t="shared" si="6"/>
        <v/>
      </c>
      <c r="N129" s="6" t="str">
        <f t="shared" si="7"/>
        <v/>
      </c>
    </row>
    <row r="130" spans="1:14">
      <c r="A130" s="13"/>
      <c r="B130" s="13"/>
      <c r="C130" s="13"/>
      <c r="D130" s="13"/>
      <c r="E130" s="13"/>
      <c r="F130" s="5"/>
      <c r="G130" s="5"/>
      <c r="H130" s="5"/>
      <c r="I130" s="5"/>
      <c r="J130" s="5"/>
      <c r="K130" s="5"/>
      <c r="L130" s="5"/>
      <c r="M130" s="6" t="str">
        <f t="shared" si="6"/>
        <v/>
      </c>
      <c r="N130" s="6" t="str">
        <f t="shared" si="7"/>
        <v/>
      </c>
    </row>
    <row r="131" spans="1:14">
      <c r="A131" s="13"/>
      <c r="B131" s="13"/>
      <c r="C131" s="13"/>
      <c r="D131" s="13"/>
      <c r="E131" s="13"/>
      <c r="F131" s="5"/>
      <c r="G131" s="5"/>
      <c r="H131" s="5"/>
      <c r="I131" s="5"/>
      <c r="J131" s="5"/>
      <c r="K131" s="5"/>
      <c r="L131" s="5"/>
      <c r="M131" s="6" t="str">
        <f t="shared" si="6"/>
        <v/>
      </c>
      <c r="N131" s="6" t="str">
        <f t="shared" si="7"/>
        <v/>
      </c>
    </row>
    <row r="132" spans="1:14">
      <c r="A132" s="13"/>
      <c r="B132" s="13"/>
      <c r="C132" s="13"/>
      <c r="D132" s="13"/>
      <c r="E132" s="13"/>
      <c r="F132" s="5"/>
      <c r="G132" s="5"/>
      <c r="H132" s="5"/>
      <c r="I132" s="5"/>
      <c r="J132" s="5"/>
      <c r="K132" s="5"/>
      <c r="L132" s="5"/>
      <c r="M132" s="6" t="str">
        <f t="shared" si="6"/>
        <v/>
      </c>
      <c r="N132" s="6" t="str">
        <f t="shared" si="7"/>
        <v/>
      </c>
    </row>
    <row r="133" spans="1:14">
      <c r="A133" s="13"/>
      <c r="B133" s="13"/>
      <c r="C133" s="13"/>
      <c r="D133" s="13"/>
      <c r="E133" s="13"/>
      <c r="F133" s="5"/>
      <c r="G133" s="5"/>
      <c r="H133" s="5"/>
      <c r="I133" s="5"/>
      <c r="J133" s="5"/>
      <c r="K133" s="5"/>
      <c r="L133" s="5"/>
      <c r="M133" s="6" t="str">
        <f t="shared" ref="M133:M164" si="8">IF(A133="","",IF(N133="","HỢP LỆ","CẦN SỬA"))</f>
        <v/>
      </c>
      <c r="N133" s="6" t="str">
        <f t="shared" ref="N133:N164" si="9">IF(A133="","",IF(B133="","Thiếu NodeId",IF(D133="","Thiếu NodeType",IF(COUNTIF($B$5:$B$204,B133)&gt;1,"NodeId bị trùng",IF(COUNTIF($A$5:$A$204,A133)&gt;1,"NodeOrder bị trùng",IF(AND(D133="scene",OR(C133="",F133="",G133="")),"scene cần ActNo, Background, SceneName",IF(AND(D133="say",OR(H133="",J133="")),"say cần SpeakerKey và Text",IF(AND(D133="choice",OR(E133="",H133="",I133="",J133="")),"choice cần ChoiceMode, SpeakerKey, Mood, Question",IF(AND(D133="act",K133=""),"act cần số La Mã",IF(AND(D133="end",COUNTIF($D$5:$D$204,"end")&lt;&gt;1),"Phải có đúng 1 node end",""))))))))))</f>
        <v/>
      </c>
    </row>
    <row r="134" spans="1:14">
      <c r="A134" s="13"/>
      <c r="B134" s="13"/>
      <c r="C134" s="13"/>
      <c r="D134" s="13"/>
      <c r="E134" s="13"/>
      <c r="F134" s="5"/>
      <c r="G134" s="5"/>
      <c r="H134" s="5"/>
      <c r="I134" s="5"/>
      <c r="J134" s="5"/>
      <c r="K134" s="5"/>
      <c r="L134" s="5"/>
      <c r="M134" s="6" t="str">
        <f t="shared" si="8"/>
        <v/>
      </c>
      <c r="N134" s="6" t="str">
        <f t="shared" si="9"/>
        <v/>
      </c>
    </row>
    <row r="135" spans="1:14">
      <c r="A135" s="13"/>
      <c r="B135" s="13"/>
      <c r="C135" s="13"/>
      <c r="D135" s="13"/>
      <c r="E135" s="13"/>
      <c r="F135" s="5"/>
      <c r="G135" s="5"/>
      <c r="H135" s="5"/>
      <c r="I135" s="5"/>
      <c r="J135" s="5"/>
      <c r="K135" s="5"/>
      <c r="L135" s="5"/>
      <c r="M135" s="6" t="str">
        <f t="shared" si="8"/>
        <v/>
      </c>
      <c r="N135" s="6" t="str">
        <f t="shared" si="9"/>
        <v/>
      </c>
    </row>
    <row r="136" spans="1:14">
      <c r="A136" s="13"/>
      <c r="B136" s="13"/>
      <c r="C136" s="13"/>
      <c r="D136" s="13"/>
      <c r="E136" s="13"/>
      <c r="F136" s="5"/>
      <c r="G136" s="5"/>
      <c r="H136" s="5"/>
      <c r="I136" s="5"/>
      <c r="J136" s="5"/>
      <c r="K136" s="5"/>
      <c r="L136" s="5"/>
      <c r="M136" s="6" t="str">
        <f t="shared" si="8"/>
        <v/>
      </c>
      <c r="N136" s="6" t="str">
        <f t="shared" si="9"/>
        <v/>
      </c>
    </row>
    <row r="137" spans="1:14">
      <c r="A137" s="13"/>
      <c r="B137" s="13"/>
      <c r="C137" s="13"/>
      <c r="D137" s="13"/>
      <c r="E137" s="13"/>
      <c r="F137" s="5"/>
      <c r="G137" s="5"/>
      <c r="H137" s="5"/>
      <c r="I137" s="5"/>
      <c r="J137" s="5"/>
      <c r="K137" s="5"/>
      <c r="L137" s="5"/>
      <c r="M137" s="6" t="str">
        <f t="shared" si="8"/>
        <v/>
      </c>
      <c r="N137" s="6" t="str">
        <f t="shared" si="9"/>
        <v/>
      </c>
    </row>
    <row r="138" spans="1:14">
      <c r="A138" s="13"/>
      <c r="B138" s="13"/>
      <c r="C138" s="13"/>
      <c r="D138" s="13"/>
      <c r="E138" s="13"/>
      <c r="F138" s="5"/>
      <c r="G138" s="5"/>
      <c r="H138" s="5"/>
      <c r="I138" s="5"/>
      <c r="J138" s="5"/>
      <c r="K138" s="5"/>
      <c r="L138" s="5"/>
      <c r="M138" s="6" t="str">
        <f t="shared" si="8"/>
        <v/>
      </c>
      <c r="N138" s="6" t="str">
        <f t="shared" si="9"/>
        <v/>
      </c>
    </row>
    <row r="139" spans="1:14">
      <c r="A139" s="13"/>
      <c r="B139" s="13"/>
      <c r="C139" s="13"/>
      <c r="D139" s="13"/>
      <c r="E139" s="13"/>
      <c r="F139" s="5"/>
      <c r="G139" s="5"/>
      <c r="H139" s="5"/>
      <c r="I139" s="5"/>
      <c r="J139" s="5"/>
      <c r="K139" s="5"/>
      <c r="L139" s="5"/>
      <c r="M139" s="6" t="str">
        <f t="shared" si="8"/>
        <v/>
      </c>
      <c r="N139" s="6" t="str">
        <f t="shared" si="9"/>
        <v/>
      </c>
    </row>
    <row r="140" spans="1:14">
      <c r="A140" s="13"/>
      <c r="B140" s="13"/>
      <c r="C140" s="13"/>
      <c r="D140" s="13"/>
      <c r="E140" s="13"/>
      <c r="F140" s="5"/>
      <c r="G140" s="5"/>
      <c r="H140" s="5"/>
      <c r="I140" s="5"/>
      <c r="J140" s="5"/>
      <c r="K140" s="5"/>
      <c r="L140" s="5"/>
      <c r="M140" s="6" t="str">
        <f t="shared" si="8"/>
        <v/>
      </c>
      <c r="N140" s="6" t="str">
        <f t="shared" si="9"/>
        <v/>
      </c>
    </row>
    <row r="141" spans="1:14">
      <c r="A141" s="13"/>
      <c r="B141" s="13"/>
      <c r="C141" s="13"/>
      <c r="D141" s="13"/>
      <c r="E141" s="13"/>
      <c r="F141" s="5"/>
      <c r="G141" s="5"/>
      <c r="H141" s="5"/>
      <c r="I141" s="5"/>
      <c r="J141" s="5"/>
      <c r="K141" s="5"/>
      <c r="L141" s="5"/>
      <c r="M141" s="6" t="str">
        <f t="shared" si="8"/>
        <v/>
      </c>
      <c r="N141" s="6" t="str">
        <f t="shared" si="9"/>
        <v/>
      </c>
    </row>
    <row r="142" spans="1:14">
      <c r="A142" s="13"/>
      <c r="B142" s="13"/>
      <c r="C142" s="13"/>
      <c r="D142" s="13"/>
      <c r="E142" s="13"/>
      <c r="F142" s="5"/>
      <c r="G142" s="5"/>
      <c r="H142" s="5"/>
      <c r="I142" s="5"/>
      <c r="J142" s="5"/>
      <c r="K142" s="5"/>
      <c r="L142" s="5"/>
      <c r="M142" s="6" t="str">
        <f t="shared" si="8"/>
        <v/>
      </c>
      <c r="N142" s="6" t="str">
        <f t="shared" si="9"/>
        <v/>
      </c>
    </row>
    <row r="143" spans="1:14">
      <c r="A143" s="13"/>
      <c r="B143" s="13"/>
      <c r="C143" s="13"/>
      <c r="D143" s="13"/>
      <c r="E143" s="13"/>
      <c r="F143" s="5"/>
      <c r="G143" s="5"/>
      <c r="H143" s="5"/>
      <c r="I143" s="5"/>
      <c r="J143" s="5"/>
      <c r="K143" s="5"/>
      <c r="L143" s="5"/>
      <c r="M143" s="6" t="str">
        <f t="shared" si="8"/>
        <v/>
      </c>
      <c r="N143" s="6" t="str">
        <f t="shared" si="9"/>
        <v/>
      </c>
    </row>
    <row r="144" spans="1:14">
      <c r="A144" s="13"/>
      <c r="B144" s="13"/>
      <c r="C144" s="13"/>
      <c r="D144" s="13"/>
      <c r="E144" s="13"/>
      <c r="F144" s="5"/>
      <c r="G144" s="5"/>
      <c r="H144" s="5"/>
      <c r="I144" s="5"/>
      <c r="J144" s="5"/>
      <c r="K144" s="5"/>
      <c r="L144" s="5"/>
      <c r="M144" s="6" t="str">
        <f t="shared" si="8"/>
        <v/>
      </c>
      <c r="N144" s="6" t="str">
        <f t="shared" si="9"/>
        <v/>
      </c>
    </row>
    <row r="145" spans="1:14">
      <c r="A145" s="13"/>
      <c r="B145" s="13"/>
      <c r="C145" s="13"/>
      <c r="D145" s="13"/>
      <c r="E145" s="13"/>
      <c r="F145" s="5"/>
      <c r="G145" s="5"/>
      <c r="H145" s="5"/>
      <c r="I145" s="5"/>
      <c r="J145" s="5"/>
      <c r="K145" s="5"/>
      <c r="L145" s="5"/>
      <c r="M145" s="6" t="str">
        <f t="shared" si="8"/>
        <v/>
      </c>
      <c r="N145" s="6" t="str">
        <f t="shared" si="9"/>
        <v/>
      </c>
    </row>
    <row r="146" spans="1:14">
      <c r="A146" s="13"/>
      <c r="B146" s="13"/>
      <c r="C146" s="13"/>
      <c r="D146" s="13"/>
      <c r="E146" s="13"/>
      <c r="F146" s="5"/>
      <c r="G146" s="5"/>
      <c r="H146" s="5"/>
      <c r="I146" s="5"/>
      <c r="J146" s="5"/>
      <c r="K146" s="5"/>
      <c r="L146" s="5"/>
      <c r="M146" s="6" t="str">
        <f t="shared" si="8"/>
        <v/>
      </c>
      <c r="N146" s="6" t="str">
        <f t="shared" si="9"/>
        <v/>
      </c>
    </row>
    <row r="147" spans="1:14">
      <c r="A147" s="13"/>
      <c r="B147" s="13"/>
      <c r="C147" s="13"/>
      <c r="D147" s="13"/>
      <c r="E147" s="13"/>
      <c r="F147" s="5"/>
      <c r="G147" s="5"/>
      <c r="H147" s="5"/>
      <c r="I147" s="5"/>
      <c r="J147" s="5"/>
      <c r="K147" s="5"/>
      <c r="L147" s="5"/>
      <c r="M147" s="6" t="str">
        <f t="shared" si="8"/>
        <v/>
      </c>
      <c r="N147" s="6" t="str">
        <f t="shared" si="9"/>
        <v/>
      </c>
    </row>
    <row r="148" spans="1:14">
      <c r="A148" s="13"/>
      <c r="B148" s="13"/>
      <c r="C148" s="13"/>
      <c r="D148" s="13"/>
      <c r="E148" s="13"/>
      <c r="F148" s="5"/>
      <c r="G148" s="5"/>
      <c r="H148" s="5"/>
      <c r="I148" s="5"/>
      <c r="J148" s="5"/>
      <c r="K148" s="5"/>
      <c r="L148" s="5"/>
      <c r="M148" s="6" t="str">
        <f t="shared" si="8"/>
        <v/>
      </c>
      <c r="N148" s="6" t="str">
        <f t="shared" si="9"/>
        <v/>
      </c>
    </row>
    <row r="149" spans="1:14">
      <c r="A149" s="13"/>
      <c r="B149" s="13"/>
      <c r="C149" s="13"/>
      <c r="D149" s="13"/>
      <c r="E149" s="13"/>
      <c r="F149" s="5"/>
      <c r="G149" s="5"/>
      <c r="H149" s="5"/>
      <c r="I149" s="5"/>
      <c r="J149" s="5"/>
      <c r="K149" s="5"/>
      <c r="L149" s="5"/>
      <c r="M149" s="6" t="str">
        <f t="shared" si="8"/>
        <v/>
      </c>
      <c r="N149" s="6" t="str">
        <f t="shared" si="9"/>
        <v/>
      </c>
    </row>
    <row r="150" spans="1:14">
      <c r="A150" s="13"/>
      <c r="B150" s="13"/>
      <c r="C150" s="13"/>
      <c r="D150" s="13"/>
      <c r="E150" s="13"/>
      <c r="F150" s="5"/>
      <c r="G150" s="5"/>
      <c r="H150" s="5"/>
      <c r="I150" s="5"/>
      <c r="J150" s="5"/>
      <c r="K150" s="5"/>
      <c r="L150" s="5"/>
      <c r="M150" s="6" t="str">
        <f t="shared" si="8"/>
        <v/>
      </c>
      <c r="N150" s="6" t="str">
        <f t="shared" si="9"/>
        <v/>
      </c>
    </row>
    <row r="151" spans="1:14">
      <c r="A151" s="13"/>
      <c r="B151" s="13"/>
      <c r="C151" s="13"/>
      <c r="D151" s="13"/>
      <c r="E151" s="13"/>
      <c r="F151" s="5"/>
      <c r="G151" s="5"/>
      <c r="H151" s="5"/>
      <c r="I151" s="5"/>
      <c r="J151" s="5"/>
      <c r="K151" s="5"/>
      <c r="L151" s="5"/>
      <c r="M151" s="6" t="str">
        <f t="shared" si="8"/>
        <v/>
      </c>
      <c r="N151" s="6" t="str">
        <f t="shared" si="9"/>
        <v/>
      </c>
    </row>
    <row r="152" spans="1:14">
      <c r="A152" s="13"/>
      <c r="B152" s="13"/>
      <c r="C152" s="13"/>
      <c r="D152" s="13"/>
      <c r="E152" s="13"/>
      <c r="F152" s="5"/>
      <c r="G152" s="5"/>
      <c r="H152" s="5"/>
      <c r="I152" s="5"/>
      <c r="J152" s="5"/>
      <c r="K152" s="5"/>
      <c r="L152" s="5"/>
      <c r="M152" s="6" t="str">
        <f t="shared" si="8"/>
        <v/>
      </c>
      <c r="N152" s="6" t="str">
        <f t="shared" si="9"/>
        <v/>
      </c>
    </row>
    <row r="153" spans="1:14">
      <c r="A153" s="13"/>
      <c r="B153" s="13"/>
      <c r="C153" s="13"/>
      <c r="D153" s="13"/>
      <c r="E153" s="13"/>
      <c r="F153" s="5"/>
      <c r="G153" s="5"/>
      <c r="H153" s="5"/>
      <c r="I153" s="5"/>
      <c r="J153" s="5"/>
      <c r="K153" s="5"/>
      <c r="L153" s="5"/>
      <c r="M153" s="6" t="str">
        <f t="shared" si="8"/>
        <v/>
      </c>
      <c r="N153" s="6" t="str">
        <f t="shared" si="9"/>
        <v/>
      </c>
    </row>
    <row r="154" spans="1:14">
      <c r="A154" s="13"/>
      <c r="B154" s="13"/>
      <c r="C154" s="13"/>
      <c r="D154" s="13"/>
      <c r="E154" s="13"/>
      <c r="F154" s="5"/>
      <c r="G154" s="5"/>
      <c r="H154" s="5"/>
      <c r="I154" s="5"/>
      <c r="J154" s="5"/>
      <c r="K154" s="5"/>
      <c r="L154" s="5"/>
      <c r="M154" s="6" t="str">
        <f t="shared" si="8"/>
        <v/>
      </c>
      <c r="N154" s="6" t="str">
        <f t="shared" si="9"/>
        <v/>
      </c>
    </row>
    <row r="155" spans="1:14">
      <c r="A155" s="13"/>
      <c r="B155" s="13"/>
      <c r="C155" s="13"/>
      <c r="D155" s="13"/>
      <c r="E155" s="13"/>
      <c r="F155" s="5"/>
      <c r="G155" s="5"/>
      <c r="H155" s="5"/>
      <c r="I155" s="5"/>
      <c r="J155" s="5"/>
      <c r="K155" s="5"/>
      <c r="L155" s="5"/>
      <c r="M155" s="6" t="str">
        <f t="shared" si="8"/>
        <v/>
      </c>
      <c r="N155" s="6" t="str">
        <f t="shared" si="9"/>
        <v/>
      </c>
    </row>
    <row r="156" spans="1:14">
      <c r="A156" s="13"/>
      <c r="B156" s="13"/>
      <c r="C156" s="13"/>
      <c r="D156" s="13"/>
      <c r="E156" s="13"/>
      <c r="F156" s="5"/>
      <c r="G156" s="5"/>
      <c r="H156" s="5"/>
      <c r="I156" s="5"/>
      <c r="J156" s="5"/>
      <c r="K156" s="5"/>
      <c r="L156" s="5"/>
      <c r="M156" s="6" t="str">
        <f t="shared" si="8"/>
        <v/>
      </c>
      <c r="N156" s="6" t="str">
        <f t="shared" si="9"/>
        <v/>
      </c>
    </row>
    <row r="157" spans="1:14">
      <c r="A157" s="13"/>
      <c r="B157" s="13"/>
      <c r="C157" s="13"/>
      <c r="D157" s="13"/>
      <c r="E157" s="13"/>
      <c r="F157" s="5"/>
      <c r="G157" s="5"/>
      <c r="H157" s="5"/>
      <c r="I157" s="5"/>
      <c r="J157" s="5"/>
      <c r="K157" s="5"/>
      <c r="L157" s="5"/>
      <c r="M157" s="6" t="str">
        <f t="shared" si="8"/>
        <v/>
      </c>
      <c r="N157" s="6" t="str">
        <f t="shared" si="9"/>
        <v/>
      </c>
    </row>
    <row r="158" spans="1:14">
      <c r="A158" s="13"/>
      <c r="B158" s="13"/>
      <c r="C158" s="13"/>
      <c r="D158" s="13"/>
      <c r="E158" s="13"/>
      <c r="F158" s="5"/>
      <c r="G158" s="5"/>
      <c r="H158" s="5"/>
      <c r="I158" s="5"/>
      <c r="J158" s="5"/>
      <c r="K158" s="5"/>
      <c r="L158" s="5"/>
      <c r="M158" s="6" t="str">
        <f t="shared" si="8"/>
        <v/>
      </c>
      <c r="N158" s="6" t="str">
        <f t="shared" si="9"/>
        <v/>
      </c>
    </row>
    <row r="159" spans="1:14">
      <c r="A159" s="13"/>
      <c r="B159" s="13"/>
      <c r="C159" s="13"/>
      <c r="D159" s="13"/>
      <c r="E159" s="13"/>
      <c r="F159" s="5"/>
      <c r="G159" s="5"/>
      <c r="H159" s="5"/>
      <c r="I159" s="5"/>
      <c r="J159" s="5"/>
      <c r="K159" s="5"/>
      <c r="L159" s="5"/>
      <c r="M159" s="6" t="str">
        <f t="shared" si="8"/>
        <v/>
      </c>
      <c r="N159" s="6" t="str">
        <f t="shared" si="9"/>
        <v/>
      </c>
    </row>
    <row r="160" spans="1:14">
      <c r="A160" s="13"/>
      <c r="B160" s="13"/>
      <c r="C160" s="13"/>
      <c r="D160" s="13"/>
      <c r="E160" s="13"/>
      <c r="F160" s="5"/>
      <c r="G160" s="5"/>
      <c r="H160" s="5"/>
      <c r="I160" s="5"/>
      <c r="J160" s="5"/>
      <c r="K160" s="5"/>
      <c r="L160" s="5"/>
      <c r="M160" s="6" t="str">
        <f t="shared" si="8"/>
        <v/>
      </c>
      <c r="N160" s="6" t="str">
        <f t="shared" si="9"/>
        <v/>
      </c>
    </row>
    <row r="161" spans="1:14">
      <c r="A161" s="13"/>
      <c r="B161" s="13"/>
      <c r="C161" s="13"/>
      <c r="D161" s="13"/>
      <c r="E161" s="13"/>
      <c r="F161" s="5"/>
      <c r="G161" s="5"/>
      <c r="H161" s="5"/>
      <c r="I161" s="5"/>
      <c r="J161" s="5"/>
      <c r="K161" s="5"/>
      <c r="L161" s="5"/>
      <c r="M161" s="6" t="str">
        <f t="shared" si="8"/>
        <v/>
      </c>
      <c r="N161" s="6" t="str">
        <f t="shared" si="9"/>
        <v/>
      </c>
    </row>
    <row r="162" spans="1:14">
      <c r="A162" s="13"/>
      <c r="B162" s="13"/>
      <c r="C162" s="13"/>
      <c r="D162" s="13"/>
      <c r="E162" s="13"/>
      <c r="F162" s="5"/>
      <c r="G162" s="5"/>
      <c r="H162" s="5"/>
      <c r="I162" s="5"/>
      <c r="J162" s="5"/>
      <c r="K162" s="5"/>
      <c r="L162" s="5"/>
      <c r="M162" s="6" t="str">
        <f t="shared" si="8"/>
        <v/>
      </c>
      <c r="N162" s="6" t="str">
        <f t="shared" si="9"/>
        <v/>
      </c>
    </row>
    <row r="163" spans="1:14">
      <c r="A163" s="13"/>
      <c r="B163" s="13"/>
      <c r="C163" s="13"/>
      <c r="D163" s="13"/>
      <c r="E163" s="13"/>
      <c r="F163" s="5"/>
      <c r="G163" s="5"/>
      <c r="H163" s="5"/>
      <c r="I163" s="5"/>
      <c r="J163" s="5"/>
      <c r="K163" s="5"/>
      <c r="L163" s="5"/>
      <c r="M163" s="6" t="str">
        <f t="shared" si="8"/>
        <v/>
      </c>
      <c r="N163" s="6" t="str">
        <f t="shared" si="9"/>
        <v/>
      </c>
    </row>
    <row r="164" spans="1:14">
      <c r="A164" s="13"/>
      <c r="B164" s="13"/>
      <c r="C164" s="13"/>
      <c r="D164" s="13"/>
      <c r="E164" s="13"/>
      <c r="F164" s="5"/>
      <c r="G164" s="5"/>
      <c r="H164" s="5"/>
      <c r="I164" s="5"/>
      <c r="J164" s="5"/>
      <c r="K164" s="5"/>
      <c r="L164" s="5"/>
      <c r="M164" s="6" t="str">
        <f t="shared" si="8"/>
        <v/>
      </c>
      <c r="N164" s="6" t="str">
        <f t="shared" si="9"/>
        <v/>
      </c>
    </row>
    <row r="165" spans="1:14">
      <c r="A165" s="13"/>
      <c r="B165" s="13"/>
      <c r="C165" s="13"/>
      <c r="D165" s="13"/>
      <c r="E165" s="13"/>
      <c r="F165" s="5"/>
      <c r="G165" s="5"/>
      <c r="H165" s="5"/>
      <c r="I165" s="5"/>
      <c r="J165" s="5"/>
      <c r="K165" s="5"/>
      <c r="L165" s="5"/>
      <c r="M165" s="6" t="str">
        <f t="shared" ref="M165:M196" si="10">IF(A165="","",IF(N165="","HỢP LỆ","CẦN SỬA"))</f>
        <v/>
      </c>
      <c r="N165" s="6" t="str">
        <f t="shared" ref="N165:N196" si="11">IF(A165="","",IF(B165="","Thiếu NodeId",IF(D165="","Thiếu NodeType",IF(COUNTIF($B$5:$B$204,B165)&gt;1,"NodeId bị trùng",IF(COUNTIF($A$5:$A$204,A165)&gt;1,"NodeOrder bị trùng",IF(AND(D165="scene",OR(C165="",F165="",G165="")),"scene cần ActNo, Background, SceneName",IF(AND(D165="say",OR(H165="",J165="")),"say cần SpeakerKey và Text",IF(AND(D165="choice",OR(E165="",H165="",I165="",J165="")),"choice cần ChoiceMode, SpeakerKey, Mood, Question",IF(AND(D165="act",K165=""),"act cần số La Mã",IF(AND(D165="end",COUNTIF($D$5:$D$204,"end")&lt;&gt;1),"Phải có đúng 1 node end",""))))))))))</f>
        <v/>
      </c>
    </row>
    <row r="166" spans="1:14">
      <c r="A166" s="13"/>
      <c r="B166" s="13"/>
      <c r="C166" s="13"/>
      <c r="D166" s="13"/>
      <c r="E166" s="13"/>
      <c r="F166" s="5"/>
      <c r="G166" s="5"/>
      <c r="H166" s="5"/>
      <c r="I166" s="5"/>
      <c r="J166" s="5"/>
      <c r="K166" s="5"/>
      <c r="L166" s="5"/>
      <c r="M166" s="6" t="str">
        <f t="shared" si="10"/>
        <v/>
      </c>
      <c r="N166" s="6" t="str">
        <f t="shared" si="11"/>
        <v/>
      </c>
    </row>
    <row r="167" spans="1:14">
      <c r="A167" s="13"/>
      <c r="B167" s="13"/>
      <c r="C167" s="13"/>
      <c r="D167" s="13"/>
      <c r="E167" s="13"/>
      <c r="F167" s="5"/>
      <c r="G167" s="5"/>
      <c r="H167" s="5"/>
      <c r="I167" s="5"/>
      <c r="J167" s="5"/>
      <c r="K167" s="5"/>
      <c r="L167" s="5"/>
      <c r="M167" s="6" t="str">
        <f t="shared" si="10"/>
        <v/>
      </c>
      <c r="N167" s="6" t="str">
        <f t="shared" si="11"/>
        <v/>
      </c>
    </row>
    <row r="168" spans="1:14">
      <c r="A168" s="13"/>
      <c r="B168" s="13"/>
      <c r="C168" s="13"/>
      <c r="D168" s="13"/>
      <c r="E168" s="13"/>
      <c r="F168" s="5"/>
      <c r="G168" s="5"/>
      <c r="H168" s="5"/>
      <c r="I168" s="5"/>
      <c r="J168" s="5"/>
      <c r="K168" s="5"/>
      <c r="L168" s="5"/>
      <c r="M168" s="6" t="str">
        <f t="shared" si="10"/>
        <v/>
      </c>
      <c r="N168" s="6" t="str">
        <f t="shared" si="11"/>
        <v/>
      </c>
    </row>
    <row r="169" spans="1:14">
      <c r="A169" s="13"/>
      <c r="B169" s="13"/>
      <c r="C169" s="13"/>
      <c r="D169" s="13"/>
      <c r="E169" s="13"/>
      <c r="F169" s="5"/>
      <c r="G169" s="5"/>
      <c r="H169" s="5"/>
      <c r="I169" s="5"/>
      <c r="J169" s="5"/>
      <c r="K169" s="5"/>
      <c r="L169" s="5"/>
      <c r="M169" s="6" t="str">
        <f t="shared" si="10"/>
        <v/>
      </c>
      <c r="N169" s="6" t="str">
        <f t="shared" si="11"/>
        <v/>
      </c>
    </row>
    <row r="170" spans="1:14">
      <c r="A170" s="13"/>
      <c r="B170" s="13"/>
      <c r="C170" s="13"/>
      <c r="D170" s="13"/>
      <c r="E170" s="13"/>
      <c r="F170" s="5"/>
      <c r="G170" s="5"/>
      <c r="H170" s="5"/>
      <c r="I170" s="5"/>
      <c r="J170" s="5"/>
      <c r="K170" s="5"/>
      <c r="L170" s="5"/>
      <c r="M170" s="6" t="str">
        <f t="shared" si="10"/>
        <v/>
      </c>
      <c r="N170" s="6" t="str">
        <f t="shared" si="11"/>
        <v/>
      </c>
    </row>
    <row r="171" spans="1:14">
      <c r="A171" s="13"/>
      <c r="B171" s="13"/>
      <c r="C171" s="13"/>
      <c r="D171" s="13"/>
      <c r="E171" s="13"/>
      <c r="F171" s="5"/>
      <c r="G171" s="5"/>
      <c r="H171" s="5"/>
      <c r="I171" s="5"/>
      <c r="J171" s="5"/>
      <c r="K171" s="5"/>
      <c r="L171" s="5"/>
      <c r="M171" s="6" t="str">
        <f t="shared" si="10"/>
        <v/>
      </c>
      <c r="N171" s="6" t="str">
        <f t="shared" si="11"/>
        <v/>
      </c>
    </row>
    <row r="172" spans="1:14">
      <c r="A172" s="13"/>
      <c r="B172" s="13"/>
      <c r="C172" s="13"/>
      <c r="D172" s="13"/>
      <c r="E172" s="13"/>
      <c r="F172" s="5"/>
      <c r="G172" s="5"/>
      <c r="H172" s="5"/>
      <c r="I172" s="5"/>
      <c r="J172" s="5"/>
      <c r="K172" s="5"/>
      <c r="L172" s="5"/>
      <c r="M172" s="6" t="str">
        <f t="shared" si="10"/>
        <v/>
      </c>
      <c r="N172" s="6" t="str">
        <f t="shared" si="11"/>
        <v/>
      </c>
    </row>
    <row r="173" spans="1:14">
      <c r="A173" s="13"/>
      <c r="B173" s="13"/>
      <c r="C173" s="13"/>
      <c r="D173" s="13"/>
      <c r="E173" s="13"/>
      <c r="F173" s="5"/>
      <c r="G173" s="5"/>
      <c r="H173" s="5"/>
      <c r="I173" s="5"/>
      <c r="J173" s="5"/>
      <c r="K173" s="5"/>
      <c r="L173" s="5"/>
      <c r="M173" s="6" t="str">
        <f t="shared" si="10"/>
        <v/>
      </c>
      <c r="N173" s="6" t="str">
        <f t="shared" si="11"/>
        <v/>
      </c>
    </row>
    <row r="174" spans="1:14">
      <c r="A174" s="13"/>
      <c r="B174" s="13"/>
      <c r="C174" s="13"/>
      <c r="D174" s="13"/>
      <c r="E174" s="13"/>
      <c r="F174" s="5"/>
      <c r="G174" s="5"/>
      <c r="H174" s="5"/>
      <c r="I174" s="5"/>
      <c r="J174" s="5"/>
      <c r="K174" s="5"/>
      <c r="L174" s="5"/>
      <c r="M174" s="6" t="str">
        <f t="shared" si="10"/>
        <v/>
      </c>
      <c r="N174" s="6" t="str">
        <f t="shared" si="11"/>
        <v/>
      </c>
    </row>
    <row r="175" spans="1:14">
      <c r="A175" s="13"/>
      <c r="B175" s="13"/>
      <c r="C175" s="13"/>
      <c r="D175" s="13"/>
      <c r="E175" s="13"/>
      <c r="F175" s="5"/>
      <c r="G175" s="5"/>
      <c r="H175" s="5"/>
      <c r="I175" s="5"/>
      <c r="J175" s="5"/>
      <c r="K175" s="5"/>
      <c r="L175" s="5"/>
      <c r="M175" s="6" t="str">
        <f t="shared" si="10"/>
        <v/>
      </c>
      <c r="N175" s="6" t="str">
        <f t="shared" si="11"/>
        <v/>
      </c>
    </row>
    <row r="176" spans="1:14">
      <c r="A176" s="13"/>
      <c r="B176" s="13"/>
      <c r="C176" s="13"/>
      <c r="D176" s="13"/>
      <c r="E176" s="13"/>
      <c r="F176" s="5"/>
      <c r="G176" s="5"/>
      <c r="H176" s="5"/>
      <c r="I176" s="5"/>
      <c r="J176" s="5"/>
      <c r="K176" s="5"/>
      <c r="L176" s="5"/>
      <c r="M176" s="6" t="str">
        <f t="shared" si="10"/>
        <v/>
      </c>
      <c r="N176" s="6" t="str">
        <f t="shared" si="11"/>
        <v/>
      </c>
    </row>
    <row r="177" spans="1:14">
      <c r="A177" s="13"/>
      <c r="B177" s="13"/>
      <c r="C177" s="13"/>
      <c r="D177" s="13"/>
      <c r="E177" s="13"/>
      <c r="F177" s="5"/>
      <c r="G177" s="5"/>
      <c r="H177" s="5"/>
      <c r="I177" s="5"/>
      <c r="J177" s="5"/>
      <c r="K177" s="5"/>
      <c r="L177" s="5"/>
      <c r="M177" s="6" t="str">
        <f t="shared" si="10"/>
        <v/>
      </c>
      <c r="N177" s="6" t="str">
        <f t="shared" si="11"/>
        <v/>
      </c>
    </row>
    <row r="178" spans="1:14">
      <c r="A178" s="13"/>
      <c r="B178" s="13"/>
      <c r="C178" s="13"/>
      <c r="D178" s="13"/>
      <c r="E178" s="13"/>
      <c r="F178" s="5"/>
      <c r="G178" s="5"/>
      <c r="H178" s="5"/>
      <c r="I178" s="5"/>
      <c r="J178" s="5"/>
      <c r="K178" s="5"/>
      <c r="L178" s="5"/>
      <c r="M178" s="6" t="str">
        <f t="shared" si="10"/>
        <v/>
      </c>
      <c r="N178" s="6" t="str">
        <f t="shared" si="11"/>
        <v/>
      </c>
    </row>
    <row r="179" spans="1:14">
      <c r="A179" s="13"/>
      <c r="B179" s="13"/>
      <c r="C179" s="13"/>
      <c r="D179" s="13"/>
      <c r="E179" s="13"/>
      <c r="F179" s="5"/>
      <c r="G179" s="5"/>
      <c r="H179" s="5"/>
      <c r="I179" s="5"/>
      <c r="J179" s="5"/>
      <c r="K179" s="5"/>
      <c r="L179" s="5"/>
      <c r="M179" s="6" t="str">
        <f t="shared" si="10"/>
        <v/>
      </c>
      <c r="N179" s="6" t="str">
        <f t="shared" si="11"/>
        <v/>
      </c>
    </row>
    <row r="180" spans="1:14">
      <c r="A180" s="13"/>
      <c r="B180" s="13"/>
      <c r="C180" s="13"/>
      <c r="D180" s="13"/>
      <c r="E180" s="13"/>
      <c r="F180" s="5"/>
      <c r="G180" s="5"/>
      <c r="H180" s="5"/>
      <c r="I180" s="5"/>
      <c r="J180" s="5"/>
      <c r="K180" s="5"/>
      <c r="L180" s="5"/>
      <c r="M180" s="6" t="str">
        <f t="shared" si="10"/>
        <v/>
      </c>
      <c r="N180" s="6" t="str">
        <f t="shared" si="11"/>
        <v/>
      </c>
    </row>
    <row r="181" spans="1:14">
      <c r="A181" s="13"/>
      <c r="B181" s="13"/>
      <c r="C181" s="13"/>
      <c r="D181" s="13"/>
      <c r="E181" s="13"/>
      <c r="F181" s="5"/>
      <c r="G181" s="5"/>
      <c r="H181" s="5"/>
      <c r="I181" s="5"/>
      <c r="J181" s="5"/>
      <c r="K181" s="5"/>
      <c r="L181" s="5"/>
      <c r="M181" s="6" t="str">
        <f t="shared" si="10"/>
        <v/>
      </c>
      <c r="N181" s="6" t="str">
        <f t="shared" si="11"/>
        <v/>
      </c>
    </row>
    <row r="182" spans="1:14">
      <c r="A182" s="13"/>
      <c r="B182" s="13"/>
      <c r="C182" s="13"/>
      <c r="D182" s="13"/>
      <c r="E182" s="13"/>
      <c r="F182" s="5"/>
      <c r="G182" s="5"/>
      <c r="H182" s="5"/>
      <c r="I182" s="5"/>
      <c r="J182" s="5"/>
      <c r="K182" s="5"/>
      <c r="L182" s="5"/>
      <c r="M182" s="6" t="str">
        <f t="shared" si="10"/>
        <v/>
      </c>
      <c r="N182" s="6" t="str">
        <f t="shared" si="11"/>
        <v/>
      </c>
    </row>
    <row r="183" spans="1:14">
      <c r="A183" s="13"/>
      <c r="B183" s="13"/>
      <c r="C183" s="13"/>
      <c r="D183" s="13"/>
      <c r="E183" s="13"/>
      <c r="F183" s="5"/>
      <c r="G183" s="5"/>
      <c r="H183" s="5"/>
      <c r="I183" s="5"/>
      <c r="J183" s="5"/>
      <c r="K183" s="5"/>
      <c r="L183" s="5"/>
      <c r="M183" s="6" t="str">
        <f t="shared" si="10"/>
        <v/>
      </c>
      <c r="N183" s="6" t="str">
        <f t="shared" si="11"/>
        <v/>
      </c>
    </row>
    <row r="184" spans="1:14">
      <c r="A184" s="13"/>
      <c r="B184" s="13"/>
      <c r="C184" s="13"/>
      <c r="D184" s="13"/>
      <c r="E184" s="13"/>
      <c r="F184" s="5"/>
      <c r="G184" s="5"/>
      <c r="H184" s="5"/>
      <c r="I184" s="5"/>
      <c r="J184" s="5"/>
      <c r="K184" s="5"/>
      <c r="L184" s="5"/>
      <c r="M184" s="6" t="str">
        <f t="shared" si="10"/>
        <v/>
      </c>
      <c r="N184" s="6" t="str">
        <f t="shared" si="11"/>
        <v/>
      </c>
    </row>
    <row r="185" spans="1:14">
      <c r="A185" s="13"/>
      <c r="B185" s="13"/>
      <c r="C185" s="13"/>
      <c r="D185" s="13"/>
      <c r="E185" s="13"/>
      <c r="F185" s="5"/>
      <c r="G185" s="5"/>
      <c r="H185" s="5"/>
      <c r="I185" s="5"/>
      <c r="J185" s="5"/>
      <c r="K185" s="5"/>
      <c r="L185" s="5"/>
      <c r="M185" s="6" t="str">
        <f t="shared" si="10"/>
        <v/>
      </c>
      <c r="N185" s="6" t="str">
        <f t="shared" si="11"/>
        <v/>
      </c>
    </row>
    <row r="186" spans="1:14">
      <c r="A186" s="13"/>
      <c r="B186" s="13"/>
      <c r="C186" s="13"/>
      <c r="D186" s="13"/>
      <c r="E186" s="13"/>
      <c r="F186" s="5"/>
      <c r="G186" s="5"/>
      <c r="H186" s="5"/>
      <c r="I186" s="5"/>
      <c r="J186" s="5"/>
      <c r="K186" s="5"/>
      <c r="L186" s="5"/>
      <c r="M186" s="6" t="str">
        <f t="shared" si="10"/>
        <v/>
      </c>
      <c r="N186" s="6" t="str">
        <f t="shared" si="11"/>
        <v/>
      </c>
    </row>
    <row r="187" spans="1:14">
      <c r="A187" s="13"/>
      <c r="B187" s="13"/>
      <c r="C187" s="13"/>
      <c r="D187" s="13"/>
      <c r="E187" s="13"/>
      <c r="F187" s="5"/>
      <c r="G187" s="5"/>
      <c r="H187" s="5"/>
      <c r="I187" s="5"/>
      <c r="J187" s="5"/>
      <c r="K187" s="5"/>
      <c r="L187" s="5"/>
      <c r="M187" s="6" t="str">
        <f t="shared" si="10"/>
        <v/>
      </c>
      <c r="N187" s="6" t="str">
        <f t="shared" si="11"/>
        <v/>
      </c>
    </row>
    <row r="188" spans="1:14">
      <c r="A188" s="13"/>
      <c r="B188" s="13"/>
      <c r="C188" s="13"/>
      <c r="D188" s="13"/>
      <c r="E188" s="13"/>
      <c r="F188" s="5"/>
      <c r="G188" s="5"/>
      <c r="H188" s="5"/>
      <c r="I188" s="5"/>
      <c r="J188" s="5"/>
      <c r="K188" s="5"/>
      <c r="L188" s="5"/>
      <c r="M188" s="6" t="str">
        <f t="shared" si="10"/>
        <v/>
      </c>
      <c r="N188" s="6" t="str">
        <f t="shared" si="11"/>
        <v/>
      </c>
    </row>
    <row r="189" spans="1:14">
      <c r="A189" s="13"/>
      <c r="B189" s="13"/>
      <c r="C189" s="13"/>
      <c r="D189" s="13"/>
      <c r="E189" s="13"/>
      <c r="F189" s="5"/>
      <c r="G189" s="5"/>
      <c r="H189" s="5"/>
      <c r="I189" s="5"/>
      <c r="J189" s="5"/>
      <c r="K189" s="5"/>
      <c r="L189" s="5"/>
      <c r="M189" s="6" t="str">
        <f t="shared" si="10"/>
        <v/>
      </c>
      <c r="N189" s="6" t="str">
        <f t="shared" si="11"/>
        <v/>
      </c>
    </row>
    <row r="190" spans="1:14">
      <c r="A190" s="13"/>
      <c r="B190" s="13"/>
      <c r="C190" s="13"/>
      <c r="D190" s="13"/>
      <c r="E190" s="13"/>
      <c r="F190" s="5"/>
      <c r="G190" s="5"/>
      <c r="H190" s="5"/>
      <c r="I190" s="5"/>
      <c r="J190" s="5"/>
      <c r="K190" s="5"/>
      <c r="L190" s="5"/>
      <c r="M190" s="6" t="str">
        <f t="shared" si="10"/>
        <v/>
      </c>
      <c r="N190" s="6" t="str">
        <f t="shared" si="11"/>
        <v/>
      </c>
    </row>
    <row r="191" spans="1:14">
      <c r="A191" s="13"/>
      <c r="B191" s="13"/>
      <c r="C191" s="13"/>
      <c r="D191" s="13"/>
      <c r="E191" s="13"/>
      <c r="F191" s="5"/>
      <c r="G191" s="5"/>
      <c r="H191" s="5"/>
      <c r="I191" s="5"/>
      <c r="J191" s="5"/>
      <c r="K191" s="5"/>
      <c r="L191" s="5"/>
      <c r="M191" s="6" t="str">
        <f t="shared" si="10"/>
        <v/>
      </c>
      <c r="N191" s="6" t="str">
        <f t="shared" si="11"/>
        <v/>
      </c>
    </row>
    <row r="192" spans="1:14">
      <c r="A192" s="13"/>
      <c r="B192" s="13"/>
      <c r="C192" s="13"/>
      <c r="D192" s="13"/>
      <c r="E192" s="13"/>
      <c r="F192" s="5"/>
      <c r="G192" s="5"/>
      <c r="H192" s="5"/>
      <c r="I192" s="5"/>
      <c r="J192" s="5"/>
      <c r="K192" s="5"/>
      <c r="L192" s="5"/>
      <c r="M192" s="6" t="str">
        <f t="shared" si="10"/>
        <v/>
      </c>
      <c r="N192" s="6" t="str">
        <f t="shared" si="11"/>
        <v/>
      </c>
    </row>
    <row r="193" spans="1:14">
      <c r="A193" s="13"/>
      <c r="B193" s="13"/>
      <c r="C193" s="13"/>
      <c r="D193" s="13"/>
      <c r="E193" s="13"/>
      <c r="F193" s="5"/>
      <c r="G193" s="5"/>
      <c r="H193" s="5"/>
      <c r="I193" s="5"/>
      <c r="J193" s="5"/>
      <c r="K193" s="5"/>
      <c r="L193" s="5"/>
      <c r="M193" s="6" t="str">
        <f t="shared" si="10"/>
        <v/>
      </c>
      <c r="N193" s="6" t="str">
        <f t="shared" si="11"/>
        <v/>
      </c>
    </row>
    <row r="194" spans="1:14">
      <c r="A194" s="13"/>
      <c r="B194" s="13"/>
      <c r="C194" s="13"/>
      <c r="D194" s="13"/>
      <c r="E194" s="13"/>
      <c r="F194" s="5"/>
      <c r="G194" s="5"/>
      <c r="H194" s="5"/>
      <c r="I194" s="5"/>
      <c r="J194" s="5"/>
      <c r="K194" s="5"/>
      <c r="L194" s="5"/>
      <c r="M194" s="6" t="str">
        <f t="shared" si="10"/>
        <v/>
      </c>
      <c r="N194" s="6" t="str">
        <f t="shared" si="11"/>
        <v/>
      </c>
    </row>
    <row r="195" spans="1:14">
      <c r="A195" s="13"/>
      <c r="B195" s="13"/>
      <c r="C195" s="13"/>
      <c r="D195" s="13"/>
      <c r="E195" s="13"/>
      <c r="F195" s="5"/>
      <c r="G195" s="5"/>
      <c r="H195" s="5"/>
      <c r="I195" s="5"/>
      <c r="J195" s="5"/>
      <c r="K195" s="5"/>
      <c r="L195" s="5"/>
      <c r="M195" s="6" t="str">
        <f t="shared" si="10"/>
        <v/>
      </c>
      <c r="N195" s="6" t="str">
        <f t="shared" si="11"/>
        <v/>
      </c>
    </row>
    <row r="196" spans="1:14">
      <c r="A196" s="13"/>
      <c r="B196" s="13"/>
      <c r="C196" s="13"/>
      <c r="D196" s="13"/>
      <c r="E196" s="13"/>
      <c r="F196" s="5"/>
      <c r="G196" s="5"/>
      <c r="H196" s="5"/>
      <c r="I196" s="5"/>
      <c r="J196" s="5"/>
      <c r="K196" s="5"/>
      <c r="L196" s="5"/>
      <c r="M196" s="6" t="str">
        <f t="shared" si="10"/>
        <v/>
      </c>
      <c r="N196" s="6" t="str">
        <f t="shared" si="11"/>
        <v/>
      </c>
    </row>
    <row r="197" spans="1:14">
      <c r="A197" s="13"/>
      <c r="B197" s="13"/>
      <c r="C197" s="13"/>
      <c r="D197" s="13"/>
      <c r="E197" s="13"/>
      <c r="F197" s="5"/>
      <c r="G197" s="5"/>
      <c r="H197" s="5"/>
      <c r="I197" s="5"/>
      <c r="J197" s="5"/>
      <c r="K197" s="5"/>
      <c r="L197" s="5"/>
      <c r="M197" s="6" t="str">
        <f t="shared" ref="M197:M228" si="12">IF(A197="","",IF(N197="","HỢP LỆ","CẦN SỬA"))</f>
        <v/>
      </c>
      <c r="N197" s="6" t="str">
        <f t="shared" ref="N197:N204" si="13">IF(A197="","",IF(B197="","Thiếu NodeId",IF(D197="","Thiếu NodeType",IF(COUNTIF($B$5:$B$204,B197)&gt;1,"NodeId bị trùng",IF(COUNTIF($A$5:$A$204,A197)&gt;1,"NodeOrder bị trùng",IF(AND(D197="scene",OR(C197="",F197="",G197="")),"scene cần ActNo, Background, SceneName",IF(AND(D197="say",OR(H197="",J197="")),"say cần SpeakerKey và Text",IF(AND(D197="choice",OR(E197="",H197="",I197="",J197="")),"choice cần ChoiceMode, SpeakerKey, Mood, Question",IF(AND(D197="act",K197=""),"act cần số La Mã",IF(AND(D197="end",COUNTIF($D$5:$D$204,"end")&lt;&gt;1),"Phải có đúng 1 node end",""))))))))))</f>
        <v/>
      </c>
    </row>
    <row r="198" spans="1:14">
      <c r="A198" s="13"/>
      <c r="B198" s="13"/>
      <c r="C198" s="13"/>
      <c r="D198" s="13"/>
      <c r="E198" s="13"/>
      <c r="F198" s="5"/>
      <c r="G198" s="5"/>
      <c r="H198" s="5"/>
      <c r="I198" s="5"/>
      <c r="J198" s="5"/>
      <c r="K198" s="5"/>
      <c r="L198" s="5"/>
      <c r="M198" s="6" t="str">
        <f t="shared" si="12"/>
        <v/>
      </c>
      <c r="N198" s="6" t="str">
        <f t="shared" si="13"/>
        <v/>
      </c>
    </row>
    <row r="199" spans="1:14">
      <c r="A199" s="13"/>
      <c r="B199" s="13"/>
      <c r="C199" s="13"/>
      <c r="D199" s="13"/>
      <c r="E199" s="13"/>
      <c r="F199" s="5"/>
      <c r="G199" s="5"/>
      <c r="H199" s="5"/>
      <c r="I199" s="5"/>
      <c r="J199" s="5"/>
      <c r="K199" s="5"/>
      <c r="L199" s="5"/>
      <c r="M199" s="6" t="str">
        <f t="shared" si="12"/>
        <v/>
      </c>
      <c r="N199" s="6" t="str">
        <f t="shared" si="13"/>
        <v/>
      </c>
    </row>
    <row r="200" spans="1:14">
      <c r="A200" s="13"/>
      <c r="B200" s="13"/>
      <c r="C200" s="13"/>
      <c r="D200" s="13"/>
      <c r="E200" s="13"/>
      <c r="F200" s="5"/>
      <c r="G200" s="5"/>
      <c r="H200" s="5"/>
      <c r="I200" s="5"/>
      <c r="J200" s="5"/>
      <c r="K200" s="5"/>
      <c r="L200" s="5"/>
      <c r="M200" s="6" t="str">
        <f t="shared" si="12"/>
        <v/>
      </c>
      <c r="N200" s="6" t="str">
        <f t="shared" si="13"/>
        <v/>
      </c>
    </row>
    <row r="201" spans="1:14">
      <c r="A201" s="13"/>
      <c r="B201" s="13"/>
      <c r="C201" s="13"/>
      <c r="D201" s="13"/>
      <c r="E201" s="13"/>
      <c r="F201" s="5"/>
      <c r="G201" s="5"/>
      <c r="H201" s="5"/>
      <c r="I201" s="5"/>
      <c r="J201" s="5"/>
      <c r="K201" s="5"/>
      <c r="L201" s="5"/>
      <c r="M201" s="6" t="str">
        <f t="shared" si="12"/>
        <v/>
      </c>
      <c r="N201" s="6" t="str">
        <f t="shared" si="13"/>
        <v/>
      </c>
    </row>
    <row r="202" spans="1:14">
      <c r="A202" s="13"/>
      <c r="B202" s="13"/>
      <c r="C202" s="13"/>
      <c r="D202" s="13"/>
      <c r="E202" s="13"/>
      <c r="F202" s="5"/>
      <c r="G202" s="5"/>
      <c r="H202" s="5"/>
      <c r="I202" s="5"/>
      <c r="J202" s="5"/>
      <c r="K202" s="5"/>
      <c r="L202" s="5"/>
      <c r="M202" s="6" t="str">
        <f t="shared" si="12"/>
        <v/>
      </c>
      <c r="N202" s="6" t="str">
        <f t="shared" si="13"/>
        <v/>
      </c>
    </row>
    <row r="203" spans="1:14">
      <c r="A203" s="13"/>
      <c r="B203" s="13"/>
      <c r="C203" s="13"/>
      <c r="D203" s="13"/>
      <c r="E203" s="13"/>
      <c r="F203" s="5"/>
      <c r="G203" s="5"/>
      <c r="H203" s="5"/>
      <c r="I203" s="5"/>
      <c r="J203" s="5"/>
      <c r="K203" s="5"/>
      <c r="L203" s="5"/>
      <c r="M203" s="6" t="str">
        <f t="shared" si="12"/>
        <v/>
      </c>
      <c r="N203" s="6" t="str">
        <f t="shared" si="13"/>
        <v/>
      </c>
    </row>
    <row r="204" spans="1:14">
      <c r="A204" s="13"/>
      <c r="B204" s="13"/>
      <c r="C204" s="13"/>
      <c r="D204" s="13"/>
      <c r="E204" s="13"/>
      <c r="F204" s="5"/>
      <c r="G204" s="5"/>
      <c r="H204" s="5"/>
      <c r="I204" s="5"/>
      <c r="J204" s="5"/>
      <c r="K204" s="5"/>
      <c r="L204" s="5"/>
      <c r="M204" s="6" t="str">
        <f t="shared" si="12"/>
        <v/>
      </c>
      <c r="N204" s="6" t="str">
        <f t="shared" si="13"/>
        <v/>
      </c>
    </row>
  </sheetData>
  <mergeCells count="2">
    <mergeCell ref="A1:N1"/>
    <mergeCell ref="A2:N2"/>
  </mergeCells>
  <conditionalFormatting sqref="D5:D204">
    <cfRule type="expression" dxfId="19" priority="4">
      <formula>D5="scene"</formula>
    </cfRule>
    <cfRule type="expression" dxfId="18" priority="5">
      <formula>D5="choice"</formula>
    </cfRule>
    <cfRule type="expression" dxfId="17" priority="6">
      <formula>D5="end"</formula>
    </cfRule>
  </conditionalFormatting>
  <conditionalFormatting sqref="E5:E204">
    <cfRule type="expression" dxfId="16" priority="7">
      <formula>E5="Tương tác"</formula>
    </cfRule>
  </conditionalFormatting>
  <conditionalFormatting sqref="M5:M204">
    <cfRule type="expression" dxfId="15" priority="1">
      <formula>M5="HỢP LỆ"</formula>
    </cfRule>
    <cfRule type="expression" dxfId="14" priority="2">
      <formula>M5="CẦN SỬA"</formula>
    </cfRule>
  </conditionalFormatting>
  <conditionalFormatting sqref="N5:N204">
    <cfRule type="expression" dxfId="13" priority="3">
      <formula>N5&lt;&gt;""</formula>
    </cfRule>
  </conditionalFormatting>
  <dataValidations count="2">
    <dataValidation type="list" sqref="E5:E204" xr:uid="{00000000-0002-0000-0200-000000000000}">
      <formula1>"Kiến thức,Tương tác"</formula1>
    </dataValidation>
    <dataValidation type="list" sqref="K5:K204" xr:uid="{00000000-0002-0000-0200-000001000000}">
      <formula1>"I,II,III,IV,V,VI,VII,VIII,IX,X"</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04"/>
  <sheetViews>
    <sheetView workbookViewId="0"/>
  </sheetViews>
  <sheetFormatPr defaultRowHeight="14.25"/>
  <cols>
    <col min="1" max="1" width="16" customWidth="1"/>
    <col min="2" max="2" width="13" customWidth="1"/>
    <col min="3" max="3" width="55" customWidth="1"/>
    <col min="4" max="4" width="12" customWidth="1"/>
    <col min="5" max="5" width="9" customWidth="1"/>
    <col min="6" max="6" width="16" customWidth="1"/>
    <col min="7" max="7" width="13" customWidth="1"/>
    <col min="8" max="8" width="62" customWidth="1"/>
    <col min="9" max="9" width="22" customWidth="1"/>
    <col min="10" max="10" width="13" customWidth="1"/>
    <col min="11" max="11" width="31" customWidth="1"/>
  </cols>
  <sheetData>
    <row r="1" spans="1:11" ht="30" customHeight="1">
      <c r="A1" s="19" t="s">
        <v>156</v>
      </c>
      <c r="B1" s="19"/>
      <c r="C1" s="19"/>
      <c r="D1" s="19"/>
      <c r="E1" s="19"/>
      <c r="F1" s="19"/>
      <c r="G1" s="19"/>
      <c r="H1" s="19"/>
      <c r="I1" s="19"/>
      <c r="J1" s="19"/>
      <c r="K1" s="19"/>
    </row>
    <row r="2" spans="1:11" ht="36" customHeight="1">
      <c r="A2" s="20" t="s">
        <v>157</v>
      </c>
      <c r="B2" s="20"/>
      <c r="C2" s="20"/>
      <c r="D2" s="20"/>
      <c r="E2" s="20"/>
      <c r="F2" s="20"/>
      <c r="G2" s="20"/>
      <c r="H2" s="20"/>
      <c r="I2" s="20"/>
      <c r="J2" s="20"/>
      <c r="K2" s="20"/>
    </row>
    <row r="4" spans="1:11" ht="39.950000000000003" customHeight="1">
      <c r="A4" s="1" t="s">
        <v>158</v>
      </c>
      <c r="B4" s="1" t="s">
        <v>159</v>
      </c>
      <c r="C4" s="1" t="s">
        <v>160</v>
      </c>
      <c r="D4" s="1" t="s">
        <v>161</v>
      </c>
      <c r="E4" s="1" t="s">
        <v>162</v>
      </c>
      <c r="F4" s="1" t="s">
        <v>163</v>
      </c>
      <c r="G4" s="1" t="s">
        <v>164</v>
      </c>
      <c r="H4" s="1" t="s">
        <v>165</v>
      </c>
      <c r="I4" s="1" t="s">
        <v>139</v>
      </c>
      <c r="J4" s="1" t="s">
        <v>135</v>
      </c>
      <c r="K4" s="1" t="s">
        <v>155</v>
      </c>
    </row>
    <row r="5" spans="1:11" ht="15" customHeight="1">
      <c r="A5" s="16" t="s">
        <v>389</v>
      </c>
      <c r="B5" s="16">
        <v>1</v>
      </c>
      <c r="C5" s="15" t="s">
        <v>457</v>
      </c>
      <c r="D5" s="16" t="s">
        <v>127</v>
      </c>
      <c r="E5" s="16">
        <v>8</v>
      </c>
      <c r="F5" s="16" t="s">
        <v>201</v>
      </c>
      <c r="G5" s="16" t="s">
        <v>196</v>
      </c>
      <c r="H5" s="15" t="s">
        <v>458</v>
      </c>
      <c r="I5" s="15" t="s">
        <v>54</v>
      </c>
      <c r="J5" s="17" t="str">
        <f t="shared" ref="J5:J68" si="0">IF(A5="","",IF(K5="","HỢP LỆ","CẦN SỬA"))</f>
        <v>HỢP LỆ</v>
      </c>
      <c r="K5" s="17" t="str">
        <f>IF(A5="","",IF(COUNTIFS('02_KICH_BAN_NODES'!$B$5:$B$204,A5,'02_KICH_BAN_NODES'!$D$5:$D$204,"choice")=0,"ChoiceNodeId không tồn tại hoặc không phải choice",IF(COUNTIFS($A$5:$A$404,A5,$B$5:$B$404,B5)&gt;1,"Trùng OptionOrder trong cùng choice",IF(OR(B5="",C5="",D5="",F5="",H5=""),"Thiếu trường bắt buộc",IF(OR(COUNTIF($A$5:$A$404,A5)&lt;2,COUNTIF($A$5:$A$404,A5)&gt;4),"Mỗi choice cần 2–4 option",IF(COUNTIFS('02_KICH_BAN_NODES'!$B$5:$B$204,A5,'02_KICH_BAN_NODES'!$E$5:$E$204,"Kiến thức")=1,IF(COUNTIFS($A$5:$A$404,A5,$D$5:$D$404,"Có")&lt;&gt;1,"Choice kiến thức cần đúng 1 đáp án đúng",""),IF(COUNTIFS('02_KICH_BAN_NODES'!$B$5:$B$204,A5,'02_KICH_BAN_NODES'!$E$5:$E$204,"Tương tác")=1,IF(COUNTIFS($A$5:$A$404,A5,$D$5:$D$404,"Có")&lt;&gt;0,"Choice tương tác không được đánh dấu đáp án đúng",""),"Choice chưa chọn loại")))))))</f>
        <v/>
      </c>
    </row>
    <row r="6" spans="1:11" ht="26.45" customHeight="1">
      <c r="A6" s="16" t="s">
        <v>389</v>
      </c>
      <c r="B6" s="16">
        <v>2</v>
      </c>
      <c r="C6" s="15" t="s">
        <v>459</v>
      </c>
      <c r="D6" s="16" t="s">
        <v>127</v>
      </c>
      <c r="E6" s="16">
        <v>4</v>
      </c>
      <c r="F6" s="16" t="s">
        <v>201</v>
      </c>
      <c r="G6" s="16" t="s">
        <v>186</v>
      </c>
      <c r="H6" s="15" t="s">
        <v>460</v>
      </c>
      <c r="I6" s="15" t="s">
        <v>54</v>
      </c>
      <c r="J6" s="17" t="str">
        <f t="shared" si="0"/>
        <v>HỢP LỆ</v>
      </c>
      <c r="K6" s="17" t="str">
        <f>IF(A6="","",IF(COUNTIFS('02_KICH_BAN_NODES'!$B$5:$B$204,A6,'02_KICH_BAN_NODES'!$D$5:$D$204,"choice")=0,"ChoiceNodeId không tồn tại hoặc không phải choice",IF(COUNTIFS($A$5:$A$404,A6,$B$5:$B$404,B6)&gt;1,"Trùng OptionOrder trong cùng choice",IF(OR(B6="",C6="",D6="",F6="",H6=""),"Thiếu trường bắt buộc",IF(OR(COUNTIF($A$5:$A$404,A6)&lt;2,COUNTIF($A$5:$A$404,A6)&gt;4),"Mỗi choice cần 2–4 option",IF(COUNTIFS('02_KICH_BAN_NODES'!$B$5:$B$204,A6,'02_KICH_BAN_NODES'!$E$5:$E$204,"Kiến thức")=1,IF(COUNTIFS($A$5:$A$404,A6,$D$5:$D$404,"Có")&lt;&gt;1,"Choice kiến thức cần đúng 1 đáp án đúng",""),IF(COUNTIFS('02_KICH_BAN_NODES'!$B$5:$B$204,A6,'02_KICH_BAN_NODES'!$E$5:$E$204,"Tương tác")=1,IF(COUNTIFS($A$5:$A$404,A6,$D$5:$D$404,"Có")&lt;&gt;0,"Choice tương tác không được đánh dấu đáp án đúng",""),"Choice chưa chọn loại")))))))</f>
        <v/>
      </c>
    </row>
    <row r="7" spans="1:11" ht="26.45" customHeight="1">
      <c r="A7" s="16" t="s">
        <v>393</v>
      </c>
      <c r="B7" s="16">
        <v>1</v>
      </c>
      <c r="C7" s="15" t="s">
        <v>461</v>
      </c>
      <c r="D7" s="16" t="s">
        <v>96</v>
      </c>
      <c r="E7" s="16"/>
      <c r="F7" s="16" t="s">
        <v>224</v>
      </c>
      <c r="G7" s="16" t="s">
        <v>196</v>
      </c>
      <c r="H7" s="15" t="s">
        <v>462</v>
      </c>
      <c r="I7" s="15" t="s">
        <v>463</v>
      </c>
      <c r="J7" s="17" t="str">
        <f t="shared" si="0"/>
        <v>HỢP LỆ</v>
      </c>
      <c r="K7" s="17" t="str">
        <f>IF(A7="","",IF(COUNTIFS('02_KICH_BAN_NODES'!$B$5:$B$204,A7,'02_KICH_BAN_NODES'!$D$5:$D$204,"choice")=0,"ChoiceNodeId không tồn tại hoặc không phải choice",IF(COUNTIFS($A$5:$A$404,A7,$B$5:$B$404,B7)&gt;1,"Trùng OptionOrder trong cùng choice",IF(OR(B7="",C7="",D7="",F7="",H7=""),"Thiếu trường bắt buộc",IF(OR(COUNTIF($A$5:$A$404,A7)&lt;2,COUNTIF($A$5:$A$404,A7)&gt;4),"Mỗi choice cần 2–4 option",IF(COUNTIFS('02_KICH_BAN_NODES'!$B$5:$B$204,A7,'02_KICH_BAN_NODES'!$E$5:$E$204,"Kiến thức")=1,IF(COUNTIFS($A$5:$A$404,A7,$D$5:$D$404,"Có")&lt;&gt;1,"Choice kiến thức cần đúng 1 đáp án đúng",""),IF(COUNTIFS('02_KICH_BAN_NODES'!$B$5:$B$204,A7,'02_KICH_BAN_NODES'!$E$5:$E$204,"Tương tác")=1,IF(COUNTIFS($A$5:$A$404,A7,$D$5:$D$404,"Có")&lt;&gt;0,"Choice tương tác không được đánh dấu đáp án đúng",""),"Choice chưa chọn loại")))))))</f>
        <v/>
      </c>
    </row>
    <row r="8" spans="1:11" ht="26.45" customHeight="1">
      <c r="A8" s="16" t="s">
        <v>393</v>
      </c>
      <c r="B8" s="16">
        <v>2</v>
      </c>
      <c r="C8" s="15" t="s">
        <v>464</v>
      </c>
      <c r="D8" s="16" t="s">
        <v>127</v>
      </c>
      <c r="E8" s="16"/>
      <c r="F8" s="16" t="s">
        <v>224</v>
      </c>
      <c r="G8" s="16" t="s">
        <v>206</v>
      </c>
      <c r="H8" s="15" t="s">
        <v>465</v>
      </c>
      <c r="I8" s="15" t="s">
        <v>466</v>
      </c>
      <c r="J8" s="17" t="str">
        <f t="shared" si="0"/>
        <v>HỢP LỆ</v>
      </c>
      <c r="K8" s="17" t="str">
        <f>IF(A8="","",IF(COUNTIFS('02_KICH_BAN_NODES'!$B$5:$B$204,A8,'02_KICH_BAN_NODES'!$D$5:$D$204,"choice")=0,"ChoiceNodeId không tồn tại hoặc không phải choice",IF(COUNTIFS($A$5:$A$404,A8,$B$5:$B$404,B8)&gt;1,"Trùng OptionOrder trong cùng choice",IF(OR(B8="",C8="",D8="",F8="",H8=""),"Thiếu trường bắt buộc",IF(OR(COUNTIF($A$5:$A$404,A8)&lt;2,COUNTIF($A$5:$A$404,A8)&gt;4),"Mỗi choice cần 2–4 option",IF(COUNTIFS('02_KICH_BAN_NODES'!$B$5:$B$204,A8,'02_KICH_BAN_NODES'!$E$5:$E$204,"Kiến thức")=1,IF(COUNTIFS($A$5:$A$404,A8,$D$5:$D$404,"Có")&lt;&gt;1,"Choice kiến thức cần đúng 1 đáp án đúng",""),IF(COUNTIFS('02_KICH_BAN_NODES'!$B$5:$B$204,A8,'02_KICH_BAN_NODES'!$E$5:$E$204,"Tương tác")=1,IF(COUNTIFS($A$5:$A$404,A8,$D$5:$D$404,"Có")&lt;&gt;0,"Choice tương tác không được đánh dấu đáp án đúng",""),"Choice chưa chọn loại")))))))</f>
        <v/>
      </c>
    </row>
    <row r="9" spans="1:11" ht="26.45" customHeight="1">
      <c r="A9" s="16" t="s">
        <v>393</v>
      </c>
      <c r="B9" s="16">
        <v>3</v>
      </c>
      <c r="C9" s="15" t="s">
        <v>467</v>
      </c>
      <c r="D9" s="16" t="s">
        <v>127</v>
      </c>
      <c r="E9" s="16"/>
      <c r="F9" s="16" t="s">
        <v>224</v>
      </c>
      <c r="G9" s="16" t="s">
        <v>206</v>
      </c>
      <c r="H9" s="15" t="s">
        <v>465</v>
      </c>
      <c r="I9" s="15" t="s">
        <v>466</v>
      </c>
      <c r="J9" s="17" t="str">
        <f t="shared" si="0"/>
        <v>HỢP LỆ</v>
      </c>
      <c r="K9" s="17" t="str">
        <f>IF(A9="","",IF(COUNTIFS('02_KICH_BAN_NODES'!$B$5:$B$204,A9,'02_KICH_BAN_NODES'!$D$5:$D$204,"choice")=0,"ChoiceNodeId không tồn tại hoặc không phải choice",IF(COUNTIFS($A$5:$A$404,A9,$B$5:$B$404,B9)&gt;1,"Trùng OptionOrder trong cùng choice",IF(OR(B9="",C9="",D9="",F9="",H9=""),"Thiếu trường bắt buộc",IF(OR(COUNTIF($A$5:$A$404,A9)&lt;2,COUNTIF($A$5:$A$404,A9)&gt;4),"Mỗi choice cần 2–4 option",IF(COUNTIFS('02_KICH_BAN_NODES'!$B$5:$B$204,A9,'02_KICH_BAN_NODES'!$E$5:$E$204,"Kiến thức")=1,IF(COUNTIFS($A$5:$A$404,A9,$D$5:$D$404,"Có")&lt;&gt;1,"Choice kiến thức cần đúng 1 đáp án đúng",""),IF(COUNTIFS('02_KICH_BAN_NODES'!$B$5:$B$204,A9,'02_KICH_BAN_NODES'!$E$5:$E$204,"Tương tác")=1,IF(COUNTIFS($A$5:$A$404,A9,$D$5:$D$404,"Có")&lt;&gt;0,"Choice tương tác không được đánh dấu đáp án đúng",""),"Choice chưa chọn loại")))))))</f>
        <v/>
      </c>
    </row>
    <row r="10" spans="1:11" ht="15" customHeight="1">
      <c r="A10" s="16" t="s">
        <v>396</v>
      </c>
      <c r="B10" s="16">
        <v>1</v>
      </c>
      <c r="C10" s="15" t="s">
        <v>468</v>
      </c>
      <c r="D10" s="16" t="s">
        <v>96</v>
      </c>
      <c r="E10" s="16"/>
      <c r="F10" s="16" t="s">
        <v>211</v>
      </c>
      <c r="G10" s="16" t="s">
        <v>196</v>
      </c>
      <c r="H10" s="15" t="s">
        <v>469</v>
      </c>
      <c r="I10" s="15" t="s">
        <v>463</v>
      </c>
      <c r="J10" s="17" t="str">
        <f t="shared" si="0"/>
        <v>HỢP LỆ</v>
      </c>
      <c r="K10" s="17" t="str">
        <f>IF(A10="","",IF(COUNTIFS('02_KICH_BAN_NODES'!$B$5:$B$204,A10,'02_KICH_BAN_NODES'!$D$5:$D$204,"choice")=0,"ChoiceNodeId không tồn tại hoặc không phải choice",IF(COUNTIFS($A$5:$A$404,A10,$B$5:$B$404,B10)&gt;1,"Trùng OptionOrder trong cùng choice",IF(OR(B10="",C10="",D10="",F10="",H10=""),"Thiếu trường bắt buộc",IF(OR(COUNTIF($A$5:$A$404,A10)&lt;2,COUNTIF($A$5:$A$404,A10)&gt;4),"Mỗi choice cần 2–4 option",IF(COUNTIFS('02_KICH_BAN_NODES'!$B$5:$B$204,A10,'02_KICH_BAN_NODES'!$E$5:$E$204,"Kiến thức")=1,IF(COUNTIFS($A$5:$A$404,A10,$D$5:$D$404,"Có")&lt;&gt;1,"Choice kiến thức cần đúng 1 đáp án đúng",""),IF(COUNTIFS('02_KICH_BAN_NODES'!$B$5:$B$204,A10,'02_KICH_BAN_NODES'!$E$5:$E$204,"Tương tác")=1,IF(COUNTIFS($A$5:$A$404,A10,$D$5:$D$404,"Có")&lt;&gt;0,"Choice tương tác không được đánh dấu đáp án đúng",""),"Choice chưa chọn loại")))))))</f>
        <v/>
      </c>
    </row>
    <row r="11" spans="1:11" ht="15" customHeight="1">
      <c r="A11" s="16" t="s">
        <v>396</v>
      </c>
      <c r="B11" s="16">
        <v>2</v>
      </c>
      <c r="C11" s="15" t="s">
        <v>470</v>
      </c>
      <c r="D11" s="16" t="s">
        <v>127</v>
      </c>
      <c r="E11" s="16"/>
      <c r="F11" s="16" t="s">
        <v>211</v>
      </c>
      <c r="G11" s="16" t="s">
        <v>206</v>
      </c>
      <c r="H11" s="15" t="s">
        <v>471</v>
      </c>
      <c r="I11" s="15" t="s">
        <v>466</v>
      </c>
      <c r="J11" s="17" t="str">
        <f t="shared" si="0"/>
        <v>HỢP LỆ</v>
      </c>
      <c r="K11" s="17" t="str">
        <f>IF(A11="","",IF(COUNTIFS('02_KICH_BAN_NODES'!$B$5:$B$204,A11,'02_KICH_BAN_NODES'!$D$5:$D$204,"choice")=0,"ChoiceNodeId không tồn tại hoặc không phải choice",IF(COUNTIFS($A$5:$A$404,A11,$B$5:$B$404,B11)&gt;1,"Trùng OptionOrder trong cùng choice",IF(OR(B11="",C11="",D11="",F11="",H11=""),"Thiếu trường bắt buộc",IF(OR(COUNTIF($A$5:$A$404,A11)&lt;2,COUNTIF($A$5:$A$404,A11)&gt;4),"Mỗi choice cần 2–4 option",IF(COUNTIFS('02_KICH_BAN_NODES'!$B$5:$B$204,A11,'02_KICH_BAN_NODES'!$E$5:$E$204,"Kiến thức")=1,IF(COUNTIFS($A$5:$A$404,A11,$D$5:$D$404,"Có")&lt;&gt;1,"Choice kiến thức cần đúng 1 đáp án đúng",""),IF(COUNTIFS('02_KICH_BAN_NODES'!$B$5:$B$204,A11,'02_KICH_BAN_NODES'!$E$5:$E$204,"Tương tác")=1,IF(COUNTIFS($A$5:$A$404,A11,$D$5:$D$404,"Có")&lt;&gt;0,"Choice tương tác không được đánh dấu đáp án đúng",""),"Choice chưa chọn loại")))))))</f>
        <v/>
      </c>
    </row>
    <row r="12" spans="1:11" ht="15" customHeight="1">
      <c r="A12" s="16" t="s">
        <v>396</v>
      </c>
      <c r="B12" s="16">
        <v>3</v>
      </c>
      <c r="C12" s="15" t="s">
        <v>472</v>
      </c>
      <c r="D12" s="16" t="s">
        <v>127</v>
      </c>
      <c r="E12" s="16"/>
      <c r="F12" s="16" t="s">
        <v>211</v>
      </c>
      <c r="G12" s="16" t="s">
        <v>206</v>
      </c>
      <c r="H12" s="15" t="s">
        <v>471</v>
      </c>
      <c r="I12" s="15" t="s">
        <v>466</v>
      </c>
      <c r="J12" s="17" t="str">
        <f t="shared" si="0"/>
        <v>HỢP LỆ</v>
      </c>
      <c r="K12" s="17" t="str">
        <f>IF(A12="","",IF(COUNTIFS('02_KICH_BAN_NODES'!$B$5:$B$204,A12,'02_KICH_BAN_NODES'!$D$5:$D$204,"choice")=0,"ChoiceNodeId không tồn tại hoặc không phải choice",IF(COUNTIFS($A$5:$A$404,A12,$B$5:$B$404,B12)&gt;1,"Trùng OptionOrder trong cùng choice",IF(OR(B12="",C12="",D12="",F12="",H12=""),"Thiếu trường bắt buộc",IF(OR(COUNTIF($A$5:$A$404,A12)&lt;2,COUNTIF($A$5:$A$404,A12)&gt;4),"Mỗi choice cần 2–4 option",IF(COUNTIFS('02_KICH_BAN_NODES'!$B$5:$B$204,A12,'02_KICH_BAN_NODES'!$E$5:$E$204,"Kiến thức")=1,IF(COUNTIFS($A$5:$A$404,A12,$D$5:$D$404,"Có")&lt;&gt;1,"Choice kiến thức cần đúng 1 đáp án đúng",""),IF(COUNTIFS('02_KICH_BAN_NODES'!$B$5:$B$204,A12,'02_KICH_BAN_NODES'!$E$5:$E$204,"Tương tác")=1,IF(COUNTIFS($A$5:$A$404,A12,$D$5:$D$404,"Có")&lt;&gt;0,"Choice tương tác không được đánh dấu đáp án đúng",""),"Choice chưa chọn loại")))))))</f>
        <v/>
      </c>
    </row>
    <row r="13" spans="1:11" ht="26.45" customHeight="1">
      <c r="A13" s="16" t="s">
        <v>398</v>
      </c>
      <c r="B13" s="16">
        <v>1</v>
      </c>
      <c r="C13" s="15" t="s">
        <v>473</v>
      </c>
      <c r="D13" s="16" t="s">
        <v>96</v>
      </c>
      <c r="E13" s="16"/>
      <c r="F13" s="16" t="s">
        <v>218</v>
      </c>
      <c r="G13" s="16" t="s">
        <v>186</v>
      </c>
      <c r="H13" s="15" t="s">
        <v>474</v>
      </c>
      <c r="I13" s="15" t="s">
        <v>463</v>
      </c>
      <c r="J13" s="17" t="str">
        <f t="shared" si="0"/>
        <v>HỢP LỆ</v>
      </c>
      <c r="K13" s="17" t="str">
        <f>IF(A13="","",IF(COUNTIFS('02_KICH_BAN_NODES'!$B$5:$B$204,A13,'02_KICH_BAN_NODES'!$D$5:$D$204,"choice")=0,"ChoiceNodeId không tồn tại hoặc không phải choice",IF(COUNTIFS($A$5:$A$404,A13,$B$5:$B$404,B13)&gt;1,"Trùng OptionOrder trong cùng choice",IF(OR(B13="",C13="",D13="",F13="",H13=""),"Thiếu trường bắt buộc",IF(OR(COUNTIF($A$5:$A$404,A13)&lt;2,COUNTIF($A$5:$A$404,A13)&gt;4),"Mỗi choice cần 2–4 option",IF(COUNTIFS('02_KICH_BAN_NODES'!$B$5:$B$204,A13,'02_KICH_BAN_NODES'!$E$5:$E$204,"Kiến thức")=1,IF(COUNTIFS($A$5:$A$404,A13,$D$5:$D$404,"Có")&lt;&gt;1,"Choice kiến thức cần đúng 1 đáp án đúng",""),IF(COUNTIFS('02_KICH_BAN_NODES'!$B$5:$B$204,A13,'02_KICH_BAN_NODES'!$E$5:$E$204,"Tương tác")=1,IF(COUNTIFS($A$5:$A$404,A13,$D$5:$D$404,"Có")&lt;&gt;0,"Choice tương tác không được đánh dấu đáp án đúng",""),"Choice chưa chọn loại")))))))</f>
        <v/>
      </c>
    </row>
    <row r="14" spans="1:11" ht="26.45" customHeight="1">
      <c r="A14" s="16" t="s">
        <v>398</v>
      </c>
      <c r="B14" s="16">
        <v>2</v>
      </c>
      <c r="C14" s="15" t="s">
        <v>475</v>
      </c>
      <c r="D14" s="16" t="s">
        <v>127</v>
      </c>
      <c r="E14" s="16"/>
      <c r="F14" s="16" t="s">
        <v>218</v>
      </c>
      <c r="G14" s="16" t="s">
        <v>214</v>
      </c>
      <c r="H14" s="15" t="s">
        <v>476</v>
      </c>
      <c r="I14" s="15" t="s">
        <v>466</v>
      </c>
      <c r="J14" s="17" t="str">
        <f t="shared" si="0"/>
        <v>HỢP LỆ</v>
      </c>
      <c r="K14" s="17" t="str">
        <f>IF(A14="","",IF(COUNTIFS('02_KICH_BAN_NODES'!$B$5:$B$204,A14,'02_KICH_BAN_NODES'!$D$5:$D$204,"choice")=0,"ChoiceNodeId không tồn tại hoặc không phải choice",IF(COUNTIFS($A$5:$A$404,A14,$B$5:$B$404,B14)&gt;1,"Trùng OptionOrder trong cùng choice",IF(OR(B14="",C14="",D14="",F14="",H14=""),"Thiếu trường bắt buộc",IF(OR(COUNTIF($A$5:$A$404,A14)&lt;2,COUNTIF($A$5:$A$404,A14)&gt;4),"Mỗi choice cần 2–4 option",IF(COUNTIFS('02_KICH_BAN_NODES'!$B$5:$B$204,A14,'02_KICH_BAN_NODES'!$E$5:$E$204,"Kiến thức")=1,IF(COUNTIFS($A$5:$A$404,A14,$D$5:$D$404,"Có")&lt;&gt;1,"Choice kiến thức cần đúng 1 đáp án đúng",""),IF(COUNTIFS('02_KICH_BAN_NODES'!$B$5:$B$204,A14,'02_KICH_BAN_NODES'!$E$5:$E$204,"Tương tác")=1,IF(COUNTIFS($A$5:$A$404,A14,$D$5:$D$404,"Có")&lt;&gt;0,"Choice tương tác không được đánh dấu đáp án đúng",""),"Choice chưa chọn loại")))))))</f>
        <v/>
      </c>
    </row>
    <row r="15" spans="1:11" ht="26.45" customHeight="1">
      <c r="A15" s="16" t="s">
        <v>398</v>
      </c>
      <c r="B15" s="16">
        <v>3</v>
      </c>
      <c r="C15" s="15" t="s">
        <v>477</v>
      </c>
      <c r="D15" s="16" t="s">
        <v>127</v>
      </c>
      <c r="E15" s="16"/>
      <c r="F15" s="16" t="s">
        <v>218</v>
      </c>
      <c r="G15" s="16" t="s">
        <v>214</v>
      </c>
      <c r="H15" s="15" t="s">
        <v>476</v>
      </c>
      <c r="I15" s="15" t="s">
        <v>466</v>
      </c>
      <c r="J15" s="17" t="str">
        <f t="shared" si="0"/>
        <v>HỢP LỆ</v>
      </c>
      <c r="K15" s="17" t="str">
        <f>IF(A15="","",IF(COUNTIFS('02_KICH_BAN_NODES'!$B$5:$B$204,A15,'02_KICH_BAN_NODES'!$D$5:$D$204,"choice")=0,"ChoiceNodeId không tồn tại hoặc không phải choice",IF(COUNTIFS($A$5:$A$404,A15,$B$5:$B$404,B15)&gt;1,"Trùng OptionOrder trong cùng choice",IF(OR(B15="",C15="",D15="",F15="",H15=""),"Thiếu trường bắt buộc",IF(OR(COUNTIF($A$5:$A$404,A15)&lt;2,COUNTIF($A$5:$A$404,A15)&gt;4),"Mỗi choice cần 2–4 option",IF(COUNTIFS('02_KICH_BAN_NODES'!$B$5:$B$204,A15,'02_KICH_BAN_NODES'!$E$5:$E$204,"Kiến thức")=1,IF(COUNTIFS($A$5:$A$404,A15,$D$5:$D$404,"Có")&lt;&gt;1,"Choice kiến thức cần đúng 1 đáp án đúng",""),IF(COUNTIFS('02_KICH_BAN_NODES'!$B$5:$B$204,A15,'02_KICH_BAN_NODES'!$E$5:$E$204,"Tương tác")=1,IF(COUNTIFS($A$5:$A$404,A15,$D$5:$D$404,"Có")&lt;&gt;0,"Choice tương tác không được đánh dấu đáp án đúng",""),"Choice chưa chọn loại")))))))</f>
        <v/>
      </c>
    </row>
    <row r="16" spans="1:11" ht="26.45" customHeight="1">
      <c r="A16" s="16" t="s">
        <v>400</v>
      </c>
      <c r="B16" s="16">
        <v>1</v>
      </c>
      <c r="C16" s="15" t="s">
        <v>478</v>
      </c>
      <c r="D16" s="16" t="s">
        <v>96</v>
      </c>
      <c r="E16" s="16"/>
      <c r="F16" s="16" t="s">
        <v>201</v>
      </c>
      <c r="G16" s="16" t="s">
        <v>196</v>
      </c>
      <c r="H16" s="15" t="s">
        <v>479</v>
      </c>
      <c r="I16" s="15" t="s">
        <v>463</v>
      </c>
      <c r="J16" s="17" t="str">
        <f t="shared" si="0"/>
        <v>HỢP LỆ</v>
      </c>
      <c r="K16" s="17" t="str">
        <f>IF(A16="","",IF(COUNTIFS('02_KICH_BAN_NODES'!$B$5:$B$204,A16,'02_KICH_BAN_NODES'!$D$5:$D$204,"choice")=0,"ChoiceNodeId không tồn tại hoặc không phải choice",IF(COUNTIFS($A$5:$A$404,A16,$B$5:$B$404,B16)&gt;1,"Trùng OptionOrder trong cùng choice",IF(OR(B16="",C16="",D16="",F16="",H16=""),"Thiếu trường bắt buộc",IF(OR(COUNTIF($A$5:$A$404,A16)&lt;2,COUNTIF($A$5:$A$404,A16)&gt;4),"Mỗi choice cần 2–4 option",IF(COUNTIFS('02_KICH_BAN_NODES'!$B$5:$B$204,A16,'02_KICH_BAN_NODES'!$E$5:$E$204,"Kiến thức")=1,IF(COUNTIFS($A$5:$A$404,A16,$D$5:$D$404,"Có")&lt;&gt;1,"Choice kiến thức cần đúng 1 đáp án đúng",""),IF(COUNTIFS('02_KICH_BAN_NODES'!$B$5:$B$204,A16,'02_KICH_BAN_NODES'!$E$5:$E$204,"Tương tác")=1,IF(COUNTIFS($A$5:$A$404,A16,$D$5:$D$404,"Có")&lt;&gt;0,"Choice tương tác không được đánh dấu đáp án đúng",""),"Choice chưa chọn loại")))))))</f>
        <v/>
      </c>
    </row>
    <row r="17" spans="1:11" ht="15" customHeight="1">
      <c r="A17" s="16" t="s">
        <v>400</v>
      </c>
      <c r="B17" s="16">
        <v>2</v>
      </c>
      <c r="C17" s="15" t="s">
        <v>480</v>
      </c>
      <c r="D17" s="16" t="s">
        <v>127</v>
      </c>
      <c r="E17" s="16"/>
      <c r="F17" s="16" t="s">
        <v>201</v>
      </c>
      <c r="G17" s="16" t="s">
        <v>206</v>
      </c>
      <c r="H17" s="15" t="s">
        <v>481</v>
      </c>
      <c r="I17" s="15" t="s">
        <v>466</v>
      </c>
      <c r="J17" s="17" t="str">
        <f t="shared" si="0"/>
        <v>HỢP LỆ</v>
      </c>
      <c r="K17" s="17" t="str">
        <f>IF(A17="","",IF(COUNTIFS('02_KICH_BAN_NODES'!$B$5:$B$204,A17,'02_KICH_BAN_NODES'!$D$5:$D$204,"choice")=0,"ChoiceNodeId không tồn tại hoặc không phải choice",IF(COUNTIFS($A$5:$A$404,A17,$B$5:$B$404,B17)&gt;1,"Trùng OptionOrder trong cùng choice",IF(OR(B17="",C17="",D17="",F17="",H17=""),"Thiếu trường bắt buộc",IF(OR(COUNTIF($A$5:$A$404,A17)&lt;2,COUNTIF($A$5:$A$404,A17)&gt;4),"Mỗi choice cần 2–4 option",IF(COUNTIFS('02_KICH_BAN_NODES'!$B$5:$B$204,A17,'02_KICH_BAN_NODES'!$E$5:$E$204,"Kiến thức")=1,IF(COUNTIFS($A$5:$A$404,A17,$D$5:$D$404,"Có")&lt;&gt;1,"Choice kiến thức cần đúng 1 đáp án đúng",""),IF(COUNTIFS('02_KICH_BAN_NODES'!$B$5:$B$204,A17,'02_KICH_BAN_NODES'!$E$5:$E$204,"Tương tác")=1,IF(COUNTIFS($A$5:$A$404,A17,$D$5:$D$404,"Có")&lt;&gt;0,"Choice tương tác không được đánh dấu đáp án đúng",""),"Choice chưa chọn loại")))))))</f>
        <v/>
      </c>
    </row>
    <row r="18" spans="1:11" ht="15" customHeight="1">
      <c r="A18" s="16" t="s">
        <v>400</v>
      </c>
      <c r="B18" s="16">
        <v>3</v>
      </c>
      <c r="C18" s="15" t="s">
        <v>482</v>
      </c>
      <c r="D18" s="16" t="s">
        <v>127</v>
      </c>
      <c r="E18" s="16"/>
      <c r="F18" s="16" t="s">
        <v>201</v>
      </c>
      <c r="G18" s="16" t="s">
        <v>206</v>
      </c>
      <c r="H18" s="15" t="s">
        <v>481</v>
      </c>
      <c r="I18" s="15" t="s">
        <v>466</v>
      </c>
      <c r="J18" s="17" t="str">
        <f t="shared" si="0"/>
        <v>HỢP LỆ</v>
      </c>
      <c r="K18" s="17" t="str">
        <f>IF(A18="","",IF(COUNTIFS('02_KICH_BAN_NODES'!$B$5:$B$204,A18,'02_KICH_BAN_NODES'!$D$5:$D$204,"choice")=0,"ChoiceNodeId không tồn tại hoặc không phải choice",IF(COUNTIFS($A$5:$A$404,A18,$B$5:$B$404,B18)&gt;1,"Trùng OptionOrder trong cùng choice",IF(OR(B18="",C18="",D18="",F18="",H18=""),"Thiếu trường bắt buộc",IF(OR(COUNTIF($A$5:$A$404,A18)&lt;2,COUNTIF($A$5:$A$404,A18)&gt;4),"Mỗi choice cần 2–4 option",IF(COUNTIFS('02_KICH_BAN_NODES'!$B$5:$B$204,A18,'02_KICH_BAN_NODES'!$E$5:$E$204,"Kiến thức")=1,IF(COUNTIFS($A$5:$A$404,A18,$D$5:$D$404,"Có")&lt;&gt;1,"Choice kiến thức cần đúng 1 đáp án đúng",""),IF(COUNTIFS('02_KICH_BAN_NODES'!$B$5:$B$204,A18,'02_KICH_BAN_NODES'!$E$5:$E$204,"Tương tác")=1,IF(COUNTIFS($A$5:$A$404,A18,$D$5:$D$404,"Có")&lt;&gt;0,"Choice tương tác không được đánh dấu đáp án đúng",""),"Choice chưa chọn loại")))))))</f>
        <v/>
      </c>
    </row>
    <row r="19" spans="1:11" ht="26.45" customHeight="1">
      <c r="A19" s="16" t="s">
        <v>402</v>
      </c>
      <c r="B19" s="16">
        <v>1</v>
      </c>
      <c r="C19" s="15" t="s">
        <v>483</v>
      </c>
      <c r="D19" s="16" t="s">
        <v>96</v>
      </c>
      <c r="E19" s="16"/>
      <c r="F19" s="16" t="s">
        <v>211</v>
      </c>
      <c r="G19" s="16" t="s">
        <v>196</v>
      </c>
      <c r="H19" s="15" t="s">
        <v>484</v>
      </c>
      <c r="I19" s="15" t="s">
        <v>463</v>
      </c>
      <c r="J19" s="17" t="str">
        <f t="shared" si="0"/>
        <v>HỢP LỆ</v>
      </c>
      <c r="K19" s="17" t="str">
        <f>IF(A19="","",IF(COUNTIFS('02_KICH_BAN_NODES'!$B$5:$B$204,A19,'02_KICH_BAN_NODES'!$D$5:$D$204,"choice")=0,"ChoiceNodeId không tồn tại hoặc không phải choice",IF(COUNTIFS($A$5:$A$404,A19,$B$5:$B$404,B19)&gt;1,"Trùng OptionOrder trong cùng choice",IF(OR(B19="",C19="",D19="",F19="",H19=""),"Thiếu trường bắt buộc",IF(OR(COUNTIF($A$5:$A$404,A19)&lt;2,COUNTIF($A$5:$A$404,A19)&gt;4),"Mỗi choice cần 2–4 option",IF(COUNTIFS('02_KICH_BAN_NODES'!$B$5:$B$204,A19,'02_KICH_BAN_NODES'!$E$5:$E$204,"Kiến thức")=1,IF(COUNTIFS($A$5:$A$404,A19,$D$5:$D$404,"Có")&lt;&gt;1,"Choice kiến thức cần đúng 1 đáp án đúng",""),IF(COUNTIFS('02_KICH_BAN_NODES'!$B$5:$B$204,A19,'02_KICH_BAN_NODES'!$E$5:$E$204,"Tương tác")=1,IF(COUNTIFS($A$5:$A$404,A19,$D$5:$D$404,"Có")&lt;&gt;0,"Choice tương tác không được đánh dấu đáp án đúng",""),"Choice chưa chọn loại")))))))</f>
        <v/>
      </c>
    </row>
    <row r="20" spans="1:11" ht="26.45" customHeight="1">
      <c r="A20" s="16" t="s">
        <v>402</v>
      </c>
      <c r="B20" s="16">
        <v>2</v>
      </c>
      <c r="C20" s="15" t="s">
        <v>485</v>
      </c>
      <c r="D20" s="16" t="s">
        <v>127</v>
      </c>
      <c r="E20" s="16"/>
      <c r="F20" s="16" t="s">
        <v>211</v>
      </c>
      <c r="G20" s="16" t="s">
        <v>206</v>
      </c>
      <c r="H20" s="15" t="s">
        <v>486</v>
      </c>
      <c r="I20" s="15" t="s">
        <v>466</v>
      </c>
      <c r="J20" s="17" t="str">
        <f t="shared" si="0"/>
        <v>HỢP LỆ</v>
      </c>
      <c r="K20" s="17" t="str">
        <f>IF(A20="","",IF(COUNTIFS('02_KICH_BAN_NODES'!$B$5:$B$204,A20,'02_KICH_BAN_NODES'!$D$5:$D$204,"choice")=0,"ChoiceNodeId không tồn tại hoặc không phải choice",IF(COUNTIFS($A$5:$A$404,A20,$B$5:$B$404,B20)&gt;1,"Trùng OptionOrder trong cùng choice",IF(OR(B20="",C20="",D20="",F20="",H20=""),"Thiếu trường bắt buộc",IF(OR(COUNTIF($A$5:$A$404,A20)&lt;2,COUNTIF($A$5:$A$404,A20)&gt;4),"Mỗi choice cần 2–4 option",IF(COUNTIFS('02_KICH_BAN_NODES'!$B$5:$B$204,A20,'02_KICH_BAN_NODES'!$E$5:$E$204,"Kiến thức")=1,IF(COUNTIFS($A$5:$A$404,A20,$D$5:$D$404,"Có")&lt;&gt;1,"Choice kiến thức cần đúng 1 đáp án đúng",""),IF(COUNTIFS('02_KICH_BAN_NODES'!$B$5:$B$204,A20,'02_KICH_BAN_NODES'!$E$5:$E$204,"Tương tác")=1,IF(COUNTIFS($A$5:$A$404,A20,$D$5:$D$404,"Có")&lt;&gt;0,"Choice tương tác không được đánh dấu đáp án đúng",""),"Choice chưa chọn loại")))))))</f>
        <v/>
      </c>
    </row>
    <row r="21" spans="1:11" ht="26.45" customHeight="1">
      <c r="A21" s="16" t="s">
        <v>402</v>
      </c>
      <c r="B21" s="16">
        <v>3</v>
      </c>
      <c r="C21" s="15" t="s">
        <v>487</v>
      </c>
      <c r="D21" s="16" t="s">
        <v>127</v>
      </c>
      <c r="E21" s="16"/>
      <c r="F21" s="16" t="s">
        <v>211</v>
      </c>
      <c r="G21" s="16" t="s">
        <v>206</v>
      </c>
      <c r="H21" s="15" t="s">
        <v>486</v>
      </c>
      <c r="I21" s="15" t="s">
        <v>466</v>
      </c>
      <c r="J21" s="17" t="str">
        <f t="shared" si="0"/>
        <v>HỢP LỆ</v>
      </c>
      <c r="K21" s="17" t="str">
        <f>IF(A21="","",IF(COUNTIFS('02_KICH_BAN_NODES'!$B$5:$B$204,A21,'02_KICH_BAN_NODES'!$D$5:$D$204,"choice")=0,"ChoiceNodeId không tồn tại hoặc không phải choice",IF(COUNTIFS($A$5:$A$404,A21,$B$5:$B$404,B21)&gt;1,"Trùng OptionOrder trong cùng choice",IF(OR(B21="",C21="",D21="",F21="",H21=""),"Thiếu trường bắt buộc",IF(OR(COUNTIF($A$5:$A$404,A21)&lt;2,COUNTIF($A$5:$A$404,A21)&gt;4),"Mỗi choice cần 2–4 option",IF(COUNTIFS('02_KICH_BAN_NODES'!$B$5:$B$204,A21,'02_KICH_BAN_NODES'!$E$5:$E$204,"Kiến thức")=1,IF(COUNTIFS($A$5:$A$404,A21,$D$5:$D$404,"Có")&lt;&gt;1,"Choice kiến thức cần đúng 1 đáp án đúng",""),IF(COUNTIFS('02_KICH_BAN_NODES'!$B$5:$B$204,A21,'02_KICH_BAN_NODES'!$E$5:$E$204,"Tương tác")=1,IF(COUNTIFS($A$5:$A$404,A21,$D$5:$D$404,"Có")&lt;&gt;0,"Choice tương tác không được đánh dấu đáp án đúng",""),"Choice chưa chọn loại")))))))</f>
        <v/>
      </c>
    </row>
    <row r="22" spans="1:11" ht="26.45" customHeight="1">
      <c r="A22" s="16" t="s">
        <v>404</v>
      </c>
      <c r="B22" s="16">
        <v>1</v>
      </c>
      <c r="C22" s="15" t="s">
        <v>488</v>
      </c>
      <c r="D22" s="16" t="s">
        <v>96</v>
      </c>
      <c r="E22" s="16"/>
      <c r="F22" s="16" t="s">
        <v>218</v>
      </c>
      <c r="G22" s="16" t="s">
        <v>186</v>
      </c>
      <c r="H22" s="15" t="s">
        <v>489</v>
      </c>
      <c r="I22" s="15" t="s">
        <v>463</v>
      </c>
      <c r="J22" s="17" t="str">
        <f t="shared" si="0"/>
        <v>HỢP LỆ</v>
      </c>
      <c r="K22" s="17" t="str">
        <f>IF(A22="","",IF(COUNTIFS('02_KICH_BAN_NODES'!$B$5:$B$204,A22,'02_KICH_BAN_NODES'!$D$5:$D$204,"choice")=0,"ChoiceNodeId không tồn tại hoặc không phải choice",IF(COUNTIFS($A$5:$A$404,A22,$B$5:$B$404,B22)&gt;1,"Trùng OptionOrder trong cùng choice",IF(OR(B22="",C22="",D22="",F22="",H22=""),"Thiếu trường bắt buộc",IF(OR(COUNTIF($A$5:$A$404,A22)&lt;2,COUNTIF($A$5:$A$404,A22)&gt;4),"Mỗi choice cần 2–4 option",IF(COUNTIFS('02_KICH_BAN_NODES'!$B$5:$B$204,A22,'02_KICH_BAN_NODES'!$E$5:$E$204,"Kiến thức")=1,IF(COUNTIFS($A$5:$A$404,A22,$D$5:$D$404,"Có")&lt;&gt;1,"Choice kiến thức cần đúng 1 đáp án đúng",""),IF(COUNTIFS('02_KICH_BAN_NODES'!$B$5:$B$204,A22,'02_KICH_BAN_NODES'!$E$5:$E$204,"Tương tác")=1,IF(COUNTIFS($A$5:$A$404,A22,$D$5:$D$404,"Có")&lt;&gt;0,"Choice tương tác không được đánh dấu đáp án đúng",""),"Choice chưa chọn loại")))))))</f>
        <v/>
      </c>
    </row>
    <row r="23" spans="1:11" ht="15" customHeight="1">
      <c r="A23" s="16" t="s">
        <v>404</v>
      </c>
      <c r="B23" s="16">
        <v>2</v>
      </c>
      <c r="C23" s="15" t="s">
        <v>490</v>
      </c>
      <c r="D23" s="16" t="s">
        <v>127</v>
      </c>
      <c r="E23" s="16"/>
      <c r="F23" s="16" t="s">
        <v>218</v>
      </c>
      <c r="G23" s="16" t="s">
        <v>214</v>
      </c>
      <c r="H23" s="15" t="s">
        <v>491</v>
      </c>
      <c r="I23" s="15" t="s">
        <v>466</v>
      </c>
      <c r="J23" s="17" t="str">
        <f t="shared" si="0"/>
        <v>HỢP LỆ</v>
      </c>
      <c r="K23" s="17" t="str">
        <f>IF(A23="","",IF(COUNTIFS('02_KICH_BAN_NODES'!$B$5:$B$204,A23,'02_KICH_BAN_NODES'!$D$5:$D$204,"choice")=0,"ChoiceNodeId không tồn tại hoặc không phải choice",IF(COUNTIFS($A$5:$A$404,A23,$B$5:$B$404,B23)&gt;1,"Trùng OptionOrder trong cùng choice",IF(OR(B23="",C23="",D23="",F23="",H23=""),"Thiếu trường bắt buộc",IF(OR(COUNTIF($A$5:$A$404,A23)&lt;2,COUNTIF($A$5:$A$404,A23)&gt;4),"Mỗi choice cần 2–4 option",IF(COUNTIFS('02_KICH_BAN_NODES'!$B$5:$B$204,A23,'02_KICH_BAN_NODES'!$E$5:$E$204,"Kiến thức")=1,IF(COUNTIFS($A$5:$A$404,A23,$D$5:$D$404,"Có")&lt;&gt;1,"Choice kiến thức cần đúng 1 đáp án đúng",""),IF(COUNTIFS('02_KICH_BAN_NODES'!$B$5:$B$204,A23,'02_KICH_BAN_NODES'!$E$5:$E$204,"Tương tác")=1,IF(COUNTIFS($A$5:$A$404,A23,$D$5:$D$404,"Có")&lt;&gt;0,"Choice tương tác không được đánh dấu đáp án đúng",""),"Choice chưa chọn loại")))))))</f>
        <v/>
      </c>
    </row>
    <row r="24" spans="1:11" ht="15" customHeight="1">
      <c r="A24" s="16" t="s">
        <v>404</v>
      </c>
      <c r="B24" s="16">
        <v>3</v>
      </c>
      <c r="C24" s="15" t="s">
        <v>492</v>
      </c>
      <c r="D24" s="16" t="s">
        <v>127</v>
      </c>
      <c r="E24" s="16"/>
      <c r="F24" s="16" t="s">
        <v>218</v>
      </c>
      <c r="G24" s="16" t="s">
        <v>214</v>
      </c>
      <c r="H24" s="15" t="s">
        <v>491</v>
      </c>
      <c r="I24" s="15" t="s">
        <v>466</v>
      </c>
      <c r="J24" s="17" t="str">
        <f t="shared" si="0"/>
        <v>HỢP LỆ</v>
      </c>
      <c r="K24" s="17" t="str">
        <f>IF(A24="","",IF(COUNTIFS('02_KICH_BAN_NODES'!$B$5:$B$204,A24,'02_KICH_BAN_NODES'!$D$5:$D$204,"choice")=0,"ChoiceNodeId không tồn tại hoặc không phải choice",IF(COUNTIFS($A$5:$A$404,A24,$B$5:$B$404,B24)&gt;1,"Trùng OptionOrder trong cùng choice",IF(OR(B24="",C24="",D24="",F24="",H24=""),"Thiếu trường bắt buộc",IF(OR(COUNTIF($A$5:$A$404,A24)&lt;2,COUNTIF($A$5:$A$404,A24)&gt;4),"Mỗi choice cần 2–4 option",IF(COUNTIFS('02_KICH_BAN_NODES'!$B$5:$B$204,A24,'02_KICH_BAN_NODES'!$E$5:$E$204,"Kiến thức")=1,IF(COUNTIFS($A$5:$A$404,A24,$D$5:$D$404,"Có")&lt;&gt;1,"Choice kiến thức cần đúng 1 đáp án đúng",""),IF(COUNTIFS('02_KICH_BAN_NODES'!$B$5:$B$204,A24,'02_KICH_BAN_NODES'!$E$5:$E$204,"Tương tác")=1,IF(COUNTIFS($A$5:$A$404,A24,$D$5:$D$404,"Có")&lt;&gt;0,"Choice tương tác không được đánh dấu đáp án đúng",""),"Choice chưa chọn loại")))))))</f>
        <v/>
      </c>
    </row>
    <row r="25" spans="1:11" ht="26.45" customHeight="1">
      <c r="A25" s="16" t="s">
        <v>416</v>
      </c>
      <c r="B25" s="16">
        <v>1</v>
      </c>
      <c r="C25" s="15" t="s">
        <v>493</v>
      </c>
      <c r="D25" s="16" t="s">
        <v>96</v>
      </c>
      <c r="E25" s="16"/>
      <c r="F25" s="16" t="s">
        <v>211</v>
      </c>
      <c r="G25" s="16" t="s">
        <v>196</v>
      </c>
      <c r="H25" s="15" t="s">
        <v>494</v>
      </c>
      <c r="I25" s="15" t="s">
        <v>463</v>
      </c>
      <c r="J25" s="17" t="str">
        <f t="shared" si="0"/>
        <v>HỢP LỆ</v>
      </c>
      <c r="K25" s="17" t="str">
        <f>IF(A25="","",IF(COUNTIFS('02_KICH_BAN_NODES'!$B$5:$B$204,A25,'02_KICH_BAN_NODES'!$D$5:$D$204,"choice")=0,"ChoiceNodeId không tồn tại hoặc không phải choice",IF(COUNTIFS($A$5:$A$404,A25,$B$5:$B$404,B25)&gt;1,"Trùng OptionOrder trong cùng choice",IF(OR(B25="",C25="",D25="",F25="",H25=""),"Thiếu trường bắt buộc",IF(OR(COUNTIF($A$5:$A$404,A25)&lt;2,COUNTIF($A$5:$A$404,A25)&gt;4),"Mỗi choice cần 2–4 option",IF(COUNTIFS('02_KICH_BAN_NODES'!$B$5:$B$204,A25,'02_KICH_BAN_NODES'!$E$5:$E$204,"Kiến thức")=1,IF(COUNTIFS($A$5:$A$404,A25,$D$5:$D$404,"Có")&lt;&gt;1,"Choice kiến thức cần đúng 1 đáp án đúng",""),IF(COUNTIFS('02_KICH_BAN_NODES'!$B$5:$B$204,A25,'02_KICH_BAN_NODES'!$E$5:$E$204,"Tương tác")=1,IF(COUNTIFS($A$5:$A$404,A25,$D$5:$D$404,"Có")&lt;&gt;0,"Choice tương tác không được đánh dấu đáp án đúng",""),"Choice chưa chọn loại")))))))</f>
        <v/>
      </c>
    </row>
    <row r="26" spans="1:11" ht="26.45" customHeight="1">
      <c r="A26" s="16" t="s">
        <v>416</v>
      </c>
      <c r="B26" s="16">
        <v>2</v>
      </c>
      <c r="C26" s="15" t="s">
        <v>495</v>
      </c>
      <c r="D26" s="16" t="s">
        <v>127</v>
      </c>
      <c r="E26" s="16"/>
      <c r="F26" s="16" t="s">
        <v>211</v>
      </c>
      <c r="G26" s="16" t="s">
        <v>206</v>
      </c>
      <c r="H26" s="15" t="s">
        <v>496</v>
      </c>
      <c r="I26" s="15" t="s">
        <v>466</v>
      </c>
      <c r="J26" s="17" t="str">
        <f t="shared" si="0"/>
        <v>HỢP LỆ</v>
      </c>
      <c r="K26" s="17" t="str">
        <f>IF(A26="","",IF(COUNTIFS('02_KICH_BAN_NODES'!$B$5:$B$204,A26,'02_KICH_BAN_NODES'!$D$5:$D$204,"choice")=0,"ChoiceNodeId không tồn tại hoặc không phải choice",IF(COUNTIFS($A$5:$A$404,A26,$B$5:$B$404,B26)&gt;1,"Trùng OptionOrder trong cùng choice",IF(OR(B26="",C26="",D26="",F26="",H26=""),"Thiếu trường bắt buộc",IF(OR(COUNTIF($A$5:$A$404,A26)&lt;2,COUNTIF($A$5:$A$404,A26)&gt;4),"Mỗi choice cần 2–4 option",IF(COUNTIFS('02_KICH_BAN_NODES'!$B$5:$B$204,A26,'02_KICH_BAN_NODES'!$E$5:$E$204,"Kiến thức")=1,IF(COUNTIFS($A$5:$A$404,A26,$D$5:$D$404,"Có")&lt;&gt;1,"Choice kiến thức cần đúng 1 đáp án đúng",""),IF(COUNTIFS('02_KICH_BAN_NODES'!$B$5:$B$204,A26,'02_KICH_BAN_NODES'!$E$5:$E$204,"Tương tác")=1,IF(COUNTIFS($A$5:$A$404,A26,$D$5:$D$404,"Có")&lt;&gt;0,"Choice tương tác không được đánh dấu đáp án đúng",""),"Choice chưa chọn loại")))))))</f>
        <v/>
      </c>
    </row>
    <row r="27" spans="1:11" ht="26.45" customHeight="1">
      <c r="A27" s="16" t="s">
        <v>416</v>
      </c>
      <c r="B27" s="16">
        <v>3</v>
      </c>
      <c r="C27" s="15" t="s">
        <v>497</v>
      </c>
      <c r="D27" s="16" t="s">
        <v>127</v>
      </c>
      <c r="E27" s="16"/>
      <c r="F27" s="16" t="s">
        <v>211</v>
      </c>
      <c r="G27" s="16" t="s">
        <v>206</v>
      </c>
      <c r="H27" s="15" t="s">
        <v>496</v>
      </c>
      <c r="I27" s="15" t="s">
        <v>466</v>
      </c>
      <c r="J27" s="17" t="str">
        <f t="shared" si="0"/>
        <v>HỢP LỆ</v>
      </c>
      <c r="K27" s="17" t="str">
        <f>IF(A27="","",IF(COUNTIFS('02_KICH_BAN_NODES'!$B$5:$B$204,A27,'02_KICH_BAN_NODES'!$D$5:$D$204,"choice")=0,"ChoiceNodeId không tồn tại hoặc không phải choice",IF(COUNTIFS($A$5:$A$404,A27,$B$5:$B$404,B27)&gt;1,"Trùng OptionOrder trong cùng choice",IF(OR(B27="",C27="",D27="",F27="",H27=""),"Thiếu trường bắt buộc",IF(OR(COUNTIF($A$5:$A$404,A27)&lt;2,COUNTIF($A$5:$A$404,A27)&gt;4),"Mỗi choice cần 2–4 option",IF(COUNTIFS('02_KICH_BAN_NODES'!$B$5:$B$204,A27,'02_KICH_BAN_NODES'!$E$5:$E$204,"Kiến thức")=1,IF(COUNTIFS($A$5:$A$404,A27,$D$5:$D$404,"Có")&lt;&gt;1,"Choice kiến thức cần đúng 1 đáp án đúng",""),IF(COUNTIFS('02_KICH_BAN_NODES'!$B$5:$B$204,A27,'02_KICH_BAN_NODES'!$E$5:$E$204,"Tương tác")=1,IF(COUNTIFS($A$5:$A$404,A27,$D$5:$D$404,"Có")&lt;&gt;0,"Choice tương tác không được đánh dấu đáp án đúng",""),"Choice chưa chọn loại")))))))</f>
        <v/>
      </c>
    </row>
    <row r="28" spans="1:11" ht="39.6" customHeight="1">
      <c r="A28" s="16" t="s">
        <v>418</v>
      </c>
      <c r="B28" s="16">
        <v>1</v>
      </c>
      <c r="C28" s="15" t="s">
        <v>498</v>
      </c>
      <c r="D28" s="16" t="s">
        <v>96</v>
      </c>
      <c r="E28" s="16"/>
      <c r="F28" s="16" t="s">
        <v>201</v>
      </c>
      <c r="G28" s="16" t="s">
        <v>196</v>
      </c>
      <c r="H28" s="15" t="s">
        <v>499</v>
      </c>
      <c r="I28" s="15" t="s">
        <v>463</v>
      </c>
      <c r="J28" s="17" t="str">
        <f t="shared" si="0"/>
        <v>HỢP LỆ</v>
      </c>
      <c r="K28" s="17" t="str">
        <f>IF(A28="","",IF(COUNTIFS('02_KICH_BAN_NODES'!$B$5:$B$204,A28,'02_KICH_BAN_NODES'!$D$5:$D$204,"choice")=0,"ChoiceNodeId không tồn tại hoặc không phải choice",IF(COUNTIFS($A$5:$A$404,A28,$B$5:$B$404,B28)&gt;1,"Trùng OptionOrder trong cùng choice",IF(OR(B28="",C28="",D28="",F28="",H28=""),"Thiếu trường bắt buộc",IF(OR(COUNTIF($A$5:$A$404,A28)&lt;2,COUNTIF($A$5:$A$404,A28)&gt;4),"Mỗi choice cần 2–4 option",IF(COUNTIFS('02_KICH_BAN_NODES'!$B$5:$B$204,A28,'02_KICH_BAN_NODES'!$E$5:$E$204,"Kiến thức")=1,IF(COUNTIFS($A$5:$A$404,A28,$D$5:$D$404,"Có")&lt;&gt;1,"Choice kiến thức cần đúng 1 đáp án đúng",""),IF(COUNTIFS('02_KICH_BAN_NODES'!$B$5:$B$204,A28,'02_KICH_BAN_NODES'!$E$5:$E$204,"Tương tác")=1,IF(COUNTIFS($A$5:$A$404,A28,$D$5:$D$404,"Có")&lt;&gt;0,"Choice tương tác không được đánh dấu đáp án đúng",""),"Choice chưa chọn loại")))))))</f>
        <v/>
      </c>
    </row>
    <row r="29" spans="1:11" ht="15" customHeight="1">
      <c r="A29" s="16" t="s">
        <v>418</v>
      </c>
      <c r="B29" s="16">
        <v>2</v>
      </c>
      <c r="C29" s="15" t="s">
        <v>500</v>
      </c>
      <c r="D29" s="16" t="s">
        <v>127</v>
      </c>
      <c r="E29" s="16"/>
      <c r="F29" s="16" t="s">
        <v>201</v>
      </c>
      <c r="G29" s="16" t="s">
        <v>206</v>
      </c>
      <c r="H29" s="15" t="s">
        <v>501</v>
      </c>
      <c r="I29" s="15" t="s">
        <v>466</v>
      </c>
      <c r="J29" s="17" t="str">
        <f t="shared" si="0"/>
        <v>HỢP LỆ</v>
      </c>
      <c r="K29" s="17" t="str">
        <f>IF(A29="","",IF(COUNTIFS('02_KICH_BAN_NODES'!$B$5:$B$204,A29,'02_KICH_BAN_NODES'!$D$5:$D$204,"choice")=0,"ChoiceNodeId không tồn tại hoặc không phải choice",IF(COUNTIFS($A$5:$A$404,A29,$B$5:$B$404,B29)&gt;1,"Trùng OptionOrder trong cùng choice",IF(OR(B29="",C29="",D29="",F29="",H29=""),"Thiếu trường bắt buộc",IF(OR(COUNTIF($A$5:$A$404,A29)&lt;2,COUNTIF($A$5:$A$404,A29)&gt;4),"Mỗi choice cần 2–4 option",IF(COUNTIFS('02_KICH_BAN_NODES'!$B$5:$B$204,A29,'02_KICH_BAN_NODES'!$E$5:$E$204,"Kiến thức")=1,IF(COUNTIFS($A$5:$A$404,A29,$D$5:$D$404,"Có")&lt;&gt;1,"Choice kiến thức cần đúng 1 đáp án đúng",""),IF(COUNTIFS('02_KICH_BAN_NODES'!$B$5:$B$204,A29,'02_KICH_BAN_NODES'!$E$5:$E$204,"Tương tác")=1,IF(COUNTIFS($A$5:$A$404,A29,$D$5:$D$404,"Có")&lt;&gt;0,"Choice tương tác không được đánh dấu đáp án đúng",""),"Choice chưa chọn loại")))))))</f>
        <v/>
      </c>
    </row>
    <row r="30" spans="1:11" ht="15" customHeight="1">
      <c r="A30" s="16" t="s">
        <v>418</v>
      </c>
      <c r="B30" s="16">
        <v>3</v>
      </c>
      <c r="C30" s="15" t="s">
        <v>502</v>
      </c>
      <c r="D30" s="16" t="s">
        <v>127</v>
      </c>
      <c r="E30" s="16"/>
      <c r="F30" s="16" t="s">
        <v>201</v>
      </c>
      <c r="G30" s="16" t="s">
        <v>206</v>
      </c>
      <c r="H30" s="15" t="s">
        <v>501</v>
      </c>
      <c r="I30" s="15" t="s">
        <v>466</v>
      </c>
      <c r="J30" s="17" t="str">
        <f t="shared" si="0"/>
        <v>HỢP LỆ</v>
      </c>
      <c r="K30" s="17" t="str">
        <f>IF(A30="","",IF(COUNTIFS('02_KICH_BAN_NODES'!$B$5:$B$204,A30,'02_KICH_BAN_NODES'!$D$5:$D$204,"choice")=0,"ChoiceNodeId không tồn tại hoặc không phải choice",IF(COUNTIFS($A$5:$A$404,A30,$B$5:$B$404,B30)&gt;1,"Trùng OptionOrder trong cùng choice",IF(OR(B30="",C30="",D30="",F30="",H30=""),"Thiếu trường bắt buộc",IF(OR(COUNTIF($A$5:$A$404,A30)&lt;2,COUNTIF($A$5:$A$404,A30)&gt;4),"Mỗi choice cần 2–4 option",IF(COUNTIFS('02_KICH_BAN_NODES'!$B$5:$B$204,A30,'02_KICH_BAN_NODES'!$E$5:$E$204,"Kiến thức")=1,IF(COUNTIFS($A$5:$A$404,A30,$D$5:$D$404,"Có")&lt;&gt;1,"Choice kiến thức cần đúng 1 đáp án đúng",""),IF(COUNTIFS('02_KICH_BAN_NODES'!$B$5:$B$204,A30,'02_KICH_BAN_NODES'!$E$5:$E$204,"Tương tác")=1,IF(COUNTIFS($A$5:$A$404,A30,$D$5:$D$404,"Có")&lt;&gt;0,"Choice tương tác không được đánh dấu đáp án đúng",""),"Choice chưa chọn loại")))))))</f>
        <v/>
      </c>
    </row>
    <row r="31" spans="1:11" ht="26.45" customHeight="1">
      <c r="A31" s="16" t="s">
        <v>420</v>
      </c>
      <c r="B31" s="16">
        <v>1</v>
      </c>
      <c r="C31" s="15" t="s">
        <v>503</v>
      </c>
      <c r="D31" s="16" t="s">
        <v>96</v>
      </c>
      <c r="E31" s="16"/>
      <c r="F31" s="16" t="s">
        <v>218</v>
      </c>
      <c r="G31" s="16" t="s">
        <v>186</v>
      </c>
      <c r="H31" s="15" t="s">
        <v>504</v>
      </c>
      <c r="I31" s="15" t="s">
        <v>463</v>
      </c>
      <c r="J31" s="17" t="str">
        <f t="shared" si="0"/>
        <v>HỢP LỆ</v>
      </c>
      <c r="K31" s="17" t="str">
        <f>IF(A31="","",IF(COUNTIFS('02_KICH_BAN_NODES'!$B$5:$B$204,A31,'02_KICH_BAN_NODES'!$D$5:$D$204,"choice")=0,"ChoiceNodeId không tồn tại hoặc không phải choice",IF(COUNTIFS($A$5:$A$404,A31,$B$5:$B$404,B31)&gt;1,"Trùng OptionOrder trong cùng choice",IF(OR(B31="",C31="",D31="",F31="",H31=""),"Thiếu trường bắt buộc",IF(OR(COUNTIF($A$5:$A$404,A31)&lt;2,COUNTIF($A$5:$A$404,A31)&gt;4),"Mỗi choice cần 2–4 option",IF(COUNTIFS('02_KICH_BAN_NODES'!$B$5:$B$204,A31,'02_KICH_BAN_NODES'!$E$5:$E$204,"Kiến thức")=1,IF(COUNTIFS($A$5:$A$404,A31,$D$5:$D$404,"Có")&lt;&gt;1,"Choice kiến thức cần đúng 1 đáp án đúng",""),IF(COUNTIFS('02_KICH_BAN_NODES'!$B$5:$B$204,A31,'02_KICH_BAN_NODES'!$E$5:$E$204,"Tương tác")=1,IF(COUNTIFS($A$5:$A$404,A31,$D$5:$D$404,"Có")&lt;&gt;0,"Choice tương tác không được đánh dấu đáp án đúng",""),"Choice chưa chọn loại")))))))</f>
        <v/>
      </c>
    </row>
    <row r="32" spans="1:11" ht="26.45" customHeight="1">
      <c r="A32" s="16" t="s">
        <v>420</v>
      </c>
      <c r="B32" s="16">
        <v>2</v>
      </c>
      <c r="C32" s="15" t="s">
        <v>505</v>
      </c>
      <c r="D32" s="16" t="s">
        <v>127</v>
      </c>
      <c r="E32" s="16"/>
      <c r="F32" s="16" t="s">
        <v>218</v>
      </c>
      <c r="G32" s="16" t="s">
        <v>214</v>
      </c>
      <c r="H32" s="15" t="s">
        <v>506</v>
      </c>
      <c r="I32" s="15" t="s">
        <v>466</v>
      </c>
      <c r="J32" s="17" t="str">
        <f t="shared" si="0"/>
        <v>HỢP LỆ</v>
      </c>
      <c r="K32" s="17" t="str">
        <f>IF(A32="","",IF(COUNTIFS('02_KICH_BAN_NODES'!$B$5:$B$204,A32,'02_KICH_BAN_NODES'!$D$5:$D$204,"choice")=0,"ChoiceNodeId không tồn tại hoặc không phải choice",IF(COUNTIFS($A$5:$A$404,A32,$B$5:$B$404,B32)&gt;1,"Trùng OptionOrder trong cùng choice",IF(OR(B32="",C32="",D32="",F32="",H32=""),"Thiếu trường bắt buộc",IF(OR(COUNTIF($A$5:$A$404,A32)&lt;2,COUNTIF($A$5:$A$404,A32)&gt;4),"Mỗi choice cần 2–4 option",IF(COUNTIFS('02_KICH_BAN_NODES'!$B$5:$B$204,A32,'02_KICH_BAN_NODES'!$E$5:$E$204,"Kiến thức")=1,IF(COUNTIFS($A$5:$A$404,A32,$D$5:$D$404,"Có")&lt;&gt;1,"Choice kiến thức cần đúng 1 đáp án đúng",""),IF(COUNTIFS('02_KICH_BAN_NODES'!$B$5:$B$204,A32,'02_KICH_BAN_NODES'!$E$5:$E$204,"Tương tác")=1,IF(COUNTIFS($A$5:$A$404,A32,$D$5:$D$404,"Có")&lt;&gt;0,"Choice tương tác không được đánh dấu đáp án đúng",""),"Choice chưa chọn loại")))))))</f>
        <v/>
      </c>
    </row>
    <row r="33" spans="1:11" ht="26.45" customHeight="1">
      <c r="A33" s="16" t="s">
        <v>420</v>
      </c>
      <c r="B33" s="16">
        <v>3</v>
      </c>
      <c r="C33" s="15" t="s">
        <v>507</v>
      </c>
      <c r="D33" s="16" t="s">
        <v>127</v>
      </c>
      <c r="E33" s="16"/>
      <c r="F33" s="16" t="s">
        <v>218</v>
      </c>
      <c r="G33" s="16" t="s">
        <v>214</v>
      </c>
      <c r="H33" s="15" t="s">
        <v>506</v>
      </c>
      <c r="I33" s="15" t="s">
        <v>466</v>
      </c>
      <c r="J33" s="17" t="str">
        <f t="shared" si="0"/>
        <v>HỢP LỆ</v>
      </c>
      <c r="K33" s="17" t="str">
        <f>IF(A33="","",IF(COUNTIFS('02_KICH_BAN_NODES'!$B$5:$B$204,A33,'02_KICH_BAN_NODES'!$D$5:$D$204,"choice")=0,"ChoiceNodeId không tồn tại hoặc không phải choice",IF(COUNTIFS($A$5:$A$404,A33,$B$5:$B$404,B33)&gt;1,"Trùng OptionOrder trong cùng choice",IF(OR(B33="",C33="",D33="",F33="",H33=""),"Thiếu trường bắt buộc",IF(OR(COUNTIF($A$5:$A$404,A33)&lt;2,COUNTIF($A$5:$A$404,A33)&gt;4),"Mỗi choice cần 2–4 option",IF(COUNTIFS('02_KICH_BAN_NODES'!$B$5:$B$204,A33,'02_KICH_BAN_NODES'!$E$5:$E$204,"Kiến thức")=1,IF(COUNTIFS($A$5:$A$404,A33,$D$5:$D$404,"Có")&lt;&gt;1,"Choice kiến thức cần đúng 1 đáp án đúng",""),IF(COUNTIFS('02_KICH_BAN_NODES'!$B$5:$B$204,A33,'02_KICH_BAN_NODES'!$E$5:$E$204,"Tương tác")=1,IF(COUNTIFS($A$5:$A$404,A33,$D$5:$D$404,"Có")&lt;&gt;0,"Choice tương tác không được đánh dấu đáp án đúng",""),"Choice chưa chọn loại")))))))</f>
        <v/>
      </c>
    </row>
    <row r="34" spans="1:11" ht="39.6" customHeight="1">
      <c r="A34" s="16" t="s">
        <v>422</v>
      </c>
      <c r="B34" s="16">
        <v>1</v>
      </c>
      <c r="C34" s="15" t="s">
        <v>508</v>
      </c>
      <c r="D34" s="16" t="s">
        <v>96</v>
      </c>
      <c r="E34" s="16"/>
      <c r="F34" s="16" t="s">
        <v>224</v>
      </c>
      <c r="G34" s="16" t="s">
        <v>196</v>
      </c>
      <c r="H34" s="15" t="s">
        <v>509</v>
      </c>
      <c r="I34" s="15" t="s">
        <v>463</v>
      </c>
      <c r="J34" s="17" t="str">
        <f t="shared" si="0"/>
        <v>HỢP LỆ</v>
      </c>
      <c r="K34" s="17" t="str">
        <f>IF(A34="","",IF(COUNTIFS('02_KICH_BAN_NODES'!$B$5:$B$204,A34,'02_KICH_BAN_NODES'!$D$5:$D$204,"choice")=0,"ChoiceNodeId không tồn tại hoặc không phải choice",IF(COUNTIFS($A$5:$A$404,A34,$B$5:$B$404,B34)&gt;1,"Trùng OptionOrder trong cùng choice",IF(OR(B34="",C34="",D34="",F34="",H34=""),"Thiếu trường bắt buộc",IF(OR(COUNTIF($A$5:$A$404,A34)&lt;2,COUNTIF($A$5:$A$404,A34)&gt;4),"Mỗi choice cần 2–4 option",IF(COUNTIFS('02_KICH_BAN_NODES'!$B$5:$B$204,A34,'02_KICH_BAN_NODES'!$E$5:$E$204,"Kiến thức")=1,IF(COUNTIFS($A$5:$A$404,A34,$D$5:$D$404,"Có")&lt;&gt;1,"Choice kiến thức cần đúng 1 đáp án đúng",""),IF(COUNTIFS('02_KICH_BAN_NODES'!$B$5:$B$204,A34,'02_KICH_BAN_NODES'!$E$5:$E$204,"Tương tác")=1,IF(COUNTIFS($A$5:$A$404,A34,$D$5:$D$404,"Có")&lt;&gt;0,"Choice tương tác không được đánh dấu đáp án đúng",""),"Choice chưa chọn loại")))))))</f>
        <v/>
      </c>
    </row>
    <row r="35" spans="1:11" ht="15" customHeight="1">
      <c r="A35" s="16" t="s">
        <v>422</v>
      </c>
      <c r="B35" s="16">
        <v>2</v>
      </c>
      <c r="C35" s="15" t="s">
        <v>510</v>
      </c>
      <c r="D35" s="16" t="s">
        <v>127</v>
      </c>
      <c r="E35" s="16"/>
      <c r="F35" s="16" t="s">
        <v>224</v>
      </c>
      <c r="G35" s="16" t="s">
        <v>206</v>
      </c>
      <c r="H35" s="15" t="s">
        <v>511</v>
      </c>
      <c r="I35" s="15" t="s">
        <v>466</v>
      </c>
      <c r="J35" s="17" t="str">
        <f t="shared" si="0"/>
        <v>HỢP LỆ</v>
      </c>
      <c r="K35" s="17" t="str">
        <f>IF(A35="","",IF(COUNTIFS('02_KICH_BAN_NODES'!$B$5:$B$204,A35,'02_KICH_BAN_NODES'!$D$5:$D$204,"choice")=0,"ChoiceNodeId không tồn tại hoặc không phải choice",IF(COUNTIFS($A$5:$A$404,A35,$B$5:$B$404,B35)&gt;1,"Trùng OptionOrder trong cùng choice",IF(OR(B35="",C35="",D35="",F35="",H35=""),"Thiếu trường bắt buộc",IF(OR(COUNTIF($A$5:$A$404,A35)&lt;2,COUNTIF($A$5:$A$404,A35)&gt;4),"Mỗi choice cần 2–4 option",IF(COUNTIFS('02_KICH_BAN_NODES'!$B$5:$B$204,A35,'02_KICH_BAN_NODES'!$E$5:$E$204,"Kiến thức")=1,IF(COUNTIFS($A$5:$A$404,A35,$D$5:$D$404,"Có")&lt;&gt;1,"Choice kiến thức cần đúng 1 đáp án đúng",""),IF(COUNTIFS('02_KICH_BAN_NODES'!$B$5:$B$204,A35,'02_KICH_BAN_NODES'!$E$5:$E$204,"Tương tác")=1,IF(COUNTIFS($A$5:$A$404,A35,$D$5:$D$404,"Có")&lt;&gt;0,"Choice tương tác không được đánh dấu đáp án đúng",""),"Choice chưa chọn loại")))))))</f>
        <v/>
      </c>
    </row>
    <row r="36" spans="1:11" ht="15" customHeight="1">
      <c r="A36" s="16" t="s">
        <v>422</v>
      </c>
      <c r="B36" s="16">
        <v>3</v>
      </c>
      <c r="C36" s="15" t="s">
        <v>512</v>
      </c>
      <c r="D36" s="16" t="s">
        <v>127</v>
      </c>
      <c r="E36" s="16"/>
      <c r="F36" s="16" t="s">
        <v>224</v>
      </c>
      <c r="G36" s="16" t="s">
        <v>206</v>
      </c>
      <c r="H36" s="15" t="s">
        <v>511</v>
      </c>
      <c r="I36" s="15" t="s">
        <v>466</v>
      </c>
      <c r="J36" s="17" t="str">
        <f t="shared" si="0"/>
        <v>HỢP LỆ</v>
      </c>
      <c r="K36" s="17" t="str">
        <f>IF(A36="","",IF(COUNTIFS('02_KICH_BAN_NODES'!$B$5:$B$204,A36,'02_KICH_BAN_NODES'!$D$5:$D$204,"choice")=0,"ChoiceNodeId không tồn tại hoặc không phải choice",IF(COUNTIFS($A$5:$A$404,A36,$B$5:$B$404,B36)&gt;1,"Trùng OptionOrder trong cùng choice",IF(OR(B36="",C36="",D36="",F36="",H36=""),"Thiếu trường bắt buộc",IF(OR(COUNTIF($A$5:$A$404,A36)&lt;2,COUNTIF($A$5:$A$404,A36)&gt;4),"Mỗi choice cần 2–4 option",IF(COUNTIFS('02_KICH_BAN_NODES'!$B$5:$B$204,A36,'02_KICH_BAN_NODES'!$E$5:$E$204,"Kiến thức")=1,IF(COUNTIFS($A$5:$A$404,A36,$D$5:$D$404,"Có")&lt;&gt;1,"Choice kiến thức cần đúng 1 đáp án đúng",""),IF(COUNTIFS('02_KICH_BAN_NODES'!$B$5:$B$204,A36,'02_KICH_BAN_NODES'!$E$5:$E$204,"Tương tác")=1,IF(COUNTIFS($A$5:$A$404,A36,$D$5:$D$404,"Có")&lt;&gt;0,"Choice tương tác không được đánh dấu đáp án đúng",""),"Choice chưa chọn loại")))))))</f>
        <v/>
      </c>
    </row>
    <row r="37" spans="1:11" ht="26.45" customHeight="1">
      <c r="A37" s="16" t="s">
        <v>424</v>
      </c>
      <c r="B37" s="16">
        <v>1</v>
      </c>
      <c r="C37" s="15" t="s">
        <v>513</v>
      </c>
      <c r="D37" s="16" t="s">
        <v>96</v>
      </c>
      <c r="E37" s="16"/>
      <c r="F37" s="16" t="s">
        <v>201</v>
      </c>
      <c r="G37" s="16" t="s">
        <v>196</v>
      </c>
      <c r="H37" s="15" t="s">
        <v>514</v>
      </c>
      <c r="I37" s="15" t="s">
        <v>463</v>
      </c>
      <c r="J37" s="17" t="str">
        <f t="shared" si="0"/>
        <v>HỢP LỆ</v>
      </c>
      <c r="K37" s="17" t="str">
        <f>IF(A37="","",IF(COUNTIFS('02_KICH_BAN_NODES'!$B$5:$B$204,A37,'02_KICH_BAN_NODES'!$D$5:$D$204,"choice")=0,"ChoiceNodeId không tồn tại hoặc không phải choice",IF(COUNTIFS($A$5:$A$404,A37,$B$5:$B$404,B37)&gt;1,"Trùng OptionOrder trong cùng choice",IF(OR(B37="",C37="",D37="",F37="",H37=""),"Thiếu trường bắt buộc",IF(OR(COUNTIF($A$5:$A$404,A37)&lt;2,COUNTIF($A$5:$A$404,A37)&gt;4),"Mỗi choice cần 2–4 option",IF(COUNTIFS('02_KICH_BAN_NODES'!$B$5:$B$204,A37,'02_KICH_BAN_NODES'!$E$5:$E$204,"Kiến thức")=1,IF(COUNTIFS($A$5:$A$404,A37,$D$5:$D$404,"Có")&lt;&gt;1,"Choice kiến thức cần đúng 1 đáp án đúng",""),IF(COUNTIFS('02_KICH_BAN_NODES'!$B$5:$B$204,A37,'02_KICH_BAN_NODES'!$E$5:$E$204,"Tương tác")=1,IF(COUNTIFS($A$5:$A$404,A37,$D$5:$D$404,"Có")&lt;&gt;0,"Choice tương tác không được đánh dấu đáp án đúng",""),"Choice chưa chọn loại")))))))</f>
        <v/>
      </c>
    </row>
    <row r="38" spans="1:11" ht="26.45" customHeight="1">
      <c r="A38" s="16" t="s">
        <v>424</v>
      </c>
      <c r="B38" s="16">
        <v>2</v>
      </c>
      <c r="C38" s="15" t="s">
        <v>515</v>
      </c>
      <c r="D38" s="16" t="s">
        <v>127</v>
      </c>
      <c r="E38" s="16"/>
      <c r="F38" s="16" t="s">
        <v>201</v>
      </c>
      <c r="G38" s="16" t="s">
        <v>206</v>
      </c>
      <c r="H38" s="15" t="s">
        <v>516</v>
      </c>
      <c r="I38" s="15" t="s">
        <v>466</v>
      </c>
      <c r="J38" s="17" t="str">
        <f t="shared" si="0"/>
        <v>HỢP LỆ</v>
      </c>
      <c r="K38" s="17" t="str">
        <f>IF(A38="","",IF(COUNTIFS('02_KICH_BAN_NODES'!$B$5:$B$204,A38,'02_KICH_BAN_NODES'!$D$5:$D$204,"choice")=0,"ChoiceNodeId không tồn tại hoặc không phải choice",IF(COUNTIFS($A$5:$A$404,A38,$B$5:$B$404,B38)&gt;1,"Trùng OptionOrder trong cùng choice",IF(OR(B38="",C38="",D38="",F38="",H38=""),"Thiếu trường bắt buộc",IF(OR(COUNTIF($A$5:$A$404,A38)&lt;2,COUNTIF($A$5:$A$404,A38)&gt;4),"Mỗi choice cần 2–4 option",IF(COUNTIFS('02_KICH_BAN_NODES'!$B$5:$B$204,A38,'02_KICH_BAN_NODES'!$E$5:$E$204,"Kiến thức")=1,IF(COUNTIFS($A$5:$A$404,A38,$D$5:$D$404,"Có")&lt;&gt;1,"Choice kiến thức cần đúng 1 đáp án đúng",""),IF(COUNTIFS('02_KICH_BAN_NODES'!$B$5:$B$204,A38,'02_KICH_BAN_NODES'!$E$5:$E$204,"Tương tác")=1,IF(COUNTIFS($A$5:$A$404,A38,$D$5:$D$404,"Có")&lt;&gt;0,"Choice tương tác không được đánh dấu đáp án đúng",""),"Choice chưa chọn loại")))))))</f>
        <v/>
      </c>
    </row>
    <row r="39" spans="1:11" ht="26.45" customHeight="1">
      <c r="A39" s="16" t="s">
        <v>424</v>
      </c>
      <c r="B39" s="16">
        <v>3</v>
      </c>
      <c r="C39" s="15" t="s">
        <v>517</v>
      </c>
      <c r="D39" s="16" t="s">
        <v>127</v>
      </c>
      <c r="E39" s="16"/>
      <c r="F39" s="16" t="s">
        <v>201</v>
      </c>
      <c r="G39" s="16" t="s">
        <v>206</v>
      </c>
      <c r="H39" s="15" t="s">
        <v>516</v>
      </c>
      <c r="I39" s="15" t="s">
        <v>466</v>
      </c>
      <c r="J39" s="17" t="str">
        <f t="shared" si="0"/>
        <v>HỢP LỆ</v>
      </c>
      <c r="K39" s="17" t="str">
        <f>IF(A39="","",IF(COUNTIFS('02_KICH_BAN_NODES'!$B$5:$B$204,A39,'02_KICH_BAN_NODES'!$D$5:$D$204,"choice")=0,"ChoiceNodeId không tồn tại hoặc không phải choice",IF(COUNTIFS($A$5:$A$404,A39,$B$5:$B$404,B39)&gt;1,"Trùng OptionOrder trong cùng choice",IF(OR(B39="",C39="",D39="",F39="",H39=""),"Thiếu trường bắt buộc",IF(OR(COUNTIF($A$5:$A$404,A39)&lt;2,COUNTIF($A$5:$A$404,A39)&gt;4),"Mỗi choice cần 2–4 option",IF(COUNTIFS('02_KICH_BAN_NODES'!$B$5:$B$204,A39,'02_KICH_BAN_NODES'!$E$5:$E$204,"Kiến thức")=1,IF(COUNTIFS($A$5:$A$404,A39,$D$5:$D$404,"Có")&lt;&gt;1,"Choice kiến thức cần đúng 1 đáp án đúng",""),IF(COUNTIFS('02_KICH_BAN_NODES'!$B$5:$B$204,A39,'02_KICH_BAN_NODES'!$E$5:$E$204,"Tương tác")=1,IF(COUNTIFS($A$5:$A$404,A39,$D$5:$D$404,"Có")&lt;&gt;0,"Choice tương tác không được đánh dấu đáp án đúng",""),"Choice chưa chọn loại")))))))</f>
        <v/>
      </c>
    </row>
    <row r="40" spans="1:11" ht="26.45" customHeight="1">
      <c r="A40" s="16" t="s">
        <v>426</v>
      </c>
      <c r="B40" s="16">
        <v>1</v>
      </c>
      <c r="C40" s="15" t="s">
        <v>518</v>
      </c>
      <c r="D40" s="16" t="s">
        <v>96</v>
      </c>
      <c r="E40" s="16"/>
      <c r="F40" s="16" t="s">
        <v>211</v>
      </c>
      <c r="G40" s="16" t="s">
        <v>196</v>
      </c>
      <c r="H40" s="15" t="s">
        <v>519</v>
      </c>
      <c r="I40" s="15" t="s">
        <v>463</v>
      </c>
      <c r="J40" s="17" t="str">
        <f t="shared" si="0"/>
        <v>HỢP LỆ</v>
      </c>
      <c r="K40" s="17" t="str">
        <f>IF(A40="","",IF(COUNTIFS('02_KICH_BAN_NODES'!$B$5:$B$204,A40,'02_KICH_BAN_NODES'!$D$5:$D$204,"choice")=0,"ChoiceNodeId không tồn tại hoặc không phải choice",IF(COUNTIFS($A$5:$A$404,A40,$B$5:$B$404,B40)&gt;1,"Trùng OptionOrder trong cùng choice",IF(OR(B40="",C40="",D40="",F40="",H40=""),"Thiếu trường bắt buộc",IF(OR(COUNTIF($A$5:$A$404,A40)&lt;2,COUNTIF($A$5:$A$404,A40)&gt;4),"Mỗi choice cần 2–4 option",IF(COUNTIFS('02_KICH_BAN_NODES'!$B$5:$B$204,A40,'02_KICH_BAN_NODES'!$E$5:$E$204,"Kiến thức")=1,IF(COUNTIFS($A$5:$A$404,A40,$D$5:$D$404,"Có")&lt;&gt;1,"Choice kiến thức cần đúng 1 đáp án đúng",""),IF(COUNTIFS('02_KICH_BAN_NODES'!$B$5:$B$204,A40,'02_KICH_BAN_NODES'!$E$5:$E$204,"Tương tác")=1,IF(COUNTIFS($A$5:$A$404,A40,$D$5:$D$404,"Có")&lt;&gt;0,"Choice tương tác không được đánh dấu đáp án đúng",""),"Choice chưa chọn loại")))))))</f>
        <v/>
      </c>
    </row>
    <row r="41" spans="1:11" ht="26.45" customHeight="1">
      <c r="A41" s="16" t="s">
        <v>426</v>
      </c>
      <c r="B41" s="16">
        <v>2</v>
      </c>
      <c r="C41" s="15" t="s">
        <v>520</v>
      </c>
      <c r="D41" s="16" t="s">
        <v>127</v>
      </c>
      <c r="E41" s="16"/>
      <c r="F41" s="16" t="s">
        <v>211</v>
      </c>
      <c r="G41" s="16" t="s">
        <v>206</v>
      </c>
      <c r="H41" s="15" t="s">
        <v>521</v>
      </c>
      <c r="I41" s="15" t="s">
        <v>466</v>
      </c>
      <c r="J41" s="17" t="str">
        <f t="shared" si="0"/>
        <v>HỢP LỆ</v>
      </c>
      <c r="K41" s="17" t="str">
        <f>IF(A41="","",IF(COUNTIFS('02_KICH_BAN_NODES'!$B$5:$B$204,A41,'02_KICH_BAN_NODES'!$D$5:$D$204,"choice")=0,"ChoiceNodeId không tồn tại hoặc không phải choice",IF(COUNTIFS($A$5:$A$404,A41,$B$5:$B$404,B41)&gt;1,"Trùng OptionOrder trong cùng choice",IF(OR(B41="",C41="",D41="",F41="",H41=""),"Thiếu trường bắt buộc",IF(OR(COUNTIF($A$5:$A$404,A41)&lt;2,COUNTIF($A$5:$A$404,A41)&gt;4),"Mỗi choice cần 2–4 option",IF(COUNTIFS('02_KICH_BAN_NODES'!$B$5:$B$204,A41,'02_KICH_BAN_NODES'!$E$5:$E$204,"Kiến thức")=1,IF(COUNTIFS($A$5:$A$404,A41,$D$5:$D$404,"Có")&lt;&gt;1,"Choice kiến thức cần đúng 1 đáp án đúng",""),IF(COUNTIFS('02_KICH_BAN_NODES'!$B$5:$B$204,A41,'02_KICH_BAN_NODES'!$E$5:$E$204,"Tương tác")=1,IF(COUNTIFS($A$5:$A$404,A41,$D$5:$D$404,"Có")&lt;&gt;0,"Choice tương tác không được đánh dấu đáp án đúng",""),"Choice chưa chọn loại")))))))</f>
        <v/>
      </c>
    </row>
    <row r="42" spans="1:11" ht="26.45" customHeight="1">
      <c r="A42" s="16" t="s">
        <v>426</v>
      </c>
      <c r="B42" s="16">
        <v>3</v>
      </c>
      <c r="C42" s="15" t="s">
        <v>522</v>
      </c>
      <c r="D42" s="16" t="s">
        <v>127</v>
      </c>
      <c r="E42" s="16"/>
      <c r="F42" s="16" t="s">
        <v>211</v>
      </c>
      <c r="G42" s="16" t="s">
        <v>206</v>
      </c>
      <c r="H42" s="15" t="s">
        <v>521</v>
      </c>
      <c r="I42" s="15" t="s">
        <v>466</v>
      </c>
      <c r="J42" s="17" t="str">
        <f t="shared" si="0"/>
        <v>HỢP LỆ</v>
      </c>
      <c r="K42" s="17" t="str">
        <f>IF(A42="","",IF(COUNTIFS('02_KICH_BAN_NODES'!$B$5:$B$204,A42,'02_KICH_BAN_NODES'!$D$5:$D$204,"choice")=0,"ChoiceNodeId không tồn tại hoặc không phải choice",IF(COUNTIFS($A$5:$A$404,A42,$B$5:$B$404,B42)&gt;1,"Trùng OptionOrder trong cùng choice",IF(OR(B42="",C42="",D42="",F42="",H42=""),"Thiếu trường bắt buộc",IF(OR(COUNTIF($A$5:$A$404,A42)&lt;2,COUNTIF($A$5:$A$404,A42)&gt;4),"Mỗi choice cần 2–4 option",IF(COUNTIFS('02_KICH_BAN_NODES'!$B$5:$B$204,A42,'02_KICH_BAN_NODES'!$E$5:$E$204,"Kiến thức")=1,IF(COUNTIFS($A$5:$A$404,A42,$D$5:$D$404,"Có")&lt;&gt;1,"Choice kiến thức cần đúng 1 đáp án đúng",""),IF(COUNTIFS('02_KICH_BAN_NODES'!$B$5:$B$204,A42,'02_KICH_BAN_NODES'!$E$5:$E$204,"Tương tác")=1,IF(COUNTIFS($A$5:$A$404,A42,$D$5:$D$404,"Có")&lt;&gt;0,"Choice tương tác không được đánh dấu đáp án đúng",""),"Choice chưa chọn loại")))))))</f>
        <v/>
      </c>
    </row>
    <row r="43" spans="1:11" ht="26.45" customHeight="1">
      <c r="A43" s="16" t="s">
        <v>438</v>
      </c>
      <c r="B43" s="16">
        <v>1</v>
      </c>
      <c r="C43" s="15" t="s">
        <v>523</v>
      </c>
      <c r="D43" s="16" t="s">
        <v>96</v>
      </c>
      <c r="E43" s="16"/>
      <c r="F43" s="16" t="s">
        <v>218</v>
      </c>
      <c r="G43" s="16" t="s">
        <v>186</v>
      </c>
      <c r="H43" s="15" t="s">
        <v>524</v>
      </c>
      <c r="I43" s="15" t="s">
        <v>463</v>
      </c>
      <c r="J43" s="17" t="str">
        <f t="shared" si="0"/>
        <v>HỢP LỆ</v>
      </c>
      <c r="K43" s="17" t="str">
        <f>IF(A43="","",IF(COUNTIFS('02_KICH_BAN_NODES'!$B$5:$B$204,A43,'02_KICH_BAN_NODES'!$D$5:$D$204,"choice")=0,"ChoiceNodeId không tồn tại hoặc không phải choice",IF(COUNTIFS($A$5:$A$404,A43,$B$5:$B$404,B43)&gt;1,"Trùng OptionOrder trong cùng choice",IF(OR(B43="",C43="",D43="",F43="",H43=""),"Thiếu trường bắt buộc",IF(OR(COUNTIF($A$5:$A$404,A43)&lt;2,COUNTIF($A$5:$A$404,A43)&gt;4),"Mỗi choice cần 2–4 option",IF(COUNTIFS('02_KICH_BAN_NODES'!$B$5:$B$204,A43,'02_KICH_BAN_NODES'!$E$5:$E$204,"Kiến thức")=1,IF(COUNTIFS($A$5:$A$404,A43,$D$5:$D$404,"Có")&lt;&gt;1,"Choice kiến thức cần đúng 1 đáp án đúng",""),IF(COUNTIFS('02_KICH_BAN_NODES'!$B$5:$B$204,A43,'02_KICH_BAN_NODES'!$E$5:$E$204,"Tương tác")=1,IF(COUNTIFS($A$5:$A$404,A43,$D$5:$D$404,"Có")&lt;&gt;0,"Choice tương tác không được đánh dấu đáp án đúng",""),"Choice chưa chọn loại")))))))</f>
        <v/>
      </c>
    </row>
    <row r="44" spans="1:11" ht="26.45" customHeight="1">
      <c r="A44" s="16" t="s">
        <v>438</v>
      </c>
      <c r="B44" s="16">
        <v>2</v>
      </c>
      <c r="C44" s="15" t="s">
        <v>525</v>
      </c>
      <c r="D44" s="16" t="s">
        <v>127</v>
      </c>
      <c r="E44" s="16"/>
      <c r="F44" s="16" t="s">
        <v>218</v>
      </c>
      <c r="G44" s="16" t="s">
        <v>214</v>
      </c>
      <c r="H44" s="15" t="s">
        <v>526</v>
      </c>
      <c r="I44" s="15" t="s">
        <v>466</v>
      </c>
      <c r="J44" s="17" t="str">
        <f t="shared" si="0"/>
        <v>HỢP LỆ</v>
      </c>
      <c r="K44" s="17" t="str">
        <f>IF(A44="","",IF(COUNTIFS('02_KICH_BAN_NODES'!$B$5:$B$204,A44,'02_KICH_BAN_NODES'!$D$5:$D$204,"choice")=0,"ChoiceNodeId không tồn tại hoặc không phải choice",IF(COUNTIFS($A$5:$A$404,A44,$B$5:$B$404,B44)&gt;1,"Trùng OptionOrder trong cùng choice",IF(OR(B44="",C44="",D44="",F44="",H44=""),"Thiếu trường bắt buộc",IF(OR(COUNTIF($A$5:$A$404,A44)&lt;2,COUNTIF($A$5:$A$404,A44)&gt;4),"Mỗi choice cần 2–4 option",IF(COUNTIFS('02_KICH_BAN_NODES'!$B$5:$B$204,A44,'02_KICH_BAN_NODES'!$E$5:$E$204,"Kiến thức")=1,IF(COUNTIFS($A$5:$A$404,A44,$D$5:$D$404,"Có")&lt;&gt;1,"Choice kiến thức cần đúng 1 đáp án đúng",""),IF(COUNTIFS('02_KICH_BAN_NODES'!$B$5:$B$204,A44,'02_KICH_BAN_NODES'!$E$5:$E$204,"Tương tác")=1,IF(COUNTIFS($A$5:$A$404,A44,$D$5:$D$404,"Có")&lt;&gt;0,"Choice tương tác không được đánh dấu đáp án đúng",""),"Choice chưa chọn loại")))))))</f>
        <v/>
      </c>
    </row>
    <row r="45" spans="1:11" ht="26.45" customHeight="1">
      <c r="A45" s="16" t="s">
        <v>438</v>
      </c>
      <c r="B45" s="16">
        <v>3</v>
      </c>
      <c r="C45" s="15" t="s">
        <v>527</v>
      </c>
      <c r="D45" s="16" t="s">
        <v>127</v>
      </c>
      <c r="E45" s="16"/>
      <c r="F45" s="16" t="s">
        <v>218</v>
      </c>
      <c r="G45" s="16" t="s">
        <v>214</v>
      </c>
      <c r="H45" s="15" t="s">
        <v>526</v>
      </c>
      <c r="I45" s="15" t="s">
        <v>466</v>
      </c>
      <c r="J45" s="17" t="str">
        <f t="shared" si="0"/>
        <v>HỢP LỆ</v>
      </c>
      <c r="K45" s="17" t="str">
        <f>IF(A45="","",IF(COUNTIFS('02_KICH_BAN_NODES'!$B$5:$B$204,A45,'02_KICH_BAN_NODES'!$D$5:$D$204,"choice")=0,"ChoiceNodeId không tồn tại hoặc không phải choice",IF(COUNTIFS($A$5:$A$404,A45,$B$5:$B$404,B45)&gt;1,"Trùng OptionOrder trong cùng choice",IF(OR(B45="",C45="",D45="",F45="",H45=""),"Thiếu trường bắt buộc",IF(OR(COUNTIF($A$5:$A$404,A45)&lt;2,COUNTIF($A$5:$A$404,A45)&gt;4),"Mỗi choice cần 2–4 option",IF(COUNTIFS('02_KICH_BAN_NODES'!$B$5:$B$204,A45,'02_KICH_BAN_NODES'!$E$5:$E$204,"Kiến thức")=1,IF(COUNTIFS($A$5:$A$404,A45,$D$5:$D$404,"Có")&lt;&gt;1,"Choice kiến thức cần đúng 1 đáp án đúng",""),IF(COUNTIFS('02_KICH_BAN_NODES'!$B$5:$B$204,A45,'02_KICH_BAN_NODES'!$E$5:$E$204,"Tương tác")=1,IF(COUNTIFS($A$5:$A$404,A45,$D$5:$D$404,"Có")&lt;&gt;0,"Choice tương tác không được đánh dấu đáp án đúng",""),"Choice chưa chọn loại")))))))</f>
        <v/>
      </c>
    </row>
    <row r="46" spans="1:11" ht="26.45" customHeight="1">
      <c r="A46" s="16" t="s">
        <v>440</v>
      </c>
      <c r="B46" s="16">
        <v>1</v>
      </c>
      <c r="C46" s="15" t="s">
        <v>528</v>
      </c>
      <c r="D46" s="16" t="s">
        <v>96</v>
      </c>
      <c r="E46" s="16"/>
      <c r="F46" s="16" t="s">
        <v>201</v>
      </c>
      <c r="G46" s="16" t="s">
        <v>196</v>
      </c>
      <c r="H46" s="15" t="s">
        <v>529</v>
      </c>
      <c r="I46" s="15" t="s">
        <v>463</v>
      </c>
      <c r="J46" s="17" t="str">
        <f t="shared" si="0"/>
        <v>HỢP LỆ</v>
      </c>
      <c r="K46" s="17" t="str">
        <f>IF(A46="","",IF(COUNTIFS('02_KICH_BAN_NODES'!$B$5:$B$204,A46,'02_KICH_BAN_NODES'!$D$5:$D$204,"choice")=0,"ChoiceNodeId không tồn tại hoặc không phải choice",IF(COUNTIFS($A$5:$A$404,A46,$B$5:$B$404,B46)&gt;1,"Trùng OptionOrder trong cùng choice",IF(OR(B46="",C46="",D46="",F46="",H46=""),"Thiếu trường bắt buộc",IF(OR(COUNTIF($A$5:$A$404,A46)&lt;2,COUNTIF($A$5:$A$404,A46)&gt;4),"Mỗi choice cần 2–4 option",IF(COUNTIFS('02_KICH_BAN_NODES'!$B$5:$B$204,A46,'02_KICH_BAN_NODES'!$E$5:$E$204,"Kiến thức")=1,IF(COUNTIFS($A$5:$A$404,A46,$D$5:$D$404,"Có")&lt;&gt;1,"Choice kiến thức cần đúng 1 đáp án đúng",""),IF(COUNTIFS('02_KICH_BAN_NODES'!$B$5:$B$204,A46,'02_KICH_BAN_NODES'!$E$5:$E$204,"Tương tác")=1,IF(COUNTIFS($A$5:$A$404,A46,$D$5:$D$404,"Có")&lt;&gt;0,"Choice tương tác không được đánh dấu đáp án đúng",""),"Choice chưa chọn loại")))))))</f>
        <v/>
      </c>
    </row>
    <row r="47" spans="1:11" ht="26.45" customHeight="1">
      <c r="A47" s="16" t="s">
        <v>440</v>
      </c>
      <c r="B47" s="16">
        <v>2</v>
      </c>
      <c r="C47" s="15" t="s">
        <v>530</v>
      </c>
      <c r="D47" s="16" t="s">
        <v>127</v>
      </c>
      <c r="E47" s="16"/>
      <c r="F47" s="16" t="s">
        <v>201</v>
      </c>
      <c r="G47" s="16" t="s">
        <v>206</v>
      </c>
      <c r="H47" s="15" t="s">
        <v>531</v>
      </c>
      <c r="I47" s="15" t="s">
        <v>466</v>
      </c>
      <c r="J47" s="17" t="str">
        <f t="shared" si="0"/>
        <v>HỢP LỆ</v>
      </c>
      <c r="K47" s="17" t="str">
        <f>IF(A47="","",IF(COUNTIFS('02_KICH_BAN_NODES'!$B$5:$B$204,A47,'02_KICH_BAN_NODES'!$D$5:$D$204,"choice")=0,"ChoiceNodeId không tồn tại hoặc không phải choice",IF(COUNTIFS($A$5:$A$404,A47,$B$5:$B$404,B47)&gt;1,"Trùng OptionOrder trong cùng choice",IF(OR(B47="",C47="",D47="",F47="",H47=""),"Thiếu trường bắt buộc",IF(OR(COUNTIF($A$5:$A$404,A47)&lt;2,COUNTIF($A$5:$A$404,A47)&gt;4),"Mỗi choice cần 2–4 option",IF(COUNTIFS('02_KICH_BAN_NODES'!$B$5:$B$204,A47,'02_KICH_BAN_NODES'!$E$5:$E$204,"Kiến thức")=1,IF(COUNTIFS($A$5:$A$404,A47,$D$5:$D$404,"Có")&lt;&gt;1,"Choice kiến thức cần đúng 1 đáp án đúng",""),IF(COUNTIFS('02_KICH_BAN_NODES'!$B$5:$B$204,A47,'02_KICH_BAN_NODES'!$E$5:$E$204,"Tương tác")=1,IF(COUNTIFS($A$5:$A$404,A47,$D$5:$D$404,"Có")&lt;&gt;0,"Choice tương tác không được đánh dấu đáp án đúng",""),"Choice chưa chọn loại")))))))</f>
        <v/>
      </c>
    </row>
    <row r="48" spans="1:11" ht="26.45" customHeight="1">
      <c r="A48" s="16" t="s">
        <v>440</v>
      </c>
      <c r="B48" s="16">
        <v>3</v>
      </c>
      <c r="C48" s="15" t="s">
        <v>532</v>
      </c>
      <c r="D48" s="16" t="s">
        <v>127</v>
      </c>
      <c r="E48" s="16"/>
      <c r="F48" s="16" t="s">
        <v>201</v>
      </c>
      <c r="G48" s="16" t="s">
        <v>206</v>
      </c>
      <c r="H48" s="15" t="s">
        <v>531</v>
      </c>
      <c r="I48" s="15" t="s">
        <v>466</v>
      </c>
      <c r="J48" s="17" t="str">
        <f t="shared" si="0"/>
        <v>HỢP LỆ</v>
      </c>
      <c r="K48" s="17" t="str">
        <f>IF(A48="","",IF(COUNTIFS('02_KICH_BAN_NODES'!$B$5:$B$204,A48,'02_KICH_BAN_NODES'!$D$5:$D$204,"choice")=0,"ChoiceNodeId không tồn tại hoặc không phải choice",IF(COUNTIFS($A$5:$A$404,A48,$B$5:$B$404,B48)&gt;1,"Trùng OptionOrder trong cùng choice",IF(OR(B48="",C48="",D48="",F48="",H48=""),"Thiếu trường bắt buộc",IF(OR(COUNTIF($A$5:$A$404,A48)&lt;2,COUNTIF($A$5:$A$404,A48)&gt;4),"Mỗi choice cần 2–4 option",IF(COUNTIFS('02_KICH_BAN_NODES'!$B$5:$B$204,A48,'02_KICH_BAN_NODES'!$E$5:$E$204,"Kiến thức")=1,IF(COUNTIFS($A$5:$A$404,A48,$D$5:$D$404,"Có")&lt;&gt;1,"Choice kiến thức cần đúng 1 đáp án đúng",""),IF(COUNTIFS('02_KICH_BAN_NODES'!$B$5:$B$204,A48,'02_KICH_BAN_NODES'!$E$5:$E$204,"Tương tác")=1,IF(COUNTIFS($A$5:$A$404,A48,$D$5:$D$404,"Có")&lt;&gt;0,"Choice tương tác không được đánh dấu đáp án đúng",""),"Choice chưa chọn loại")))))))</f>
        <v/>
      </c>
    </row>
    <row r="49" spans="1:11" ht="26.45" customHeight="1">
      <c r="A49" s="16" t="s">
        <v>442</v>
      </c>
      <c r="B49" s="16">
        <v>1</v>
      </c>
      <c r="C49" s="15" t="s">
        <v>533</v>
      </c>
      <c r="D49" s="16" t="s">
        <v>96</v>
      </c>
      <c r="E49" s="16"/>
      <c r="F49" s="16" t="s">
        <v>211</v>
      </c>
      <c r="G49" s="16" t="s">
        <v>196</v>
      </c>
      <c r="H49" s="15" t="s">
        <v>534</v>
      </c>
      <c r="I49" s="15" t="s">
        <v>463</v>
      </c>
      <c r="J49" s="17" t="str">
        <f t="shared" si="0"/>
        <v>HỢP LỆ</v>
      </c>
      <c r="K49" s="17" t="str">
        <f>IF(A49="","",IF(COUNTIFS('02_KICH_BAN_NODES'!$B$5:$B$204,A49,'02_KICH_BAN_NODES'!$D$5:$D$204,"choice")=0,"ChoiceNodeId không tồn tại hoặc không phải choice",IF(COUNTIFS($A$5:$A$404,A49,$B$5:$B$404,B49)&gt;1,"Trùng OptionOrder trong cùng choice",IF(OR(B49="",C49="",D49="",F49="",H49=""),"Thiếu trường bắt buộc",IF(OR(COUNTIF($A$5:$A$404,A49)&lt;2,COUNTIF($A$5:$A$404,A49)&gt;4),"Mỗi choice cần 2–4 option",IF(COUNTIFS('02_KICH_BAN_NODES'!$B$5:$B$204,A49,'02_KICH_BAN_NODES'!$E$5:$E$204,"Kiến thức")=1,IF(COUNTIFS($A$5:$A$404,A49,$D$5:$D$404,"Có")&lt;&gt;1,"Choice kiến thức cần đúng 1 đáp án đúng",""),IF(COUNTIFS('02_KICH_BAN_NODES'!$B$5:$B$204,A49,'02_KICH_BAN_NODES'!$E$5:$E$204,"Tương tác")=1,IF(COUNTIFS($A$5:$A$404,A49,$D$5:$D$404,"Có")&lt;&gt;0,"Choice tương tác không được đánh dấu đáp án đúng",""),"Choice chưa chọn loại")))))))</f>
        <v/>
      </c>
    </row>
    <row r="50" spans="1:11" ht="15" customHeight="1">
      <c r="A50" s="16" t="s">
        <v>442</v>
      </c>
      <c r="B50" s="16">
        <v>2</v>
      </c>
      <c r="C50" s="15" t="s">
        <v>535</v>
      </c>
      <c r="D50" s="16" t="s">
        <v>127</v>
      </c>
      <c r="E50" s="16"/>
      <c r="F50" s="16" t="s">
        <v>211</v>
      </c>
      <c r="G50" s="16" t="s">
        <v>206</v>
      </c>
      <c r="H50" s="15" t="s">
        <v>536</v>
      </c>
      <c r="I50" s="15" t="s">
        <v>466</v>
      </c>
      <c r="J50" s="17" t="str">
        <f t="shared" si="0"/>
        <v>HỢP LỆ</v>
      </c>
      <c r="K50" s="17" t="str">
        <f>IF(A50="","",IF(COUNTIFS('02_KICH_BAN_NODES'!$B$5:$B$204,A50,'02_KICH_BAN_NODES'!$D$5:$D$204,"choice")=0,"ChoiceNodeId không tồn tại hoặc không phải choice",IF(COUNTIFS($A$5:$A$404,A50,$B$5:$B$404,B50)&gt;1,"Trùng OptionOrder trong cùng choice",IF(OR(B50="",C50="",D50="",F50="",H50=""),"Thiếu trường bắt buộc",IF(OR(COUNTIF($A$5:$A$404,A50)&lt;2,COUNTIF($A$5:$A$404,A50)&gt;4),"Mỗi choice cần 2–4 option",IF(COUNTIFS('02_KICH_BAN_NODES'!$B$5:$B$204,A50,'02_KICH_BAN_NODES'!$E$5:$E$204,"Kiến thức")=1,IF(COUNTIFS($A$5:$A$404,A50,$D$5:$D$404,"Có")&lt;&gt;1,"Choice kiến thức cần đúng 1 đáp án đúng",""),IF(COUNTIFS('02_KICH_BAN_NODES'!$B$5:$B$204,A50,'02_KICH_BAN_NODES'!$E$5:$E$204,"Tương tác")=1,IF(COUNTIFS($A$5:$A$404,A50,$D$5:$D$404,"Có")&lt;&gt;0,"Choice tương tác không được đánh dấu đáp án đúng",""),"Choice chưa chọn loại")))))))</f>
        <v/>
      </c>
    </row>
    <row r="51" spans="1:11" ht="15" customHeight="1">
      <c r="A51" s="16" t="s">
        <v>442</v>
      </c>
      <c r="B51" s="16">
        <v>3</v>
      </c>
      <c r="C51" s="15" t="s">
        <v>537</v>
      </c>
      <c r="D51" s="16" t="s">
        <v>127</v>
      </c>
      <c r="E51" s="16"/>
      <c r="F51" s="16" t="s">
        <v>211</v>
      </c>
      <c r="G51" s="16" t="s">
        <v>206</v>
      </c>
      <c r="H51" s="15" t="s">
        <v>536</v>
      </c>
      <c r="I51" s="15" t="s">
        <v>466</v>
      </c>
      <c r="J51" s="17" t="str">
        <f t="shared" si="0"/>
        <v>HỢP LỆ</v>
      </c>
      <c r="K51" s="17" t="str">
        <f>IF(A51="","",IF(COUNTIFS('02_KICH_BAN_NODES'!$B$5:$B$204,A51,'02_KICH_BAN_NODES'!$D$5:$D$204,"choice")=0,"ChoiceNodeId không tồn tại hoặc không phải choice",IF(COUNTIFS($A$5:$A$404,A51,$B$5:$B$404,B51)&gt;1,"Trùng OptionOrder trong cùng choice",IF(OR(B51="",C51="",D51="",F51="",H51=""),"Thiếu trường bắt buộc",IF(OR(COUNTIF($A$5:$A$404,A51)&lt;2,COUNTIF($A$5:$A$404,A51)&gt;4),"Mỗi choice cần 2–4 option",IF(COUNTIFS('02_KICH_BAN_NODES'!$B$5:$B$204,A51,'02_KICH_BAN_NODES'!$E$5:$E$204,"Kiến thức")=1,IF(COUNTIFS($A$5:$A$404,A51,$D$5:$D$404,"Có")&lt;&gt;1,"Choice kiến thức cần đúng 1 đáp án đúng",""),IF(COUNTIFS('02_KICH_BAN_NODES'!$B$5:$B$204,A51,'02_KICH_BAN_NODES'!$E$5:$E$204,"Tương tác")=1,IF(COUNTIFS($A$5:$A$404,A51,$D$5:$D$404,"Có")&lt;&gt;0,"Choice tương tác không được đánh dấu đáp án đúng",""),"Choice chưa chọn loại")))))))</f>
        <v/>
      </c>
    </row>
    <row r="52" spans="1:11" ht="26.45" customHeight="1">
      <c r="A52" s="16" t="s">
        <v>444</v>
      </c>
      <c r="B52" s="16">
        <v>1</v>
      </c>
      <c r="C52" s="15" t="s">
        <v>538</v>
      </c>
      <c r="D52" s="16" t="s">
        <v>96</v>
      </c>
      <c r="E52" s="16"/>
      <c r="F52" s="16" t="s">
        <v>218</v>
      </c>
      <c r="G52" s="16" t="s">
        <v>186</v>
      </c>
      <c r="H52" s="15" t="s">
        <v>539</v>
      </c>
      <c r="I52" s="15" t="s">
        <v>463</v>
      </c>
      <c r="J52" s="17" t="str">
        <f t="shared" si="0"/>
        <v>HỢP LỆ</v>
      </c>
      <c r="K52" s="17" t="str">
        <f>IF(A52="","",IF(COUNTIFS('02_KICH_BAN_NODES'!$B$5:$B$204,A52,'02_KICH_BAN_NODES'!$D$5:$D$204,"choice")=0,"ChoiceNodeId không tồn tại hoặc không phải choice",IF(COUNTIFS($A$5:$A$404,A52,$B$5:$B$404,B52)&gt;1,"Trùng OptionOrder trong cùng choice",IF(OR(B52="",C52="",D52="",F52="",H52=""),"Thiếu trường bắt buộc",IF(OR(COUNTIF($A$5:$A$404,A52)&lt;2,COUNTIF($A$5:$A$404,A52)&gt;4),"Mỗi choice cần 2–4 option",IF(COUNTIFS('02_KICH_BAN_NODES'!$B$5:$B$204,A52,'02_KICH_BAN_NODES'!$E$5:$E$204,"Kiến thức")=1,IF(COUNTIFS($A$5:$A$404,A52,$D$5:$D$404,"Có")&lt;&gt;1,"Choice kiến thức cần đúng 1 đáp án đúng",""),IF(COUNTIFS('02_KICH_BAN_NODES'!$B$5:$B$204,A52,'02_KICH_BAN_NODES'!$E$5:$E$204,"Tương tác")=1,IF(COUNTIFS($A$5:$A$404,A52,$D$5:$D$404,"Có")&lt;&gt;0,"Choice tương tác không được đánh dấu đáp án đúng",""),"Choice chưa chọn loại")))))))</f>
        <v/>
      </c>
    </row>
    <row r="53" spans="1:11" ht="15" customHeight="1">
      <c r="A53" s="16" t="s">
        <v>444</v>
      </c>
      <c r="B53" s="16">
        <v>2</v>
      </c>
      <c r="C53" s="15" t="s">
        <v>540</v>
      </c>
      <c r="D53" s="16" t="s">
        <v>127</v>
      </c>
      <c r="E53" s="16"/>
      <c r="F53" s="16" t="s">
        <v>218</v>
      </c>
      <c r="G53" s="16" t="s">
        <v>214</v>
      </c>
      <c r="H53" s="15" t="s">
        <v>541</v>
      </c>
      <c r="I53" s="15" t="s">
        <v>466</v>
      </c>
      <c r="J53" s="17" t="str">
        <f t="shared" si="0"/>
        <v>HỢP LỆ</v>
      </c>
      <c r="K53" s="17" t="str">
        <f>IF(A53="","",IF(COUNTIFS('02_KICH_BAN_NODES'!$B$5:$B$204,A53,'02_KICH_BAN_NODES'!$D$5:$D$204,"choice")=0,"ChoiceNodeId không tồn tại hoặc không phải choice",IF(COUNTIFS($A$5:$A$404,A53,$B$5:$B$404,B53)&gt;1,"Trùng OptionOrder trong cùng choice",IF(OR(B53="",C53="",D53="",F53="",H53=""),"Thiếu trường bắt buộc",IF(OR(COUNTIF($A$5:$A$404,A53)&lt;2,COUNTIF($A$5:$A$404,A53)&gt;4),"Mỗi choice cần 2–4 option",IF(COUNTIFS('02_KICH_BAN_NODES'!$B$5:$B$204,A53,'02_KICH_BAN_NODES'!$E$5:$E$204,"Kiến thức")=1,IF(COUNTIFS($A$5:$A$404,A53,$D$5:$D$404,"Có")&lt;&gt;1,"Choice kiến thức cần đúng 1 đáp án đúng",""),IF(COUNTIFS('02_KICH_BAN_NODES'!$B$5:$B$204,A53,'02_KICH_BAN_NODES'!$E$5:$E$204,"Tương tác")=1,IF(COUNTIFS($A$5:$A$404,A53,$D$5:$D$404,"Có")&lt;&gt;0,"Choice tương tác không được đánh dấu đáp án đúng",""),"Choice chưa chọn loại")))))))</f>
        <v/>
      </c>
    </row>
    <row r="54" spans="1:11" ht="15" customHeight="1">
      <c r="A54" s="16" t="s">
        <v>444</v>
      </c>
      <c r="B54" s="16">
        <v>3</v>
      </c>
      <c r="C54" s="15" t="s">
        <v>542</v>
      </c>
      <c r="D54" s="16" t="s">
        <v>127</v>
      </c>
      <c r="E54" s="16"/>
      <c r="F54" s="16" t="s">
        <v>218</v>
      </c>
      <c r="G54" s="16" t="s">
        <v>214</v>
      </c>
      <c r="H54" s="15" t="s">
        <v>541</v>
      </c>
      <c r="I54" s="15" t="s">
        <v>466</v>
      </c>
      <c r="J54" s="17" t="str">
        <f t="shared" si="0"/>
        <v>HỢP LỆ</v>
      </c>
      <c r="K54" s="17" t="str">
        <f>IF(A54="","",IF(COUNTIFS('02_KICH_BAN_NODES'!$B$5:$B$204,A54,'02_KICH_BAN_NODES'!$D$5:$D$204,"choice")=0,"ChoiceNodeId không tồn tại hoặc không phải choice",IF(COUNTIFS($A$5:$A$404,A54,$B$5:$B$404,B54)&gt;1,"Trùng OptionOrder trong cùng choice",IF(OR(B54="",C54="",D54="",F54="",H54=""),"Thiếu trường bắt buộc",IF(OR(COUNTIF($A$5:$A$404,A54)&lt;2,COUNTIF($A$5:$A$404,A54)&gt;4),"Mỗi choice cần 2–4 option",IF(COUNTIFS('02_KICH_BAN_NODES'!$B$5:$B$204,A54,'02_KICH_BAN_NODES'!$E$5:$E$204,"Kiến thức")=1,IF(COUNTIFS($A$5:$A$404,A54,$D$5:$D$404,"Có")&lt;&gt;1,"Choice kiến thức cần đúng 1 đáp án đúng",""),IF(COUNTIFS('02_KICH_BAN_NODES'!$B$5:$B$204,A54,'02_KICH_BAN_NODES'!$E$5:$E$204,"Tương tác")=1,IF(COUNTIFS($A$5:$A$404,A54,$D$5:$D$404,"Có")&lt;&gt;0,"Choice tương tác không được đánh dấu đáp án đúng",""),"Choice chưa chọn loại")))))))</f>
        <v/>
      </c>
    </row>
    <row r="55" spans="1:11" ht="39.6" customHeight="1">
      <c r="A55" s="16" t="s">
        <v>446</v>
      </c>
      <c r="B55" s="16">
        <v>1</v>
      </c>
      <c r="C55" s="15" t="s">
        <v>543</v>
      </c>
      <c r="D55" s="16" t="s">
        <v>96</v>
      </c>
      <c r="E55" s="16"/>
      <c r="F55" s="16" t="s">
        <v>224</v>
      </c>
      <c r="G55" s="16" t="s">
        <v>196</v>
      </c>
      <c r="H55" s="15" t="s">
        <v>544</v>
      </c>
      <c r="I55" s="15" t="s">
        <v>463</v>
      </c>
      <c r="J55" s="17" t="str">
        <f t="shared" si="0"/>
        <v>HỢP LỆ</v>
      </c>
      <c r="K55" s="17" t="str">
        <f>IF(A55="","",IF(COUNTIFS('02_KICH_BAN_NODES'!$B$5:$B$204,A55,'02_KICH_BAN_NODES'!$D$5:$D$204,"choice")=0,"ChoiceNodeId không tồn tại hoặc không phải choice",IF(COUNTIFS($A$5:$A$404,A55,$B$5:$B$404,B55)&gt;1,"Trùng OptionOrder trong cùng choice",IF(OR(B55="",C55="",D55="",F55="",H55=""),"Thiếu trường bắt buộc",IF(OR(COUNTIF($A$5:$A$404,A55)&lt;2,COUNTIF($A$5:$A$404,A55)&gt;4),"Mỗi choice cần 2–4 option",IF(COUNTIFS('02_KICH_BAN_NODES'!$B$5:$B$204,A55,'02_KICH_BAN_NODES'!$E$5:$E$204,"Kiến thức")=1,IF(COUNTIFS($A$5:$A$404,A55,$D$5:$D$404,"Có")&lt;&gt;1,"Choice kiến thức cần đúng 1 đáp án đúng",""),IF(COUNTIFS('02_KICH_BAN_NODES'!$B$5:$B$204,A55,'02_KICH_BAN_NODES'!$E$5:$E$204,"Tương tác")=1,IF(COUNTIFS($A$5:$A$404,A55,$D$5:$D$404,"Có")&lt;&gt;0,"Choice tương tác không được đánh dấu đáp án đúng",""),"Choice chưa chọn loại")))))))</f>
        <v/>
      </c>
    </row>
    <row r="56" spans="1:11" ht="26.45" customHeight="1">
      <c r="A56" s="16" t="s">
        <v>446</v>
      </c>
      <c r="B56" s="16">
        <v>2</v>
      </c>
      <c r="C56" s="15" t="s">
        <v>545</v>
      </c>
      <c r="D56" s="16" t="s">
        <v>127</v>
      </c>
      <c r="E56" s="16"/>
      <c r="F56" s="16" t="s">
        <v>224</v>
      </c>
      <c r="G56" s="16" t="s">
        <v>206</v>
      </c>
      <c r="H56" s="15" t="s">
        <v>546</v>
      </c>
      <c r="I56" s="15" t="s">
        <v>466</v>
      </c>
      <c r="J56" s="17" t="str">
        <f t="shared" si="0"/>
        <v>HỢP LỆ</v>
      </c>
      <c r="K56" s="17" t="str">
        <f>IF(A56="","",IF(COUNTIFS('02_KICH_BAN_NODES'!$B$5:$B$204,A56,'02_KICH_BAN_NODES'!$D$5:$D$204,"choice")=0,"ChoiceNodeId không tồn tại hoặc không phải choice",IF(COUNTIFS($A$5:$A$404,A56,$B$5:$B$404,B56)&gt;1,"Trùng OptionOrder trong cùng choice",IF(OR(B56="",C56="",D56="",F56="",H56=""),"Thiếu trường bắt buộc",IF(OR(COUNTIF($A$5:$A$404,A56)&lt;2,COUNTIF($A$5:$A$404,A56)&gt;4),"Mỗi choice cần 2–4 option",IF(COUNTIFS('02_KICH_BAN_NODES'!$B$5:$B$204,A56,'02_KICH_BAN_NODES'!$E$5:$E$204,"Kiến thức")=1,IF(COUNTIFS($A$5:$A$404,A56,$D$5:$D$404,"Có")&lt;&gt;1,"Choice kiến thức cần đúng 1 đáp án đúng",""),IF(COUNTIFS('02_KICH_BAN_NODES'!$B$5:$B$204,A56,'02_KICH_BAN_NODES'!$E$5:$E$204,"Tương tác")=1,IF(COUNTIFS($A$5:$A$404,A56,$D$5:$D$404,"Có")&lt;&gt;0,"Choice tương tác không được đánh dấu đáp án đúng",""),"Choice chưa chọn loại")))))))</f>
        <v/>
      </c>
    </row>
    <row r="57" spans="1:11" ht="26.45" customHeight="1">
      <c r="A57" s="16" t="s">
        <v>446</v>
      </c>
      <c r="B57" s="16">
        <v>3</v>
      </c>
      <c r="C57" s="15" t="s">
        <v>547</v>
      </c>
      <c r="D57" s="16" t="s">
        <v>127</v>
      </c>
      <c r="E57" s="16"/>
      <c r="F57" s="16" t="s">
        <v>224</v>
      </c>
      <c r="G57" s="16" t="s">
        <v>206</v>
      </c>
      <c r="H57" s="15" t="s">
        <v>546</v>
      </c>
      <c r="I57" s="15" t="s">
        <v>466</v>
      </c>
      <c r="J57" s="17" t="str">
        <f t="shared" si="0"/>
        <v>HỢP LỆ</v>
      </c>
      <c r="K57" s="17" t="str">
        <f>IF(A57="","",IF(COUNTIFS('02_KICH_BAN_NODES'!$B$5:$B$204,A57,'02_KICH_BAN_NODES'!$D$5:$D$204,"choice")=0,"ChoiceNodeId không tồn tại hoặc không phải choice",IF(COUNTIFS($A$5:$A$404,A57,$B$5:$B$404,B57)&gt;1,"Trùng OptionOrder trong cùng choice",IF(OR(B57="",C57="",D57="",F57="",H57=""),"Thiếu trường bắt buộc",IF(OR(COUNTIF($A$5:$A$404,A57)&lt;2,COUNTIF($A$5:$A$404,A57)&gt;4),"Mỗi choice cần 2–4 option",IF(COUNTIFS('02_KICH_BAN_NODES'!$B$5:$B$204,A57,'02_KICH_BAN_NODES'!$E$5:$E$204,"Kiến thức")=1,IF(COUNTIFS($A$5:$A$404,A57,$D$5:$D$404,"Có")&lt;&gt;1,"Choice kiến thức cần đúng 1 đáp án đúng",""),IF(COUNTIFS('02_KICH_BAN_NODES'!$B$5:$B$204,A57,'02_KICH_BAN_NODES'!$E$5:$E$204,"Tương tác")=1,IF(COUNTIFS($A$5:$A$404,A57,$D$5:$D$404,"Có")&lt;&gt;0,"Choice tương tác không được đánh dấu đáp án đúng",""),"Choice chưa chọn loại")))))))</f>
        <v/>
      </c>
    </row>
    <row r="58" spans="1:11" ht="26.45" customHeight="1">
      <c r="A58" s="16" t="s">
        <v>448</v>
      </c>
      <c r="B58" s="16">
        <v>1</v>
      </c>
      <c r="C58" s="15" t="s">
        <v>548</v>
      </c>
      <c r="D58" s="16" t="s">
        <v>96</v>
      </c>
      <c r="E58" s="16"/>
      <c r="F58" s="16" t="s">
        <v>201</v>
      </c>
      <c r="G58" s="16" t="s">
        <v>196</v>
      </c>
      <c r="H58" s="15" t="s">
        <v>549</v>
      </c>
      <c r="I58" s="15" t="s">
        <v>463</v>
      </c>
      <c r="J58" s="17" t="str">
        <f t="shared" si="0"/>
        <v>HỢP LỆ</v>
      </c>
      <c r="K58" s="17" t="str">
        <f>IF(A58="","",IF(COUNTIFS('02_KICH_BAN_NODES'!$B$5:$B$204,A58,'02_KICH_BAN_NODES'!$D$5:$D$204,"choice")=0,"ChoiceNodeId không tồn tại hoặc không phải choice",IF(COUNTIFS($A$5:$A$404,A58,$B$5:$B$404,B58)&gt;1,"Trùng OptionOrder trong cùng choice",IF(OR(B58="",C58="",D58="",F58="",H58=""),"Thiếu trường bắt buộc",IF(OR(COUNTIF($A$5:$A$404,A58)&lt;2,COUNTIF($A$5:$A$404,A58)&gt;4),"Mỗi choice cần 2–4 option",IF(COUNTIFS('02_KICH_BAN_NODES'!$B$5:$B$204,A58,'02_KICH_BAN_NODES'!$E$5:$E$204,"Kiến thức")=1,IF(COUNTIFS($A$5:$A$404,A58,$D$5:$D$404,"Có")&lt;&gt;1,"Choice kiến thức cần đúng 1 đáp án đúng",""),IF(COUNTIFS('02_KICH_BAN_NODES'!$B$5:$B$204,A58,'02_KICH_BAN_NODES'!$E$5:$E$204,"Tương tác")=1,IF(COUNTIFS($A$5:$A$404,A58,$D$5:$D$404,"Có")&lt;&gt;0,"Choice tương tác không được đánh dấu đáp án đúng",""),"Choice chưa chọn loại")))))))</f>
        <v/>
      </c>
    </row>
    <row r="59" spans="1:11" ht="26.45" customHeight="1">
      <c r="A59" s="16" t="s">
        <v>448</v>
      </c>
      <c r="B59" s="16">
        <v>2</v>
      </c>
      <c r="C59" s="15" t="s">
        <v>550</v>
      </c>
      <c r="D59" s="16" t="s">
        <v>127</v>
      </c>
      <c r="E59" s="16"/>
      <c r="F59" s="16" t="s">
        <v>201</v>
      </c>
      <c r="G59" s="16" t="s">
        <v>206</v>
      </c>
      <c r="H59" s="15" t="s">
        <v>551</v>
      </c>
      <c r="I59" s="15" t="s">
        <v>466</v>
      </c>
      <c r="J59" s="17" t="str">
        <f t="shared" si="0"/>
        <v>HỢP LỆ</v>
      </c>
      <c r="K59" s="17" t="str">
        <f>IF(A59="","",IF(COUNTIFS('02_KICH_BAN_NODES'!$B$5:$B$204,A59,'02_KICH_BAN_NODES'!$D$5:$D$204,"choice")=0,"ChoiceNodeId không tồn tại hoặc không phải choice",IF(COUNTIFS($A$5:$A$404,A59,$B$5:$B$404,B59)&gt;1,"Trùng OptionOrder trong cùng choice",IF(OR(B59="",C59="",D59="",F59="",H59=""),"Thiếu trường bắt buộc",IF(OR(COUNTIF($A$5:$A$404,A59)&lt;2,COUNTIF($A$5:$A$404,A59)&gt;4),"Mỗi choice cần 2–4 option",IF(COUNTIFS('02_KICH_BAN_NODES'!$B$5:$B$204,A59,'02_KICH_BAN_NODES'!$E$5:$E$204,"Kiến thức")=1,IF(COUNTIFS($A$5:$A$404,A59,$D$5:$D$404,"Có")&lt;&gt;1,"Choice kiến thức cần đúng 1 đáp án đúng",""),IF(COUNTIFS('02_KICH_BAN_NODES'!$B$5:$B$204,A59,'02_KICH_BAN_NODES'!$E$5:$E$204,"Tương tác")=1,IF(COUNTIFS($A$5:$A$404,A59,$D$5:$D$404,"Có")&lt;&gt;0,"Choice tương tác không được đánh dấu đáp án đúng",""),"Choice chưa chọn loại")))))))</f>
        <v/>
      </c>
    </row>
    <row r="60" spans="1:11" ht="26.45" customHeight="1">
      <c r="A60" s="16" t="s">
        <v>448</v>
      </c>
      <c r="B60" s="16">
        <v>3</v>
      </c>
      <c r="C60" s="15" t="s">
        <v>552</v>
      </c>
      <c r="D60" s="16" t="s">
        <v>127</v>
      </c>
      <c r="E60" s="16"/>
      <c r="F60" s="16" t="s">
        <v>201</v>
      </c>
      <c r="G60" s="16" t="s">
        <v>206</v>
      </c>
      <c r="H60" s="15" t="s">
        <v>551</v>
      </c>
      <c r="I60" s="15" t="s">
        <v>466</v>
      </c>
      <c r="J60" s="17" t="str">
        <f t="shared" si="0"/>
        <v>HỢP LỆ</v>
      </c>
      <c r="K60" s="17" t="str">
        <f>IF(A60="","",IF(COUNTIFS('02_KICH_BAN_NODES'!$B$5:$B$204,A60,'02_KICH_BAN_NODES'!$D$5:$D$204,"choice")=0,"ChoiceNodeId không tồn tại hoặc không phải choice",IF(COUNTIFS($A$5:$A$404,A60,$B$5:$B$404,B60)&gt;1,"Trùng OptionOrder trong cùng choice",IF(OR(B60="",C60="",D60="",F60="",H60=""),"Thiếu trường bắt buộc",IF(OR(COUNTIF($A$5:$A$404,A60)&lt;2,COUNTIF($A$5:$A$404,A60)&gt;4),"Mỗi choice cần 2–4 option",IF(COUNTIFS('02_KICH_BAN_NODES'!$B$5:$B$204,A60,'02_KICH_BAN_NODES'!$E$5:$E$204,"Kiến thức")=1,IF(COUNTIFS($A$5:$A$404,A60,$D$5:$D$404,"Có")&lt;&gt;1,"Choice kiến thức cần đúng 1 đáp án đúng",""),IF(COUNTIFS('02_KICH_BAN_NODES'!$B$5:$B$204,A60,'02_KICH_BAN_NODES'!$E$5:$E$204,"Tương tác")=1,IF(COUNTIFS($A$5:$A$404,A60,$D$5:$D$404,"Có")&lt;&gt;0,"Choice tương tác không được đánh dấu đáp án đúng",""),"Choice chưa chọn loại")))))))</f>
        <v/>
      </c>
    </row>
    <row r="61" spans="1:11">
      <c r="A61" s="13"/>
      <c r="B61" s="13"/>
      <c r="C61" s="5"/>
      <c r="D61" s="13"/>
      <c r="E61" s="13"/>
      <c r="F61" s="13"/>
      <c r="G61" s="13"/>
      <c r="H61" s="5"/>
      <c r="I61" s="5"/>
      <c r="J61" s="6" t="str">
        <f t="shared" si="0"/>
        <v/>
      </c>
      <c r="K61" s="6" t="str">
        <f>IF(A61="","",IF(COUNTIFS('02_KICH_BAN_NODES'!$B$5:$B$204,A61,'02_KICH_BAN_NODES'!$D$5:$D$204,"choice")=0,"ChoiceNodeId không tồn tại hoặc không phải choice",IF(COUNTIFS($A$5:$A$404,A61,$B$5:$B$404,B61)&gt;1,"Trùng OptionOrder trong cùng choice",IF(OR(B61="",C61="",D61="",F61="",H61=""),"Thiếu trường bắt buộc",IF(OR(COUNTIF($A$5:$A$404,A61)&lt;2,COUNTIF($A$5:$A$404,A61)&gt;4),"Mỗi choice cần 2–4 option",IF(COUNTIFS('02_KICH_BAN_NODES'!$B$5:$B$204,A61,'02_KICH_BAN_NODES'!$E$5:$E$204,"Kiến thức")=1,IF(COUNTIFS($A$5:$A$404,A61,$D$5:$D$404,"Có")&lt;&gt;1,"Choice kiến thức cần đúng 1 đáp án đúng",""),IF(COUNTIFS('02_KICH_BAN_NODES'!$B$5:$B$204,A61,'02_KICH_BAN_NODES'!$E$5:$E$204,"Tương tác")=1,IF(COUNTIFS($A$5:$A$404,A61,$D$5:$D$404,"Có")&lt;&gt;0,"Choice tương tác không được đánh dấu đáp án đúng",""),"Choice chưa chọn loại")))))))</f>
        <v/>
      </c>
    </row>
    <row r="62" spans="1:11">
      <c r="A62" s="13"/>
      <c r="B62" s="13"/>
      <c r="C62" s="5"/>
      <c r="D62" s="13"/>
      <c r="E62" s="13"/>
      <c r="F62" s="13"/>
      <c r="G62" s="13"/>
      <c r="H62" s="5"/>
      <c r="I62" s="5"/>
      <c r="J62" s="6" t="str">
        <f t="shared" si="0"/>
        <v/>
      </c>
      <c r="K62" s="6" t="str">
        <f>IF(A62="","",IF(COUNTIFS('02_KICH_BAN_NODES'!$B$5:$B$204,A62,'02_KICH_BAN_NODES'!$D$5:$D$204,"choice")=0,"ChoiceNodeId không tồn tại hoặc không phải choice",IF(COUNTIFS($A$5:$A$404,A62,$B$5:$B$404,B62)&gt;1,"Trùng OptionOrder trong cùng choice",IF(OR(B62="",C62="",D62="",F62="",H62=""),"Thiếu trường bắt buộc",IF(OR(COUNTIF($A$5:$A$404,A62)&lt;2,COUNTIF($A$5:$A$404,A62)&gt;4),"Mỗi choice cần 2–4 option",IF(COUNTIFS('02_KICH_BAN_NODES'!$B$5:$B$204,A62,'02_KICH_BAN_NODES'!$E$5:$E$204,"Kiến thức")=1,IF(COUNTIFS($A$5:$A$404,A62,$D$5:$D$404,"Có")&lt;&gt;1,"Choice kiến thức cần đúng 1 đáp án đúng",""),IF(COUNTIFS('02_KICH_BAN_NODES'!$B$5:$B$204,A62,'02_KICH_BAN_NODES'!$E$5:$E$204,"Tương tác")=1,IF(COUNTIFS($A$5:$A$404,A62,$D$5:$D$404,"Có")&lt;&gt;0,"Choice tương tác không được đánh dấu đáp án đúng",""),"Choice chưa chọn loại")))))))</f>
        <v/>
      </c>
    </row>
    <row r="63" spans="1:11">
      <c r="A63" s="13"/>
      <c r="B63" s="13"/>
      <c r="C63" s="5"/>
      <c r="D63" s="13"/>
      <c r="E63" s="13"/>
      <c r="F63" s="13"/>
      <c r="G63" s="13"/>
      <c r="H63" s="5"/>
      <c r="I63" s="5"/>
      <c r="J63" s="6" t="str">
        <f t="shared" si="0"/>
        <v/>
      </c>
      <c r="K63" s="6" t="str">
        <f>IF(A63="","",IF(COUNTIFS('02_KICH_BAN_NODES'!$B$5:$B$204,A63,'02_KICH_BAN_NODES'!$D$5:$D$204,"choice")=0,"ChoiceNodeId không tồn tại hoặc không phải choice",IF(COUNTIFS($A$5:$A$404,A63,$B$5:$B$404,B63)&gt;1,"Trùng OptionOrder trong cùng choice",IF(OR(B63="",C63="",D63="",F63="",H63=""),"Thiếu trường bắt buộc",IF(OR(COUNTIF($A$5:$A$404,A63)&lt;2,COUNTIF($A$5:$A$404,A63)&gt;4),"Mỗi choice cần 2–4 option",IF(COUNTIFS('02_KICH_BAN_NODES'!$B$5:$B$204,A63,'02_KICH_BAN_NODES'!$E$5:$E$204,"Kiến thức")=1,IF(COUNTIFS($A$5:$A$404,A63,$D$5:$D$404,"Có")&lt;&gt;1,"Choice kiến thức cần đúng 1 đáp án đúng",""),IF(COUNTIFS('02_KICH_BAN_NODES'!$B$5:$B$204,A63,'02_KICH_BAN_NODES'!$E$5:$E$204,"Tương tác")=1,IF(COUNTIFS($A$5:$A$404,A63,$D$5:$D$404,"Có")&lt;&gt;0,"Choice tương tác không được đánh dấu đáp án đúng",""),"Choice chưa chọn loại")))))))</f>
        <v/>
      </c>
    </row>
    <row r="64" spans="1:11">
      <c r="A64" s="13"/>
      <c r="B64" s="13"/>
      <c r="C64" s="5"/>
      <c r="D64" s="13"/>
      <c r="E64" s="13"/>
      <c r="F64" s="13"/>
      <c r="G64" s="13"/>
      <c r="H64" s="5"/>
      <c r="I64" s="5"/>
      <c r="J64" s="6" t="str">
        <f t="shared" si="0"/>
        <v/>
      </c>
      <c r="K64" s="6" t="str">
        <f>IF(A64="","",IF(COUNTIFS('02_KICH_BAN_NODES'!$B$5:$B$204,A64,'02_KICH_BAN_NODES'!$D$5:$D$204,"choice")=0,"ChoiceNodeId không tồn tại hoặc không phải choice",IF(COUNTIFS($A$5:$A$404,A64,$B$5:$B$404,B64)&gt;1,"Trùng OptionOrder trong cùng choice",IF(OR(B64="",C64="",D64="",F64="",H64=""),"Thiếu trường bắt buộc",IF(OR(COUNTIF($A$5:$A$404,A64)&lt;2,COUNTIF($A$5:$A$404,A64)&gt;4),"Mỗi choice cần 2–4 option",IF(COUNTIFS('02_KICH_BAN_NODES'!$B$5:$B$204,A64,'02_KICH_BAN_NODES'!$E$5:$E$204,"Kiến thức")=1,IF(COUNTIFS($A$5:$A$404,A64,$D$5:$D$404,"Có")&lt;&gt;1,"Choice kiến thức cần đúng 1 đáp án đúng",""),IF(COUNTIFS('02_KICH_BAN_NODES'!$B$5:$B$204,A64,'02_KICH_BAN_NODES'!$E$5:$E$204,"Tương tác")=1,IF(COUNTIFS($A$5:$A$404,A64,$D$5:$D$404,"Có")&lt;&gt;0,"Choice tương tác không được đánh dấu đáp án đúng",""),"Choice chưa chọn loại")))))))</f>
        <v/>
      </c>
    </row>
    <row r="65" spans="1:11">
      <c r="A65" s="13"/>
      <c r="B65" s="13"/>
      <c r="C65" s="5"/>
      <c r="D65" s="13"/>
      <c r="E65" s="13"/>
      <c r="F65" s="13"/>
      <c r="G65" s="13"/>
      <c r="H65" s="5"/>
      <c r="I65" s="5"/>
      <c r="J65" s="6" t="str">
        <f t="shared" si="0"/>
        <v/>
      </c>
      <c r="K65" s="6" t="str">
        <f>IF(A65="","",IF(COUNTIFS('02_KICH_BAN_NODES'!$B$5:$B$204,A65,'02_KICH_BAN_NODES'!$D$5:$D$204,"choice")=0,"ChoiceNodeId không tồn tại hoặc không phải choice",IF(COUNTIFS($A$5:$A$404,A65,$B$5:$B$404,B65)&gt;1,"Trùng OptionOrder trong cùng choice",IF(OR(B65="",C65="",D65="",F65="",H65=""),"Thiếu trường bắt buộc",IF(OR(COUNTIF($A$5:$A$404,A65)&lt;2,COUNTIF($A$5:$A$404,A65)&gt;4),"Mỗi choice cần 2–4 option",IF(COUNTIFS('02_KICH_BAN_NODES'!$B$5:$B$204,A65,'02_KICH_BAN_NODES'!$E$5:$E$204,"Kiến thức")=1,IF(COUNTIFS($A$5:$A$404,A65,$D$5:$D$404,"Có")&lt;&gt;1,"Choice kiến thức cần đúng 1 đáp án đúng",""),IF(COUNTIFS('02_KICH_BAN_NODES'!$B$5:$B$204,A65,'02_KICH_BAN_NODES'!$E$5:$E$204,"Tương tác")=1,IF(COUNTIFS($A$5:$A$404,A65,$D$5:$D$404,"Có")&lt;&gt;0,"Choice tương tác không được đánh dấu đáp án đúng",""),"Choice chưa chọn loại")))))))</f>
        <v/>
      </c>
    </row>
    <row r="66" spans="1:11">
      <c r="A66" s="13"/>
      <c r="B66" s="13"/>
      <c r="C66" s="5"/>
      <c r="D66" s="13"/>
      <c r="E66" s="13"/>
      <c r="F66" s="13"/>
      <c r="G66" s="13"/>
      <c r="H66" s="5"/>
      <c r="I66" s="5"/>
      <c r="J66" s="6" t="str">
        <f t="shared" si="0"/>
        <v/>
      </c>
      <c r="K66" s="6" t="str">
        <f>IF(A66="","",IF(COUNTIFS('02_KICH_BAN_NODES'!$B$5:$B$204,A66,'02_KICH_BAN_NODES'!$D$5:$D$204,"choice")=0,"ChoiceNodeId không tồn tại hoặc không phải choice",IF(COUNTIFS($A$5:$A$404,A66,$B$5:$B$404,B66)&gt;1,"Trùng OptionOrder trong cùng choice",IF(OR(B66="",C66="",D66="",F66="",H66=""),"Thiếu trường bắt buộc",IF(OR(COUNTIF($A$5:$A$404,A66)&lt;2,COUNTIF($A$5:$A$404,A66)&gt;4),"Mỗi choice cần 2–4 option",IF(COUNTIFS('02_KICH_BAN_NODES'!$B$5:$B$204,A66,'02_KICH_BAN_NODES'!$E$5:$E$204,"Kiến thức")=1,IF(COUNTIFS($A$5:$A$404,A66,$D$5:$D$404,"Có")&lt;&gt;1,"Choice kiến thức cần đúng 1 đáp án đúng",""),IF(COUNTIFS('02_KICH_BAN_NODES'!$B$5:$B$204,A66,'02_KICH_BAN_NODES'!$E$5:$E$204,"Tương tác")=1,IF(COUNTIFS($A$5:$A$404,A66,$D$5:$D$404,"Có")&lt;&gt;0,"Choice tương tác không được đánh dấu đáp án đúng",""),"Choice chưa chọn loại")))))))</f>
        <v/>
      </c>
    </row>
    <row r="67" spans="1:11">
      <c r="A67" s="13"/>
      <c r="B67" s="13"/>
      <c r="C67" s="5"/>
      <c r="D67" s="13"/>
      <c r="E67" s="13"/>
      <c r="F67" s="13"/>
      <c r="G67" s="13"/>
      <c r="H67" s="5"/>
      <c r="I67" s="5"/>
      <c r="J67" s="6" t="str">
        <f t="shared" si="0"/>
        <v/>
      </c>
      <c r="K67" s="6" t="str">
        <f>IF(A67="","",IF(COUNTIFS('02_KICH_BAN_NODES'!$B$5:$B$204,A67,'02_KICH_BAN_NODES'!$D$5:$D$204,"choice")=0,"ChoiceNodeId không tồn tại hoặc không phải choice",IF(COUNTIFS($A$5:$A$404,A67,$B$5:$B$404,B67)&gt;1,"Trùng OptionOrder trong cùng choice",IF(OR(B67="",C67="",D67="",F67="",H67=""),"Thiếu trường bắt buộc",IF(OR(COUNTIF($A$5:$A$404,A67)&lt;2,COUNTIF($A$5:$A$404,A67)&gt;4),"Mỗi choice cần 2–4 option",IF(COUNTIFS('02_KICH_BAN_NODES'!$B$5:$B$204,A67,'02_KICH_BAN_NODES'!$E$5:$E$204,"Kiến thức")=1,IF(COUNTIFS($A$5:$A$404,A67,$D$5:$D$404,"Có")&lt;&gt;1,"Choice kiến thức cần đúng 1 đáp án đúng",""),IF(COUNTIFS('02_KICH_BAN_NODES'!$B$5:$B$204,A67,'02_KICH_BAN_NODES'!$E$5:$E$204,"Tương tác")=1,IF(COUNTIFS($A$5:$A$404,A67,$D$5:$D$404,"Có")&lt;&gt;0,"Choice tương tác không được đánh dấu đáp án đúng",""),"Choice chưa chọn loại")))))))</f>
        <v/>
      </c>
    </row>
    <row r="68" spans="1:11">
      <c r="A68" s="13"/>
      <c r="B68" s="13"/>
      <c r="C68" s="5"/>
      <c r="D68" s="13"/>
      <c r="E68" s="13"/>
      <c r="F68" s="13"/>
      <c r="G68" s="13"/>
      <c r="H68" s="5"/>
      <c r="I68" s="5"/>
      <c r="J68" s="6" t="str">
        <f t="shared" si="0"/>
        <v/>
      </c>
      <c r="K68" s="6" t="str">
        <f>IF(A68="","",IF(COUNTIFS('02_KICH_BAN_NODES'!$B$5:$B$204,A68,'02_KICH_BAN_NODES'!$D$5:$D$204,"choice")=0,"ChoiceNodeId không tồn tại hoặc không phải choice",IF(COUNTIFS($A$5:$A$404,A68,$B$5:$B$404,B68)&gt;1,"Trùng OptionOrder trong cùng choice",IF(OR(B68="",C68="",D68="",F68="",H68=""),"Thiếu trường bắt buộc",IF(OR(COUNTIF($A$5:$A$404,A68)&lt;2,COUNTIF($A$5:$A$404,A68)&gt;4),"Mỗi choice cần 2–4 option",IF(COUNTIFS('02_KICH_BAN_NODES'!$B$5:$B$204,A68,'02_KICH_BAN_NODES'!$E$5:$E$204,"Kiến thức")=1,IF(COUNTIFS($A$5:$A$404,A68,$D$5:$D$404,"Có")&lt;&gt;1,"Choice kiến thức cần đúng 1 đáp án đúng",""),IF(COUNTIFS('02_KICH_BAN_NODES'!$B$5:$B$204,A68,'02_KICH_BAN_NODES'!$E$5:$E$204,"Tương tác")=1,IF(COUNTIFS($A$5:$A$404,A68,$D$5:$D$404,"Có")&lt;&gt;0,"Choice tương tác không được đánh dấu đáp án đúng",""),"Choice chưa chọn loại")))))))</f>
        <v/>
      </c>
    </row>
    <row r="69" spans="1:11">
      <c r="A69" s="13"/>
      <c r="B69" s="13"/>
      <c r="C69" s="5"/>
      <c r="D69" s="13"/>
      <c r="E69" s="13"/>
      <c r="F69" s="13"/>
      <c r="G69" s="13"/>
      <c r="H69" s="5"/>
      <c r="I69" s="5"/>
      <c r="J69" s="6" t="str">
        <f t="shared" ref="J69:J132" si="1">IF(A69="","",IF(K69="","HỢP LỆ","CẦN SỬA"))</f>
        <v/>
      </c>
      <c r="K69" s="6" t="str">
        <f>IF(A69="","",IF(COUNTIFS('02_KICH_BAN_NODES'!$B$5:$B$204,A69,'02_KICH_BAN_NODES'!$D$5:$D$204,"choice")=0,"ChoiceNodeId không tồn tại hoặc không phải choice",IF(COUNTIFS($A$5:$A$404,A69,$B$5:$B$404,B69)&gt;1,"Trùng OptionOrder trong cùng choice",IF(OR(B69="",C69="",D69="",F69="",H69=""),"Thiếu trường bắt buộc",IF(OR(COUNTIF($A$5:$A$404,A69)&lt;2,COUNTIF($A$5:$A$404,A69)&gt;4),"Mỗi choice cần 2–4 option",IF(COUNTIFS('02_KICH_BAN_NODES'!$B$5:$B$204,A69,'02_KICH_BAN_NODES'!$E$5:$E$204,"Kiến thức")=1,IF(COUNTIFS($A$5:$A$404,A69,$D$5:$D$404,"Có")&lt;&gt;1,"Choice kiến thức cần đúng 1 đáp án đúng",""),IF(COUNTIFS('02_KICH_BAN_NODES'!$B$5:$B$204,A69,'02_KICH_BAN_NODES'!$E$5:$E$204,"Tương tác")=1,IF(COUNTIFS($A$5:$A$404,A69,$D$5:$D$404,"Có")&lt;&gt;0,"Choice tương tác không được đánh dấu đáp án đúng",""),"Choice chưa chọn loại")))))))</f>
        <v/>
      </c>
    </row>
    <row r="70" spans="1:11">
      <c r="A70" s="13"/>
      <c r="B70" s="13"/>
      <c r="C70" s="5"/>
      <c r="D70" s="13"/>
      <c r="E70" s="13"/>
      <c r="F70" s="13"/>
      <c r="G70" s="13"/>
      <c r="H70" s="5"/>
      <c r="I70" s="5"/>
      <c r="J70" s="6" t="str">
        <f t="shared" si="1"/>
        <v/>
      </c>
      <c r="K70" s="6" t="str">
        <f>IF(A70="","",IF(COUNTIFS('02_KICH_BAN_NODES'!$B$5:$B$204,A70,'02_KICH_BAN_NODES'!$D$5:$D$204,"choice")=0,"ChoiceNodeId không tồn tại hoặc không phải choice",IF(COUNTIFS($A$5:$A$404,A70,$B$5:$B$404,B70)&gt;1,"Trùng OptionOrder trong cùng choice",IF(OR(B70="",C70="",D70="",F70="",H70=""),"Thiếu trường bắt buộc",IF(OR(COUNTIF($A$5:$A$404,A70)&lt;2,COUNTIF($A$5:$A$404,A70)&gt;4),"Mỗi choice cần 2–4 option",IF(COUNTIFS('02_KICH_BAN_NODES'!$B$5:$B$204,A70,'02_KICH_BAN_NODES'!$E$5:$E$204,"Kiến thức")=1,IF(COUNTIFS($A$5:$A$404,A70,$D$5:$D$404,"Có")&lt;&gt;1,"Choice kiến thức cần đúng 1 đáp án đúng",""),IF(COUNTIFS('02_KICH_BAN_NODES'!$B$5:$B$204,A70,'02_KICH_BAN_NODES'!$E$5:$E$204,"Tương tác")=1,IF(COUNTIFS($A$5:$A$404,A70,$D$5:$D$404,"Có")&lt;&gt;0,"Choice tương tác không được đánh dấu đáp án đúng",""),"Choice chưa chọn loại")))))))</f>
        <v/>
      </c>
    </row>
    <row r="71" spans="1:11">
      <c r="A71" s="13"/>
      <c r="B71" s="13"/>
      <c r="C71" s="5"/>
      <c r="D71" s="13"/>
      <c r="E71" s="13"/>
      <c r="F71" s="13"/>
      <c r="G71" s="13"/>
      <c r="H71" s="5"/>
      <c r="I71" s="5"/>
      <c r="J71" s="6" t="str">
        <f t="shared" si="1"/>
        <v/>
      </c>
      <c r="K71" s="6" t="str">
        <f>IF(A71="","",IF(COUNTIFS('02_KICH_BAN_NODES'!$B$5:$B$204,A71,'02_KICH_BAN_NODES'!$D$5:$D$204,"choice")=0,"ChoiceNodeId không tồn tại hoặc không phải choice",IF(COUNTIFS($A$5:$A$404,A71,$B$5:$B$404,B71)&gt;1,"Trùng OptionOrder trong cùng choice",IF(OR(B71="",C71="",D71="",F71="",H71=""),"Thiếu trường bắt buộc",IF(OR(COUNTIF($A$5:$A$404,A71)&lt;2,COUNTIF($A$5:$A$404,A71)&gt;4),"Mỗi choice cần 2–4 option",IF(COUNTIFS('02_KICH_BAN_NODES'!$B$5:$B$204,A71,'02_KICH_BAN_NODES'!$E$5:$E$204,"Kiến thức")=1,IF(COUNTIFS($A$5:$A$404,A71,$D$5:$D$404,"Có")&lt;&gt;1,"Choice kiến thức cần đúng 1 đáp án đúng",""),IF(COUNTIFS('02_KICH_BAN_NODES'!$B$5:$B$204,A71,'02_KICH_BAN_NODES'!$E$5:$E$204,"Tương tác")=1,IF(COUNTIFS($A$5:$A$404,A71,$D$5:$D$404,"Có")&lt;&gt;0,"Choice tương tác không được đánh dấu đáp án đúng",""),"Choice chưa chọn loại")))))))</f>
        <v/>
      </c>
    </row>
    <row r="72" spans="1:11">
      <c r="A72" s="13"/>
      <c r="B72" s="13"/>
      <c r="C72" s="5"/>
      <c r="D72" s="13"/>
      <c r="E72" s="13"/>
      <c r="F72" s="13"/>
      <c r="G72" s="13"/>
      <c r="H72" s="5"/>
      <c r="I72" s="5"/>
      <c r="J72" s="6" t="str">
        <f t="shared" si="1"/>
        <v/>
      </c>
      <c r="K72" s="6" t="str">
        <f>IF(A72="","",IF(COUNTIFS('02_KICH_BAN_NODES'!$B$5:$B$204,A72,'02_KICH_BAN_NODES'!$D$5:$D$204,"choice")=0,"ChoiceNodeId không tồn tại hoặc không phải choice",IF(COUNTIFS($A$5:$A$404,A72,$B$5:$B$404,B72)&gt;1,"Trùng OptionOrder trong cùng choice",IF(OR(B72="",C72="",D72="",F72="",H72=""),"Thiếu trường bắt buộc",IF(OR(COUNTIF($A$5:$A$404,A72)&lt;2,COUNTIF($A$5:$A$404,A72)&gt;4),"Mỗi choice cần 2–4 option",IF(COUNTIFS('02_KICH_BAN_NODES'!$B$5:$B$204,A72,'02_KICH_BAN_NODES'!$E$5:$E$204,"Kiến thức")=1,IF(COUNTIFS($A$5:$A$404,A72,$D$5:$D$404,"Có")&lt;&gt;1,"Choice kiến thức cần đúng 1 đáp án đúng",""),IF(COUNTIFS('02_KICH_BAN_NODES'!$B$5:$B$204,A72,'02_KICH_BAN_NODES'!$E$5:$E$204,"Tương tác")=1,IF(COUNTIFS($A$5:$A$404,A72,$D$5:$D$404,"Có")&lt;&gt;0,"Choice tương tác không được đánh dấu đáp án đúng",""),"Choice chưa chọn loại")))))))</f>
        <v/>
      </c>
    </row>
    <row r="73" spans="1:11">
      <c r="A73" s="13"/>
      <c r="B73" s="13"/>
      <c r="C73" s="5"/>
      <c r="D73" s="13"/>
      <c r="E73" s="13"/>
      <c r="F73" s="13"/>
      <c r="G73" s="13"/>
      <c r="H73" s="5"/>
      <c r="I73" s="5"/>
      <c r="J73" s="6" t="str">
        <f t="shared" si="1"/>
        <v/>
      </c>
      <c r="K73" s="6" t="str">
        <f>IF(A73="","",IF(COUNTIFS('02_KICH_BAN_NODES'!$B$5:$B$204,A73,'02_KICH_BAN_NODES'!$D$5:$D$204,"choice")=0,"ChoiceNodeId không tồn tại hoặc không phải choice",IF(COUNTIFS($A$5:$A$404,A73,$B$5:$B$404,B73)&gt;1,"Trùng OptionOrder trong cùng choice",IF(OR(B73="",C73="",D73="",F73="",H73=""),"Thiếu trường bắt buộc",IF(OR(COUNTIF($A$5:$A$404,A73)&lt;2,COUNTIF($A$5:$A$404,A73)&gt;4),"Mỗi choice cần 2–4 option",IF(COUNTIFS('02_KICH_BAN_NODES'!$B$5:$B$204,A73,'02_KICH_BAN_NODES'!$E$5:$E$204,"Kiến thức")=1,IF(COUNTIFS($A$5:$A$404,A73,$D$5:$D$404,"Có")&lt;&gt;1,"Choice kiến thức cần đúng 1 đáp án đúng",""),IF(COUNTIFS('02_KICH_BAN_NODES'!$B$5:$B$204,A73,'02_KICH_BAN_NODES'!$E$5:$E$204,"Tương tác")=1,IF(COUNTIFS($A$5:$A$404,A73,$D$5:$D$404,"Có")&lt;&gt;0,"Choice tương tác không được đánh dấu đáp án đúng",""),"Choice chưa chọn loại")))))))</f>
        <v/>
      </c>
    </row>
    <row r="74" spans="1:11">
      <c r="A74" s="13"/>
      <c r="B74" s="13"/>
      <c r="C74" s="5"/>
      <c r="D74" s="13"/>
      <c r="E74" s="13"/>
      <c r="F74" s="13"/>
      <c r="G74" s="13"/>
      <c r="H74" s="5"/>
      <c r="I74" s="5"/>
      <c r="J74" s="6" t="str">
        <f t="shared" si="1"/>
        <v/>
      </c>
      <c r="K74" s="6" t="str">
        <f>IF(A74="","",IF(COUNTIFS('02_KICH_BAN_NODES'!$B$5:$B$204,A74,'02_KICH_BAN_NODES'!$D$5:$D$204,"choice")=0,"ChoiceNodeId không tồn tại hoặc không phải choice",IF(COUNTIFS($A$5:$A$404,A74,$B$5:$B$404,B74)&gt;1,"Trùng OptionOrder trong cùng choice",IF(OR(B74="",C74="",D74="",F74="",H74=""),"Thiếu trường bắt buộc",IF(OR(COUNTIF($A$5:$A$404,A74)&lt;2,COUNTIF($A$5:$A$404,A74)&gt;4),"Mỗi choice cần 2–4 option",IF(COUNTIFS('02_KICH_BAN_NODES'!$B$5:$B$204,A74,'02_KICH_BAN_NODES'!$E$5:$E$204,"Kiến thức")=1,IF(COUNTIFS($A$5:$A$404,A74,$D$5:$D$404,"Có")&lt;&gt;1,"Choice kiến thức cần đúng 1 đáp án đúng",""),IF(COUNTIFS('02_KICH_BAN_NODES'!$B$5:$B$204,A74,'02_KICH_BAN_NODES'!$E$5:$E$204,"Tương tác")=1,IF(COUNTIFS($A$5:$A$404,A74,$D$5:$D$404,"Có")&lt;&gt;0,"Choice tương tác không được đánh dấu đáp án đúng",""),"Choice chưa chọn loại")))))))</f>
        <v/>
      </c>
    </row>
    <row r="75" spans="1:11">
      <c r="A75" s="13"/>
      <c r="B75" s="13"/>
      <c r="C75" s="5"/>
      <c r="D75" s="13"/>
      <c r="E75" s="13"/>
      <c r="F75" s="13"/>
      <c r="G75" s="13"/>
      <c r="H75" s="5"/>
      <c r="I75" s="5"/>
      <c r="J75" s="6" t="str">
        <f t="shared" si="1"/>
        <v/>
      </c>
      <c r="K75" s="6" t="str">
        <f>IF(A75="","",IF(COUNTIFS('02_KICH_BAN_NODES'!$B$5:$B$204,A75,'02_KICH_BAN_NODES'!$D$5:$D$204,"choice")=0,"ChoiceNodeId không tồn tại hoặc không phải choice",IF(COUNTIFS($A$5:$A$404,A75,$B$5:$B$404,B75)&gt;1,"Trùng OptionOrder trong cùng choice",IF(OR(B75="",C75="",D75="",F75="",H75=""),"Thiếu trường bắt buộc",IF(OR(COUNTIF($A$5:$A$404,A75)&lt;2,COUNTIF($A$5:$A$404,A75)&gt;4),"Mỗi choice cần 2–4 option",IF(COUNTIFS('02_KICH_BAN_NODES'!$B$5:$B$204,A75,'02_KICH_BAN_NODES'!$E$5:$E$204,"Kiến thức")=1,IF(COUNTIFS($A$5:$A$404,A75,$D$5:$D$404,"Có")&lt;&gt;1,"Choice kiến thức cần đúng 1 đáp án đúng",""),IF(COUNTIFS('02_KICH_BAN_NODES'!$B$5:$B$204,A75,'02_KICH_BAN_NODES'!$E$5:$E$204,"Tương tác")=1,IF(COUNTIFS($A$5:$A$404,A75,$D$5:$D$404,"Có")&lt;&gt;0,"Choice tương tác không được đánh dấu đáp án đúng",""),"Choice chưa chọn loại")))))))</f>
        <v/>
      </c>
    </row>
    <row r="76" spans="1:11">
      <c r="A76" s="13"/>
      <c r="B76" s="13"/>
      <c r="C76" s="5"/>
      <c r="D76" s="13"/>
      <c r="E76" s="13"/>
      <c r="F76" s="13"/>
      <c r="G76" s="13"/>
      <c r="H76" s="5"/>
      <c r="I76" s="5"/>
      <c r="J76" s="6" t="str">
        <f t="shared" si="1"/>
        <v/>
      </c>
      <c r="K76" s="6" t="str">
        <f>IF(A76="","",IF(COUNTIFS('02_KICH_BAN_NODES'!$B$5:$B$204,A76,'02_KICH_BAN_NODES'!$D$5:$D$204,"choice")=0,"ChoiceNodeId không tồn tại hoặc không phải choice",IF(COUNTIFS($A$5:$A$404,A76,$B$5:$B$404,B76)&gt;1,"Trùng OptionOrder trong cùng choice",IF(OR(B76="",C76="",D76="",F76="",H76=""),"Thiếu trường bắt buộc",IF(OR(COUNTIF($A$5:$A$404,A76)&lt;2,COUNTIF($A$5:$A$404,A76)&gt;4),"Mỗi choice cần 2–4 option",IF(COUNTIFS('02_KICH_BAN_NODES'!$B$5:$B$204,A76,'02_KICH_BAN_NODES'!$E$5:$E$204,"Kiến thức")=1,IF(COUNTIFS($A$5:$A$404,A76,$D$5:$D$404,"Có")&lt;&gt;1,"Choice kiến thức cần đúng 1 đáp án đúng",""),IF(COUNTIFS('02_KICH_BAN_NODES'!$B$5:$B$204,A76,'02_KICH_BAN_NODES'!$E$5:$E$204,"Tương tác")=1,IF(COUNTIFS($A$5:$A$404,A76,$D$5:$D$404,"Có")&lt;&gt;0,"Choice tương tác không được đánh dấu đáp án đúng",""),"Choice chưa chọn loại")))))))</f>
        <v/>
      </c>
    </row>
    <row r="77" spans="1:11">
      <c r="A77" s="13"/>
      <c r="B77" s="13"/>
      <c r="C77" s="5"/>
      <c r="D77" s="13"/>
      <c r="E77" s="13"/>
      <c r="F77" s="13"/>
      <c r="G77" s="13"/>
      <c r="H77" s="5"/>
      <c r="I77" s="5"/>
      <c r="J77" s="6" t="str">
        <f t="shared" si="1"/>
        <v/>
      </c>
      <c r="K77" s="6" t="str">
        <f>IF(A77="","",IF(COUNTIFS('02_KICH_BAN_NODES'!$B$5:$B$204,A77,'02_KICH_BAN_NODES'!$D$5:$D$204,"choice")=0,"ChoiceNodeId không tồn tại hoặc không phải choice",IF(COUNTIFS($A$5:$A$404,A77,$B$5:$B$404,B77)&gt;1,"Trùng OptionOrder trong cùng choice",IF(OR(B77="",C77="",D77="",F77="",H77=""),"Thiếu trường bắt buộc",IF(OR(COUNTIF($A$5:$A$404,A77)&lt;2,COUNTIF($A$5:$A$404,A77)&gt;4),"Mỗi choice cần 2–4 option",IF(COUNTIFS('02_KICH_BAN_NODES'!$B$5:$B$204,A77,'02_KICH_BAN_NODES'!$E$5:$E$204,"Kiến thức")=1,IF(COUNTIFS($A$5:$A$404,A77,$D$5:$D$404,"Có")&lt;&gt;1,"Choice kiến thức cần đúng 1 đáp án đúng",""),IF(COUNTIFS('02_KICH_BAN_NODES'!$B$5:$B$204,A77,'02_KICH_BAN_NODES'!$E$5:$E$204,"Tương tác")=1,IF(COUNTIFS($A$5:$A$404,A77,$D$5:$D$404,"Có")&lt;&gt;0,"Choice tương tác không được đánh dấu đáp án đúng",""),"Choice chưa chọn loại")))))))</f>
        <v/>
      </c>
    </row>
    <row r="78" spans="1:11">
      <c r="A78" s="13"/>
      <c r="B78" s="13"/>
      <c r="C78" s="5"/>
      <c r="D78" s="13"/>
      <c r="E78" s="13"/>
      <c r="F78" s="13"/>
      <c r="G78" s="13"/>
      <c r="H78" s="5"/>
      <c r="I78" s="5"/>
      <c r="J78" s="6" t="str">
        <f t="shared" si="1"/>
        <v/>
      </c>
      <c r="K78" s="6" t="str">
        <f>IF(A78="","",IF(COUNTIFS('02_KICH_BAN_NODES'!$B$5:$B$204,A78,'02_KICH_BAN_NODES'!$D$5:$D$204,"choice")=0,"ChoiceNodeId không tồn tại hoặc không phải choice",IF(COUNTIFS($A$5:$A$404,A78,$B$5:$B$404,B78)&gt;1,"Trùng OptionOrder trong cùng choice",IF(OR(B78="",C78="",D78="",F78="",H78=""),"Thiếu trường bắt buộc",IF(OR(COUNTIF($A$5:$A$404,A78)&lt;2,COUNTIF($A$5:$A$404,A78)&gt;4),"Mỗi choice cần 2–4 option",IF(COUNTIFS('02_KICH_BAN_NODES'!$B$5:$B$204,A78,'02_KICH_BAN_NODES'!$E$5:$E$204,"Kiến thức")=1,IF(COUNTIFS($A$5:$A$404,A78,$D$5:$D$404,"Có")&lt;&gt;1,"Choice kiến thức cần đúng 1 đáp án đúng",""),IF(COUNTIFS('02_KICH_BAN_NODES'!$B$5:$B$204,A78,'02_KICH_BAN_NODES'!$E$5:$E$204,"Tương tác")=1,IF(COUNTIFS($A$5:$A$404,A78,$D$5:$D$404,"Có")&lt;&gt;0,"Choice tương tác không được đánh dấu đáp án đúng",""),"Choice chưa chọn loại")))))))</f>
        <v/>
      </c>
    </row>
    <row r="79" spans="1:11">
      <c r="A79" s="13"/>
      <c r="B79" s="13"/>
      <c r="C79" s="5"/>
      <c r="D79" s="13"/>
      <c r="E79" s="13"/>
      <c r="F79" s="13"/>
      <c r="G79" s="13"/>
      <c r="H79" s="5"/>
      <c r="I79" s="5"/>
      <c r="J79" s="6" t="str">
        <f t="shared" si="1"/>
        <v/>
      </c>
      <c r="K79" s="6" t="str">
        <f>IF(A79="","",IF(COUNTIFS('02_KICH_BAN_NODES'!$B$5:$B$204,A79,'02_KICH_BAN_NODES'!$D$5:$D$204,"choice")=0,"ChoiceNodeId không tồn tại hoặc không phải choice",IF(COUNTIFS($A$5:$A$404,A79,$B$5:$B$404,B79)&gt;1,"Trùng OptionOrder trong cùng choice",IF(OR(B79="",C79="",D79="",F79="",H79=""),"Thiếu trường bắt buộc",IF(OR(COUNTIF($A$5:$A$404,A79)&lt;2,COUNTIF($A$5:$A$404,A79)&gt;4),"Mỗi choice cần 2–4 option",IF(COUNTIFS('02_KICH_BAN_NODES'!$B$5:$B$204,A79,'02_KICH_BAN_NODES'!$E$5:$E$204,"Kiến thức")=1,IF(COUNTIFS($A$5:$A$404,A79,$D$5:$D$404,"Có")&lt;&gt;1,"Choice kiến thức cần đúng 1 đáp án đúng",""),IF(COUNTIFS('02_KICH_BAN_NODES'!$B$5:$B$204,A79,'02_KICH_BAN_NODES'!$E$5:$E$204,"Tương tác")=1,IF(COUNTIFS($A$5:$A$404,A79,$D$5:$D$404,"Có")&lt;&gt;0,"Choice tương tác không được đánh dấu đáp án đúng",""),"Choice chưa chọn loại")))))))</f>
        <v/>
      </c>
    </row>
    <row r="80" spans="1:11">
      <c r="A80" s="13"/>
      <c r="B80" s="13"/>
      <c r="C80" s="5"/>
      <c r="D80" s="13"/>
      <c r="E80" s="13"/>
      <c r="F80" s="13"/>
      <c r="G80" s="13"/>
      <c r="H80" s="5"/>
      <c r="I80" s="5"/>
      <c r="J80" s="6" t="str">
        <f t="shared" si="1"/>
        <v/>
      </c>
      <c r="K80" s="6" t="str">
        <f>IF(A80="","",IF(COUNTIFS('02_KICH_BAN_NODES'!$B$5:$B$204,A80,'02_KICH_BAN_NODES'!$D$5:$D$204,"choice")=0,"ChoiceNodeId không tồn tại hoặc không phải choice",IF(COUNTIFS($A$5:$A$404,A80,$B$5:$B$404,B80)&gt;1,"Trùng OptionOrder trong cùng choice",IF(OR(B80="",C80="",D80="",F80="",H80=""),"Thiếu trường bắt buộc",IF(OR(COUNTIF($A$5:$A$404,A80)&lt;2,COUNTIF($A$5:$A$404,A80)&gt;4),"Mỗi choice cần 2–4 option",IF(COUNTIFS('02_KICH_BAN_NODES'!$B$5:$B$204,A80,'02_KICH_BAN_NODES'!$E$5:$E$204,"Kiến thức")=1,IF(COUNTIFS($A$5:$A$404,A80,$D$5:$D$404,"Có")&lt;&gt;1,"Choice kiến thức cần đúng 1 đáp án đúng",""),IF(COUNTIFS('02_KICH_BAN_NODES'!$B$5:$B$204,A80,'02_KICH_BAN_NODES'!$E$5:$E$204,"Tương tác")=1,IF(COUNTIFS($A$5:$A$404,A80,$D$5:$D$404,"Có")&lt;&gt;0,"Choice tương tác không được đánh dấu đáp án đúng",""),"Choice chưa chọn loại")))))))</f>
        <v/>
      </c>
    </row>
    <row r="81" spans="1:11">
      <c r="A81" s="13"/>
      <c r="B81" s="13"/>
      <c r="C81" s="5"/>
      <c r="D81" s="13"/>
      <c r="E81" s="13"/>
      <c r="F81" s="13"/>
      <c r="G81" s="13"/>
      <c r="H81" s="5"/>
      <c r="I81" s="5"/>
      <c r="J81" s="6" t="str">
        <f t="shared" si="1"/>
        <v/>
      </c>
      <c r="K81" s="6" t="str">
        <f>IF(A81="","",IF(COUNTIFS('02_KICH_BAN_NODES'!$B$5:$B$204,A81,'02_KICH_BAN_NODES'!$D$5:$D$204,"choice")=0,"ChoiceNodeId không tồn tại hoặc không phải choice",IF(COUNTIFS($A$5:$A$404,A81,$B$5:$B$404,B81)&gt;1,"Trùng OptionOrder trong cùng choice",IF(OR(B81="",C81="",D81="",F81="",H81=""),"Thiếu trường bắt buộc",IF(OR(COUNTIF($A$5:$A$404,A81)&lt;2,COUNTIF($A$5:$A$404,A81)&gt;4),"Mỗi choice cần 2–4 option",IF(COUNTIFS('02_KICH_BAN_NODES'!$B$5:$B$204,A81,'02_KICH_BAN_NODES'!$E$5:$E$204,"Kiến thức")=1,IF(COUNTIFS($A$5:$A$404,A81,$D$5:$D$404,"Có")&lt;&gt;1,"Choice kiến thức cần đúng 1 đáp án đúng",""),IF(COUNTIFS('02_KICH_BAN_NODES'!$B$5:$B$204,A81,'02_KICH_BAN_NODES'!$E$5:$E$204,"Tương tác")=1,IF(COUNTIFS($A$5:$A$404,A81,$D$5:$D$404,"Có")&lt;&gt;0,"Choice tương tác không được đánh dấu đáp án đúng",""),"Choice chưa chọn loại")))))))</f>
        <v/>
      </c>
    </row>
    <row r="82" spans="1:11">
      <c r="A82" s="13"/>
      <c r="B82" s="13"/>
      <c r="C82" s="5"/>
      <c r="D82" s="13"/>
      <c r="E82" s="13"/>
      <c r="F82" s="13"/>
      <c r="G82" s="13"/>
      <c r="H82" s="5"/>
      <c r="I82" s="5"/>
      <c r="J82" s="6" t="str">
        <f t="shared" si="1"/>
        <v/>
      </c>
      <c r="K82" s="6" t="str">
        <f>IF(A82="","",IF(COUNTIFS('02_KICH_BAN_NODES'!$B$5:$B$204,A82,'02_KICH_BAN_NODES'!$D$5:$D$204,"choice")=0,"ChoiceNodeId không tồn tại hoặc không phải choice",IF(COUNTIFS($A$5:$A$404,A82,$B$5:$B$404,B82)&gt;1,"Trùng OptionOrder trong cùng choice",IF(OR(B82="",C82="",D82="",F82="",H82=""),"Thiếu trường bắt buộc",IF(OR(COUNTIF($A$5:$A$404,A82)&lt;2,COUNTIF($A$5:$A$404,A82)&gt;4),"Mỗi choice cần 2–4 option",IF(COUNTIFS('02_KICH_BAN_NODES'!$B$5:$B$204,A82,'02_KICH_BAN_NODES'!$E$5:$E$204,"Kiến thức")=1,IF(COUNTIFS($A$5:$A$404,A82,$D$5:$D$404,"Có")&lt;&gt;1,"Choice kiến thức cần đúng 1 đáp án đúng",""),IF(COUNTIFS('02_KICH_BAN_NODES'!$B$5:$B$204,A82,'02_KICH_BAN_NODES'!$E$5:$E$204,"Tương tác")=1,IF(COUNTIFS($A$5:$A$404,A82,$D$5:$D$404,"Có")&lt;&gt;0,"Choice tương tác không được đánh dấu đáp án đúng",""),"Choice chưa chọn loại")))))))</f>
        <v/>
      </c>
    </row>
    <row r="83" spans="1:11">
      <c r="A83" s="13"/>
      <c r="B83" s="13"/>
      <c r="C83" s="5"/>
      <c r="D83" s="13"/>
      <c r="E83" s="13"/>
      <c r="F83" s="13"/>
      <c r="G83" s="13"/>
      <c r="H83" s="5"/>
      <c r="I83" s="5"/>
      <c r="J83" s="6" t="str">
        <f t="shared" si="1"/>
        <v/>
      </c>
      <c r="K83" s="6" t="str">
        <f>IF(A83="","",IF(COUNTIFS('02_KICH_BAN_NODES'!$B$5:$B$204,A83,'02_KICH_BAN_NODES'!$D$5:$D$204,"choice")=0,"ChoiceNodeId không tồn tại hoặc không phải choice",IF(COUNTIFS($A$5:$A$404,A83,$B$5:$B$404,B83)&gt;1,"Trùng OptionOrder trong cùng choice",IF(OR(B83="",C83="",D83="",F83="",H83=""),"Thiếu trường bắt buộc",IF(OR(COUNTIF($A$5:$A$404,A83)&lt;2,COUNTIF($A$5:$A$404,A83)&gt;4),"Mỗi choice cần 2–4 option",IF(COUNTIFS('02_KICH_BAN_NODES'!$B$5:$B$204,A83,'02_KICH_BAN_NODES'!$E$5:$E$204,"Kiến thức")=1,IF(COUNTIFS($A$5:$A$404,A83,$D$5:$D$404,"Có")&lt;&gt;1,"Choice kiến thức cần đúng 1 đáp án đúng",""),IF(COUNTIFS('02_KICH_BAN_NODES'!$B$5:$B$204,A83,'02_KICH_BAN_NODES'!$E$5:$E$204,"Tương tác")=1,IF(COUNTIFS($A$5:$A$404,A83,$D$5:$D$404,"Có")&lt;&gt;0,"Choice tương tác không được đánh dấu đáp án đúng",""),"Choice chưa chọn loại")))))))</f>
        <v/>
      </c>
    </row>
    <row r="84" spans="1:11">
      <c r="A84" s="13"/>
      <c r="B84" s="13"/>
      <c r="C84" s="5"/>
      <c r="D84" s="13"/>
      <c r="E84" s="13"/>
      <c r="F84" s="13"/>
      <c r="G84" s="13"/>
      <c r="H84" s="5"/>
      <c r="I84" s="5"/>
      <c r="J84" s="6" t="str">
        <f t="shared" si="1"/>
        <v/>
      </c>
      <c r="K84" s="6" t="str">
        <f>IF(A84="","",IF(COUNTIFS('02_KICH_BAN_NODES'!$B$5:$B$204,A84,'02_KICH_BAN_NODES'!$D$5:$D$204,"choice")=0,"ChoiceNodeId không tồn tại hoặc không phải choice",IF(COUNTIFS($A$5:$A$404,A84,$B$5:$B$404,B84)&gt;1,"Trùng OptionOrder trong cùng choice",IF(OR(B84="",C84="",D84="",F84="",H84=""),"Thiếu trường bắt buộc",IF(OR(COUNTIF($A$5:$A$404,A84)&lt;2,COUNTIF($A$5:$A$404,A84)&gt;4),"Mỗi choice cần 2–4 option",IF(COUNTIFS('02_KICH_BAN_NODES'!$B$5:$B$204,A84,'02_KICH_BAN_NODES'!$E$5:$E$204,"Kiến thức")=1,IF(COUNTIFS($A$5:$A$404,A84,$D$5:$D$404,"Có")&lt;&gt;1,"Choice kiến thức cần đúng 1 đáp án đúng",""),IF(COUNTIFS('02_KICH_BAN_NODES'!$B$5:$B$204,A84,'02_KICH_BAN_NODES'!$E$5:$E$204,"Tương tác")=1,IF(COUNTIFS($A$5:$A$404,A84,$D$5:$D$404,"Có")&lt;&gt;0,"Choice tương tác không được đánh dấu đáp án đúng",""),"Choice chưa chọn loại")))))))</f>
        <v/>
      </c>
    </row>
    <row r="85" spans="1:11">
      <c r="A85" s="13"/>
      <c r="B85" s="13"/>
      <c r="C85" s="5"/>
      <c r="D85" s="13"/>
      <c r="E85" s="13"/>
      <c r="F85" s="13"/>
      <c r="G85" s="13"/>
      <c r="H85" s="5"/>
      <c r="I85" s="5"/>
      <c r="J85" s="6" t="str">
        <f t="shared" si="1"/>
        <v/>
      </c>
      <c r="K85" s="6" t="str">
        <f>IF(A85="","",IF(COUNTIFS('02_KICH_BAN_NODES'!$B$5:$B$204,A85,'02_KICH_BAN_NODES'!$D$5:$D$204,"choice")=0,"ChoiceNodeId không tồn tại hoặc không phải choice",IF(COUNTIFS($A$5:$A$404,A85,$B$5:$B$404,B85)&gt;1,"Trùng OptionOrder trong cùng choice",IF(OR(B85="",C85="",D85="",F85="",H85=""),"Thiếu trường bắt buộc",IF(OR(COUNTIF($A$5:$A$404,A85)&lt;2,COUNTIF($A$5:$A$404,A85)&gt;4),"Mỗi choice cần 2–4 option",IF(COUNTIFS('02_KICH_BAN_NODES'!$B$5:$B$204,A85,'02_KICH_BAN_NODES'!$E$5:$E$204,"Kiến thức")=1,IF(COUNTIFS($A$5:$A$404,A85,$D$5:$D$404,"Có")&lt;&gt;1,"Choice kiến thức cần đúng 1 đáp án đúng",""),IF(COUNTIFS('02_KICH_BAN_NODES'!$B$5:$B$204,A85,'02_KICH_BAN_NODES'!$E$5:$E$204,"Tương tác")=1,IF(COUNTIFS($A$5:$A$404,A85,$D$5:$D$404,"Có")&lt;&gt;0,"Choice tương tác không được đánh dấu đáp án đúng",""),"Choice chưa chọn loại")))))))</f>
        <v/>
      </c>
    </row>
    <row r="86" spans="1:11">
      <c r="A86" s="13"/>
      <c r="B86" s="13"/>
      <c r="C86" s="5"/>
      <c r="D86" s="13"/>
      <c r="E86" s="13"/>
      <c r="F86" s="13"/>
      <c r="G86" s="13"/>
      <c r="H86" s="5"/>
      <c r="I86" s="5"/>
      <c r="J86" s="6" t="str">
        <f t="shared" si="1"/>
        <v/>
      </c>
      <c r="K86" s="6" t="str">
        <f>IF(A86="","",IF(COUNTIFS('02_KICH_BAN_NODES'!$B$5:$B$204,A86,'02_KICH_BAN_NODES'!$D$5:$D$204,"choice")=0,"ChoiceNodeId không tồn tại hoặc không phải choice",IF(COUNTIFS($A$5:$A$404,A86,$B$5:$B$404,B86)&gt;1,"Trùng OptionOrder trong cùng choice",IF(OR(B86="",C86="",D86="",F86="",H86=""),"Thiếu trường bắt buộc",IF(OR(COUNTIF($A$5:$A$404,A86)&lt;2,COUNTIF($A$5:$A$404,A86)&gt;4),"Mỗi choice cần 2–4 option",IF(COUNTIFS('02_KICH_BAN_NODES'!$B$5:$B$204,A86,'02_KICH_BAN_NODES'!$E$5:$E$204,"Kiến thức")=1,IF(COUNTIFS($A$5:$A$404,A86,$D$5:$D$404,"Có")&lt;&gt;1,"Choice kiến thức cần đúng 1 đáp án đúng",""),IF(COUNTIFS('02_KICH_BAN_NODES'!$B$5:$B$204,A86,'02_KICH_BAN_NODES'!$E$5:$E$204,"Tương tác")=1,IF(COUNTIFS($A$5:$A$404,A86,$D$5:$D$404,"Có")&lt;&gt;0,"Choice tương tác không được đánh dấu đáp án đúng",""),"Choice chưa chọn loại")))))))</f>
        <v/>
      </c>
    </row>
    <row r="87" spans="1:11">
      <c r="A87" s="13"/>
      <c r="B87" s="13"/>
      <c r="C87" s="5"/>
      <c r="D87" s="13"/>
      <c r="E87" s="13"/>
      <c r="F87" s="13"/>
      <c r="G87" s="13"/>
      <c r="H87" s="5"/>
      <c r="I87" s="5"/>
      <c r="J87" s="6" t="str">
        <f t="shared" si="1"/>
        <v/>
      </c>
      <c r="K87" s="6" t="str">
        <f>IF(A87="","",IF(COUNTIFS('02_KICH_BAN_NODES'!$B$5:$B$204,A87,'02_KICH_BAN_NODES'!$D$5:$D$204,"choice")=0,"ChoiceNodeId không tồn tại hoặc không phải choice",IF(COUNTIFS($A$5:$A$404,A87,$B$5:$B$404,B87)&gt;1,"Trùng OptionOrder trong cùng choice",IF(OR(B87="",C87="",D87="",F87="",H87=""),"Thiếu trường bắt buộc",IF(OR(COUNTIF($A$5:$A$404,A87)&lt;2,COUNTIF($A$5:$A$404,A87)&gt;4),"Mỗi choice cần 2–4 option",IF(COUNTIFS('02_KICH_BAN_NODES'!$B$5:$B$204,A87,'02_KICH_BAN_NODES'!$E$5:$E$204,"Kiến thức")=1,IF(COUNTIFS($A$5:$A$404,A87,$D$5:$D$404,"Có")&lt;&gt;1,"Choice kiến thức cần đúng 1 đáp án đúng",""),IF(COUNTIFS('02_KICH_BAN_NODES'!$B$5:$B$204,A87,'02_KICH_BAN_NODES'!$E$5:$E$204,"Tương tác")=1,IF(COUNTIFS($A$5:$A$404,A87,$D$5:$D$404,"Có")&lt;&gt;0,"Choice tương tác không được đánh dấu đáp án đúng",""),"Choice chưa chọn loại")))))))</f>
        <v/>
      </c>
    </row>
    <row r="88" spans="1:11">
      <c r="A88" s="13"/>
      <c r="B88" s="13"/>
      <c r="C88" s="5"/>
      <c r="D88" s="13"/>
      <c r="E88" s="13"/>
      <c r="F88" s="13"/>
      <c r="G88" s="13"/>
      <c r="H88" s="5"/>
      <c r="I88" s="5"/>
      <c r="J88" s="6" t="str">
        <f t="shared" si="1"/>
        <v/>
      </c>
      <c r="K88" s="6" t="str">
        <f>IF(A88="","",IF(COUNTIFS('02_KICH_BAN_NODES'!$B$5:$B$204,A88,'02_KICH_BAN_NODES'!$D$5:$D$204,"choice")=0,"ChoiceNodeId không tồn tại hoặc không phải choice",IF(COUNTIFS($A$5:$A$404,A88,$B$5:$B$404,B88)&gt;1,"Trùng OptionOrder trong cùng choice",IF(OR(B88="",C88="",D88="",F88="",H88=""),"Thiếu trường bắt buộc",IF(OR(COUNTIF($A$5:$A$404,A88)&lt;2,COUNTIF($A$5:$A$404,A88)&gt;4),"Mỗi choice cần 2–4 option",IF(COUNTIFS('02_KICH_BAN_NODES'!$B$5:$B$204,A88,'02_KICH_BAN_NODES'!$E$5:$E$204,"Kiến thức")=1,IF(COUNTIFS($A$5:$A$404,A88,$D$5:$D$404,"Có")&lt;&gt;1,"Choice kiến thức cần đúng 1 đáp án đúng",""),IF(COUNTIFS('02_KICH_BAN_NODES'!$B$5:$B$204,A88,'02_KICH_BAN_NODES'!$E$5:$E$204,"Tương tác")=1,IF(COUNTIFS($A$5:$A$404,A88,$D$5:$D$404,"Có")&lt;&gt;0,"Choice tương tác không được đánh dấu đáp án đúng",""),"Choice chưa chọn loại")))))))</f>
        <v/>
      </c>
    </row>
    <row r="89" spans="1:11">
      <c r="A89" s="13"/>
      <c r="B89" s="13"/>
      <c r="C89" s="5"/>
      <c r="D89" s="13"/>
      <c r="E89" s="13"/>
      <c r="F89" s="13"/>
      <c r="G89" s="13"/>
      <c r="H89" s="5"/>
      <c r="I89" s="5"/>
      <c r="J89" s="6" t="str">
        <f t="shared" si="1"/>
        <v/>
      </c>
      <c r="K89" s="6" t="str">
        <f>IF(A89="","",IF(COUNTIFS('02_KICH_BAN_NODES'!$B$5:$B$204,A89,'02_KICH_BAN_NODES'!$D$5:$D$204,"choice")=0,"ChoiceNodeId không tồn tại hoặc không phải choice",IF(COUNTIFS($A$5:$A$404,A89,$B$5:$B$404,B89)&gt;1,"Trùng OptionOrder trong cùng choice",IF(OR(B89="",C89="",D89="",F89="",H89=""),"Thiếu trường bắt buộc",IF(OR(COUNTIF($A$5:$A$404,A89)&lt;2,COUNTIF($A$5:$A$404,A89)&gt;4),"Mỗi choice cần 2–4 option",IF(COUNTIFS('02_KICH_BAN_NODES'!$B$5:$B$204,A89,'02_KICH_BAN_NODES'!$E$5:$E$204,"Kiến thức")=1,IF(COUNTIFS($A$5:$A$404,A89,$D$5:$D$404,"Có")&lt;&gt;1,"Choice kiến thức cần đúng 1 đáp án đúng",""),IF(COUNTIFS('02_KICH_BAN_NODES'!$B$5:$B$204,A89,'02_KICH_BAN_NODES'!$E$5:$E$204,"Tương tác")=1,IF(COUNTIFS($A$5:$A$404,A89,$D$5:$D$404,"Có")&lt;&gt;0,"Choice tương tác không được đánh dấu đáp án đúng",""),"Choice chưa chọn loại")))))))</f>
        <v/>
      </c>
    </row>
    <row r="90" spans="1:11">
      <c r="A90" s="13"/>
      <c r="B90" s="13"/>
      <c r="C90" s="5"/>
      <c r="D90" s="13"/>
      <c r="E90" s="13"/>
      <c r="F90" s="13"/>
      <c r="G90" s="13"/>
      <c r="H90" s="5"/>
      <c r="I90" s="5"/>
      <c r="J90" s="6" t="str">
        <f t="shared" si="1"/>
        <v/>
      </c>
      <c r="K90" s="6" t="str">
        <f>IF(A90="","",IF(COUNTIFS('02_KICH_BAN_NODES'!$B$5:$B$204,A90,'02_KICH_BAN_NODES'!$D$5:$D$204,"choice")=0,"ChoiceNodeId không tồn tại hoặc không phải choice",IF(COUNTIFS($A$5:$A$404,A90,$B$5:$B$404,B90)&gt;1,"Trùng OptionOrder trong cùng choice",IF(OR(B90="",C90="",D90="",F90="",H90=""),"Thiếu trường bắt buộc",IF(OR(COUNTIF($A$5:$A$404,A90)&lt;2,COUNTIF($A$5:$A$404,A90)&gt;4),"Mỗi choice cần 2–4 option",IF(COUNTIFS('02_KICH_BAN_NODES'!$B$5:$B$204,A90,'02_KICH_BAN_NODES'!$E$5:$E$204,"Kiến thức")=1,IF(COUNTIFS($A$5:$A$404,A90,$D$5:$D$404,"Có")&lt;&gt;1,"Choice kiến thức cần đúng 1 đáp án đúng",""),IF(COUNTIFS('02_KICH_BAN_NODES'!$B$5:$B$204,A90,'02_KICH_BAN_NODES'!$E$5:$E$204,"Tương tác")=1,IF(COUNTIFS($A$5:$A$404,A90,$D$5:$D$404,"Có")&lt;&gt;0,"Choice tương tác không được đánh dấu đáp án đúng",""),"Choice chưa chọn loại")))))))</f>
        <v/>
      </c>
    </row>
    <row r="91" spans="1:11">
      <c r="A91" s="13"/>
      <c r="B91" s="13"/>
      <c r="C91" s="5"/>
      <c r="D91" s="13"/>
      <c r="E91" s="13"/>
      <c r="F91" s="13"/>
      <c r="G91" s="13"/>
      <c r="H91" s="5"/>
      <c r="I91" s="5"/>
      <c r="J91" s="6" t="str">
        <f t="shared" si="1"/>
        <v/>
      </c>
      <c r="K91" s="6" t="str">
        <f>IF(A91="","",IF(COUNTIFS('02_KICH_BAN_NODES'!$B$5:$B$204,A91,'02_KICH_BAN_NODES'!$D$5:$D$204,"choice")=0,"ChoiceNodeId không tồn tại hoặc không phải choice",IF(COUNTIFS($A$5:$A$404,A91,$B$5:$B$404,B91)&gt;1,"Trùng OptionOrder trong cùng choice",IF(OR(B91="",C91="",D91="",F91="",H91=""),"Thiếu trường bắt buộc",IF(OR(COUNTIF($A$5:$A$404,A91)&lt;2,COUNTIF($A$5:$A$404,A91)&gt;4),"Mỗi choice cần 2–4 option",IF(COUNTIFS('02_KICH_BAN_NODES'!$B$5:$B$204,A91,'02_KICH_BAN_NODES'!$E$5:$E$204,"Kiến thức")=1,IF(COUNTIFS($A$5:$A$404,A91,$D$5:$D$404,"Có")&lt;&gt;1,"Choice kiến thức cần đúng 1 đáp án đúng",""),IF(COUNTIFS('02_KICH_BAN_NODES'!$B$5:$B$204,A91,'02_KICH_BAN_NODES'!$E$5:$E$204,"Tương tác")=1,IF(COUNTIFS($A$5:$A$404,A91,$D$5:$D$404,"Có")&lt;&gt;0,"Choice tương tác không được đánh dấu đáp án đúng",""),"Choice chưa chọn loại")))))))</f>
        <v/>
      </c>
    </row>
    <row r="92" spans="1:11">
      <c r="A92" s="13"/>
      <c r="B92" s="13"/>
      <c r="C92" s="5"/>
      <c r="D92" s="13"/>
      <c r="E92" s="13"/>
      <c r="F92" s="13"/>
      <c r="G92" s="13"/>
      <c r="H92" s="5"/>
      <c r="I92" s="5"/>
      <c r="J92" s="6" t="str">
        <f t="shared" si="1"/>
        <v/>
      </c>
      <c r="K92" s="6" t="str">
        <f>IF(A92="","",IF(COUNTIFS('02_KICH_BAN_NODES'!$B$5:$B$204,A92,'02_KICH_BAN_NODES'!$D$5:$D$204,"choice")=0,"ChoiceNodeId không tồn tại hoặc không phải choice",IF(COUNTIFS($A$5:$A$404,A92,$B$5:$B$404,B92)&gt;1,"Trùng OptionOrder trong cùng choice",IF(OR(B92="",C92="",D92="",F92="",H92=""),"Thiếu trường bắt buộc",IF(OR(COUNTIF($A$5:$A$404,A92)&lt;2,COUNTIF($A$5:$A$404,A92)&gt;4),"Mỗi choice cần 2–4 option",IF(COUNTIFS('02_KICH_BAN_NODES'!$B$5:$B$204,A92,'02_KICH_BAN_NODES'!$E$5:$E$204,"Kiến thức")=1,IF(COUNTIFS($A$5:$A$404,A92,$D$5:$D$404,"Có")&lt;&gt;1,"Choice kiến thức cần đúng 1 đáp án đúng",""),IF(COUNTIFS('02_KICH_BAN_NODES'!$B$5:$B$204,A92,'02_KICH_BAN_NODES'!$E$5:$E$204,"Tương tác")=1,IF(COUNTIFS($A$5:$A$404,A92,$D$5:$D$404,"Có")&lt;&gt;0,"Choice tương tác không được đánh dấu đáp án đúng",""),"Choice chưa chọn loại")))))))</f>
        <v/>
      </c>
    </row>
    <row r="93" spans="1:11">
      <c r="A93" s="13"/>
      <c r="B93" s="13"/>
      <c r="C93" s="5"/>
      <c r="D93" s="13"/>
      <c r="E93" s="13"/>
      <c r="F93" s="13"/>
      <c r="G93" s="13"/>
      <c r="H93" s="5"/>
      <c r="I93" s="5"/>
      <c r="J93" s="6" t="str">
        <f t="shared" si="1"/>
        <v/>
      </c>
      <c r="K93" s="6" t="str">
        <f>IF(A93="","",IF(COUNTIFS('02_KICH_BAN_NODES'!$B$5:$B$204,A93,'02_KICH_BAN_NODES'!$D$5:$D$204,"choice")=0,"ChoiceNodeId không tồn tại hoặc không phải choice",IF(COUNTIFS($A$5:$A$404,A93,$B$5:$B$404,B93)&gt;1,"Trùng OptionOrder trong cùng choice",IF(OR(B93="",C93="",D93="",F93="",H93=""),"Thiếu trường bắt buộc",IF(OR(COUNTIF($A$5:$A$404,A93)&lt;2,COUNTIF($A$5:$A$404,A93)&gt;4),"Mỗi choice cần 2–4 option",IF(COUNTIFS('02_KICH_BAN_NODES'!$B$5:$B$204,A93,'02_KICH_BAN_NODES'!$E$5:$E$204,"Kiến thức")=1,IF(COUNTIFS($A$5:$A$404,A93,$D$5:$D$404,"Có")&lt;&gt;1,"Choice kiến thức cần đúng 1 đáp án đúng",""),IF(COUNTIFS('02_KICH_BAN_NODES'!$B$5:$B$204,A93,'02_KICH_BAN_NODES'!$E$5:$E$204,"Tương tác")=1,IF(COUNTIFS($A$5:$A$404,A93,$D$5:$D$404,"Có")&lt;&gt;0,"Choice tương tác không được đánh dấu đáp án đúng",""),"Choice chưa chọn loại")))))))</f>
        <v/>
      </c>
    </row>
    <row r="94" spans="1:11">
      <c r="A94" s="13"/>
      <c r="B94" s="13"/>
      <c r="C94" s="5"/>
      <c r="D94" s="13"/>
      <c r="E94" s="13"/>
      <c r="F94" s="13"/>
      <c r="G94" s="13"/>
      <c r="H94" s="5"/>
      <c r="I94" s="5"/>
      <c r="J94" s="6" t="str">
        <f t="shared" si="1"/>
        <v/>
      </c>
      <c r="K94" s="6" t="str">
        <f>IF(A94="","",IF(COUNTIFS('02_KICH_BAN_NODES'!$B$5:$B$204,A94,'02_KICH_BAN_NODES'!$D$5:$D$204,"choice")=0,"ChoiceNodeId không tồn tại hoặc không phải choice",IF(COUNTIFS($A$5:$A$404,A94,$B$5:$B$404,B94)&gt;1,"Trùng OptionOrder trong cùng choice",IF(OR(B94="",C94="",D94="",F94="",H94=""),"Thiếu trường bắt buộc",IF(OR(COUNTIF($A$5:$A$404,A94)&lt;2,COUNTIF($A$5:$A$404,A94)&gt;4),"Mỗi choice cần 2–4 option",IF(COUNTIFS('02_KICH_BAN_NODES'!$B$5:$B$204,A94,'02_KICH_BAN_NODES'!$E$5:$E$204,"Kiến thức")=1,IF(COUNTIFS($A$5:$A$404,A94,$D$5:$D$404,"Có")&lt;&gt;1,"Choice kiến thức cần đúng 1 đáp án đúng",""),IF(COUNTIFS('02_KICH_BAN_NODES'!$B$5:$B$204,A94,'02_KICH_BAN_NODES'!$E$5:$E$204,"Tương tác")=1,IF(COUNTIFS($A$5:$A$404,A94,$D$5:$D$404,"Có")&lt;&gt;0,"Choice tương tác không được đánh dấu đáp án đúng",""),"Choice chưa chọn loại")))))))</f>
        <v/>
      </c>
    </row>
    <row r="95" spans="1:11">
      <c r="A95" s="13"/>
      <c r="B95" s="13"/>
      <c r="C95" s="5"/>
      <c r="D95" s="13"/>
      <c r="E95" s="13"/>
      <c r="F95" s="13"/>
      <c r="G95" s="13"/>
      <c r="H95" s="5"/>
      <c r="I95" s="5"/>
      <c r="J95" s="6" t="str">
        <f t="shared" si="1"/>
        <v/>
      </c>
      <c r="K95" s="6" t="str">
        <f>IF(A95="","",IF(COUNTIFS('02_KICH_BAN_NODES'!$B$5:$B$204,A95,'02_KICH_BAN_NODES'!$D$5:$D$204,"choice")=0,"ChoiceNodeId không tồn tại hoặc không phải choice",IF(COUNTIFS($A$5:$A$404,A95,$B$5:$B$404,B95)&gt;1,"Trùng OptionOrder trong cùng choice",IF(OR(B95="",C95="",D95="",F95="",H95=""),"Thiếu trường bắt buộc",IF(OR(COUNTIF($A$5:$A$404,A95)&lt;2,COUNTIF($A$5:$A$404,A95)&gt;4),"Mỗi choice cần 2–4 option",IF(COUNTIFS('02_KICH_BAN_NODES'!$B$5:$B$204,A95,'02_KICH_BAN_NODES'!$E$5:$E$204,"Kiến thức")=1,IF(COUNTIFS($A$5:$A$404,A95,$D$5:$D$404,"Có")&lt;&gt;1,"Choice kiến thức cần đúng 1 đáp án đúng",""),IF(COUNTIFS('02_KICH_BAN_NODES'!$B$5:$B$204,A95,'02_KICH_BAN_NODES'!$E$5:$E$204,"Tương tác")=1,IF(COUNTIFS($A$5:$A$404,A95,$D$5:$D$404,"Có")&lt;&gt;0,"Choice tương tác không được đánh dấu đáp án đúng",""),"Choice chưa chọn loại")))))))</f>
        <v/>
      </c>
    </row>
    <row r="96" spans="1:11">
      <c r="A96" s="13"/>
      <c r="B96" s="13"/>
      <c r="C96" s="5"/>
      <c r="D96" s="13"/>
      <c r="E96" s="13"/>
      <c r="F96" s="13"/>
      <c r="G96" s="13"/>
      <c r="H96" s="5"/>
      <c r="I96" s="5"/>
      <c r="J96" s="6" t="str">
        <f t="shared" si="1"/>
        <v/>
      </c>
      <c r="K96" s="6" t="str">
        <f>IF(A96="","",IF(COUNTIFS('02_KICH_BAN_NODES'!$B$5:$B$204,A96,'02_KICH_BAN_NODES'!$D$5:$D$204,"choice")=0,"ChoiceNodeId không tồn tại hoặc không phải choice",IF(COUNTIFS($A$5:$A$404,A96,$B$5:$B$404,B96)&gt;1,"Trùng OptionOrder trong cùng choice",IF(OR(B96="",C96="",D96="",F96="",H96=""),"Thiếu trường bắt buộc",IF(OR(COUNTIF($A$5:$A$404,A96)&lt;2,COUNTIF($A$5:$A$404,A96)&gt;4),"Mỗi choice cần 2–4 option",IF(COUNTIFS('02_KICH_BAN_NODES'!$B$5:$B$204,A96,'02_KICH_BAN_NODES'!$E$5:$E$204,"Kiến thức")=1,IF(COUNTIFS($A$5:$A$404,A96,$D$5:$D$404,"Có")&lt;&gt;1,"Choice kiến thức cần đúng 1 đáp án đúng",""),IF(COUNTIFS('02_KICH_BAN_NODES'!$B$5:$B$204,A96,'02_KICH_BAN_NODES'!$E$5:$E$204,"Tương tác")=1,IF(COUNTIFS($A$5:$A$404,A96,$D$5:$D$404,"Có")&lt;&gt;0,"Choice tương tác không được đánh dấu đáp án đúng",""),"Choice chưa chọn loại")))))))</f>
        <v/>
      </c>
    </row>
    <row r="97" spans="1:11">
      <c r="A97" s="13"/>
      <c r="B97" s="13"/>
      <c r="C97" s="5"/>
      <c r="D97" s="13"/>
      <c r="E97" s="13"/>
      <c r="F97" s="13"/>
      <c r="G97" s="13"/>
      <c r="H97" s="5"/>
      <c r="I97" s="5"/>
      <c r="J97" s="6" t="str">
        <f t="shared" si="1"/>
        <v/>
      </c>
      <c r="K97" s="6" t="str">
        <f>IF(A97="","",IF(COUNTIFS('02_KICH_BAN_NODES'!$B$5:$B$204,A97,'02_KICH_BAN_NODES'!$D$5:$D$204,"choice")=0,"ChoiceNodeId không tồn tại hoặc không phải choice",IF(COUNTIFS($A$5:$A$404,A97,$B$5:$B$404,B97)&gt;1,"Trùng OptionOrder trong cùng choice",IF(OR(B97="",C97="",D97="",F97="",H97=""),"Thiếu trường bắt buộc",IF(OR(COUNTIF($A$5:$A$404,A97)&lt;2,COUNTIF($A$5:$A$404,A97)&gt;4),"Mỗi choice cần 2–4 option",IF(COUNTIFS('02_KICH_BAN_NODES'!$B$5:$B$204,A97,'02_KICH_BAN_NODES'!$E$5:$E$204,"Kiến thức")=1,IF(COUNTIFS($A$5:$A$404,A97,$D$5:$D$404,"Có")&lt;&gt;1,"Choice kiến thức cần đúng 1 đáp án đúng",""),IF(COUNTIFS('02_KICH_BAN_NODES'!$B$5:$B$204,A97,'02_KICH_BAN_NODES'!$E$5:$E$204,"Tương tác")=1,IF(COUNTIFS($A$5:$A$404,A97,$D$5:$D$404,"Có")&lt;&gt;0,"Choice tương tác không được đánh dấu đáp án đúng",""),"Choice chưa chọn loại")))))))</f>
        <v/>
      </c>
    </row>
    <row r="98" spans="1:11">
      <c r="A98" s="13"/>
      <c r="B98" s="13"/>
      <c r="C98" s="5"/>
      <c r="D98" s="13"/>
      <c r="E98" s="13"/>
      <c r="F98" s="13"/>
      <c r="G98" s="13"/>
      <c r="H98" s="5"/>
      <c r="I98" s="5"/>
      <c r="J98" s="6" t="str">
        <f t="shared" si="1"/>
        <v/>
      </c>
      <c r="K98" s="6" t="str">
        <f>IF(A98="","",IF(COUNTIFS('02_KICH_BAN_NODES'!$B$5:$B$204,A98,'02_KICH_BAN_NODES'!$D$5:$D$204,"choice")=0,"ChoiceNodeId không tồn tại hoặc không phải choice",IF(COUNTIFS($A$5:$A$404,A98,$B$5:$B$404,B98)&gt;1,"Trùng OptionOrder trong cùng choice",IF(OR(B98="",C98="",D98="",F98="",H98=""),"Thiếu trường bắt buộc",IF(OR(COUNTIF($A$5:$A$404,A98)&lt;2,COUNTIF($A$5:$A$404,A98)&gt;4),"Mỗi choice cần 2–4 option",IF(COUNTIFS('02_KICH_BAN_NODES'!$B$5:$B$204,A98,'02_KICH_BAN_NODES'!$E$5:$E$204,"Kiến thức")=1,IF(COUNTIFS($A$5:$A$404,A98,$D$5:$D$404,"Có")&lt;&gt;1,"Choice kiến thức cần đúng 1 đáp án đúng",""),IF(COUNTIFS('02_KICH_BAN_NODES'!$B$5:$B$204,A98,'02_KICH_BAN_NODES'!$E$5:$E$204,"Tương tác")=1,IF(COUNTIFS($A$5:$A$404,A98,$D$5:$D$404,"Có")&lt;&gt;0,"Choice tương tác không được đánh dấu đáp án đúng",""),"Choice chưa chọn loại")))))))</f>
        <v/>
      </c>
    </row>
    <row r="99" spans="1:11">
      <c r="A99" s="13"/>
      <c r="B99" s="13"/>
      <c r="C99" s="5"/>
      <c r="D99" s="13"/>
      <c r="E99" s="13"/>
      <c r="F99" s="13"/>
      <c r="G99" s="13"/>
      <c r="H99" s="5"/>
      <c r="I99" s="5"/>
      <c r="J99" s="6" t="str">
        <f t="shared" si="1"/>
        <v/>
      </c>
      <c r="K99" s="6" t="str">
        <f>IF(A99="","",IF(COUNTIFS('02_KICH_BAN_NODES'!$B$5:$B$204,A99,'02_KICH_BAN_NODES'!$D$5:$D$204,"choice")=0,"ChoiceNodeId không tồn tại hoặc không phải choice",IF(COUNTIFS($A$5:$A$404,A99,$B$5:$B$404,B99)&gt;1,"Trùng OptionOrder trong cùng choice",IF(OR(B99="",C99="",D99="",F99="",H99=""),"Thiếu trường bắt buộc",IF(OR(COUNTIF($A$5:$A$404,A99)&lt;2,COUNTIF($A$5:$A$404,A99)&gt;4),"Mỗi choice cần 2–4 option",IF(COUNTIFS('02_KICH_BAN_NODES'!$B$5:$B$204,A99,'02_KICH_BAN_NODES'!$E$5:$E$204,"Kiến thức")=1,IF(COUNTIFS($A$5:$A$404,A99,$D$5:$D$404,"Có")&lt;&gt;1,"Choice kiến thức cần đúng 1 đáp án đúng",""),IF(COUNTIFS('02_KICH_BAN_NODES'!$B$5:$B$204,A99,'02_KICH_BAN_NODES'!$E$5:$E$204,"Tương tác")=1,IF(COUNTIFS($A$5:$A$404,A99,$D$5:$D$404,"Có")&lt;&gt;0,"Choice tương tác không được đánh dấu đáp án đúng",""),"Choice chưa chọn loại")))))))</f>
        <v/>
      </c>
    </row>
    <row r="100" spans="1:11">
      <c r="A100" s="13"/>
      <c r="B100" s="13"/>
      <c r="C100" s="5"/>
      <c r="D100" s="13"/>
      <c r="E100" s="13"/>
      <c r="F100" s="13"/>
      <c r="G100" s="13"/>
      <c r="H100" s="5"/>
      <c r="I100" s="5"/>
      <c r="J100" s="6" t="str">
        <f t="shared" si="1"/>
        <v/>
      </c>
      <c r="K100" s="6" t="str">
        <f>IF(A100="","",IF(COUNTIFS('02_KICH_BAN_NODES'!$B$5:$B$204,A100,'02_KICH_BAN_NODES'!$D$5:$D$204,"choice")=0,"ChoiceNodeId không tồn tại hoặc không phải choice",IF(COUNTIFS($A$5:$A$404,A100,$B$5:$B$404,B100)&gt;1,"Trùng OptionOrder trong cùng choice",IF(OR(B100="",C100="",D100="",F100="",H100=""),"Thiếu trường bắt buộc",IF(OR(COUNTIF($A$5:$A$404,A100)&lt;2,COUNTIF($A$5:$A$404,A100)&gt;4),"Mỗi choice cần 2–4 option",IF(COUNTIFS('02_KICH_BAN_NODES'!$B$5:$B$204,A100,'02_KICH_BAN_NODES'!$E$5:$E$204,"Kiến thức")=1,IF(COUNTIFS($A$5:$A$404,A100,$D$5:$D$404,"Có")&lt;&gt;1,"Choice kiến thức cần đúng 1 đáp án đúng",""),IF(COUNTIFS('02_KICH_BAN_NODES'!$B$5:$B$204,A100,'02_KICH_BAN_NODES'!$E$5:$E$204,"Tương tác")=1,IF(COUNTIFS($A$5:$A$404,A100,$D$5:$D$404,"Có")&lt;&gt;0,"Choice tương tác không được đánh dấu đáp án đúng",""),"Choice chưa chọn loại")))))))</f>
        <v/>
      </c>
    </row>
    <row r="101" spans="1:11">
      <c r="A101" s="13"/>
      <c r="B101" s="13"/>
      <c r="C101" s="5"/>
      <c r="D101" s="13"/>
      <c r="E101" s="13"/>
      <c r="F101" s="13"/>
      <c r="G101" s="13"/>
      <c r="H101" s="5"/>
      <c r="I101" s="5"/>
      <c r="J101" s="6" t="str">
        <f t="shared" si="1"/>
        <v/>
      </c>
      <c r="K101" s="6" t="str">
        <f>IF(A101="","",IF(COUNTIFS('02_KICH_BAN_NODES'!$B$5:$B$204,A101,'02_KICH_BAN_NODES'!$D$5:$D$204,"choice")=0,"ChoiceNodeId không tồn tại hoặc không phải choice",IF(COUNTIFS($A$5:$A$404,A101,$B$5:$B$404,B101)&gt;1,"Trùng OptionOrder trong cùng choice",IF(OR(B101="",C101="",D101="",F101="",H101=""),"Thiếu trường bắt buộc",IF(OR(COUNTIF($A$5:$A$404,A101)&lt;2,COUNTIF($A$5:$A$404,A101)&gt;4),"Mỗi choice cần 2–4 option",IF(COUNTIFS('02_KICH_BAN_NODES'!$B$5:$B$204,A101,'02_KICH_BAN_NODES'!$E$5:$E$204,"Kiến thức")=1,IF(COUNTIFS($A$5:$A$404,A101,$D$5:$D$404,"Có")&lt;&gt;1,"Choice kiến thức cần đúng 1 đáp án đúng",""),IF(COUNTIFS('02_KICH_BAN_NODES'!$B$5:$B$204,A101,'02_KICH_BAN_NODES'!$E$5:$E$204,"Tương tác")=1,IF(COUNTIFS($A$5:$A$404,A101,$D$5:$D$404,"Có")&lt;&gt;0,"Choice tương tác không được đánh dấu đáp án đúng",""),"Choice chưa chọn loại")))))))</f>
        <v/>
      </c>
    </row>
    <row r="102" spans="1:11">
      <c r="A102" s="13"/>
      <c r="B102" s="13"/>
      <c r="C102" s="5"/>
      <c r="D102" s="13"/>
      <c r="E102" s="13"/>
      <c r="F102" s="13"/>
      <c r="G102" s="13"/>
      <c r="H102" s="5"/>
      <c r="I102" s="5"/>
      <c r="J102" s="6" t="str">
        <f t="shared" si="1"/>
        <v/>
      </c>
      <c r="K102" s="6" t="str">
        <f>IF(A102="","",IF(COUNTIFS('02_KICH_BAN_NODES'!$B$5:$B$204,A102,'02_KICH_BAN_NODES'!$D$5:$D$204,"choice")=0,"ChoiceNodeId không tồn tại hoặc không phải choice",IF(COUNTIFS($A$5:$A$404,A102,$B$5:$B$404,B102)&gt;1,"Trùng OptionOrder trong cùng choice",IF(OR(B102="",C102="",D102="",F102="",H102=""),"Thiếu trường bắt buộc",IF(OR(COUNTIF($A$5:$A$404,A102)&lt;2,COUNTIF($A$5:$A$404,A102)&gt;4),"Mỗi choice cần 2–4 option",IF(COUNTIFS('02_KICH_BAN_NODES'!$B$5:$B$204,A102,'02_KICH_BAN_NODES'!$E$5:$E$204,"Kiến thức")=1,IF(COUNTIFS($A$5:$A$404,A102,$D$5:$D$404,"Có")&lt;&gt;1,"Choice kiến thức cần đúng 1 đáp án đúng",""),IF(COUNTIFS('02_KICH_BAN_NODES'!$B$5:$B$204,A102,'02_KICH_BAN_NODES'!$E$5:$E$204,"Tương tác")=1,IF(COUNTIFS($A$5:$A$404,A102,$D$5:$D$404,"Có")&lt;&gt;0,"Choice tương tác không được đánh dấu đáp án đúng",""),"Choice chưa chọn loại")))))))</f>
        <v/>
      </c>
    </row>
    <row r="103" spans="1:11">
      <c r="A103" s="13"/>
      <c r="B103" s="13"/>
      <c r="C103" s="5"/>
      <c r="D103" s="13"/>
      <c r="E103" s="13"/>
      <c r="F103" s="13"/>
      <c r="G103" s="13"/>
      <c r="H103" s="5"/>
      <c r="I103" s="5"/>
      <c r="J103" s="6" t="str">
        <f t="shared" si="1"/>
        <v/>
      </c>
      <c r="K103" s="6" t="str">
        <f>IF(A103="","",IF(COUNTIFS('02_KICH_BAN_NODES'!$B$5:$B$204,A103,'02_KICH_BAN_NODES'!$D$5:$D$204,"choice")=0,"ChoiceNodeId không tồn tại hoặc không phải choice",IF(COUNTIFS($A$5:$A$404,A103,$B$5:$B$404,B103)&gt;1,"Trùng OptionOrder trong cùng choice",IF(OR(B103="",C103="",D103="",F103="",H103=""),"Thiếu trường bắt buộc",IF(OR(COUNTIF($A$5:$A$404,A103)&lt;2,COUNTIF($A$5:$A$404,A103)&gt;4),"Mỗi choice cần 2–4 option",IF(COUNTIFS('02_KICH_BAN_NODES'!$B$5:$B$204,A103,'02_KICH_BAN_NODES'!$E$5:$E$204,"Kiến thức")=1,IF(COUNTIFS($A$5:$A$404,A103,$D$5:$D$404,"Có")&lt;&gt;1,"Choice kiến thức cần đúng 1 đáp án đúng",""),IF(COUNTIFS('02_KICH_BAN_NODES'!$B$5:$B$204,A103,'02_KICH_BAN_NODES'!$E$5:$E$204,"Tương tác")=1,IF(COUNTIFS($A$5:$A$404,A103,$D$5:$D$404,"Có")&lt;&gt;0,"Choice tương tác không được đánh dấu đáp án đúng",""),"Choice chưa chọn loại")))))))</f>
        <v/>
      </c>
    </row>
    <row r="104" spans="1:11">
      <c r="A104" s="13"/>
      <c r="B104" s="13"/>
      <c r="C104" s="5"/>
      <c r="D104" s="13"/>
      <c r="E104" s="13"/>
      <c r="F104" s="13"/>
      <c r="G104" s="13"/>
      <c r="H104" s="5"/>
      <c r="I104" s="5"/>
      <c r="J104" s="6" t="str">
        <f t="shared" si="1"/>
        <v/>
      </c>
      <c r="K104" s="6" t="str">
        <f>IF(A104="","",IF(COUNTIFS('02_KICH_BAN_NODES'!$B$5:$B$204,A104,'02_KICH_BAN_NODES'!$D$5:$D$204,"choice")=0,"ChoiceNodeId không tồn tại hoặc không phải choice",IF(COUNTIFS($A$5:$A$404,A104,$B$5:$B$404,B104)&gt;1,"Trùng OptionOrder trong cùng choice",IF(OR(B104="",C104="",D104="",F104="",H104=""),"Thiếu trường bắt buộc",IF(OR(COUNTIF($A$5:$A$404,A104)&lt;2,COUNTIF($A$5:$A$404,A104)&gt;4),"Mỗi choice cần 2–4 option",IF(COUNTIFS('02_KICH_BAN_NODES'!$B$5:$B$204,A104,'02_KICH_BAN_NODES'!$E$5:$E$204,"Kiến thức")=1,IF(COUNTIFS($A$5:$A$404,A104,$D$5:$D$404,"Có")&lt;&gt;1,"Choice kiến thức cần đúng 1 đáp án đúng",""),IF(COUNTIFS('02_KICH_BAN_NODES'!$B$5:$B$204,A104,'02_KICH_BAN_NODES'!$E$5:$E$204,"Tương tác")=1,IF(COUNTIFS($A$5:$A$404,A104,$D$5:$D$404,"Có")&lt;&gt;0,"Choice tương tác không được đánh dấu đáp án đúng",""),"Choice chưa chọn loại")))))))</f>
        <v/>
      </c>
    </row>
    <row r="105" spans="1:11">
      <c r="A105" s="13"/>
      <c r="B105" s="13"/>
      <c r="C105" s="5"/>
      <c r="D105" s="13"/>
      <c r="E105" s="13"/>
      <c r="F105" s="13"/>
      <c r="G105" s="13"/>
      <c r="H105" s="5"/>
      <c r="I105" s="5"/>
      <c r="J105" s="6" t="str">
        <f t="shared" si="1"/>
        <v/>
      </c>
      <c r="K105" s="6" t="str">
        <f>IF(A105="","",IF(COUNTIFS('02_KICH_BAN_NODES'!$B$5:$B$204,A105,'02_KICH_BAN_NODES'!$D$5:$D$204,"choice")=0,"ChoiceNodeId không tồn tại hoặc không phải choice",IF(COUNTIFS($A$5:$A$404,A105,$B$5:$B$404,B105)&gt;1,"Trùng OptionOrder trong cùng choice",IF(OR(B105="",C105="",D105="",F105="",H105=""),"Thiếu trường bắt buộc",IF(OR(COUNTIF($A$5:$A$404,A105)&lt;2,COUNTIF($A$5:$A$404,A105)&gt;4),"Mỗi choice cần 2–4 option",IF(COUNTIFS('02_KICH_BAN_NODES'!$B$5:$B$204,A105,'02_KICH_BAN_NODES'!$E$5:$E$204,"Kiến thức")=1,IF(COUNTIFS($A$5:$A$404,A105,$D$5:$D$404,"Có")&lt;&gt;1,"Choice kiến thức cần đúng 1 đáp án đúng",""),IF(COUNTIFS('02_KICH_BAN_NODES'!$B$5:$B$204,A105,'02_KICH_BAN_NODES'!$E$5:$E$204,"Tương tác")=1,IF(COUNTIFS($A$5:$A$404,A105,$D$5:$D$404,"Có")&lt;&gt;0,"Choice tương tác không được đánh dấu đáp án đúng",""),"Choice chưa chọn loại")))))))</f>
        <v/>
      </c>
    </row>
    <row r="106" spans="1:11">
      <c r="A106" s="13"/>
      <c r="B106" s="13"/>
      <c r="C106" s="5"/>
      <c r="D106" s="13"/>
      <c r="E106" s="13"/>
      <c r="F106" s="13"/>
      <c r="G106" s="13"/>
      <c r="H106" s="5"/>
      <c r="I106" s="5"/>
      <c r="J106" s="6" t="str">
        <f t="shared" si="1"/>
        <v/>
      </c>
      <c r="K106" s="6" t="str">
        <f>IF(A106="","",IF(COUNTIFS('02_KICH_BAN_NODES'!$B$5:$B$204,A106,'02_KICH_BAN_NODES'!$D$5:$D$204,"choice")=0,"ChoiceNodeId không tồn tại hoặc không phải choice",IF(COUNTIFS($A$5:$A$404,A106,$B$5:$B$404,B106)&gt;1,"Trùng OptionOrder trong cùng choice",IF(OR(B106="",C106="",D106="",F106="",H106=""),"Thiếu trường bắt buộc",IF(OR(COUNTIF($A$5:$A$404,A106)&lt;2,COUNTIF($A$5:$A$404,A106)&gt;4),"Mỗi choice cần 2–4 option",IF(COUNTIFS('02_KICH_BAN_NODES'!$B$5:$B$204,A106,'02_KICH_BAN_NODES'!$E$5:$E$204,"Kiến thức")=1,IF(COUNTIFS($A$5:$A$404,A106,$D$5:$D$404,"Có")&lt;&gt;1,"Choice kiến thức cần đúng 1 đáp án đúng",""),IF(COUNTIFS('02_KICH_BAN_NODES'!$B$5:$B$204,A106,'02_KICH_BAN_NODES'!$E$5:$E$204,"Tương tác")=1,IF(COUNTIFS($A$5:$A$404,A106,$D$5:$D$404,"Có")&lt;&gt;0,"Choice tương tác không được đánh dấu đáp án đúng",""),"Choice chưa chọn loại")))))))</f>
        <v/>
      </c>
    </row>
    <row r="107" spans="1:11">
      <c r="A107" s="13"/>
      <c r="B107" s="13"/>
      <c r="C107" s="5"/>
      <c r="D107" s="13"/>
      <c r="E107" s="13"/>
      <c r="F107" s="13"/>
      <c r="G107" s="13"/>
      <c r="H107" s="5"/>
      <c r="I107" s="5"/>
      <c r="J107" s="6" t="str">
        <f t="shared" si="1"/>
        <v/>
      </c>
      <c r="K107" s="6" t="str">
        <f>IF(A107="","",IF(COUNTIFS('02_KICH_BAN_NODES'!$B$5:$B$204,A107,'02_KICH_BAN_NODES'!$D$5:$D$204,"choice")=0,"ChoiceNodeId không tồn tại hoặc không phải choice",IF(COUNTIFS($A$5:$A$404,A107,$B$5:$B$404,B107)&gt;1,"Trùng OptionOrder trong cùng choice",IF(OR(B107="",C107="",D107="",F107="",H107=""),"Thiếu trường bắt buộc",IF(OR(COUNTIF($A$5:$A$404,A107)&lt;2,COUNTIF($A$5:$A$404,A107)&gt;4),"Mỗi choice cần 2–4 option",IF(COUNTIFS('02_KICH_BAN_NODES'!$B$5:$B$204,A107,'02_KICH_BAN_NODES'!$E$5:$E$204,"Kiến thức")=1,IF(COUNTIFS($A$5:$A$404,A107,$D$5:$D$404,"Có")&lt;&gt;1,"Choice kiến thức cần đúng 1 đáp án đúng",""),IF(COUNTIFS('02_KICH_BAN_NODES'!$B$5:$B$204,A107,'02_KICH_BAN_NODES'!$E$5:$E$204,"Tương tác")=1,IF(COUNTIFS($A$5:$A$404,A107,$D$5:$D$404,"Có")&lt;&gt;0,"Choice tương tác không được đánh dấu đáp án đúng",""),"Choice chưa chọn loại")))))))</f>
        <v/>
      </c>
    </row>
    <row r="108" spans="1:11">
      <c r="A108" s="13"/>
      <c r="B108" s="13"/>
      <c r="C108" s="5"/>
      <c r="D108" s="13"/>
      <c r="E108" s="13"/>
      <c r="F108" s="13"/>
      <c r="G108" s="13"/>
      <c r="H108" s="5"/>
      <c r="I108" s="5"/>
      <c r="J108" s="6" t="str">
        <f t="shared" si="1"/>
        <v/>
      </c>
      <c r="K108" s="6" t="str">
        <f>IF(A108="","",IF(COUNTIFS('02_KICH_BAN_NODES'!$B$5:$B$204,A108,'02_KICH_BAN_NODES'!$D$5:$D$204,"choice")=0,"ChoiceNodeId không tồn tại hoặc không phải choice",IF(COUNTIFS($A$5:$A$404,A108,$B$5:$B$404,B108)&gt;1,"Trùng OptionOrder trong cùng choice",IF(OR(B108="",C108="",D108="",F108="",H108=""),"Thiếu trường bắt buộc",IF(OR(COUNTIF($A$5:$A$404,A108)&lt;2,COUNTIF($A$5:$A$404,A108)&gt;4),"Mỗi choice cần 2–4 option",IF(COUNTIFS('02_KICH_BAN_NODES'!$B$5:$B$204,A108,'02_KICH_BAN_NODES'!$E$5:$E$204,"Kiến thức")=1,IF(COUNTIFS($A$5:$A$404,A108,$D$5:$D$404,"Có")&lt;&gt;1,"Choice kiến thức cần đúng 1 đáp án đúng",""),IF(COUNTIFS('02_KICH_BAN_NODES'!$B$5:$B$204,A108,'02_KICH_BAN_NODES'!$E$5:$E$204,"Tương tác")=1,IF(COUNTIFS($A$5:$A$404,A108,$D$5:$D$404,"Có")&lt;&gt;0,"Choice tương tác không được đánh dấu đáp án đúng",""),"Choice chưa chọn loại")))))))</f>
        <v/>
      </c>
    </row>
    <row r="109" spans="1:11">
      <c r="A109" s="13"/>
      <c r="B109" s="13"/>
      <c r="C109" s="5"/>
      <c r="D109" s="13"/>
      <c r="E109" s="13"/>
      <c r="F109" s="13"/>
      <c r="G109" s="13"/>
      <c r="H109" s="5"/>
      <c r="I109" s="5"/>
      <c r="J109" s="6" t="str">
        <f t="shared" si="1"/>
        <v/>
      </c>
      <c r="K109" s="6" t="str">
        <f>IF(A109="","",IF(COUNTIFS('02_KICH_BAN_NODES'!$B$5:$B$204,A109,'02_KICH_BAN_NODES'!$D$5:$D$204,"choice")=0,"ChoiceNodeId không tồn tại hoặc không phải choice",IF(COUNTIFS($A$5:$A$404,A109,$B$5:$B$404,B109)&gt;1,"Trùng OptionOrder trong cùng choice",IF(OR(B109="",C109="",D109="",F109="",H109=""),"Thiếu trường bắt buộc",IF(OR(COUNTIF($A$5:$A$404,A109)&lt;2,COUNTIF($A$5:$A$404,A109)&gt;4),"Mỗi choice cần 2–4 option",IF(COUNTIFS('02_KICH_BAN_NODES'!$B$5:$B$204,A109,'02_KICH_BAN_NODES'!$E$5:$E$204,"Kiến thức")=1,IF(COUNTIFS($A$5:$A$404,A109,$D$5:$D$404,"Có")&lt;&gt;1,"Choice kiến thức cần đúng 1 đáp án đúng",""),IF(COUNTIFS('02_KICH_BAN_NODES'!$B$5:$B$204,A109,'02_KICH_BAN_NODES'!$E$5:$E$204,"Tương tác")=1,IF(COUNTIFS($A$5:$A$404,A109,$D$5:$D$404,"Có")&lt;&gt;0,"Choice tương tác không được đánh dấu đáp án đúng",""),"Choice chưa chọn loại")))))))</f>
        <v/>
      </c>
    </row>
    <row r="110" spans="1:11">
      <c r="A110" s="13"/>
      <c r="B110" s="13"/>
      <c r="C110" s="5"/>
      <c r="D110" s="13"/>
      <c r="E110" s="13"/>
      <c r="F110" s="13"/>
      <c r="G110" s="13"/>
      <c r="H110" s="5"/>
      <c r="I110" s="5"/>
      <c r="J110" s="6" t="str">
        <f t="shared" si="1"/>
        <v/>
      </c>
      <c r="K110" s="6" t="str">
        <f>IF(A110="","",IF(COUNTIFS('02_KICH_BAN_NODES'!$B$5:$B$204,A110,'02_KICH_BAN_NODES'!$D$5:$D$204,"choice")=0,"ChoiceNodeId không tồn tại hoặc không phải choice",IF(COUNTIFS($A$5:$A$404,A110,$B$5:$B$404,B110)&gt;1,"Trùng OptionOrder trong cùng choice",IF(OR(B110="",C110="",D110="",F110="",H110=""),"Thiếu trường bắt buộc",IF(OR(COUNTIF($A$5:$A$404,A110)&lt;2,COUNTIF($A$5:$A$404,A110)&gt;4),"Mỗi choice cần 2–4 option",IF(COUNTIFS('02_KICH_BAN_NODES'!$B$5:$B$204,A110,'02_KICH_BAN_NODES'!$E$5:$E$204,"Kiến thức")=1,IF(COUNTIFS($A$5:$A$404,A110,$D$5:$D$404,"Có")&lt;&gt;1,"Choice kiến thức cần đúng 1 đáp án đúng",""),IF(COUNTIFS('02_KICH_BAN_NODES'!$B$5:$B$204,A110,'02_KICH_BAN_NODES'!$E$5:$E$204,"Tương tác")=1,IF(COUNTIFS($A$5:$A$404,A110,$D$5:$D$404,"Có")&lt;&gt;0,"Choice tương tác không được đánh dấu đáp án đúng",""),"Choice chưa chọn loại")))))))</f>
        <v/>
      </c>
    </row>
    <row r="111" spans="1:11">
      <c r="A111" s="13"/>
      <c r="B111" s="13"/>
      <c r="C111" s="5"/>
      <c r="D111" s="13"/>
      <c r="E111" s="13"/>
      <c r="F111" s="13"/>
      <c r="G111" s="13"/>
      <c r="H111" s="5"/>
      <c r="I111" s="5"/>
      <c r="J111" s="6" t="str">
        <f t="shared" si="1"/>
        <v/>
      </c>
      <c r="K111" s="6" t="str">
        <f>IF(A111="","",IF(COUNTIFS('02_KICH_BAN_NODES'!$B$5:$B$204,A111,'02_KICH_BAN_NODES'!$D$5:$D$204,"choice")=0,"ChoiceNodeId không tồn tại hoặc không phải choice",IF(COUNTIFS($A$5:$A$404,A111,$B$5:$B$404,B111)&gt;1,"Trùng OptionOrder trong cùng choice",IF(OR(B111="",C111="",D111="",F111="",H111=""),"Thiếu trường bắt buộc",IF(OR(COUNTIF($A$5:$A$404,A111)&lt;2,COUNTIF($A$5:$A$404,A111)&gt;4),"Mỗi choice cần 2–4 option",IF(COUNTIFS('02_KICH_BAN_NODES'!$B$5:$B$204,A111,'02_KICH_BAN_NODES'!$E$5:$E$204,"Kiến thức")=1,IF(COUNTIFS($A$5:$A$404,A111,$D$5:$D$404,"Có")&lt;&gt;1,"Choice kiến thức cần đúng 1 đáp án đúng",""),IF(COUNTIFS('02_KICH_BAN_NODES'!$B$5:$B$204,A111,'02_KICH_BAN_NODES'!$E$5:$E$204,"Tương tác")=1,IF(COUNTIFS($A$5:$A$404,A111,$D$5:$D$404,"Có")&lt;&gt;0,"Choice tương tác không được đánh dấu đáp án đúng",""),"Choice chưa chọn loại")))))))</f>
        <v/>
      </c>
    </row>
    <row r="112" spans="1:11">
      <c r="A112" s="13"/>
      <c r="B112" s="13"/>
      <c r="C112" s="5"/>
      <c r="D112" s="13"/>
      <c r="E112" s="13"/>
      <c r="F112" s="13"/>
      <c r="G112" s="13"/>
      <c r="H112" s="5"/>
      <c r="I112" s="5"/>
      <c r="J112" s="6" t="str">
        <f t="shared" si="1"/>
        <v/>
      </c>
      <c r="K112" s="6" t="str">
        <f>IF(A112="","",IF(COUNTIFS('02_KICH_BAN_NODES'!$B$5:$B$204,A112,'02_KICH_BAN_NODES'!$D$5:$D$204,"choice")=0,"ChoiceNodeId không tồn tại hoặc không phải choice",IF(COUNTIFS($A$5:$A$404,A112,$B$5:$B$404,B112)&gt;1,"Trùng OptionOrder trong cùng choice",IF(OR(B112="",C112="",D112="",F112="",H112=""),"Thiếu trường bắt buộc",IF(OR(COUNTIF($A$5:$A$404,A112)&lt;2,COUNTIF($A$5:$A$404,A112)&gt;4),"Mỗi choice cần 2–4 option",IF(COUNTIFS('02_KICH_BAN_NODES'!$B$5:$B$204,A112,'02_KICH_BAN_NODES'!$E$5:$E$204,"Kiến thức")=1,IF(COUNTIFS($A$5:$A$404,A112,$D$5:$D$404,"Có")&lt;&gt;1,"Choice kiến thức cần đúng 1 đáp án đúng",""),IF(COUNTIFS('02_KICH_BAN_NODES'!$B$5:$B$204,A112,'02_KICH_BAN_NODES'!$E$5:$E$204,"Tương tác")=1,IF(COUNTIFS($A$5:$A$404,A112,$D$5:$D$404,"Có")&lt;&gt;0,"Choice tương tác không được đánh dấu đáp án đúng",""),"Choice chưa chọn loại")))))))</f>
        <v/>
      </c>
    </row>
    <row r="113" spans="1:11">
      <c r="A113" s="13"/>
      <c r="B113" s="13"/>
      <c r="C113" s="5"/>
      <c r="D113" s="13"/>
      <c r="E113" s="13"/>
      <c r="F113" s="13"/>
      <c r="G113" s="13"/>
      <c r="H113" s="5"/>
      <c r="I113" s="5"/>
      <c r="J113" s="6" t="str">
        <f t="shared" si="1"/>
        <v/>
      </c>
      <c r="K113" s="6" t="str">
        <f>IF(A113="","",IF(COUNTIFS('02_KICH_BAN_NODES'!$B$5:$B$204,A113,'02_KICH_BAN_NODES'!$D$5:$D$204,"choice")=0,"ChoiceNodeId không tồn tại hoặc không phải choice",IF(COUNTIFS($A$5:$A$404,A113,$B$5:$B$404,B113)&gt;1,"Trùng OptionOrder trong cùng choice",IF(OR(B113="",C113="",D113="",F113="",H113=""),"Thiếu trường bắt buộc",IF(OR(COUNTIF($A$5:$A$404,A113)&lt;2,COUNTIF($A$5:$A$404,A113)&gt;4),"Mỗi choice cần 2–4 option",IF(COUNTIFS('02_KICH_BAN_NODES'!$B$5:$B$204,A113,'02_KICH_BAN_NODES'!$E$5:$E$204,"Kiến thức")=1,IF(COUNTIFS($A$5:$A$404,A113,$D$5:$D$404,"Có")&lt;&gt;1,"Choice kiến thức cần đúng 1 đáp án đúng",""),IF(COUNTIFS('02_KICH_BAN_NODES'!$B$5:$B$204,A113,'02_KICH_BAN_NODES'!$E$5:$E$204,"Tương tác")=1,IF(COUNTIFS($A$5:$A$404,A113,$D$5:$D$404,"Có")&lt;&gt;0,"Choice tương tác không được đánh dấu đáp án đúng",""),"Choice chưa chọn loại")))))))</f>
        <v/>
      </c>
    </row>
    <row r="114" spans="1:11">
      <c r="A114" s="13"/>
      <c r="B114" s="13"/>
      <c r="C114" s="5"/>
      <c r="D114" s="13"/>
      <c r="E114" s="13"/>
      <c r="F114" s="13"/>
      <c r="G114" s="13"/>
      <c r="H114" s="5"/>
      <c r="I114" s="5"/>
      <c r="J114" s="6" t="str">
        <f t="shared" si="1"/>
        <v/>
      </c>
      <c r="K114" s="6" t="str">
        <f>IF(A114="","",IF(COUNTIFS('02_KICH_BAN_NODES'!$B$5:$B$204,A114,'02_KICH_BAN_NODES'!$D$5:$D$204,"choice")=0,"ChoiceNodeId không tồn tại hoặc không phải choice",IF(COUNTIFS($A$5:$A$404,A114,$B$5:$B$404,B114)&gt;1,"Trùng OptionOrder trong cùng choice",IF(OR(B114="",C114="",D114="",F114="",H114=""),"Thiếu trường bắt buộc",IF(OR(COUNTIF($A$5:$A$404,A114)&lt;2,COUNTIF($A$5:$A$404,A114)&gt;4),"Mỗi choice cần 2–4 option",IF(COUNTIFS('02_KICH_BAN_NODES'!$B$5:$B$204,A114,'02_KICH_BAN_NODES'!$E$5:$E$204,"Kiến thức")=1,IF(COUNTIFS($A$5:$A$404,A114,$D$5:$D$404,"Có")&lt;&gt;1,"Choice kiến thức cần đúng 1 đáp án đúng",""),IF(COUNTIFS('02_KICH_BAN_NODES'!$B$5:$B$204,A114,'02_KICH_BAN_NODES'!$E$5:$E$204,"Tương tác")=1,IF(COUNTIFS($A$5:$A$404,A114,$D$5:$D$404,"Có")&lt;&gt;0,"Choice tương tác không được đánh dấu đáp án đúng",""),"Choice chưa chọn loại")))))))</f>
        <v/>
      </c>
    </row>
    <row r="115" spans="1:11">
      <c r="A115" s="13"/>
      <c r="B115" s="13"/>
      <c r="C115" s="5"/>
      <c r="D115" s="13"/>
      <c r="E115" s="13"/>
      <c r="F115" s="13"/>
      <c r="G115" s="13"/>
      <c r="H115" s="5"/>
      <c r="I115" s="5"/>
      <c r="J115" s="6" t="str">
        <f t="shared" si="1"/>
        <v/>
      </c>
      <c r="K115" s="6" t="str">
        <f>IF(A115="","",IF(COUNTIFS('02_KICH_BAN_NODES'!$B$5:$B$204,A115,'02_KICH_BAN_NODES'!$D$5:$D$204,"choice")=0,"ChoiceNodeId không tồn tại hoặc không phải choice",IF(COUNTIFS($A$5:$A$404,A115,$B$5:$B$404,B115)&gt;1,"Trùng OptionOrder trong cùng choice",IF(OR(B115="",C115="",D115="",F115="",H115=""),"Thiếu trường bắt buộc",IF(OR(COUNTIF($A$5:$A$404,A115)&lt;2,COUNTIF($A$5:$A$404,A115)&gt;4),"Mỗi choice cần 2–4 option",IF(COUNTIFS('02_KICH_BAN_NODES'!$B$5:$B$204,A115,'02_KICH_BAN_NODES'!$E$5:$E$204,"Kiến thức")=1,IF(COUNTIFS($A$5:$A$404,A115,$D$5:$D$404,"Có")&lt;&gt;1,"Choice kiến thức cần đúng 1 đáp án đúng",""),IF(COUNTIFS('02_KICH_BAN_NODES'!$B$5:$B$204,A115,'02_KICH_BAN_NODES'!$E$5:$E$204,"Tương tác")=1,IF(COUNTIFS($A$5:$A$404,A115,$D$5:$D$404,"Có")&lt;&gt;0,"Choice tương tác không được đánh dấu đáp án đúng",""),"Choice chưa chọn loại")))))))</f>
        <v/>
      </c>
    </row>
    <row r="116" spans="1:11">
      <c r="A116" s="13"/>
      <c r="B116" s="13"/>
      <c r="C116" s="5"/>
      <c r="D116" s="13"/>
      <c r="E116" s="13"/>
      <c r="F116" s="13"/>
      <c r="G116" s="13"/>
      <c r="H116" s="5"/>
      <c r="I116" s="5"/>
      <c r="J116" s="6" t="str">
        <f t="shared" si="1"/>
        <v/>
      </c>
      <c r="K116" s="6" t="str">
        <f>IF(A116="","",IF(COUNTIFS('02_KICH_BAN_NODES'!$B$5:$B$204,A116,'02_KICH_BAN_NODES'!$D$5:$D$204,"choice")=0,"ChoiceNodeId không tồn tại hoặc không phải choice",IF(COUNTIFS($A$5:$A$404,A116,$B$5:$B$404,B116)&gt;1,"Trùng OptionOrder trong cùng choice",IF(OR(B116="",C116="",D116="",F116="",H116=""),"Thiếu trường bắt buộc",IF(OR(COUNTIF($A$5:$A$404,A116)&lt;2,COUNTIF($A$5:$A$404,A116)&gt;4),"Mỗi choice cần 2–4 option",IF(COUNTIFS('02_KICH_BAN_NODES'!$B$5:$B$204,A116,'02_KICH_BAN_NODES'!$E$5:$E$204,"Kiến thức")=1,IF(COUNTIFS($A$5:$A$404,A116,$D$5:$D$404,"Có")&lt;&gt;1,"Choice kiến thức cần đúng 1 đáp án đúng",""),IF(COUNTIFS('02_KICH_BAN_NODES'!$B$5:$B$204,A116,'02_KICH_BAN_NODES'!$E$5:$E$204,"Tương tác")=1,IF(COUNTIFS($A$5:$A$404,A116,$D$5:$D$404,"Có")&lt;&gt;0,"Choice tương tác không được đánh dấu đáp án đúng",""),"Choice chưa chọn loại")))))))</f>
        <v/>
      </c>
    </row>
    <row r="117" spans="1:11">
      <c r="A117" s="13"/>
      <c r="B117" s="13"/>
      <c r="C117" s="5"/>
      <c r="D117" s="13"/>
      <c r="E117" s="13"/>
      <c r="F117" s="13"/>
      <c r="G117" s="13"/>
      <c r="H117" s="5"/>
      <c r="I117" s="5"/>
      <c r="J117" s="6" t="str">
        <f t="shared" si="1"/>
        <v/>
      </c>
      <c r="K117" s="6" t="str">
        <f>IF(A117="","",IF(COUNTIFS('02_KICH_BAN_NODES'!$B$5:$B$204,A117,'02_KICH_BAN_NODES'!$D$5:$D$204,"choice")=0,"ChoiceNodeId không tồn tại hoặc không phải choice",IF(COUNTIFS($A$5:$A$404,A117,$B$5:$B$404,B117)&gt;1,"Trùng OptionOrder trong cùng choice",IF(OR(B117="",C117="",D117="",F117="",H117=""),"Thiếu trường bắt buộc",IF(OR(COUNTIF($A$5:$A$404,A117)&lt;2,COUNTIF($A$5:$A$404,A117)&gt;4),"Mỗi choice cần 2–4 option",IF(COUNTIFS('02_KICH_BAN_NODES'!$B$5:$B$204,A117,'02_KICH_BAN_NODES'!$E$5:$E$204,"Kiến thức")=1,IF(COUNTIFS($A$5:$A$404,A117,$D$5:$D$404,"Có")&lt;&gt;1,"Choice kiến thức cần đúng 1 đáp án đúng",""),IF(COUNTIFS('02_KICH_BAN_NODES'!$B$5:$B$204,A117,'02_KICH_BAN_NODES'!$E$5:$E$204,"Tương tác")=1,IF(COUNTIFS($A$5:$A$404,A117,$D$5:$D$404,"Có")&lt;&gt;0,"Choice tương tác không được đánh dấu đáp án đúng",""),"Choice chưa chọn loại")))))))</f>
        <v/>
      </c>
    </row>
    <row r="118" spans="1:11">
      <c r="A118" s="13"/>
      <c r="B118" s="13"/>
      <c r="C118" s="5"/>
      <c r="D118" s="13"/>
      <c r="E118" s="13"/>
      <c r="F118" s="13"/>
      <c r="G118" s="13"/>
      <c r="H118" s="5"/>
      <c r="I118" s="5"/>
      <c r="J118" s="6" t="str">
        <f t="shared" si="1"/>
        <v/>
      </c>
      <c r="K118" s="6" t="str">
        <f>IF(A118="","",IF(COUNTIFS('02_KICH_BAN_NODES'!$B$5:$B$204,A118,'02_KICH_BAN_NODES'!$D$5:$D$204,"choice")=0,"ChoiceNodeId không tồn tại hoặc không phải choice",IF(COUNTIFS($A$5:$A$404,A118,$B$5:$B$404,B118)&gt;1,"Trùng OptionOrder trong cùng choice",IF(OR(B118="",C118="",D118="",F118="",H118=""),"Thiếu trường bắt buộc",IF(OR(COUNTIF($A$5:$A$404,A118)&lt;2,COUNTIF($A$5:$A$404,A118)&gt;4),"Mỗi choice cần 2–4 option",IF(COUNTIFS('02_KICH_BAN_NODES'!$B$5:$B$204,A118,'02_KICH_BAN_NODES'!$E$5:$E$204,"Kiến thức")=1,IF(COUNTIFS($A$5:$A$404,A118,$D$5:$D$404,"Có")&lt;&gt;1,"Choice kiến thức cần đúng 1 đáp án đúng",""),IF(COUNTIFS('02_KICH_BAN_NODES'!$B$5:$B$204,A118,'02_KICH_BAN_NODES'!$E$5:$E$204,"Tương tác")=1,IF(COUNTIFS($A$5:$A$404,A118,$D$5:$D$404,"Có")&lt;&gt;0,"Choice tương tác không được đánh dấu đáp án đúng",""),"Choice chưa chọn loại")))))))</f>
        <v/>
      </c>
    </row>
    <row r="119" spans="1:11">
      <c r="A119" s="13"/>
      <c r="B119" s="13"/>
      <c r="C119" s="5"/>
      <c r="D119" s="13"/>
      <c r="E119" s="13"/>
      <c r="F119" s="13"/>
      <c r="G119" s="13"/>
      <c r="H119" s="5"/>
      <c r="I119" s="5"/>
      <c r="J119" s="6" t="str">
        <f t="shared" si="1"/>
        <v/>
      </c>
      <c r="K119" s="6" t="str">
        <f>IF(A119="","",IF(COUNTIFS('02_KICH_BAN_NODES'!$B$5:$B$204,A119,'02_KICH_BAN_NODES'!$D$5:$D$204,"choice")=0,"ChoiceNodeId không tồn tại hoặc không phải choice",IF(COUNTIFS($A$5:$A$404,A119,$B$5:$B$404,B119)&gt;1,"Trùng OptionOrder trong cùng choice",IF(OR(B119="",C119="",D119="",F119="",H119=""),"Thiếu trường bắt buộc",IF(OR(COUNTIF($A$5:$A$404,A119)&lt;2,COUNTIF($A$5:$A$404,A119)&gt;4),"Mỗi choice cần 2–4 option",IF(COUNTIFS('02_KICH_BAN_NODES'!$B$5:$B$204,A119,'02_KICH_BAN_NODES'!$E$5:$E$204,"Kiến thức")=1,IF(COUNTIFS($A$5:$A$404,A119,$D$5:$D$404,"Có")&lt;&gt;1,"Choice kiến thức cần đúng 1 đáp án đúng",""),IF(COUNTIFS('02_KICH_BAN_NODES'!$B$5:$B$204,A119,'02_KICH_BAN_NODES'!$E$5:$E$204,"Tương tác")=1,IF(COUNTIFS($A$5:$A$404,A119,$D$5:$D$404,"Có")&lt;&gt;0,"Choice tương tác không được đánh dấu đáp án đúng",""),"Choice chưa chọn loại")))))))</f>
        <v/>
      </c>
    </row>
    <row r="120" spans="1:11">
      <c r="A120" s="13"/>
      <c r="B120" s="13"/>
      <c r="C120" s="5"/>
      <c r="D120" s="13"/>
      <c r="E120" s="13"/>
      <c r="F120" s="13"/>
      <c r="G120" s="13"/>
      <c r="H120" s="5"/>
      <c r="I120" s="5"/>
      <c r="J120" s="6" t="str">
        <f t="shared" si="1"/>
        <v/>
      </c>
      <c r="K120" s="6" t="str">
        <f>IF(A120="","",IF(COUNTIFS('02_KICH_BAN_NODES'!$B$5:$B$204,A120,'02_KICH_BAN_NODES'!$D$5:$D$204,"choice")=0,"ChoiceNodeId không tồn tại hoặc không phải choice",IF(COUNTIFS($A$5:$A$404,A120,$B$5:$B$404,B120)&gt;1,"Trùng OptionOrder trong cùng choice",IF(OR(B120="",C120="",D120="",F120="",H120=""),"Thiếu trường bắt buộc",IF(OR(COUNTIF($A$5:$A$404,A120)&lt;2,COUNTIF($A$5:$A$404,A120)&gt;4),"Mỗi choice cần 2–4 option",IF(COUNTIFS('02_KICH_BAN_NODES'!$B$5:$B$204,A120,'02_KICH_BAN_NODES'!$E$5:$E$204,"Kiến thức")=1,IF(COUNTIFS($A$5:$A$404,A120,$D$5:$D$404,"Có")&lt;&gt;1,"Choice kiến thức cần đúng 1 đáp án đúng",""),IF(COUNTIFS('02_KICH_BAN_NODES'!$B$5:$B$204,A120,'02_KICH_BAN_NODES'!$E$5:$E$204,"Tương tác")=1,IF(COUNTIFS($A$5:$A$404,A120,$D$5:$D$404,"Có")&lt;&gt;0,"Choice tương tác không được đánh dấu đáp án đúng",""),"Choice chưa chọn loại")))))))</f>
        <v/>
      </c>
    </row>
    <row r="121" spans="1:11">
      <c r="A121" s="13"/>
      <c r="B121" s="13"/>
      <c r="C121" s="5"/>
      <c r="D121" s="13"/>
      <c r="E121" s="13"/>
      <c r="F121" s="13"/>
      <c r="G121" s="13"/>
      <c r="H121" s="5"/>
      <c r="I121" s="5"/>
      <c r="J121" s="6" t="str">
        <f t="shared" si="1"/>
        <v/>
      </c>
      <c r="K121" s="6" t="str">
        <f>IF(A121="","",IF(COUNTIFS('02_KICH_BAN_NODES'!$B$5:$B$204,A121,'02_KICH_BAN_NODES'!$D$5:$D$204,"choice")=0,"ChoiceNodeId không tồn tại hoặc không phải choice",IF(COUNTIFS($A$5:$A$404,A121,$B$5:$B$404,B121)&gt;1,"Trùng OptionOrder trong cùng choice",IF(OR(B121="",C121="",D121="",F121="",H121=""),"Thiếu trường bắt buộc",IF(OR(COUNTIF($A$5:$A$404,A121)&lt;2,COUNTIF($A$5:$A$404,A121)&gt;4),"Mỗi choice cần 2–4 option",IF(COUNTIFS('02_KICH_BAN_NODES'!$B$5:$B$204,A121,'02_KICH_BAN_NODES'!$E$5:$E$204,"Kiến thức")=1,IF(COUNTIFS($A$5:$A$404,A121,$D$5:$D$404,"Có")&lt;&gt;1,"Choice kiến thức cần đúng 1 đáp án đúng",""),IF(COUNTIFS('02_KICH_BAN_NODES'!$B$5:$B$204,A121,'02_KICH_BAN_NODES'!$E$5:$E$204,"Tương tác")=1,IF(COUNTIFS($A$5:$A$404,A121,$D$5:$D$404,"Có")&lt;&gt;0,"Choice tương tác không được đánh dấu đáp án đúng",""),"Choice chưa chọn loại")))))))</f>
        <v/>
      </c>
    </row>
    <row r="122" spans="1:11">
      <c r="A122" s="13"/>
      <c r="B122" s="13"/>
      <c r="C122" s="5"/>
      <c r="D122" s="13"/>
      <c r="E122" s="13"/>
      <c r="F122" s="13"/>
      <c r="G122" s="13"/>
      <c r="H122" s="5"/>
      <c r="I122" s="5"/>
      <c r="J122" s="6" t="str">
        <f t="shared" si="1"/>
        <v/>
      </c>
      <c r="K122" s="6" t="str">
        <f>IF(A122="","",IF(COUNTIFS('02_KICH_BAN_NODES'!$B$5:$B$204,A122,'02_KICH_BAN_NODES'!$D$5:$D$204,"choice")=0,"ChoiceNodeId không tồn tại hoặc không phải choice",IF(COUNTIFS($A$5:$A$404,A122,$B$5:$B$404,B122)&gt;1,"Trùng OptionOrder trong cùng choice",IF(OR(B122="",C122="",D122="",F122="",H122=""),"Thiếu trường bắt buộc",IF(OR(COUNTIF($A$5:$A$404,A122)&lt;2,COUNTIF($A$5:$A$404,A122)&gt;4),"Mỗi choice cần 2–4 option",IF(COUNTIFS('02_KICH_BAN_NODES'!$B$5:$B$204,A122,'02_KICH_BAN_NODES'!$E$5:$E$204,"Kiến thức")=1,IF(COUNTIFS($A$5:$A$404,A122,$D$5:$D$404,"Có")&lt;&gt;1,"Choice kiến thức cần đúng 1 đáp án đúng",""),IF(COUNTIFS('02_KICH_BAN_NODES'!$B$5:$B$204,A122,'02_KICH_BAN_NODES'!$E$5:$E$204,"Tương tác")=1,IF(COUNTIFS($A$5:$A$404,A122,$D$5:$D$404,"Có")&lt;&gt;0,"Choice tương tác không được đánh dấu đáp án đúng",""),"Choice chưa chọn loại")))))))</f>
        <v/>
      </c>
    </row>
    <row r="123" spans="1:11">
      <c r="A123" s="13"/>
      <c r="B123" s="13"/>
      <c r="C123" s="5"/>
      <c r="D123" s="13"/>
      <c r="E123" s="13"/>
      <c r="F123" s="13"/>
      <c r="G123" s="13"/>
      <c r="H123" s="5"/>
      <c r="I123" s="5"/>
      <c r="J123" s="6" t="str">
        <f t="shared" si="1"/>
        <v/>
      </c>
      <c r="K123" s="6" t="str">
        <f>IF(A123="","",IF(COUNTIFS('02_KICH_BAN_NODES'!$B$5:$B$204,A123,'02_KICH_BAN_NODES'!$D$5:$D$204,"choice")=0,"ChoiceNodeId không tồn tại hoặc không phải choice",IF(COUNTIFS($A$5:$A$404,A123,$B$5:$B$404,B123)&gt;1,"Trùng OptionOrder trong cùng choice",IF(OR(B123="",C123="",D123="",F123="",H123=""),"Thiếu trường bắt buộc",IF(OR(COUNTIF($A$5:$A$404,A123)&lt;2,COUNTIF($A$5:$A$404,A123)&gt;4),"Mỗi choice cần 2–4 option",IF(COUNTIFS('02_KICH_BAN_NODES'!$B$5:$B$204,A123,'02_KICH_BAN_NODES'!$E$5:$E$204,"Kiến thức")=1,IF(COUNTIFS($A$5:$A$404,A123,$D$5:$D$404,"Có")&lt;&gt;1,"Choice kiến thức cần đúng 1 đáp án đúng",""),IF(COUNTIFS('02_KICH_BAN_NODES'!$B$5:$B$204,A123,'02_KICH_BAN_NODES'!$E$5:$E$204,"Tương tác")=1,IF(COUNTIFS($A$5:$A$404,A123,$D$5:$D$404,"Có")&lt;&gt;0,"Choice tương tác không được đánh dấu đáp án đúng",""),"Choice chưa chọn loại")))))))</f>
        <v/>
      </c>
    </row>
    <row r="124" spans="1:11">
      <c r="A124" s="13"/>
      <c r="B124" s="13"/>
      <c r="C124" s="5"/>
      <c r="D124" s="13"/>
      <c r="E124" s="13"/>
      <c r="F124" s="13"/>
      <c r="G124" s="13"/>
      <c r="H124" s="5"/>
      <c r="I124" s="5"/>
      <c r="J124" s="6" t="str">
        <f t="shared" si="1"/>
        <v/>
      </c>
      <c r="K124" s="6" t="str">
        <f>IF(A124="","",IF(COUNTIFS('02_KICH_BAN_NODES'!$B$5:$B$204,A124,'02_KICH_BAN_NODES'!$D$5:$D$204,"choice")=0,"ChoiceNodeId không tồn tại hoặc không phải choice",IF(COUNTIFS($A$5:$A$404,A124,$B$5:$B$404,B124)&gt;1,"Trùng OptionOrder trong cùng choice",IF(OR(B124="",C124="",D124="",F124="",H124=""),"Thiếu trường bắt buộc",IF(OR(COUNTIF($A$5:$A$404,A124)&lt;2,COUNTIF($A$5:$A$404,A124)&gt;4),"Mỗi choice cần 2–4 option",IF(COUNTIFS('02_KICH_BAN_NODES'!$B$5:$B$204,A124,'02_KICH_BAN_NODES'!$E$5:$E$204,"Kiến thức")=1,IF(COUNTIFS($A$5:$A$404,A124,$D$5:$D$404,"Có")&lt;&gt;1,"Choice kiến thức cần đúng 1 đáp án đúng",""),IF(COUNTIFS('02_KICH_BAN_NODES'!$B$5:$B$204,A124,'02_KICH_BAN_NODES'!$E$5:$E$204,"Tương tác")=1,IF(COUNTIFS($A$5:$A$404,A124,$D$5:$D$404,"Có")&lt;&gt;0,"Choice tương tác không được đánh dấu đáp án đúng",""),"Choice chưa chọn loại")))))))</f>
        <v/>
      </c>
    </row>
    <row r="125" spans="1:11">
      <c r="A125" s="13"/>
      <c r="B125" s="13"/>
      <c r="C125" s="5"/>
      <c r="D125" s="13"/>
      <c r="E125" s="13"/>
      <c r="F125" s="13"/>
      <c r="G125" s="13"/>
      <c r="H125" s="5"/>
      <c r="I125" s="5"/>
      <c r="J125" s="6" t="str">
        <f t="shared" si="1"/>
        <v/>
      </c>
      <c r="K125" s="6" t="str">
        <f>IF(A125="","",IF(COUNTIFS('02_KICH_BAN_NODES'!$B$5:$B$204,A125,'02_KICH_BAN_NODES'!$D$5:$D$204,"choice")=0,"ChoiceNodeId không tồn tại hoặc không phải choice",IF(COUNTIFS($A$5:$A$404,A125,$B$5:$B$404,B125)&gt;1,"Trùng OptionOrder trong cùng choice",IF(OR(B125="",C125="",D125="",F125="",H125=""),"Thiếu trường bắt buộc",IF(OR(COUNTIF($A$5:$A$404,A125)&lt;2,COUNTIF($A$5:$A$404,A125)&gt;4),"Mỗi choice cần 2–4 option",IF(COUNTIFS('02_KICH_BAN_NODES'!$B$5:$B$204,A125,'02_KICH_BAN_NODES'!$E$5:$E$204,"Kiến thức")=1,IF(COUNTIFS($A$5:$A$404,A125,$D$5:$D$404,"Có")&lt;&gt;1,"Choice kiến thức cần đúng 1 đáp án đúng",""),IF(COUNTIFS('02_KICH_BAN_NODES'!$B$5:$B$204,A125,'02_KICH_BAN_NODES'!$E$5:$E$204,"Tương tác")=1,IF(COUNTIFS($A$5:$A$404,A125,$D$5:$D$404,"Có")&lt;&gt;0,"Choice tương tác không được đánh dấu đáp án đúng",""),"Choice chưa chọn loại")))))))</f>
        <v/>
      </c>
    </row>
    <row r="126" spans="1:11">
      <c r="A126" s="13"/>
      <c r="B126" s="13"/>
      <c r="C126" s="5"/>
      <c r="D126" s="13"/>
      <c r="E126" s="13"/>
      <c r="F126" s="13"/>
      <c r="G126" s="13"/>
      <c r="H126" s="5"/>
      <c r="I126" s="5"/>
      <c r="J126" s="6" t="str">
        <f t="shared" si="1"/>
        <v/>
      </c>
      <c r="K126" s="6" t="str">
        <f>IF(A126="","",IF(COUNTIFS('02_KICH_BAN_NODES'!$B$5:$B$204,A126,'02_KICH_BAN_NODES'!$D$5:$D$204,"choice")=0,"ChoiceNodeId không tồn tại hoặc không phải choice",IF(COUNTIFS($A$5:$A$404,A126,$B$5:$B$404,B126)&gt;1,"Trùng OptionOrder trong cùng choice",IF(OR(B126="",C126="",D126="",F126="",H126=""),"Thiếu trường bắt buộc",IF(OR(COUNTIF($A$5:$A$404,A126)&lt;2,COUNTIF($A$5:$A$404,A126)&gt;4),"Mỗi choice cần 2–4 option",IF(COUNTIFS('02_KICH_BAN_NODES'!$B$5:$B$204,A126,'02_KICH_BAN_NODES'!$E$5:$E$204,"Kiến thức")=1,IF(COUNTIFS($A$5:$A$404,A126,$D$5:$D$404,"Có")&lt;&gt;1,"Choice kiến thức cần đúng 1 đáp án đúng",""),IF(COUNTIFS('02_KICH_BAN_NODES'!$B$5:$B$204,A126,'02_KICH_BAN_NODES'!$E$5:$E$204,"Tương tác")=1,IF(COUNTIFS($A$5:$A$404,A126,$D$5:$D$404,"Có")&lt;&gt;0,"Choice tương tác không được đánh dấu đáp án đúng",""),"Choice chưa chọn loại")))))))</f>
        <v/>
      </c>
    </row>
    <row r="127" spans="1:11">
      <c r="A127" s="13"/>
      <c r="B127" s="13"/>
      <c r="C127" s="5"/>
      <c r="D127" s="13"/>
      <c r="E127" s="13"/>
      <c r="F127" s="13"/>
      <c r="G127" s="13"/>
      <c r="H127" s="5"/>
      <c r="I127" s="5"/>
      <c r="J127" s="6" t="str">
        <f t="shared" si="1"/>
        <v/>
      </c>
      <c r="K127" s="6" t="str">
        <f>IF(A127="","",IF(COUNTIFS('02_KICH_BAN_NODES'!$B$5:$B$204,A127,'02_KICH_BAN_NODES'!$D$5:$D$204,"choice")=0,"ChoiceNodeId không tồn tại hoặc không phải choice",IF(COUNTIFS($A$5:$A$404,A127,$B$5:$B$404,B127)&gt;1,"Trùng OptionOrder trong cùng choice",IF(OR(B127="",C127="",D127="",F127="",H127=""),"Thiếu trường bắt buộc",IF(OR(COUNTIF($A$5:$A$404,A127)&lt;2,COUNTIF($A$5:$A$404,A127)&gt;4),"Mỗi choice cần 2–4 option",IF(COUNTIFS('02_KICH_BAN_NODES'!$B$5:$B$204,A127,'02_KICH_BAN_NODES'!$E$5:$E$204,"Kiến thức")=1,IF(COUNTIFS($A$5:$A$404,A127,$D$5:$D$404,"Có")&lt;&gt;1,"Choice kiến thức cần đúng 1 đáp án đúng",""),IF(COUNTIFS('02_KICH_BAN_NODES'!$B$5:$B$204,A127,'02_KICH_BAN_NODES'!$E$5:$E$204,"Tương tác")=1,IF(COUNTIFS($A$5:$A$404,A127,$D$5:$D$404,"Có")&lt;&gt;0,"Choice tương tác không được đánh dấu đáp án đúng",""),"Choice chưa chọn loại")))))))</f>
        <v/>
      </c>
    </row>
    <row r="128" spans="1:11">
      <c r="A128" s="13"/>
      <c r="B128" s="13"/>
      <c r="C128" s="5"/>
      <c r="D128" s="13"/>
      <c r="E128" s="13"/>
      <c r="F128" s="13"/>
      <c r="G128" s="13"/>
      <c r="H128" s="5"/>
      <c r="I128" s="5"/>
      <c r="J128" s="6" t="str">
        <f t="shared" si="1"/>
        <v/>
      </c>
      <c r="K128" s="6" t="str">
        <f>IF(A128="","",IF(COUNTIFS('02_KICH_BAN_NODES'!$B$5:$B$204,A128,'02_KICH_BAN_NODES'!$D$5:$D$204,"choice")=0,"ChoiceNodeId không tồn tại hoặc không phải choice",IF(COUNTIFS($A$5:$A$404,A128,$B$5:$B$404,B128)&gt;1,"Trùng OptionOrder trong cùng choice",IF(OR(B128="",C128="",D128="",F128="",H128=""),"Thiếu trường bắt buộc",IF(OR(COUNTIF($A$5:$A$404,A128)&lt;2,COUNTIF($A$5:$A$404,A128)&gt;4),"Mỗi choice cần 2–4 option",IF(COUNTIFS('02_KICH_BAN_NODES'!$B$5:$B$204,A128,'02_KICH_BAN_NODES'!$E$5:$E$204,"Kiến thức")=1,IF(COUNTIFS($A$5:$A$404,A128,$D$5:$D$404,"Có")&lt;&gt;1,"Choice kiến thức cần đúng 1 đáp án đúng",""),IF(COUNTIFS('02_KICH_BAN_NODES'!$B$5:$B$204,A128,'02_KICH_BAN_NODES'!$E$5:$E$204,"Tương tác")=1,IF(COUNTIFS($A$5:$A$404,A128,$D$5:$D$404,"Có")&lt;&gt;0,"Choice tương tác không được đánh dấu đáp án đúng",""),"Choice chưa chọn loại")))))))</f>
        <v/>
      </c>
    </row>
    <row r="129" spans="1:11">
      <c r="A129" s="13"/>
      <c r="B129" s="13"/>
      <c r="C129" s="5"/>
      <c r="D129" s="13"/>
      <c r="E129" s="13"/>
      <c r="F129" s="13"/>
      <c r="G129" s="13"/>
      <c r="H129" s="5"/>
      <c r="I129" s="5"/>
      <c r="J129" s="6" t="str">
        <f t="shared" si="1"/>
        <v/>
      </c>
      <c r="K129" s="6" t="str">
        <f>IF(A129="","",IF(COUNTIFS('02_KICH_BAN_NODES'!$B$5:$B$204,A129,'02_KICH_BAN_NODES'!$D$5:$D$204,"choice")=0,"ChoiceNodeId không tồn tại hoặc không phải choice",IF(COUNTIFS($A$5:$A$404,A129,$B$5:$B$404,B129)&gt;1,"Trùng OptionOrder trong cùng choice",IF(OR(B129="",C129="",D129="",F129="",H129=""),"Thiếu trường bắt buộc",IF(OR(COUNTIF($A$5:$A$404,A129)&lt;2,COUNTIF($A$5:$A$404,A129)&gt;4),"Mỗi choice cần 2–4 option",IF(COUNTIFS('02_KICH_BAN_NODES'!$B$5:$B$204,A129,'02_KICH_BAN_NODES'!$E$5:$E$204,"Kiến thức")=1,IF(COUNTIFS($A$5:$A$404,A129,$D$5:$D$404,"Có")&lt;&gt;1,"Choice kiến thức cần đúng 1 đáp án đúng",""),IF(COUNTIFS('02_KICH_BAN_NODES'!$B$5:$B$204,A129,'02_KICH_BAN_NODES'!$E$5:$E$204,"Tương tác")=1,IF(COUNTIFS($A$5:$A$404,A129,$D$5:$D$404,"Có")&lt;&gt;0,"Choice tương tác không được đánh dấu đáp án đúng",""),"Choice chưa chọn loại")))))))</f>
        <v/>
      </c>
    </row>
    <row r="130" spans="1:11">
      <c r="A130" s="13"/>
      <c r="B130" s="13"/>
      <c r="C130" s="5"/>
      <c r="D130" s="13"/>
      <c r="E130" s="13"/>
      <c r="F130" s="13"/>
      <c r="G130" s="13"/>
      <c r="H130" s="5"/>
      <c r="I130" s="5"/>
      <c r="J130" s="6" t="str">
        <f t="shared" si="1"/>
        <v/>
      </c>
      <c r="K130" s="6" t="str">
        <f>IF(A130="","",IF(COUNTIFS('02_KICH_BAN_NODES'!$B$5:$B$204,A130,'02_KICH_BAN_NODES'!$D$5:$D$204,"choice")=0,"ChoiceNodeId không tồn tại hoặc không phải choice",IF(COUNTIFS($A$5:$A$404,A130,$B$5:$B$404,B130)&gt;1,"Trùng OptionOrder trong cùng choice",IF(OR(B130="",C130="",D130="",F130="",H130=""),"Thiếu trường bắt buộc",IF(OR(COUNTIF($A$5:$A$404,A130)&lt;2,COUNTIF($A$5:$A$404,A130)&gt;4),"Mỗi choice cần 2–4 option",IF(COUNTIFS('02_KICH_BAN_NODES'!$B$5:$B$204,A130,'02_KICH_BAN_NODES'!$E$5:$E$204,"Kiến thức")=1,IF(COUNTIFS($A$5:$A$404,A130,$D$5:$D$404,"Có")&lt;&gt;1,"Choice kiến thức cần đúng 1 đáp án đúng",""),IF(COUNTIFS('02_KICH_BAN_NODES'!$B$5:$B$204,A130,'02_KICH_BAN_NODES'!$E$5:$E$204,"Tương tác")=1,IF(COUNTIFS($A$5:$A$404,A130,$D$5:$D$404,"Có")&lt;&gt;0,"Choice tương tác không được đánh dấu đáp án đúng",""),"Choice chưa chọn loại")))))))</f>
        <v/>
      </c>
    </row>
    <row r="131" spans="1:11">
      <c r="A131" s="13"/>
      <c r="B131" s="13"/>
      <c r="C131" s="5"/>
      <c r="D131" s="13"/>
      <c r="E131" s="13"/>
      <c r="F131" s="13"/>
      <c r="G131" s="13"/>
      <c r="H131" s="5"/>
      <c r="I131" s="5"/>
      <c r="J131" s="6" t="str">
        <f t="shared" si="1"/>
        <v/>
      </c>
      <c r="K131" s="6" t="str">
        <f>IF(A131="","",IF(COUNTIFS('02_KICH_BAN_NODES'!$B$5:$B$204,A131,'02_KICH_BAN_NODES'!$D$5:$D$204,"choice")=0,"ChoiceNodeId không tồn tại hoặc không phải choice",IF(COUNTIFS($A$5:$A$404,A131,$B$5:$B$404,B131)&gt;1,"Trùng OptionOrder trong cùng choice",IF(OR(B131="",C131="",D131="",F131="",H131=""),"Thiếu trường bắt buộc",IF(OR(COUNTIF($A$5:$A$404,A131)&lt;2,COUNTIF($A$5:$A$404,A131)&gt;4),"Mỗi choice cần 2–4 option",IF(COUNTIFS('02_KICH_BAN_NODES'!$B$5:$B$204,A131,'02_KICH_BAN_NODES'!$E$5:$E$204,"Kiến thức")=1,IF(COUNTIFS($A$5:$A$404,A131,$D$5:$D$404,"Có")&lt;&gt;1,"Choice kiến thức cần đúng 1 đáp án đúng",""),IF(COUNTIFS('02_KICH_BAN_NODES'!$B$5:$B$204,A131,'02_KICH_BAN_NODES'!$E$5:$E$204,"Tương tác")=1,IF(COUNTIFS($A$5:$A$404,A131,$D$5:$D$404,"Có")&lt;&gt;0,"Choice tương tác không được đánh dấu đáp án đúng",""),"Choice chưa chọn loại")))))))</f>
        <v/>
      </c>
    </row>
    <row r="132" spans="1:11">
      <c r="A132" s="13"/>
      <c r="B132" s="13"/>
      <c r="C132" s="5"/>
      <c r="D132" s="13"/>
      <c r="E132" s="13"/>
      <c r="F132" s="13"/>
      <c r="G132" s="13"/>
      <c r="H132" s="5"/>
      <c r="I132" s="5"/>
      <c r="J132" s="6" t="str">
        <f t="shared" si="1"/>
        <v/>
      </c>
      <c r="K132" s="6" t="str">
        <f>IF(A132="","",IF(COUNTIFS('02_KICH_BAN_NODES'!$B$5:$B$204,A132,'02_KICH_BAN_NODES'!$D$5:$D$204,"choice")=0,"ChoiceNodeId không tồn tại hoặc không phải choice",IF(COUNTIFS($A$5:$A$404,A132,$B$5:$B$404,B132)&gt;1,"Trùng OptionOrder trong cùng choice",IF(OR(B132="",C132="",D132="",F132="",H132=""),"Thiếu trường bắt buộc",IF(OR(COUNTIF($A$5:$A$404,A132)&lt;2,COUNTIF($A$5:$A$404,A132)&gt;4),"Mỗi choice cần 2–4 option",IF(COUNTIFS('02_KICH_BAN_NODES'!$B$5:$B$204,A132,'02_KICH_BAN_NODES'!$E$5:$E$204,"Kiến thức")=1,IF(COUNTIFS($A$5:$A$404,A132,$D$5:$D$404,"Có")&lt;&gt;1,"Choice kiến thức cần đúng 1 đáp án đúng",""),IF(COUNTIFS('02_KICH_BAN_NODES'!$B$5:$B$204,A132,'02_KICH_BAN_NODES'!$E$5:$E$204,"Tương tác")=1,IF(COUNTIFS($A$5:$A$404,A132,$D$5:$D$404,"Có")&lt;&gt;0,"Choice tương tác không được đánh dấu đáp án đúng",""),"Choice chưa chọn loại")))))))</f>
        <v/>
      </c>
    </row>
    <row r="133" spans="1:11">
      <c r="A133" s="13"/>
      <c r="B133" s="13"/>
      <c r="C133" s="5"/>
      <c r="D133" s="13"/>
      <c r="E133" s="13"/>
      <c r="F133" s="13"/>
      <c r="G133" s="13"/>
      <c r="H133" s="5"/>
      <c r="I133" s="5"/>
      <c r="J133" s="6" t="str">
        <f t="shared" ref="J133:J196" si="2">IF(A133="","",IF(K133="","HỢP LỆ","CẦN SỬA"))</f>
        <v/>
      </c>
      <c r="K133" s="6" t="str">
        <f>IF(A133="","",IF(COUNTIFS('02_KICH_BAN_NODES'!$B$5:$B$204,A133,'02_KICH_BAN_NODES'!$D$5:$D$204,"choice")=0,"ChoiceNodeId không tồn tại hoặc không phải choice",IF(COUNTIFS($A$5:$A$404,A133,$B$5:$B$404,B133)&gt;1,"Trùng OptionOrder trong cùng choice",IF(OR(B133="",C133="",D133="",F133="",H133=""),"Thiếu trường bắt buộc",IF(OR(COUNTIF($A$5:$A$404,A133)&lt;2,COUNTIF($A$5:$A$404,A133)&gt;4),"Mỗi choice cần 2–4 option",IF(COUNTIFS('02_KICH_BAN_NODES'!$B$5:$B$204,A133,'02_KICH_BAN_NODES'!$E$5:$E$204,"Kiến thức")=1,IF(COUNTIFS($A$5:$A$404,A133,$D$5:$D$404,"Có")&lt;&gt;1,"Choice kiến thức cần đúng 1 đáp án đúng",""),IF(COUNTIFS('02_KICH_BAN_NODES'!$B$5:$B$204,A133,'02_KICH_BAN_NODES'!$E$5:$E$204,"Tương tác")=1,IF(COUNTIFS($A$5:$A$404,A133,$D$5:$D$404,"Có")&lt;&gt;0,"Choice tương tác không được đánh dấu đáp án đúng",""),"Choice chưa chọn loại")))))))</f>
        <v/>
      </c>
    </row>
    <row r="134" spans="1:11">
      <c r="A134" s="13"/>
      <c r="B134" s="13"/>
      <c r="C134" s="5"/>
      <c r="D134" s="13"/>
      <c r="E134" s="13"/>
      <c r="F134" s="13"/>
      <c r="G134" s="13"/>
      <c r="H134" s="5"/>
      <c r="I134" s="5"/>
      <c r="J134" s="6" t="str">
        <f t="shared" si="2"/>
        <v/>
      </c>
      <c r="K134" s="6" t="str">
        <f>IF(A134="","",IF(COUNTIFS('02_KICH_BAN_NODES'!$B$5:$B$204,A134,'02_KICH_BAN_NODES'!$D$5:$D$204,"choice")=0,"ChoiceNodeId không tồn tại hoặc không phải choice",IF(COUNTIFS($A$5:$A$404,A134,$B$5:$B$404,B134)&gt;1,"Trùng OptionOrder trong cùng choice",IF(OR(B134="",C134="",D134="",F134="",H134=""),"Thiếu trường bắt buộc",IF(OR(COUNTIF($A$5:$A$404,A134)&lt;2,COUNTIF($A$5:$A$404,A134)&gt;4),"Mỗi choice cần 2–4 option",IF(COUNTIFS('02_KICH_BAN_NODES'!$B$5:$B$204,A134,'02_KICH_BAN_NODES'!$E$5:$E$204,"Kiến thức")=1,IF(COUNTIFS($A$5:$A$404,A134,$D$5:$D$404,"Có")&lt;&gt;1,"Choice kiến thức cần đúng 1 đáp án đúng",""),IF(COUNTIFS('02_KICH_BAN_NODES'!$B$5:$B$204,A134,'02_KICH_BAN_NODES'!$E$5:$E$204,"Tương tác")=1,IF(COUNTIFS($A$5:$A$404,A134,$D$5:$D$404,"Có")&lt;&gt;0,"Choice tương tác không được đánh dấu đáp án đúng",""),"Choice chưa chọn loại")))))))</f>
        <v/>
      </c>
    </row>
    <row r="135" spans="1:11">
      <c r="A135" s="13"/>
      <c r="B135" s="13"/>
      <c r="C135" s="5"/>
      <c r="D135" s="13"/>
      <c r="E135" s="13"/>
      <c r="F135" s="13"/>
      <c r="G135" s="13"/>
      <c r="H135" s="5"/>
      <c r="I135" s="5"/>
      <c r="J135" s="6" t="str">
        <f t="shared" si="2"/>
        <v/>
      </c>
      <c r="K135" s="6" t="str">
        <f>IF(A135="","",IF(COUNTIFS('02_KICH_BAN_NODES'!$B$5:$B$204,A135,'02_KICH_BAN_NODES'!$D$5:$D$204,"choice")=0,"ChoiceNodeId không tồn tại hoặc không phải choice",IF(COUNTIFS($A$5:$A$404,A135,$B$5:$B$404,B135)&gt;1,"Trùng OptionOrder trong cùng choice",IF(OR(B135="",C135="",D135="",F135="",H135=""),"Thiếu trường bắt buộc",IF(OR(COUNTIF($A$5:$A$404,A135)&lt;2,COUNTIF($A$5:$A$404,A135)&gt;4),"Mỗi choice cần 2–4 option",IF(COUNTIFS('02_KICH_BAN_NODES'!$B$5:$B$204,A135,'02_KICH_BAN_NODES'!$E$5:$E$204,"Kiến thức")=1,IF(COUNTIFS($A$5:$A$404,A135,$D$5:$D$404,"Có")&lt;&gt;1,"Choice kiến thức cần đúng 1 đáp án đúng",""),IF(COUNTIFS('02_KICH_BAN_NODES'!$B$5:$B$204,A135,'02_KICH_BAN_NODES'!$E$5:$E$204,"Tương tác")=1,IF(COUNTIFS($A$5:$A$404,A135,$D$5:$D$404,"Có")&lt;&gt;0,"Choice tương tác không được đánh dấu đáp án đúng",""),"Choice chưa chọn loại")))))))</f>
        <v/>
      </c>
    </row>
    <row r="136" spans="1:11">
      <c r="A136" s="13"/>
      <c r="B136" s="13"/>
      <c r="C136" s="5"/>
      <c r="D136" s="13"/>
      <c r="E136" s="13"/>
      <c r="F136" s="13"/>
      <c r="G136" s="13"/>
      <c r="H136" s="5"/>
      <c r="I136" s="5"/>
      <c r="J136" s="6" t="str">
        <f t="shared" si="2"/>
        <v/>
      </c>
      <c r="K136" s="6" t="str">
        <f>IF(A136="","",IF(COUNTIFS('02_KICH_BAN_NODES'!$B$5:$B$204,A136,'02_KICH_BAN_NODES'!$D$5:$D$204,"choice")=0,"ChoiceNodeId không tồn tại hoặc không phải choice",IF(COUNTIFS($A$5:$A$404,A136,$B$5:$B$404,B136)&gt;1,"Trùng OptionOrder trong cùng choice",IF(OR(B136="",C136="",D136="",F136="",H136=""),"Thiếu trường bắt buộc",IF(OR(COUNTIF($A$5:$A$404,A136)&lt;2,COUNTIF($A$5:$A$404,A136)&gt;4),"Mỗi choice cần 2–4 option",IF(COUNTIFS('02_KICH_BAN_NODES'!$B$5:$B$204,A136,'02_KICH_BAN_NODES'!$E$5:$E$204,"Kiến thức")=1,IF(COUNTIFS($A$5:$A$404,A136,$D$5:$D$404,"Có")&lt;&gt;1,"Choice kiến thức cần đúng 1 đáp án đúng",""),IF(COUNTIFS('02_KICH_BAN_NODES'!$B$5:$B$204,A136,'02_KICH_BAN_NODES'!$E$5:$E$204,"Tương tác")=1,IF(COUNTIFS($A$5:$A$404,A136,$D$5:$D$404,"Có")&lt;&gt;0,"Choice tương tác không được đánh dấu đáp án đúng",""),"Choice chưa chọn loại")))))))</f>
        <v/>
      </c>
    </row>
    <row r="137" spans="1:11">
      <c r="A137" s="13"/>
      <c r="B137" s="13"/>
      <c r="C137" s="5"/>
      <c r="D137" s="13"/>
      <c r="E137" s="13"/>
      <c r="F137" s="13"/>
      <c r="G137" s="13"/>
      <c r="H137" s="5"/>
      <c r="I137" s="5"/>
      <c r="J137" s="6" t="str">
        <f t="shared" si="2"/>
        <v/>
      </c>
      <c r="K137" s="6" t="str">
        <f>IF(A137="","",IF(COUNTIFS('02_KICH_BAN_NODES'!$B$5:$B$204,A137,'02_KICH_BAN_NODES'!$D$5:$D$204,"choice")=0,"ChoiceNodeId không tồn tại hoặc không phải choice",IF(COUNTIFS($A$5:$A$404,A137,$B$5:$B$404,B137)&gt;1,"Trùng OptionOrder trong cùng choice",IF(OR(B137="",C137="",D137="",F137="",H137=""),"Thiếu trường bắt buộc",IF(OR(COUNTIF($A$5:$A$404,A137)&lt;2,COUNTIF($A$5:$A$404,A137)&gt;4),"Mỗi choice cần 2–4 option",IF(COUNTIFS('02_KICH_BAN_NODES'!$B$5:$B$204,A137,'02_KICH_BAN_NODES'!$E$5:$E$204,"Kiến thức")=1,IF(COUNTIFS($A$5:$A$404,A137,$D$5:$D$404,"Có")&lt;&gt;1,"Choice kiến thức cần đúng 1 đáp án đúng",""),IF(COUNTIFS('02_KICH_BAN_NODES'!$B$5:$B$204,A137,'02_KICH_BAN_NODES'!$E$5:$E$204,"Tương tác")=1,IF(COUNTIFS($A$5:$A$404,A137,$D$5:$D$404,"Có")&lt;&gt;0,"Choice tương tác không được đánh dấu đáp án đúng",""),"Choice chưa chọn loại")))))))</f>
        <v/>
      </c>
    </row>
    <row r="138" spans="1:11">
      <c r="A138" s="13"/>
      <c r="B138" s="13"/>
      <c r="C138" s="5"/>
      <c r="D138" s="13"/>
      <c r="E138" s="13"/>
      <c r="F138" s="13"/>
      <c r="G138" s="13"/>
      <c r="H138" s="5"/>
      <c r="I138" s="5"/>
      <c r="J138" s="6" t="str">
        <f t="shared" si="2"/>
        <v/>
      </c>
      <c r="K138" s="6" t="str">
        <f>IF(A138="","",IF(COUNTIFS('02_KICH_BAN_NODES'!$B$5:$B$204,A138,'02_KICH_BAN_NODES'!$D$5:$D$204,"choice")=0,"ChoiceNodeId không tồn tại hoặc không phải choice",IF(COUNTIFS($A$5:$A$404,A138,$B$5:$B$404,B138)&gt;1,"Trùng OptionOrder trong cùng choice",IF(OR(B138="",C138="",D138="",F138="",H138=""),"Thiếu trường bắt buộc",IF(OR(COUNTIF($A$5:$A$404,A138)&lt;2,COUNTIF($A$5:$A$404,A138)&gt;4),"Mỗi choice cần 2–4 option",IF(COUNTIFS('02_KICH_BAN_NODES'!$B$5:$B$204,A138,'02_KICH_BAN_NODES'!$E$5:$E$204,"Kiến thức")=1,IF(COUNTIFS($A$5:$A$404,A138,$D$5:$D$404,"Có")&lt;&gt;1,"Choice kiến thức cần đúng 1 đáp án đúng",""),IF(COUNTIFS('02_KICH_BAN_NODES'!$B$5:$B$204,A138,'02_KICH_BAN_NODES'!$E$5:$E$204,"Tương tác")=1,IF(COUNTIFS($A$5:$A$404,A138,$D$5:$D$404,"Có")&lt;&gt;0,"Choice tương tác không được đánh dấu đáp án đúng",""),"Choice chưa chọn loại")))))))</f>
        <v/>
      </c>
    </row>
    <row r="139" spans="1:11">
      <c r="A139" s="13"/>
      <c r="B139" s="13"/>
      <c r="C139" s="5"/>
      <c r="D139" s="13"/>
      <c r="E139" s="13"/>
      <c r="F139" s="13"/>
      <c r="G139" s="13"/>
      <c r="H139" s="5"/>
      <c r="I139" s="5"/>
      <c r="J139" s="6" t="str">
        <f t="shared" si="2"/>
        <v/>
      </c>
      <c r="K139" s="6" t="str">
        <f>IF(A139="","",IF(COUNTIFS('02_KICH_BAN_NODES'!$B$5:$B$204,A139,'02_KICH_BAN_NODES'!$D$5:$D$204,"choice")=0,"ChoiceNodeId không tồn tại hoặc không phải choice",IF(COUNTIFS($A$5:$A$404,A139,$B$5:$B$404,B139)&gt;1,"Trùng OptionOrder trong cùng choice",IF(OR(B139="",C139="",D139="",F139="",H139=""),"Thiếu trường bắt buộc",IF(OR(COUNTIF($A$5:$A$404,A139)&lt;2,COUNTIF($A$5:$A$404,A139)&gt;4),"Mỗi choice cần 2–4 option",IF(COUNTIFS('02_KICH_BAN_NODES'!$B$5:$B$204,A139,'02_KICH_BAN_NODES'!$E$5:$E$204,"Kiến thức")=1,IF(COUNTIFS($A$5:$A$404,A139,$D$5:$D$404,"Có")&lt;&gt;1,"Choice kiến thức cần đúng 1 đáp án đúng",""),IF(COUNTIFS('02_KICH_BAN_NODES'!$B$5:$B$204,A139,'02_KICH_BAN_NODES'!$E$5:$E$204,"Tương tác")=1,IF(COUNTIFS($A$5:$A$404,A139,$D$5:$D$404,"Có")&lt;&gt;0,"Choice tương tác không được đánh dấu đáp án đúng",""),"Choice chưa chọn loại")))))))</f>
        <v/>
      </c>
    </row>
    <row r="140" spans="1:11">
      <c r="A140" s="13"/>
      <c r="B140" s="13"/>
      <c r="C140" s="5"/>
      <c r="D140" s="13"/>
      <c r="E140" s="13"/>
      <c r="F140" s="13"/>
      <c r="G140" s="13"/>
      <c r="H140" s="5"/>
      <c r="I140" s="5"/>
      <c r="J140" s="6" t="str">
        <f t="shared" si="2"/>
        <v/>
      </c>
      <c r="K140" s="6" t="str">
        <f>IF(A140="","",IF(COUNTIFS('02_KICH_BAN_NODES'!$B$5:$B$204,A140,'02_KICH_BAN_NODES'!$D$5:$D$204,"choice")=0,"ChoiceNodeId không tồn tại hoặc không phải choice",IF(COUNTIFS($A$5:$A$404,A140,$B$5:$B$404,B140)&gt;1,"Trùng OptionOrder trong cùng choice",IF(OR(B140="",C140="",D140="",F140="",H140=""),"Thiếu trường bắt buộc",IF(OR(COUNTIF($A$5:$A$404,A140)&lt;2,COUNTIF($A$5:$A$404,A140)&gt;4),"Mỗi choice cần 2–4 option",IF(COUNTIFS('02_KICH_BAN_NODES'!$B$5:$B$204,A140,'02_KICH_BAN_NODES'!$E$5:$E$204,"Kiến thức")=1,IF(COUNTIFS($A$5:$A$404,A140,$D$5:$D$404,"Có")&lt;&gt;1,"Choice kiến thức cần đúng 1 đáp án đúng",""),IF(COUNTIFS('02_KICH_BAN_NODES'!$B$5:$B$204,A140,'02_KICH_BAN_NODES'!$E$5:$E$204,"Tương tác")=1,IF(COUNTIFS($A$5:$A$404,A140,$D$5:$D$404,"Có")&lt;&gt;0,"Choice tương tác không được đánh dấu đáp án đúng",""),"Choice chưa chọn loại")))))))</f>
        <v/>
      </c>
    </row>
    <row r="141" spans="1:11">
      <c r="A141" s="13"/>
      <c r="B141" s="13"/>
      <c r="C141" s="5"/>
      <c r="D141" s="13"/>
      <c r="E141" s="13"/>
      <c r="F141" s="13"/>
      <c r="G141" s="13"/>
      <c r="H141" s="5"/>
      <c r="I141" s="5"/>
      <c r="J141" s="6" t="str">
        <f t="shared" si="2"/>
        <v/>
      </c>
      <c r="K141" s="6" t="str">
        <f>IF(A141="","",IF(COUNTIFS('02_KICH_BAN_NODES'!$B$5:$B$204,A141,'02_KICH_BAN_NODES'!$D$5:$D$204,"choice")=0,"ChoiceNodeId không tồn tại hoặc không phải choice",IF(COUNTIFS($A$5:$A$404,A141,$B$5:$B$404,B141)&gt;1,"Trùng OptionOrder trong cùng choice",IF(OR(B141="",C141="",D141="",F141="",H141=""),"Thiếu trường bắt buộc",IF(OR(COUNTIF($A$5:$A$404,A141)&lt;2,COUNTIF($A$5:$A$404,A141)&gt;4),"Mỗi choice cần 2–4 option",IF(COUNTIFS('02_KICH_BAN_NODES'!$B$5:$B$204,A141,'02_KICH_BAN_NODES'!$E$5:$E$204,"Kiến thức")=1,IF(COUNTIFS($A$5:$A$404,A141,$D$5:$D$404,"Có")&lt;&gt;1,"Choice kiến thức cần đúng 1 đáp án đúng",""),IF(COUNTIFS('02_KICH_BAN_NODES'!$B$5:$B$204,A141,'02_KICH_BAN_NODES'!$E$5:$E$204,"Tương tác")=1,IF(COUNTIFS($A$5:$A$404,A141,$D$5:$D$404,"Có")&lt;&gt;0,"Choice tương tác không được đánh dấu đáp án đúng",""),"Choice chưa chọn loại")))))))</f>
        <v/>
      </c>
    </row>
    <row r="142" spans="1:11">
      <c r="A142" s="13"/>
      <c r="B142" s="13"/>
      <c r="C142" s="5"/>
      <c r="D142" s="13"/>
      <c r="E142" s="13"/>
      <c r="F142" s="13"/>
      <c r="G142" s="13"/>
      <c r="H142" s="5"/>
      <c r="I142" s="5"/>
      <c r="J142" s="6" t="str">
        <f t="shared" si="2"/>
        <v/>
      </c>
      <c r="K142" s="6" t="str">
        <f>IF(A142="","",IF(COUNTIFS('02_KICH_BAN_NODES'!$B$5:$B$204,A142,'02_KICH_BAN_NODES'!$D$5:$D$204,"choice")=0,"ChoiceNodeId không tồn tại hoặc không phải choice",IF(COUNTIFS($A$5:$A$404,A142,$B$5:$B$404,B142)&gt;1,"Trùng OptionOrder trong cùng choice",IF(OR(B142="",C142="",D142="",F142="",H142=""),"Thiếu trường bắt buộc",IF(OR(COUNTIF($A$5:$A$404,A142)&lt;2,COUNTIF($A$5:$A$404,A142)&gt;4),"Mỗi choice cần 2–4 option",IF(COUNTIFS('02_KICH_BAN_NODES'!$B$5:$B$204,A142,'02_KICH_BAN_NODES'!$E$5:$E$204,"Kiến thức")=1,IF(COUNTIFS($A$5:$A$404,A142,$D$5:$D$404,"Có")&lt;&gt;1,"Choice kiến thức cần đúng 1 đáp án đúng",""),IF(COUNTIFS('02_KICH_BAN_NODES'!$B$5:$B$204,A142,'02_KICH_BAN_NODES'!$E$5:$E$204,"Tương tác")=1,IF(COUNTIFS($A$5:$A$404,A142,$D$5:$D$404,"Có")&lt;&gt;0,"Choice tương tác không được đánh dấu đáp án đúng",""),"Choice chưa chọn loại")))))))</f>
        <v/>
      </c>
    </row>
    <row r="143" spans="1:11">
      <c r="A143" s="13"/>
      <c r="B143" s="13"/>
      <c r="C143" s="5"/>
      <c r="D143" s="13"/>
      <c r="E143" s="13"/>
      <c r="F143" s="13"/>
      <c r="G143" s="13"/>
      <c r="H143" s="5"/>
      <c r="I143" s="5"/>
      <c r="J143" s="6" t="str">
        <f t="shared" si="2"/>
        <v/>
      </c>
      <c r="K143" s="6" t="str">
        <f>IF(A143="","",IF(COUNTIFS('02_KICH_BAN_NODES'!$B$5:$B$204,A143,'02_KICH_BAN_NODES'!$D$5:$D$204,"choice")=0,"ChoiceNodeId không tồn tại hoặc không phải choice",IF(COUNTIFS($A$5:$A$404,A143,$B$5:$B$404,B143)&gt;1,"Trùng OptionOrder trong cùng choice",IF(OR(B143="",C143="",D143="",F143="",H143=""),"Thiếu trường bắt buộc",IF(OR(COUNTIF($A$5:$A$404,A143)&lt;2,COUNTIF($A$5:$A$404,A143)&gt;4),"Mỗi choice cần 2–4 option",IF(COUNTIFS('02_KICH_BAN_NODES'!$B$5:$B$204,A143,'02_KICH_BAN_NODES'!$E$5:$E$204,"Kiến thức")=1,IF(COUNTIFS($A$5:$A$404,A143,$D$5:$D$404,"Có")&lt;&gt;1,"Choice kiến thức cần đúng 1 đáp án đúng",""),IF(COUNTIFS('02_KICH_BAN_NODES'!$B$5:$B$204,A143,'02_KICH_BAN_NODES'!$E$5:$E$204,"Tương tác")=1,IF(COUNTIFS($A$5:$A$404,A143,$D$5:$D$404,"Có")&lt;&gt;0,"Choice tương tác không được đánh dấu đáp án đúng",""),"Choice chưa chọn loại")))))))</f>
        <v/>
      </c>
    </row>
    <row r="144" spans="1:11">
      <c r="A144" s="13"/>
      <c r="B144" s="13"/>
      <c r="C144" s="5"/>
      <c r="D144" s="13"/>
      <c r="E144" s="13"/>
      <c r="F144" s="13"/>
      <c r="G144" s="13"/>
      <c r="H144" s="5"/>
      <c r="I144" s="5"/>
      <c r="J144" s="6" t="str">
        <f t="shared" si="2"/>
        <v/>
      </c>
      <c r="K144" s="6" t="str">
        <f>IF(A144="","",IF(COUNTIFS('02_KICH_BAN_NODES'!$B$5:$B$204,A144,'02_KICH_BAN_NODES'!$D$5:$D$204,"choice")=0,"ChoiceNodeId không tồn tại hoặc không phải choice",IF(COUNTIFS($A$5:$A$404,A144,$B$5:$B$404,B144)&gt;1,"Trùng OptionOrder trong cùng choice",IF(OR(B144="",C144="",D144="",F144="",H144=""),"Thiếu trường bắt buộc",IF(OR(COUNTIF($A$5:$A$404,A144)&lt;2,COUNTIF($A$5:$A$404,A144)&gt;4),"Mỗi choice cần 2–4 option",IF(COUNTIFS('02_KICH_BAN_NODES'!$B$5:$B$204,A144,'02_KICH_BAN_NODES'!$E$5:$E$204,"Kiến thức")=1,IF(COUNTIFS($A$5:$A$404,A144,$D$5:$D$404,"Có")&lt;&gt;1,"Choice kiến thức cần đúng 1 đáp án đúng",""),IF(COUNTIFS('02_KICH_BAN_NODES'!$B$5:$B$204,A144,'02_KICH_BAN_NODES'!$E$5:$E$204,"Tương tác")=1,IF(COUNTIFS($A$5:$A$404,A144,$D$5:$D$404,"Có")&lt;&gt;0,"Choice tương tác không được đánh dấu đáp án đúng",""),"Choice chưa chọn loại")))))))</f>
        <v/>
      </c>
    </row>
    <row r="145" spans="1:11">
      <c r="A145" s="13"/>
      <c r="B145" s="13"/>
      <c r="C145" s="5"/>
      <c r="D145" s="13"/>
      <c r="E145" s="13"/>
      <c r="F145" s="13"/>
      <c r="G145" s="13"/>
      <c r="H145" s="5"/>
      <c r="I145" s="5"/>
      <c r="J145" s="6" t="str">
        <f t="shared" si="2"/>
        <v/>
      </c>
      <c r="K145" s="6" t="str">
        <f>IF(A145="","",IF(COUNTIFS('02_KICH_BAN_NODES'!$B$5:$B$204,A145,'02_KICH_BAN_NODES'!$D$5:$D$204,"choice")=0,"ChoiceNodeId không tồn tại hoặc không phải choice",IF(COUNTIFS($A$5:$A$404,A145,$B$5:$B$404,B145)&gt;1,"Trùng OptionOrder trong cùng choice",IF(OR(B145="",C145="",D145="",F145="",H145=""),"Thiếu trường bắt buộc",IF(OR(COUNTIF($A$5:$A$404,A145)&lt;2,COUNTIF($A$5:$A$404,A145)&gt;4),"Mỗi choice cần 2–4 option",IF(COUNTIFS('02_KICH_BAN_NODES'!$B$5:$B$204,A145,'02_KICH_BAN_NODES'!$E$5:$E$204,"Kiến thức")=1,IF(COUNTIFS($A$5:$A$404,A145,$D$5:$D$404,"Có")&lt;&gt;1,"Choice kiến thức cần đúng 1 đáp án đúng",""),IF(COUNTIFS('02_KICH_BAN_NODES'!$B$5:$B$204,A145,'02_KICH_BAN_NODES'!$E$5:$E$204,"Tương tác")=1,IF(COUNTIFS($A$5:$A$404,A145,$D$5:$D$404,"Có")&lt;&gt;0,"Choice tương tác không được đánh dấu đáp án đúng",""),"Choice chưa chọn loại")))))))</f>
        <v/>
      </c>
    </row>
    <row r="146" spans="1:11">
      <c r="A146" s="13"/>
      <c r="B146" s="13"/>
      <c r="C146" s="5"/>
      <c r="D146" s="13"/>
      <c r="E146" s="13"/>
      <c r="F146" s="13"/>
      <c r="G146" s="13"/>
      <c r="H146" s="5"/>
      <c r="I146" s="5"/>
      <c r="J146" s="6" t="str">
        <f t="shared" si="2"/>
        <v/>
      </c>
      <c r="K146" s="6" t="str">
        <f>IF(A146="","",IF(COUNTIFS('02_KICH_BAN_NODES'!$B$5:$B$204,A146,'02_KICH_BAN_NODES'!$D$5:$D$204,"choice")=0,"ChoiceNodeId không tồn tại hoặc không phải choice",IF(COUNTIFS($A$5:$A$404,A146,$B$5:$B$404,B146)&gt;1,"Trùng OptionOrder trong cùng choice",IF(OR(B146="",C146="",D146="",F146="",H146=""),"Thiếu trường bắt buộc",IF(OR(COUNTIF($A$5:$A$404,A146)&lt;2,COUNTIF($A$5:$A$404,A146)&gt;4),"Mỗi choice cần 2–4 option",IF(COUNTIFS('02_KICH_BAN_NODES'!$B$5:$B$204,A146,'02_KICH_BAN_NODES'!$E$5:$E$204,"Kiến thức")=1,IF(COUNTIFS($A$5:$A$404,A146,$D$5:$D$404,"Có")&lt;&gt;1,"Choice kiến thức cần đúng 1 đáp án đúng",""),IF(COUNTIFS('02_KICH_BAN_NODES'!$B$5:$B$204,A146,'02_KICH_BAN_NODES'!$E$5:$E$204,"Tương tác")=1,IF(COUNTIFS($A$5:$A$404,A146,$D$5:$D$404,"Có")&lt;&gt;0,"Choice tương tác không được đánh dấu đáp án đúng",""),"Choice chưa chọn loại")))))))</f>
        <v/>
      </c>
    </row>
    <row r="147" spans="1:11">
      <c r="A147" s="13"/>
      <c r="B147" s="13"/>
      <c r="C147" s="5"/>
      <c r="D147" s="13"/>
      <c r="E147" s="13"/>
      <c r="F147" s="13"/>
      <c r="G147" s="13"/>
      <c r="H147" s="5"/>
      <c r="I147" s="5"/>
      <c r="J147" s="6" t="str">
        <f t="shared" si="2"/>
        <v/>
      </c>
      <c r="K147" s="6" t="str">
        <f>IF(A147="","",IF(COUNTIFS('02_KICH_BAN_NODES'!$B$5:$B$204,A147,'02_KICH_BAN_NODES'!$D$5:$D$204,"choice")=0,"ChoiceNodeId không tồn tại hoặc không phải choice",IF(COUNTIFS($A$5:$A$404,A147,$B$5:$B$404,B147)&gt;1,"Trùng OptionOrder trong cùng choice",IF(OR(B147="",C147="",D147="",F147="",H147=""),"Thiếu trường bắt buộc",IF(OR(COUNTIF($A$5:$A$404,A147)&lt;2,COUNTIF($A$5:$A$404,A147)&gt;4),"Mỗi choice cần 2–4 option",IF(COUNTIFS('02_KICH_BAN_NODES'!$B$5:$B$204,A147,'02_KICH_BAN_NODES'!$E$5:$E$204,"Kiến thức")=1,IF(COUNTIFS($A$5:$A$404,A147,$D$5:$D$404,"Có")&lt;&gt;1,"Choice kiến thức cần đúng 1 đáp án đúng",""),IF(COUNTIFS('02_KICH_BAN_NODES'!$B$5:$B$204,A147,'02_KICH_BAN_NODES'!$E$5:$E$204,"Tương tác")=1,IF(COUNTIFS($A$5:$A$404,A147,$D$5:$D$404,"Có")&lt;&gt;0,"Choice tương tác không được đánh dấu đáp án đúng",""),"Choice chưa chọn loại")))))))</f>
        <v/>
      </c>
    </row>
    <row r="148" spans="1:11">
      <c r="A148" s="13"/>
      <c r="B148" s="13"/>
      <c r="C148" s="5"/>
      <c r="D148" s="13"/>
      <c r="E148" s="13"/>
      <c r="F148" s="13"/>
      <c r="G148" s="13"/>
      <c r="H148" s="5"/>
      <c r="I148" s="5"/>
      <c r="J148" s="6" t="str">
        <f t="shared" si="2"/>
        <v/>
      </c>
      <c r="K148" s="6" t="str">
        <f>IF(A148="","",IF(COUNTIFS('02_KICH_BAN_NODES'!$B$5:$B$204,A148,'02_KICH_BAN_NODES'!$D$5:$D$204,"choice")=0,"ChoiceNodeId không tồn tại hoặc không phải choice",IF(COUNTIFS($A$5:$A$404,A148,$B$5:$B$404,B148)&gt;1,"Trùng OptionOrder trong cùng choice",IF(OR(B148="",C148="",D148="",F148="",H148=""),"Thiếu trường bắt buộc",IF(OR(COUNTIF($A$5:$A$404,A148)&lt;2,COUNTIF($A$5:$A$404,A148)&gt;4),"Mỗi choice cần 2–4 option",IF(COUNTIFS('02_KICH_BAN_NODES'!$B$5:$B$204,A148,'02_KICH_BAN_NODES'!$E$5:$E$204,"Kiến thức")=1,IF(COUNTIFS($A$5:$A$404,A148,$D$5:$D$404,"Có")&lt;&gt;1,"Choice kiến thức cần đúng 1 đáp án đúng",""),IF(COUNTIFS('02_KICH_BAN_NODES'!$B$5:$B$204,A148,'02_KICH_BAN_NODES'!$E$5:$E$204,"Tương tác")=1,IF(COUNTIFS($A$5:$A$404,A148,$D$5:$D$404,"Có")&lt;&gt;0,"Choice tương tác không được đánh dấu đáp án đúng",""),"Choice chưa chọn loại")))))))</f>
        <v/>
      </c>
    </row>
    <row r="149" spans="1:11">
      <c r="A149" s="13"/>
      <c r="B149" s="13"/>
      <c r="C149" s="5"/>
      <c r="D149" s="13"/>
      <c r="E149" s="13"/>
      <c r="F149" s="13"/>
      <c r="G149" s="13"/>
      <c r="H149" s="5"/>
      <c r="I149" s="5"/>
      <c r="J149" s="6" t="str">
        <f t="shared" si="2"/>
        <v/>
      </c>
      <c r="K149" s="6" t="str">
        <f>IF(A149="","",IF(COUNTIFS('02_KICH_BAN_NODES'!$B$5:$B$204,A149,'02_KICH_BAN_NODES'!$D$5:$D$204,"choice")=0,"ChoiceNodeId không tồn tại hoặc không phải choice",IF(COUNTIFS($A$5:$A$404,A149,$B$5:$B$404,B149)&gt;1,"Trùng OptionOrder trong cùng choice",IF(OR(B149="",C149="",D149="",F149="",H149=""),"Thiếu trường bắt buộc",IF(OR(COUNTIF($A$5:$A$404,A149)&lt;2,COUNTIF($A$5:$A$404,A149)&gt;4),"Mỗi choice cần 2–4 option",IF(COUNTIFS('02_KICH_BAN_NODES'!$B$5:$B$204,A149,'02_KICH_BAN_NODES'!$E$5:$E$204,"Kiến thức")=1,IF(COUNTIFS($A$5:$A$404,A149,$D$5:$D$404,"Có")&lt;&gt;1,"Choice kiến thức cần đúng 1 đáp án đúng",""),IF(COUNTIFS('02_KICH_BAN_NODES'!$B$5:$B$204,A149,'02_KICH_BAN_NODES'!$E$5:$E$204,"Tương tác")=1,IF(COUNTIFS($A$5:$A$404,A149,$D$5:$D$404,"Có")&lt;&gt;0,"Choice tương tác không được đánh dấu đáp án đúng",""),"Choice chưa chọn loại")))))))</f>
        <v/>
      </c>
    </row>
    <row r="150" spans="1:11">
      <c r="A150" s="13"/>
      <c r="B150" s="13"/>
      <c r="C150" s="5"/>
      <c r="D150" s="13"/>
      <c r="E150" s="13"/>
      <c r="F150" s="13"/>
      <c r="G150" s="13"/>
      <c r="H150" s="5"/>
      <c r="I150" s="5"/>
      <c r="J150" s="6" t="str">
        <f t="shared" si="2"/>
        <v/>
      </c>
      <c r="K150" s="6" t="str">
        <f>IF(A150="","",IF(COUNTIFS('02_KICH_BAN_NODES'!$B$5:$B$204,A150,'02_KICH_BAN_NODES'!$D$5:$D$204,"choice")=0,"ChoiceNodeId không tồn tại hoặc không phải choice",IF(COUNTIFS($A$5:$A$404,A150,$B$5:$B$404,B150)&gt;1,"Trùng OptionOrder trong cùng choice",IF(OR(B150="",C150="",D150="",F150="",H150=""),"Thiếu trường bắt buộc",IF(OR(COUNTIF($A$5:$A$404,A150)&lt;2,COUNTIF($A$5:$A$404,A150)&gt;4),"Mỗi choice cần 2–4 option",IF(COUNTIFS('02_KICH_BAN_NODES'!$B$5:$B$204,A150,'02_KICH_BAN_NODES'!$E$5:$E$204,"Kiến thức")=1,IF(COUNTIFS($A$5:$A$404,A150,$D$5:$D$404,"Có")&lt;&gt;1,"Choice kiến thức cần đúng 1 đáp án đúng",""),IF(COUNTIFS('02_KICH_BAN_NODES'!$B$5:$B$204,A150,'02_KICH_BAN_NODES'!$E$5:$E$204,"Tương tác")=1,IF(COUNTIFS($A$5:$A$404,A150,$D$5:$D$404,"Có")&lt;&gt;0,"Choice tương tác không được đánh dấu đáp án đúng",""),"Choice chưa chọn loại")))))))</f>
        <v/>
      </c>
    </row>
    <row r="151" spans="1:11">
      <c r="A151" s="13"/>
      <c r="B151" s="13"/>
      <c r="C151" s="5"/>
      <c r="D151" s="13"/>
      <c r="E151" s="13"/>
      <c r="F151" s="13"/>
      <c r="G151" s="13"/>
      <c r="H151" s="5"/>
      <c r="I151" s="5"/>
      <c r="J151" s="6" t="str">
        <f t="shared" si="2"/>
        <v/>
      </c>
      <c r="K151" s="6" t="str">
        <f>IF(A151="","",IF(COUNTIFS('02_KICH_BAN_NODES'!$B$5:$B$204,A151,'02_KICH_BAN_NODES'!$D$5:$D$204,"choice")=0,"ChoiceNodeId không tồn tại hoặc không phải choice",IF(COUNTIFS($A$5:$A$404,A151,$B$5:$B$404,B151)&gt;1,"Trùng OptionOrder trong cùng choice",IF(OR(B151="",C151="",D151="",F151="",H151=""),"Thiếu trường bắt buộc",IF(OR(COUNTIF($A$5:$A$404,A151)&lt;2,COUNTIF($A$5:$A$404,A151)&gt;4),"Mỗi choice cần 2–4 option",IF(COUNTIFS('02_KICH_BAN_NODES'!$B$5:$B$204,A151,'02_KICH_BAN_NODES'!$E$5:$E$204,"Kiến thức")=1,IF(COUNTIFS($A$5:$A$404,A151,$D$5:$D$404,"Có")&lt;&gt;1,"Choice kiến thức cần đúng 1 đáp án đúng",""),IF(COUNTIFS('02_KICH_BAN_NODES'!$B$5:$B$204,A151,'02_KICH_BAN_NODES'!$E$5:$E$204,"Tương tác")=1,IF(COUNTIFS($A$5:$A$404,A151,$D$5:$D$404,"Có")&lt;&gt;0,"Choice tương tác không được đánh dấu đáp án đúng",""),"Choice chưa chọn loại")))))))</f>
        <v/>
      </c>
    </row>
    <row r="152" spans="1:11">
      <c r="A152" s="13"/>
      <c r="B152" s="13"/>
      <c r="C152" s="5"/>
      <c r="D152" s="13"/>
      <c r="E152" s="13"/>
      <c r="F152" s="13"/>
      <c r="G152" s="13"/>
      <c r="H152" s="5"/>
      <c r="I152" s="5"/>
      <c r="J152" s="6" t="str">
        <f t="shared" si="2"/>
        <v/>
      </c>
      <c r="K152" s="6" t="str">
        <f>IF(A152="","",IF(COUNTIFS('02_KICH_BAN_NODES'!$B$5:$B$204,A152,'02_KICH_BAN_NODES'!$D$5:$D$204,"choice")=0,"ChoiceNodeId không tồn tại hoặc không phải choice",IF(COUNTIFS($A$5:$A$404,A152,$B$5:$B$404,B152)&gt;1,"Trùng OptionOrder trong cùng choice",IF(OR(B152="",C152="",D152="",F152="",H152=""),"Thiếu trường bắt buộc",IF(OR(COUNTIF($A$5:$A$404,A152)&lt;2,COUNTIF($A$5:$A$404,A152)&gt;4),"Mỗi choice cần 2–4 option",IF(COUNTIFS('02_KICH_BAN_NODES'!$B$5:$B$204,A152,'02_KICH_BAN_NODES'!$E$5:$E$204,"Kiến thức")=1,IF(COUNTIFS($A$5:$A$404,A152,$D$5:$D$404,"Có")&lt;&gt;1,"Choice kiến thức cần đúng 1 đáp án đúng",""),IF(COUNTIFS('02_KICH_BAN_NODES'!$B$5:$B$204,A152,'02_KICH_BAN_NODES'!$E$5:$E$204,"Tương tác")=1,IF(COUNTIFS($A$5:$A$404,A152,$D$5:$D$404,"Có")&lt;&gt;0,"Choice tương tác không được đánh dấu đáp án đúng",""),"Choice chưa chọn loại")))))))</f>
        <v/>
      </c>
    </row>
    <row r="153" spans="1:11">
      <c r="A153" s="13"/>
      <c r="B153" s="13"/>
      <c r="C153" s="5"/>
      <c r="D153" s="13"/>
      <c r="E153" s="13"/>
      <c r="F153" s="13"/>
      <c r="G153" s="13"/>
      <c r="H153" s="5"/>
      <c r="I153" s="5"/>
      <c r="J153" s="6" t="str">
        <f t="shared" si="2"/>
        <v/>
      </c>
      <c r="K153" s="6" t="str">
        <f>IF(A153="","",IF(COUNTIFS('02_KICH_BAN_NODES'!$B$5:$B$204,A153,'02_KICH_BAN_NODES'!$D$5:$D$204,"choice")=0,"ChoiceNodeId không tồn tại hoặc không phải choice",IF(COUNTIFS($A$5:$A$404,A153,$B$5:$B$404,B153)&gt;1,"Trùng OptionOrder trong cùng choice",IF(OR(B153="",C153="",D153="",F153="",H153=""),"Thiếu trường bắt buộc",IF(OR(COUNTIF($A$5:$A$404,A153)&lt;2,COUNTIF($A$5:$A$404,A153)&gt;4),"Mỗi choice cần 2–4 option",IF(COUNTIFS('02_KICH_BAN_NODES'!$B$5:$B$204,A153,'02_KICH_BAN_NODES'!$E$5:$E$204,"Kiến thức")=1,IF(COUNTIFS($A$5:$A$404,A153,$D$5:$D$404,"Có")&lt;&gt;1,"Choice kiến thức cần đúng 1 đáp án đúng",""),IF(COUNTIFS('02_KICH_BAN_NODES'!$B$5:$B$204,A153,'02_KICH_BAN_NODES'!$E$5:$E$204,"Tương tác")=1,IF(COUNTIFS($A$5:$A$404,A153,$D$5:$D$404,"Có")&lt;&gt;0,"Choice tương tác không được đánh dấu đáp án đúng",""),"Choice chưa chọn loại")))))))</f>
        <v/>
      </c>
    </row>
    <row r="154" spans="1:11">
      <c r="A154" s="13"/>
      <c r="B154" s="13"/>
      <c r="C154" s="5"/>
      <c r="D154" s="13"/>
      <c r="E154" s="13"/>
      <c r="F154" s="13"/>
      <c r="G154" s="13"/>
      <c r="H154" s="5"/>
      <c r="I154" s="5"/>
      <c r="J154" s="6" t="str">
        <f t="shared" si="2"/>
        <v/>
      </c>
      <c r="K154" s="6" t="str">
        <f>IF(A154="","",IF(COUNTIFS('02_KICH_BAN_NODES'!$B$5:$B$204,A154,'02_KICH_BAN_NODES'!$D$5:$D$204,"choice")=0,"ChoiceNodeId không tồn tại hoặc không phải choice",IF(COUNTIFS($A$5:$A$404,A154,$B$5:$B$404,B154)&gt;1,"Trùng OptionOrder trong cùng choice",IF(OR(B154="",C154="",D154="",F154="",H154=""),"Thiếu trường bắt buộc",IF(OR(COUNTIF($A$5:$A$404,A154)&lt;2,COUNTIF($A$5:$A$404,A154)&gt;4),"Mỗi choice cần 2–4 option",IF(COUNTIFS('02_KICH_BAN_NODES'!$B$5:$B$204,A154,'02_KICH_BAN_NODES'!$E$5:$E$204,"Kiến thức")=1,IF(COUNTIFS($A$5:$A$404,A154,$D$5:$D$404,"Có")&lt;&gt;1,"Choice kiến thức cần đúng 1 đáp án đúng",""),IF(COUNTIFS('02_KICH_BAN_NODES'!$B$5:$B$204,A154,'02_KICH_BAN_NODES'!$E$5:$E$204,"Tương tác")=1,IF(COUNTIFS($A$5:$A$404,A154,$D$5:$D$404,"Có")&lt;&gt;0,"Choice tương tác không được đánh dấu đáp án đúng",""),"Choice chưa chọn loại")))))))</f>
        <v/>
      </c>
    </row>
    <row r="155" spans="1:11">
      <c r="A155" s="13"/>
      <c r="B155" s="13"/>
      <c r="C155" s="5"/>
      <c r="D155" s="13"/>
      <c r="E155" s="13"/>
      <c r="F155" s="13"/>
      <c r="G155" s="13"/>
      <c r="H155" s="5"/>
      <c r="I155" s="5"/>
      <c r="J155" s="6" t="str">
        <f t="shared" si="2"/>
        <v/>
      </c>
      <c r="K155" s="6" t="str">
        <f>IF(A155="","",IF(COUNTIFS('02_KICH_BAN_NODES'!$B$5:$B$204,A155,'02_KICH_BAN_NODES'!$D$5:$D$204,"choice")=0,"ChoiceNodeId không tồn tại hoặc không phải choice",IF(COUNTIFS($A$5:$A$404,A155,$B$5:$B$404,B155)&gt;1,"Trùng OptionOrder trong cùng choice",IF(OR(B155="",C155="",D155="",F155="",H155=""),"Thiếu trường bắt buộc",IF(OR(COUNTIF($A$5:$A$404,A155)&lt;2,COUNTIF($A$5:$A$404,A155)&gt;4),"Mỗi choice cần 2–4 option",IF(COUNTIFS('02_KICH_BAN_NODES'!$B$5:$B$204,A155,'02_KICH_BAN_NODES'!$E$5:$E$204,"Kiến thức")=1,IF(COUNTIFS($A$5:$A$404,A155,$D$5:$D$404,"Có")&lt;&gt;1,"Choice kiến thức cần đúng 1 đáp án đúng",""),IF(COUNTIFS('02_KICH_BAN_NODES'!$B$5:$B$204,A155,'02_KICH_BAN_NODES'!$E$5:$E$204,"Tương tác")=1,IF(COUNTIFS($A$5:$A$404,A155,$D$5:$D$404,"Có")&lt;&gt;0,"Choice tương tác không được đánh dấu đáp án đúng",""),"Choice chưa chọn loại")))))))</f>
        <v/>
      </c>
    </row>
    <row r="156" spans="1:11">
      <c r="A156" s="13"/>
      <c r="B156" s="13"/>
      <c r="C156" s="5"/>
      <c r="D156" s="13"/>
      <c r="E156" s="13"/>
      <c r="F156" s="13"/>
      <c r="G156" s="13"/>
      <c r="H156" s="5"/>
      <c r="I156" s="5"/>
      <c r="J156" s="6" t="str">
        <f t="shared" si="2"/>
        <v/>
      </c>
      <c r="K156" s="6" t="str">
        <f>IF(A156="","",IF(COUNTIFS('02_KICH_BAN_NODES'!$B$5:$B$204,A156,'02_KICH_BAN_NODES'!$D$5:$D$204,"choice")=0,"ChoiceNodeId không tồn tại hoặc không phải choice",IF(COUNTIFS($A$5:$A$404,A156,$B$5:$B$404,B156)&gt;1,"Trùng OptionOrder trong cùng choice",IF(OR(B156="",C156="",D156="",F156="",H156=""),"Thiếu trường bắt buộc",IF(OR(COUNTIF($A$5:$A$404,A156)&lt;2,COUNTIF($A$5:$A$404,A156)&gt;4),"Mỗi choice cần 2–4 option",IF(COUNTIFS('02_KICH_BAN_NODES'!$B$5:$B$204,A156,'02_KICH_BAN_NODES'!$E$5:$E$204,"Kiến thức")=1,IF(COUNTIFS($A$5:$A$404,A156,$D$5:$D$404,"Có")&lt;&gt;1,"Choice kiến thức cần đúng 1 đáp án đúng",""),IF(COUNTIFS('02_KICH_BAN_NODES'!$B$5:$B$204,A156,'02_KICH_BAN_NODES'!$E$5:$E$204,"Tương tác")=1,IF(COUNTIFS($A$5:$A$404,A156,$D$5:$D$404,"Có")&lt;&gt;0,"Choice tương tác không được đánh dấu đáp án đúng",""),"Choice chưa chọn loại")))))))</f>
        <v/>
      </c>
    </row>
    <row r="157" spans="1:11">
      <c r="A157" s="13"/>
      <c r="B157" s="13"/>
      <c r="C157" s="5"/>
      <c r="D157" s="13"/>
      <c r="E157" s="13"/>
      <c r="F157" s="13"/>
      <c r="G157" s="13"/>
      <c r="H157" s="5"/>
      <c r="I157" s="5"/>
      <c r="J157" s="6" t="str">
        <f t="shared" si="2"/>
        <v/>
      </c>
      <c r="K157" s="6" t="str">
        <f>IF(A157="","",IF(COUNTIFS('02_KICH_BAN_NODES'!$B$5:$B$204,A157,'02_KICH_BAN_NODES'!$D$5:$D$204,"choice")=0,"ChoiceNodeId không tồn tại hoặc không phải choice",IF(COUNTIFS($A$5:$A$404,A157,$B$5:$B$404,B157)&gt;1,"Trùng OptionOrder trong cùng choice",IF(OR(B157="",C157="",D157="",F157="",H157=""),"Thiếu trường bắt buộc",IF(OR(COUNTIF($A$5:$A$404,A157)&lt;2,COUNTIF($A$5:$A$404,A157)&gt;4),"Mỗi choice cần 2–4 option",IF(COUNTIFS('02_KICH_BAN_NODES'!$B$5:$B$204,A157,'02_KICH_BAN_NODES'!$E$5:$E$204,"Kiến thức")=1,IF(COUNTIFS($A$5:$A$404,A157,$D$5:$D$404,"Có")&lt;&gt;1,"Choice kiến thức cần đúng 1 đáp án đúng",""),IF(COUNTIFS('02_KICH_BAN_NODES'!$B$5:$B$204,A157,'02_KICH_BAN_NODES'!$E$5:$E$204,"Tương tác")=1,IF(COUNTIFS($A$5:$A$404,A157,$D$5:$D$404,"Có")&lt;&gt;0,"Choice tương tác không được đánh dấu đáp án đúng",""),"Choice chưa chọn loại")))))))</f>
        <v/>
      </c>
    </row>
    <row r="158" spans="1:11">
      <c r="A158" s="13"/>
      <c r="B158" s="13"/>
      <c r="C158" s="5"/>
      <c r="D158" s="13"/>
      <c r="E158" s="13"/>
      <c r="F158" s="13"/>
      <c r="G158" s="13"/>
      <c r="H158" s="5"/>
      <c r="I158" s="5"/>
      <c r="J158" s="6" t="str">
        <f t="shared" si="2"/>
        <v/>
      </c>
      <c r="K158" s="6" t="str">
        <f>IF(A158="","",IF(COUNTIFS('02_KICH_BAN_NODES'!$B$5:$B$204,A158,'02_KICH_BAN_NODES'!$D$5:$D$204,"choice")=0,"ChoiceNodeId không tồn tại hoặc không phải choice",IF(COUNTIFS($A$5:$A$404,A158,$B$5:$B$404,B158)&gt;1,"Trùng OptionOrder trong cùng choice",IF(OR(B158="",C158="",D158="",F158="",H158=""),"Thiếu trường bắt buộc",IF(OR(COUNTIF($A$5:$A$404,A158)&lt;2,COUNTIF($A$5:$A$404,A158)&gt;4),"Mỗi choice cần 2–4 option",IF(COUNTIFS('02_KICH_BAN_NODES'!$B$5:$B$204,A158,'02_KICH_BAN_NODES'!$E$5:$E$204,"Kiến thức")=1,IF(COUNTIFS($A$5:$A$404,A158,$D$5:$D$404,"Có")&lt;&gt;1,"Choice kiến thức cần đúng 1 đáp án đúng",""),IF(COUNTIFS('02_KICH_BAN_NODES'!$B$5:$B$204,A158,'02_KICH_BAN_NODES'!$E$5:$E$204,"Tương tác")=1,IF(COUNTIFS($A$5:$A$404,A158,$D$5:$D$404,"Có")&lt;&gt;0,"Choice tương tác không được đánh dấu đáp án đúng",""),"Choice chưa chọn loại")))))))</f>
        <v/>
      </c>
    </row>
    <row r="159" spans="1:11">
      <c r="A159" s="13"/>
      <c r="B159" s="13"/>
      <c r="C159" s="5"/>
      <c r="D159" s="13"/>
      <c r="E159" s="13"/>
      <c r="F159" s="13"/>
      <c r="G159" s="13"/>
      <c r="H159" s="5"/>
      <c r="I159" s="5"/>
      <c r="J159" s="6" t="str">
        <f t="shared" si="2"/>
        <v/>
      </c>
      <c r="K159" s="6" t="str">
        <f>IF(A159="","",IF(COUNTIFS('02_KICH_BAN_NODES'!$B$5:$B$204,A159,'02_KICH_BAN_NODES'!$D$5:$D$204,"choice")=0,"ChoiceNodeId không tồn tại hoặc không phải choice",IF(COUNTIFS($A$5:$A$404,A159,$B$5:$B$404,B159)&gt;1,"Trùng OptionOrder trong cùng choice",IF(OR(B159="",C159="",D159="",F159="",H159=""),"Thiếu trường bắt buộc",IF(OR(COUNTIF($A$5:$A$404,A159)&lt;2,COUNTIF($A$5:$A$404,A159)&gt;4),"Mỗi choice cần 2–4 option",IF(COUNTIFS('02_KICH_BAN_NODES'!$B$5:$B$204,A159,'02_KICH_BAN_NODES'!$E$5:$E$204,"Kiến thức")=1,IF(COUNTIFS($A$5:$A$404,A159,$D$5:$D$404,"Có")&lt;&gt;1,"Choice kiến thức cần đúng 1 đáp án đúng",""),IF(COUNTIFS('02_KICH_BAN_NODES'!$B$5:$B$204,A159,'02_KICH_BAN_NODES'!$E$5:$E$204,"Tương tác")=1,IF(COUNTIFS($A$5:$A$404,A159,$D$5:$D$404,"Có")&lt;&gt;0,"Choice tương tác không được đánh dấu đáp án đúng",""),"Choice chưa chọn loại")))))))</f>
        <v/>
      </c>
    </row>
    <row r="160" spans="1:11">
      <c r="A160" s="13"/>
      <c r="B160" s="13"/>
      <c r="C160" s="5"/>
      <c r="D160" s="13"/>
      <c r="E160" s="13"/>
      <c r="F160" s="13"/>
      <c r="G160" s="13"/>
      <c r="H160" s="5"/>
      <c r="I160" s="5"/>
      <c r="J160" s="6" t="str">
        <f t="shared" si="2"/>
        <v/>
      </c>
      <c r="K160" s="6" t="str">
        <f>IF(A160="","",IF(COUNTIFS('02_KICH_BAN_NODES'!$B$5:$B$204,A160,'02_KICH_BAN_NODES'!$D$5:$D$204,"choice")=0,"ChoiceNodeId không tồn tại hoặc không phải choice",IF(COUNTIFS($A$5:$A$404,A160,$B$5:$B$404,B160)&gt;1,"Trùng OptionOrder trong cùng choice",IF(OR(B160="",C160="",D160="",F160="",H160=""),"Thiếu trường bắt buộc",IF(OR(COUNTIF($A$5:$A$404,A160)&lt;2,COUNTIF($A$5:$A$404,A160)&gt;4),"Mỗi choice cần 2–4 option",IF(COUNTIFS('02_KICH_BAN_NODES'!$B$5:$B$204,A160,'02_KICH_BAN_NODES'!$E$5:$E$204,"Kiến thức")=1,IF(COUNTIFS($A$5:$A$404,A160,$D$5:$D$404,"Có")&lt;&gt;1,"Choice kiến thức cần đúng 1 đáp án đúng",""),IF(COUNTIFS('02_KICH_BAN_NODES'!$B$5:$B$204,A160,'02_KICH_BAN_NODES'!$E$5:$E$204,"Tương tác")=1,IF(COUNTIFS($A$5:$A$404,A160,$D$5:$D$404,"Có")&lt;&gt;0,"Choice tương tác không được đánh dấu đáp án đúng",""),"Choice chưa chọn loại")))))))</f>
        <v/>
      </c>
    </row>
    <row r="161" spans="1:11">
      <c r="A161" s="13"/>
      <c r="B161" s="13"/>
      <c r="C161" s="5"/>
      <c r="D161" s="13"/>
      <c r="E161" s="13"/>
      <c r="F161" s="13"/>
      <c r="G161" s="13"/>
      <c r="H161" s="5"/>
      <c r="I161" s="5"/>
      <c r="J161" s="6" t="str">
        <f t="shared" si="2"/>
        <v/>
      </c>
      <c r="K161" s="6" t="str">
        <f>IF(A161="","",IF(COUNTIFS('02_KICH_BAN_NODES'!$B$5:$B$204,A161,'02_KICH_BAN_NODES'!$D$5:$D$204,"choice")=0,"ChoiceNodeId không tồn tại hoặc không phải choice",IF(COUNTIFS($A$5:$A$404,A161,$B$5:$B$404,B161)&gt;1,"Trùng OptionOrder trong cùng choice",IF(OR(B161="",C161="",D161="",F161="",H161=""),"Thiếu trường bắt buộc",IF(OR(COUNTIF($A$5:$A$404,A161)&lt;2,COUNTIF($A$5:$A$404,A161)&gt;4),"Mỗi choice cần 2–4 option",IF(COUNTIFS('02_KICH_BAN_NODES'!$B$5:$B$204,A161,'02_KICH_BAN_NODES'!$E$5:$E$204,"Kiến thức")=1,IF(COUNTIFS($A$5:$A$404,A161,$D$5:$D$404,"Có")&lt;&gt;1,"Choice kiến thức cần đúng 1 đáp án đúng",""),IF(COUNTIFS('02_KICH_BAN_NODES'!$B$5:$B$204,A161,'02_KICH_BAN_NODES'!$E$5:$E$204,"Tương tác")=1,IF(COUNTIFS($A$5:$A$404,A161,$D$5:$D$404,"Có")&lt;&gt;0,"Choice tương tác không được đánh dấu đáp án đúng",""),"Choice chưa chọn loại")))))))</f>
        <v/>
      </c>
    </row>
    <row r="162" spans="1:11">
      <c r="A162" s="13"/>
      <c r="B162" s="13"/>
      <c r="C162" s="5"/>
      <c r="D162" s="13"/>
      <c r="E162" s="13"/>
      <c r="F162" s="13"/>
      <c r="G162" s="13"/>
      <c r="H162" s="5"/>
      <c r="I162" s="5"/>
      <c r="J162" s="6" t="str">
        <f t="shared" si="2"/>
        <v/>
      </c>
      <c r="K162" s="6" t="str">
        <f>IF(A162="","",IF(COUNTIFS('02_KICH_BAN_NODES'!$B$5:$B$204,A162,'02_KICH_BAN_NODES'!$D$5:$D$204,"choice")=0,"ChoiceNodeId không tồn tại hoặc không phải choice",IF(COUNTIFS($A$5:$A$404,A162,$B$5:$B$404,B162)&gt;1,"Trùng OptionOrder trong cùng choice",IF(OR(B162="",C162="",D162="",F162="",H162=""),"Thiếu trường bắt buộc",IF(OR(COUNTIF($A$5:$A$404,A162)&lt;2,COUNTIF($A$5:$A$404,A162)&gt;4),"Mỗi choice cần 2–4 option",IF(COUNTIFS('02_KICH_BAN_NODES'!$B$5:$B$204,A162,'02_KICH_BAN_NODES'!$E$5:$E$204,"Kiến thức")=1,IF(COUNTIFS($A$5:$A$404,A162,$D$5:$D$404,"Có")&lt;&gt;1,"Choice kiến thức cần đúng 1 đáp án đúng",""),IF(COUNTIFS('02_KICH_BAN_NODES'!$B$5:$B$204,A162,'02_KICH_BAN_NODES'!$E$5:$E$204,"Tương tác")=1,IF(COUNTIFS($A$5:$A$404,A162,$D$5:$D$404,"Có")&lt;&gt;0,"Choice tương tác không được đánh dấu đáp án đúng",""),"Choice chưa chọn loại")))))))</f>
        <v/>
      </c>
    </row>
    <row r="163" spans="1:11">
      <c r="A163" s="13"/>
      <c r="B163" s="13"/>
      <c r="C163" s="5"/>
      <c r="D163" s="13"/>
      <c r="E163" s="13"/>
      <c r="F163" s="13"/>
      <c r="G163" s="13"/>
      <c r="H163" s="5"/>
      <c r="I163" s="5"/>
      <c r="J163" s="6" t="str">
        <f t="shared" si="2"/>
        <v/>
      </c>
      <c r="K163" s="6" t="str">
        <f>IF(A163="","",IF(COUNTIFS('02_KICH_BAN_NODES'!$B$5:$B$204,A163,'02_KICH_BAN_NODES'!$D$5:$D$204,"choice")=0,"ChoiceNodeId không tồn tại hoặc không phải choice",IF(COUNTIFS($A$5:$A$404,A163,$B$5:$B$404,B163)&gt;1,"Trùng OptionOrder trong cùng choice",IF(OR(B163="",C163="",D163="",F163="",H163=""),"Thiếu trường bắt buộc",IF(OR(COUNTIF($A$5:$A$404,A163)&lt;2,COUNTIF($A$5:$A$404,A163)&gt;4),"Mỗi choice cần 2–4 option",IF(COUNTIFS('02_KICH_BAN_NODES'!$B$5:$B$204,A163,'02_KICH_BAN_NODES'!$E$5:$E$204,"Kiến thức")=1,IF(COUNTIFS($A$5:$A$404,A163,$D$5:$D$404,"Có")&lt;&gt;1,"Choice kiến thức cần đúng 1 đáp án đúng",""),IF(COUNTIFS('02_KICH_BAN_NODES'!$B$5:$B$204,A163,'02_KICH_BAN_NODES'!$E$5:$E$204,"Tương tác")=1,IF(COUNTIFS($A$5:$A$404,A163,$D$5:$D$404,"Có")&lt;&gt;0,"Choice tương tác không được đánh dấu đáp án đúng",""),"Choice chưa chọn loại")))))))</f>
        <v/>
      </c>
    </row>
    <row r="164" spans="1:11">
      <c r="A164" s="13"/>
      <c r="B164" s="13"/>
      <c r="C164" s="5"/>
      <c r="D164" s="13"/>
      <c r="E164" s="13"/>
      <c r="F164" s="13"/>
      <c r="G164" s="13"/>
      <c r="H164" s="5"/>
      <c r="I164" s="5"/>
      <c r="J164" s="6" t="str">
        <f t="shared" si="2"/>
        <v/>
      </c>
      <c r="K164" s="6" t="str">
        <f>IF(A164="","",IF(COUNTIFS('02_KICH_BAN_NODES'!$B$5:$B$204,A164,'02_KICH_BAN_NODES'!$D$5:$D$204,"choice")=0,"ChoiceNodeId không tồn tại hoặc không phải choice",IF(COUNTIFS($A$5:$A$404,A164,$B$5:$B$404,B164)&gt;1,"Trùng OptionOrder trong cùng choice",IF(OR(B164="",C164="",D164="",F164="",H164=""),"Thiếu trường bắt buộc",IF(OR(COUNTIF($A$5:$A$404,A164)&lt;2,COUNTIF($A$5:$A$404,A164)&gt;4),"Mỗi choice cần 2–4 option",IF(COUNTIFS('02_KICH_BAN_NODES'!$B$5:$B$204,A164,'02_KICH_BAN_NODES'!$E$5:$E$204,"Kiến thức")=1,IF(COUNTIFS($A$5:$A$404,A164,$D$5:$D$404,"Có")&lt;&gt;1,"Choice kiến thức cần đúng 1 đáp án đúng",""),IF(COUNTIFS('02_KICH_BAN_NODES'!$B$5:$B$204,A164,'02_KICH_BAN_NODES'!$E$5:$E$204,"Tương tác")=1,IF(COUNTIFS($A$5:$A$404,A164,$D$5:$D$404,"Có")&lt;&gt;0,"Choice tương tác không được đánh dấu đáp án đúng",""),"Choice chưa chọn loại")))))))</f>
        <v/>
      </c>
    </row>
    <row r="165" spans="1:11">
      <c r="A165" s="13"/>
      <c r="B165" s="13"/>
      <c r="C165" s="5"/>
      <c r="D165" s="13"/>
      <c r="E165" s="13"/>
      <c r="F165" s="13"/>
      <c r="G165" s="13"/>
      <c r="H165" s="5"/>
      <c r="I165" s="5"/>
      <c r="J165" s="6" t="str">
        <f t="shared" si="2"/>
        <v/>
      </c>
      <c r="K165" s="6" t="str">
        <f>IF(A165="","",IF(COUNTIFS('02_KICH_BAN_NODES'!$B$5:$B$204,A165,'02_KICH_BAN_NODES'!$D$5:$D$204,"choice")=0,"ChoiceNodeId không tồn tại hoặc không phải choice",IF(COUNTIFS($A$5:$A$404,A165,$B$5:$B$404,B165)&gt;1,"Trùng OptionOrder trong cùng choice",IF(OR(B165="",C165="",D165="",F165="",H165=""),"Thiếu trường bắt buộc",IF(OR(COUNTIF($A$5:$A$404,A165)&lt;2,COUNTIF($A$5:$A$404,A165)&gt;4),"Mỗi choice cần 2–4 option",IF(COUNTIFS('02_KICH_BAN_NODES'!$B$5:$B$204,A165,'02_KICH_BAN_NODES'!$E$5:$E$204,"Kiến thức")=1,IF(COUNTIFS($A$5:$A$404,A165,$D$5:$D$404,"Có")&lt;&gt;1,"Choice kiến thức cần đúng 1 đáp án đúng",""),IF(COUNTIFS('02_KICH_BAN_NODES'!$B$5:$B$204,A165,'02_KICH_BAN_NODES'!$E$5:$E$204,"Tương tác")=1,IF(COUNTIFS($A$5:$A$404,A165,$D$5:$D$404,"Có")&lt;&gt;0,"Choice tương tác không được đánh dấu đáp án đúng",""),"Choice chưa chọn loại")))))))</f>
        <v/>
      </c>
    </row>
    <row r="166" spans="1:11">
      <c r="A166" s="13"/>
      <c r="B166" s="13"/>
      <c r="C166" s="5"/>
      <c r="D166" s="13"/>
      <c r="E166" s="13"/>
      <c r="F166" s="13"/>
      <c r="G166" s="13"/>
      <c r="H166" s="5"/>
      <c r="I166" s="5"/>
      <c r="J166" s="6" t="str">
        <f t="shared" si="2"/>
        <v/>
      </c>
      <c r="K166" s="6" t="str">
        <f>IF(A166="","",IF(COUNTIFS('02_KICH_BAN_NODES'!$B$5:$B$204,A166,'02_KICH_BAN_NODES'!$D$5:$D$204,"choice")=0,"ChoiceNodeId không tồn tại hoặc không phải choice",IF(COUNTIFS($A$5:$A$404,A166,$B$5:$B$404,B166)&gt;1,"Trùng OptionOrder trong cùng choice",IF(OR(B166="",C166="",D166="",F166="",H166=""),"Thiếu trường bắt buộc",IF(OR(COUNTIF($A$5:$A$404,A166)&lt;2,COUNTIF($A$5:$A$404,A166)&gt;4),"Mỗi choice cần 2–4 option",IF(COUNTIFS('02_KICH_BAN_NODES'!$B$5:$B$204,A166,'02_KICH_BAN_NODES'!$E$5:$E$204,"Kiến thức")=1,IF(COUNTIFS($A$5:$A$404,A166,$D$5:$D$404,"Có")&lt;&gt;1,"Choice kiến thức cần đúng 1 đáp án đúng",""),IF(COUNTIFS('02_KICH_BAN_NODES'!$B$5:$B$204,A166,'02_KICH_BAN_NODES'!$E$5:$E$204,"Tương tác")=1,IF(COUNTIFS($A$5:$A$404,A166,$D$5:$D$404,"Có")&lt;&gt;0,"Choice tương tác không được đánh dấu đáp án đúng",""),"Choice chưa chọn loại")))))))</f>
        <v/>
      </c>
    </row>
    <row r="167" spans="1:11">
      <c r="A167" s="13"/>
      <c r="B167" s="13"/>
      <c r="C167" s="5"/>
      <c r="D167" s="13"/>
      <c r="E167" s="13"/>
      <c r="F167" s="13"/>
      <c r="G167" s="13"/>
      <c r="H167" s="5"/>
      <c r="I167" s="5"/>
      <c r="J167" s="6" t="str">
        <f t="shared" si="2"/>
        <v/>
      </c>
      <c r="K167" s="6" t="str">
        <f>IF(A167="","",IF(COUNTIFS('02_KICH_BAN_NODES'!$B$5:$B$204,A167,'02_KICH_BAN_NODES'!$D$5:$D$204,"choice")=0,"ChoiceNodeId không tồn tại hoặc không phải choice",IF(COUNTIFS($A$5:$A$404,A167,$B$5:$B$404,B167)&gt;1,"Trùng OptionOrder trong cùng choice",IF(OR(B167="",C167="",D167="",F167="",H167=""),"Thiếu trường bắt buộc",IF(OR(COUNTIF($A$5:$A$404,A167)&lt;2,COUNTIF($A$5:$A$404,A167)&gt;4),"Mỗi choice cần 2–4 option",IF(COUNTIFS('02_KICH_BAN_NODES'!$B$5:$B$204,A167,'02_KICH_BAN_NODES'!$E$5:$E$204,"Kiến thức")=1,IF(COUNTIFS($A$5:$A$404,A167,$D$5:$D$404,"Có")&lt;&gt;1,"Choice kiến thức cần đúng 1 đáp án đúng",""),IF(COUNTIFS('02_KICH_BAN_NODES'!$B$5:$B$204,A167,'02_KICH_BAN_NODES'!$E$5:$E$204,"Tương tác")=1,IF(COUNTIFS($A$5:$A$404,A167,$D$5:$D$404,"Có")&lt;&gt;0,"Choice tương tác không được đánh dấu đáp án đúng",""),"Choice chưa chọn loại")))))))</f>
        <v/>
      </c>
    </row>
    <row r="168" spans="1:11">
      <c r="A168" s="13"/>
      <c r="B168" s="13"/>
      <c r="C168" s="5"/>
      <c r="D168" s="13"/>
      <c r="E168" s="13"/>
      <c r="F168" s="13"/>
      <c r="G168" s="13"/>
      <c r="H168" s="5"/>
      <c r="I168" s="5"/>
      <c r="J168" s="6" t="str">
        <f t="shared" si="2"/>
        <v/>
      </c>
      <c r="K168" s="6" t="str">
        <f>IF(A168="","",IF(COUNTIFS('02_KICH_BAN_NODES'!$B$5:$B$204,A168,'02_KICH_BAN_NODES'!$D$5:$D$204,"choice")=0,"ChoiceNodeId không tồn tại hoặc không phải choice",IF(COUNTIFS($A$5:$A$404,A168,$B$5:$B$404,B168)&gt;1,"Trùng OptionOrder trong cùng choice",IF(OR(B168="",C168="",D168="",F168="",H168=""),"Thiếu trường bắt buộc",IF(OR(COUNTIF($A$5:$A$404,A168)&lt;2,COUNTIF($A$5:$A$404,A168)&gt;4),"Mỗi choice cần 2–4 option",IF(COUNTIFS('02_KICH_BAN_NODES'!$B$5:$B$204,A168,'02_KICH_BAN_NODES'!$E$5:$E$204,"Kiến thức")=1,IF(COUNTIFS($A$5:$A$404,A168,$D$5:$D$404,"Có")&lt;&gt;1,"Choice kiến thức cần đúng 1 đáp án đúng",""),IF(COUNTIFS('02_KICH_BAN_NODES'!$B$5:$B$204,A168,'02_KICH_BAN_NODES'!$E$5:$E$204,"Tương tác")=1,IF(COUNTIFS($A$5:$A$404,A168,$D$5:$D$404,"Có")&lt;&gt;0,"Choice tương tác không được đánh dấu đáp án đúng",""),"Choice chưa chọn loại")))))))</f>
        <v/>
      </c>
    </row>
    <row r="169" spans="1:11">
      <c r="A169" s="13"/>
      <c r="B169" s="13"/>
      <c r="C169" s="5"/>
      <c r="D169" s="13"/>
      <c r="E169" s="13"/>
      <c r="F169" s="13"/>
      <c r="G169" s="13"/>
      <c r="H169" s="5"/>
      <c r="I169" s="5"/>
      <c r="J169" s="6" t="str">
        <f t="shared" si="2"/>
        <v/>
      </c>
      <c r="K169" s="6" t="str">
        <f>IF(A169="","",IF(COUNTIFS('02_KICH_BAN_NODES'!$B$5:$B$204,A169,'02_KICH_BAN_NODES'!$D$5:$D$204,"choice")=0,"ChoiceNodeId không tồn tại hoặc không phải choice",IF(COUNTIFS($A$5:$A$404,A169,$B$5:$B$404,B169)&gt;1,"Trùng OptionOrder trong cùng choice",IF(OR(B169="",C169="",D169="",F169="",H169=""),"Thiếu trường bắt buộc",IF(OR(COUNTIF($A$5:$A$404,A169)&lt;2,COUNTIF($A$5:$A$404,A169)&gt;4),"Mỗi choice cần 2–4 option",IF(COUNTIFS('02_KICH_BAN_NODES'!$B$5:$B$204,A169,'02_KICH_BAN_NODES'!$E$5:$E$204,"Kiến thức")=1,IF(COUNTIFS($A$5:$A$404,A169,$D$5:$D$404,"Có")&lt;&gt;1,"Choice kiến thức cần đúng 1 đáp án đúng",""),IF(COUNTIFS('02_KICH_BAN_NODES'!$B$5:$B$204,A169,'02_KICH_BAN_NODES'!$E$5:$E$204,"Tương tác")=1,IF(COUNTIFS($A$5:$A$404,A169,$D$5:$D$404,"Có")&lt;&gt;0,"Choice tương tác không được đánh dấu đáp án đúng",""),"Choice chưa chọn loại")))))))</f>
        <v/>
      </c>
    </row>
    <row r="170" spans="1:11">
      <c r="A170" s="13"/>
      <c r="B170" s="13"/>
      <c r="C170" s="5"/>
      <c r="D170" s="13"/>
      <c r="E170" s="13"/>
      <c r="F170" s="13"/>
      <c r="G170" s="13"/>
      <c r="H170" s="5"/>
      <c r="I170" s="5"/>
      <c r="J170" s="6" t="str">
        <f t="shared" si="2"/>
        <v/>
      </c>
      <c r="K170" s="6" t="str">
        <f>IF(A170="","",IF(COUNTIFS('02_KICH_BAN_NODES'!$B$5:$B$204,A170,'02_KICH_BAN_NODES'!$D$5:$D$204,"choice")=0,"ChoiceNodeId không tồn tại hoặc không phải choice",IF(COUNTIFS($A$5:$A$404,A170,$B$5:$B$404,B170)&gt;1,"Trùng OptionOrder trong cùng choice",IF(OR(B170="",C170="",D170="",F170="",H170=""),"Thiếu trường bắt buộc",IF(OR(COUNTIF($A$5:$A$404,A170)&lt;2,COUNTIF($A$5:$A$404,A170)&gt;4),"Mỗi choice cần 2–4 option",IF(COUNTIFS('02_KICH_BAN_NODES'!$B$5:$B$204,A170,'02_KICH_BAN_NODES'!$E$5:$E$204,"Kiến thức")=1,IF(COUNTIFS($A$5:$A$404,A170,$D$5:$D$404,"Có")&lt;&gt;1,"Choice kiến thức cần đúng 1 đáp án đúng",""),IF(COUNTIFS('02_KICH_BAN_NODES'!$B$5:$B$204,A170,'02_KICH_BAN_NODES'!$E$5:$E$204,"Tương tác")=1,IF(COUNTIFS($A$5:$A$404,A170,$D$5:$D$404,"Có")&lt;&gt;0,"Choice tương tác không được đánh dấu đáp án đúng",""),"Choice chưa chọn loại")))))))</f>
        <v/>
      </c>
    </row>
    <row r="171" spans="1:11">
      <c r="A171" s="13"/>
      <c r="B171" s="13"/>
      <c r="C171" s="5"/>
      <c r="D171" s="13"/>
      <c r="E171" s="13"/>
      <c r="F171" s="13"/>
      <c r="G171" s="13"/>
      <c r="H171" s="5"/>
      <c r="I171" s="5"/>
      <c r="J171" s="6" t="str">
        <f t="shared" si="2"/>
        <v/>
      </c>
      <c r="K171" s="6" t="str">
        <f>IF(A171="","",IF(COUNTIFS('02_KICH_BAN_NODES'!$B$5:$B$204,A171,'02_KICH_BAN_NODES'!$D$5:$D$204,"choice")=0,"ChoiceNodeId không tồn tại hoặc không phải choice",IF(COUNTIFS($A$5:$A$404,A171,$B$5:$B$404,B171)&gt;1,"Trùng OptionOrder trong cùng choice",IF(OR(B171="",C171="",D171="",F171="",H171=""),"Thiếu trường bắt buộc",IF(OR(COUNTIF($A$5:$A$404,A171)&lt;2,COUNTIF($A$5:$A$404,A171)&gt;4),"Mỗi choice cần 2–4 option",IF(COUNTIFS('02_KICH_BAN_NODES'!$B$5:$B$204,A171,'02_KICH_BAN_NODES'!$E$5:$E$204,"Kiến thức")=1,IF(COUNTIFS($A$5:$A$404,A171,$D$5:$D$404,"Có")&lt;&gt;1,"Choice kiến thức cần đúng 1 đáp án đúng",""),IF(COUNTIFS('02_KICH_BAN_NODES'!$B$5:$B$204,A171,'02_KICH_BAN_NODES'!$E$5:$E$204,"Tương tác")=1,IF(COUNTIFS($A$5:$A$404,A171,$D$5:$D$404,"Có")&lt;&gt;0,"Choice tương tác không được đánh dấu đáp án đúng",""),"Choice chưa chọn loại")))))))</f>
        <v/>
      </c>
    </row>
    <row r="172" spans="1:11">
      <c r="A172" s="13"/>
      <c r="B172" s="13"/>
      <c r="C172" s="5"/>
      <c r="D172" s="13"/>
      <c r="E172" s="13"/>
      <c r="F172" s="13"/>
      <c r="G172" s="13"/>
      <c r="H172" s="5"/>
      <c r="I172" s="5"/>
      <c r="J172" s="6" t="str">
        <f t="shared" si="2"/>
        <v/>
      </c>
      <c r="K172" s="6" t="str">
        <f>IF(A172="","",IF(COUNTIFS('02_KICH_BAN_NODES'!$B$5:$B$204,A172,'02_KICH_BAN_NODES'!$D$5:$D$204,"choice")=0,"ChoiceNodeId không tồn tại hoặc không phải choice",IF(COUNTIFS($A$5:$A$404,A172,$B$5:$B$404,B172)&gt;1,"Trùng OptionOrder trong cùng choice",IF(OR(B172="",C172="",D172="",F172="",H172=""),"Thiếu trường bắt buộc",IF(OR(COUNTIF($A$5:$A$404,A172)&lt;2,COUNTIF($A$5:$A$404,A172)&gt;4),"Mỗi choice cần 2–4 option",IF(COUNTIFS('02_KICH_BAN_NODES'!$B$5:$B$204,A172,'02_KICH_BAN_NODES'!$E$5:$E$204,"Kiến thức")=1,IF(COUNTIFS($A$5:$A$404,A172,$D$5:$D$404,"Có")&lt;&gt;1,"Choice kiến thức cần đúng 1 đáp án đúng",""),IF(COUNTIFS('02_KICH_BAN_NODES'!$B$5:$B$204,A172,'02_KICH_BAN_NODES'!$E$5:$E$204,"Tương tác")=1,IF(COUNTIFS($A$5:$A$404,A172,$D$5:$D$404,"Có")&lt;&gt;0,"Choice tương tác không được đánh dấu đáp án đúng",""),"Choice chưa chọn loại")))))))</f>
        <v/>
      </c>
    </row>
    <row r="173" spans="1:11">
      <c r="A173" s="13"/>
      <c r="B173" s="13"/>
      <c r="C173" s="5"/>
      <c r="D173" s="13"/>
      <c r="E173" s="13"/>
      <c r="F173" s="13"/>
      <c r="G173" s="13"/>
      <c r="H173" s="5"/>
      <c r="I173" s="5"/>
      <c r="J173" s="6" t="str">
        <f t="shared" si="2"/>
        <v/>
      </c>
      <c r="K173" s="6" t="str">
        <f>IF(A173="","",IF(COUNTIFS('02_KICH_BAN_NODES'!$B$5:$B$204,A173,'02_KICH_BAN_NODES'!$D$5:$D$204,"choice")=0,"ChoiceNodeId không tồn tại hoặc không phải choice",IF(COUNTIFS($A$5:$A$404,A173,$B$5:$B$404,B173)&gt;1,"Trùng OptionOrder trong cùng choice",IF(OR(B173="",C173="",D173="",F173="",H173=""),"Thiếu trường bắt buộc",IF(OR(COUNTIF($A$5:$A$404,A173)&lt;2,COUNTIF($A$5:$A$404,A173)&gt;4),"Mỗi choice cần 2–4 option",IF(COUNTIFS('02_KICH_BAN_NODES'!$B$5:$B$204,A173,'02_KICH_BAN_NODES'!$E$5:$E$204,"Kiến thức")=1,IF(COUNTIFS($A$5:$A$404,A173,$D$5:$D$404,"Có")&lt;&gt;1,"Choice kiến thức cần đúng 1 đáp án đúng",""),IF(COUNTIFS('02_KICH_BAN_NODES'!$B$5:$B$204,A173,'02_KICH_BAN_NODES'!$E$5:$E$204,"Tương tác")=1,IF(COUNTIFS($A$5:$A$404,A173,$D$5:$D$404,"Có")&lt;&gt;0,"Choice tương tác không được đánh dấu đáp án đúng",""),"Choice chưa chọn loại")))))))</f>
        <v/>
      </c>
    </row>
    <row r="174" spans="1:11">
      <c r="A174" s="13"/>
      <c r="B174" s="13"/>
      <c r="C174" s="5"/>
      <c r="D174" s="13"/>
      <c r="E174" s="13"/>
      <c r="F174" s="13"/>
      <c r="G174" s="13"/>
      <c r="H174" s="5"/>
      <c r="I174" s="5"/>
      <c r="J174" s="6" t="str">
        <f t="shared" si="2"/>
        <v/>
      </c>
      <c r="K174" s="6" t="str">
        <f>IF(A174="","",IF(COUNTIFS('02_KICH_BAN_NODES'!$B$5:$B$204,A174,'02_KICH_BAN_NODES'!$D$5:$D$204,"choice")=0,"ChoiceNodeId không tồn tại hoặc không phải choice",IF(COUNTIFS($A$5:$A$404,A174,$B$5:$B$404,B174)&gt;1,"Trùng OptionOrder trong cùng choice",IF(OR(B174="",C174="",D174="",F174="",H174=""),"Thiếu trường bắt buộc",IF(OR(COUNTIF($A$5:$A$404,A174)&lt;2,COUNTIF($A$5:$A$404,A174)&gt;4),"Mỗi choice cần 2–4 option",IF(COUNTIFS('02_KICH_BAN_NODES'!$B$5:$B$204,A174,'02_KICH_BAN_NODES'!$E$5:$E$204,"Kiến thức")=1,IF(COUNTIFS($A$5:$A$404,A174,$D$5:$D$404,"Có")&lt;&gt;1,"Choice kiến thức cần đúng 1 đáp án đúng",""),IF(COUNTIFS('02_KICH_BAN_NODES'!$B$5:$B$204,A174,'02_KICH_BAN_NODES'!$E$5:$E$204,"Tương tác")=1,IF(COUNTIFS($A$5:$A$404,A174,$D$5:$D$404,"Có")&lt;&gt;0,"Choice tương tác không được đánh dấu đáp án đúng",""),"Choice chưa chọn loại")))))))</f>
        <v/>
      </c>
    </row>
    <row r="175" spans="1:11">
      <c r="A175" s="13"/>
      <c r="B175" s="13"/>
      <c r="C175" s="5"/>
      <c r="D175" s="13"/>
      <c r="E175" s="13"/>
      <c r="F175" s="13"/>
      <c r="G175" s="13"/>
      <c r="H175" s="5"/>
      <c r="I175" s="5"/>
      <c r="J175" s="6" t="str">
        <f t="shared" si="2"/>
        <v/>
      </c>
      <c r="K175" s="6" t="str">
        <f>IF(A175="","",IF(COUNTIFS('02_KICH_BAN_NODES'!$B$5:$B$204,A175,'02_KICH_BAN_NODES'!$D$5:$D$204,"choice")=0,"ChoiceNodeId không tồn tại hoặc không phải choice",IF(COUNTIFS($A$5:$A$404,A175,$B$5:$B$404,B175)&gt;1,"Trùng OptionOrder trong cùng choice",IF(OR(B175="",C175="",D175="",F175="",H175=""),"Thiếu trường bắt buộc",IF(OR(COUNTIF($A$5:$A$404,A175)&lt;2,COUNTIF($A$5:$A$404,A175)&gt;4),"Mỗi choice cần 2–4 option",IF(COUNTIFS('02_KICH_BAN_NODES'!$B$5:$B$204,A175,'02_KICH_BAN_NODES'!$E$5:$E$204,"Kiến thức")=1,IF(COUNTIFS($A$5:$A$404,A175,$D$5:$D$404,"Có")&lt;&gt;1,"Choice kiến thức cần đúng 1 đáp án đúng",""),IF(COUNTIFS('02_KICH_BAN_NODES'!$B$5:$B$204,A175,'02_KICH_BAN_NODES'!$E$5:$E$204,"Tương tác")=1,IF(COUNTIFS($A$5:$A$404,A175,$D$5:$D$404,"Có")&lt;&gt;0,"Choice tương tác không được đánh dấu đáp án đúng",""),"Choice chưa chọn loại")))))))</f>
        <v/>
      </c>
    </row>
    <row r="176" spans="1:11">
      <c r="A176" s="13"/>
      <c r="B176" s="13"/>
      <c r="C176" s="5"/>
      <c r="D176" s="13"/>
      <c r="E176" s="13"/>
      <c r="F176" s="13"/>
      <c r="G176" s="13"/>
      <c r="H176" s="5"/>
      <c r="I176" s="5"/>
      <c r="J176" s="6" t="str">
        <f t="shared" si="2"/>
        <v/>
      </c>
      <c r="K176" s="6" t="str">
        <f>IF(A176="","",IF(COUNTIFS('02_KICH_BAN_NODES'!$B$5:$B$204,A176,'02_KICH_BAN_NODES'!$D$5:$D$204,"choice")=0,"ChoiceNodeId không tồn tại hoặc không phải choice",IF(COUNTIFS($A$5:$A$404,A176,$B$5:$B$404,B176)&gt;1,"Trùng OptionOrder trong cùng choice",IF(OR(B176="",C176="",D176="",F176="",H176=""),"Thiếu trường bắt buộc",IF(OR(COUNTIF($A$5:$A$404,A176)&lt;2,COUNTIF($A$5:$A$404,A176)&gt;4),"Mỗi choice cần 2–4 option",IF(COUNTIFS('02_KICH_BAN_NODES'!$B$5:$B$204,A176,'02_KICH_BAN_NODES'!$E$5:$E$204,"Kiến thức")=1,IF(COUNTIFS($A$5:$A$404,A176,$D$5:$D$404,"Có")&lt;&gt;1,"Choice kiến thức cần đúng 1 đáp án đúng",""),IF(COUNTIFS('02_KICH_BAN_NODES'!$B$5:$B$204,A176,'02_KICH_BAN_NODES'!$E$5:$E$204,"Tương tác")=1,IF(COUNTIFS($A$5:$A$404,A176,$D$5:$D$404,"Có")&lt;&gt;0,"Choice tương tác không được đánh dấu đáp án đúng",""),"Choice chưa chọn loại")))))))</f>
        <v/>
      </c>
    </row>
    <row r="177" spans="1:11">
      <c r="A177" s="13"/>
      <c r="B177" s="13"/>
      <c r="C177" s="5"/>
      <c r="D177" s="13"/>
      <c r="E177" s="13"/>
      <c r="F177" s="13"/>
      <c r="G177" s="13"/>
      <c r="H177" s="5"/>
      <c r="I177" s="5"/>
      <c r="J177" s="6" t="str">
        <f t="shared" si="2"/>
        <v/>
      </c>
      <c r="K177" s="6" t="str">
        <f>IF(A177="","",IF(COUNTIFS('02_KICH_BAN_NODES'!$B$5:$B$204,A177,'02_KICH_BAN_NODES'!$D$5:$D$204,"choice")=0,"ChoiceNodeId không tồn tại hoặc không phải choice",IF(COUNTIFS($A$5:$A$404,A177,$B$5:$B$404,B177)&gt;1,"Trùng OptionOrder trong cùng choice",IF(OR(B177="",C177="",D177="",F177="",H177=""),"Thiếu trường bắt buộc",IF(OR(COUNTIF($A$5:$A$404,A177)&lt;2,COUNTIF($A$5:$A$404,A177)&gt;4),"Mỗi choice cần 2–4 option",IF(COUNTIFS('02_KICH_BAN_NODES'!$B$5:$B$204,A177,'02_KICH_BAN_NODES'!$E$5:$E$204,"Kiến thức")=1,IF(COUNTIFS($A$5:$A$404,A177,$D$5:$D$404,"Có")&lt;&gt;1,"Choice kiến thức cần đúng 1 đáp án đúng",""),IF(COUNTIFS('02_KICH_BAN_NODES'!$B$5:$B$204,A177,'02_KICH_BAN_NODES'!$E$5:$E$204,"Tương tác")=1,IF(COUNTIFS($A$5:$A$404,A177,$D$5:$D$404,"Có")&lt;&gt;0,"Choice tương tác không được đánh dấu đáp án đúng",""),"Choice chưa chọn loại")))))))</f>
        <v/>
      </c>
    </row>
    <row r="178" spans="1:11">
      <c r="A178" s="13"/>
      <c r="B178" s="13"/>
      <c r="C178" s="5"/>
      <c r="D178" s="13"/>
      <c r="E178" s="13"/>
      <c r="F178" s="13"/>
      <c r="G178" s="13"/>
      <c r="H178" s="5"/>
      <c r="I178" s="5"/>
      <c r="J178" s="6" t="str">
        <f t="shared" si="2"/>
        <v/>
      </c>
      <c r="K178" s="6" t="str">
        <f>IF(A178="","",IF(COUNTIFS('02_KICH_BAN_NODES'!$B$5:$B$204,A178,'02_KICH_BAN_NODES'!$D$5:$D$204,"choice")=0,"ChoiceNodeId không tồn tại hoặc không phải choice",IF(COUNTIFS($A$5:$A$404,A178,$B$5:$B$404,B178)&gt;1,"Trùng OptionOrder trong cùng choice",IF(OR(B178="",C178="",D178="",F178="",H178=""),"Thiếu trường bắt buộc",IF(OR(COUNTIF($A$5:$A$404,A178)&lt;2,COUNTIF($A$5:$A$404,A178)&gt;4),"Mỗi choice cần 2–4 option",IF(COUNTIFS('02_KICH_BAN_NODES'!$B$5:$B$204,A178,'02_KICH_BAN_NODES'!$E$5:$E$204,"Kiến thức")=1,IF(COUNTIFS($A$5:$A$404,A178,$D$5:$D$404,"Có")&lt;&gt;1,"Choice kiến thức cần đúng 1 đáp án đúng",""),IF(COUNTIFS('02_KICH_BAN_NODES'!$B$5:$B$204,A178,'02_KICH_BAN_NODES'!$E$5:$E$204,"Tương tác")=1,IF(COUNTIFS($A$5:$A$404,A178,$D$5:$D$404,"Có")&lt;&gt;0,"Choice tương tác không được đánh dấu đáp án đúng",""),"Choice chưa chọn loại")))))))</f>
        <v/>
      </c>
    </row>
    <row r="179" spans="1:11">
      <c r="A179" s="13"/>
      <c r="B179" s="13"/>
      <c r="C179" s="5"/>
      <c r="D179" s="13"/>
      <c r="E179" s="13"/>
      <c r="F179" s="13"/>
      <c r="G179" s="13"/>
      <c r="H179" s="5"/>
      <c r="I179" s="5"/>
      <c r="J179" s="6" t="str">
        <f t="shared" si="2"/>
        <v/>
      </c>
      <c r="K179" s="6" t="str">
        <f>IF(A179="","",IF(COUNTIFS('02_KICH_BAN_NODES'!$B$5:$B$204,A179,'02_KICH_BAN_NODES'!$D$5:$D$204,"choice")=0,"ChoiceNodeId không tồn tại hoặc không phải choice",IF(COUNTIFS($A$5:$A$404,A179,$B$5:$B$404,B179)&gt;1,"Trùng OptionOrder trong cùng choice",IF(OR(B179="",C179="",D179="",F179="",H179=""),"Thiếu trường bắt buộc",IF(OR(COUNTIF($A$5:$A$404,A179)&lt;2,COUNTIF($A$5:$A$404,A179)&gt;4),"Mỗi choice cần 2–4 option",IF(COUNTIFS('02_KICH_BAN_NODES'!$B$5:$B$204,A179,'02_KICH_BAN_NODES'!$E$5:$E$204,"Kiến thức")=1,IF(COUNTIFS($A$5:$A$404,A179,$D$5:$D$404,"Có")&lt;&gt;1,"Choice kiến thức cần đúng 1 đáp án đúng",""),IF(COUNTIFS('02_KICH_BAN_NODES'!$B$5:$B$204,A179,'02_KICH_BAN_NODES'!$E$5:$E$204,"Tương tác")=1,IF(COUNTIFS($A$5:$A$404,A179,$D$5:$D$404,"Có")&lt;&gt;0,"Choice tương tác không được đánh dấu đáp án đúng",""),"Choice chưa chọn loại")))))))</f>
        <v/>
      </c>
    </row>
    <row r="180" spans="1:11">
      <c r="A180" s="13"/>
      <c r="B180" s="13"/>
      <c r="C180" s="5"/>
      <c r="D180" s="13"/>
      <c r="E180" s="13"/>
      <c r="F180" s="13"/>
      <c r="G180" s="13"/>
      <c r="H180" s="5"/>
      <c r="I180" s="5"/>
      <c r="J180" s="6" t="str">
        <f t="shared" si="2"/>
        <v/>
      </c>
      <c r="K180" s="6" t="str">
        <f>IF(A180="","",IF(COUNTIFS('02_KICH_BAN_NODES'!$B$5:$B$204,A180,'02_KICH_BAN_NODES'!$D$5:$D$204,"choice")=0,"ChoiceNodeId không tồn tại hoặc không phải choice",IF(COUNTIFS($A$5:$A$404,A180,$B$5:$B$404,B180)&gt;1,"Trùng OptionOrder trong cùng choice",IF(OR(B180="",C180="",D180="",F180="",H180=""),"Thiếu trường bắt buộc",IF(OR(COUNTIF($A$5:$A$404,A180)&lt;2,COUNTIF($A$5:$A$404,A180)&gt;4),"Mỗi choice cần 2–4 option",IF(COUNTIFS('02_KICH_BAN_NODES'!$B$5:$B$204,A180,'02_KICH_BAN_NODES'!$E$5:$E$204,"Kiến thức")=1,IF(COUNTIFS($A$5:$A$404,A180,$D$5:$D$404,"Có")&lt;&gt;1,"Choice kiến thức cần đúng 1 đáp án đúng",""),IF(COUNTIFS('02_KICH_BAN_NODES'!$B$5:$B$204,A180,'02_KICH_BAN_NODES'!$E$5:$E$204,"Tương tác")=1,IF(COUNTIFS($A$5:$A$404,A180,$D$5:$D$404,"Có")&lt;&gt;0,"Choice tương tác không được đánh dấu đáp án đúng",""),"Choice chưa chọn loại")))))))</f>
        <v/>
      </c>
    </row>
    <row r="181" spans="1:11">
      <c r="A181" s="13"/>
      <c r="B181" s="13"/>
      <c r="C181" s="5"/>
      <c r="D181" s="13"/>
      <c r="E181" s="13"/>
      <c r="F181" s="13"/>
      <c r="G181" s="13"/>
      <c r="H181" s="5"/>
      <c r="I181" s="5"/>
      <c r="J181" s="6" t="str">
        <f t="shared" si="2"/>
        <v/>
      </c>
      <c r="K181" s="6" t="str">
        <f>IF(A181="","",IF(COUNTIFS('02_KICH_BAN_NODES'!$B$5:$B$204,A181,'02_KICH_BAN_NODES'!$D$5:$D$204,"choice")=0,"ChoiceNodeId không tồn tại hoặc không phải choice",IF(COUNTIFS($A$5:$A$404,A181,$B$5:$B$404,B181)&gt;1,"Trùng OptionOrder trong cùng choice",IF(OR(B181="",C181="",D181="",F181="",H181=""),"Thiếu trường bắt buộc",IF(OR(COUNTIF($A$5:$A$404,A181)&lt;2,COUNTIF($A$5:$A$404,A181)&gt;4),"Mỗi choice cần 2–4 option",IF(COUNTIFS('02_KICH_BAN_NODES'!$B$5:$B$204,A181,'02_KICH_BAN_NODES'!$E$5:$E$204,"Kiến thức")=1,IF(COUNTIFS($A$5:$A$404,A181,$D$5:$D$404,"Có")&lt;&gt;1,"Choice kiến thức cần đúng 1 đáp án đúng",""),IF(COUNTIFS('02_KICH_BAN_NODES'!$B$5:$B$204,A181,'02_KICH_BAN_NODES'!$E$5:$E$204,"Tương tác")=1,IF(COUNTIFS($A$5:$A$404,A181,$D$5:$D$404,"Có")&lt;&gt;0,"Choice tương tác không được đánh dấu đáp án đúng",""),"Choice chưa chọn loại")))))))</f>
        <v/>
      </c>
    </row>
    <row r="182" spans="1:11">
      <c r="A182" s="13"/>
      <c r="B182" s="13"/>
      <c r="C182" s="5"/>
      <c r="D182" s="13"/>
      <c r="E182" s="13"/>
      <c r="F182" s="13"/>
      <c r="G182" s="13"/>
      <c r="H182" s="5"/>
      <c r="I182" s="5"/>
      <c r="J182" s="6" t="str">
        <f t="shared" si="2"/>
        <v/>
      </c>
      <c r="K182" s="6" t="str">
        <f>IF(A182="","",IF(COUNTIFS('02_KICH_BAN_NODES'!$B$5:$B$204,A182,'02_KICH_BAN_NODES'!$D$5:$D$204,"choice")=0,"ChoiceNodeId không tồn tại hoặc không phải choice",IF(COUNTIFS($A$5:$A$404,A182,$B$5:$B$404,B182)&gt;1,"Trùng OptionOrder trong cùng choice",IF(OR(B182="",C182="",D182="",F182="",H182=""),"Thiếu trường bắt buộc",IF(OR(COUNTIF($A$5:$A$404,A182)&lt;2,COUNTIF($A$5:$A$404,A182)&gt;4),"Mỗi choice cần 2–4 option",IF(COUNTIFS('02_KICH_BAN_NODES'!$B$5:$B$204,A182,'02_KICH_BAN_NODES'!$E$5:$E$204,"Kiến thức")=1,IF(COUNTIFS($A$5:$A$404,A182,$D$5:$D$404,"Có")&lt;&gt;1,"Choice kiến thức cần đúng 1 đáp án đúng",""),IF(COUNTIFS('02_KICH_BAN_NODES'!$B$5:$B$204,A182,'02_KICH_BAN_NODES'!$E$5:$E$204,"Tương tác")=1,IF(COUNTIFS($A$5:$A$404,A182,$D$5:$D$404,"Có")&lt;&gt;0,"Choice tương tác không được đánh dấu đáp án đúng",""),"Choice chưa chọn loại")))))))</f>
        <v/>
      </c>
    </row>
    <row r="183" spans="1:11">
      <c r="A183" s="13"/>
      <c r="B183" s="13"/>
      <c r="C183" s="5"/>
      <c r="D183" s="13"/>
      <c r="E183" s="13"/>
      <c r="F183" s="13"/>
      <c r="G183" s="13"/>
      <c r="H183" s="5"/>
      <c r="I183" s="5"/>
      <c r="J183" s="6" t="str">
        <f t="shared" si="2"/>
        <v/>
      </c>
      <c r="K183" s="6" t="str">
        <f>IF(A183="","",IF(COUNTIFS('02_KICH_BAN_NODES'!$B$5:$B$204,A183,'02_KICH_BAN_NODES'!$D$5:$D$204,"choice")=0,"ChoiceNodeId không tồn tại hoặc không phải choice",IF(COUNTIFS($A$5:$A$404,A183,$B$5:$B$404,B183)&gt;1,"Trùng OptionOrder trong cùng choice",IF(OR(B183="",C183="",D183="",F183="",H183=""),"Thiếu trường bắt buộc",IF(OR(COUNTIF($A$5:$A$404,A183)&lt;2,COUNTIF($A$5:$A$404,A183)&gt;4),"Mỗi choice cần 2–4 option",IF(COUNTIFS('02_KICH_BAN_NODES'!$B$5:$B$204,A183,'02_KICH_BAN_NODES'!$E$5:$E$204,"Kiến thức")=1,IF(COUNTIFS($A$5:$A$404,A183,$D$5:$D$404,"Có")&lt;&gt;1,"Choice kiến thức cần đúng 1 đáp án đúng",""),IF(COUNTIFS('02_KICH_BAN_NODES'!$B$5:$B$204,A183,'02_KICH_BAN_NODES'!$E$5:$E$204,"Tương tác")=1,IF(COUNTIFS($A$5:$A$404,A183,$D$5:$D$404,"Có")&lt;&gt;0,"Choice tương tác không được đánh dấu đáp án đúng",""),"Choice chưa chọn loại")))))))</f>
        <v/>
      </c>
    </row>
    <row r="184" spans="1:11">
      <c r="A184" s="13"/>
      <c r="B184" s="13"/>
      <c r="C184" s="5"/>
      <c r="D184" s="13"/>
      <c r="E184" s="13"/>
      <c r="F184" s="13"/>
      <c r="G184" s="13"/>
      <c r="H184" s="5"/>
      <c r="I184" s="5"/>
      <c r="J184" s="6" t="str">
        <f t="shared" si="2"/>
        <v/>
      </c>
      <c r="K184" s="6" t="str">
        <f>IF(A184="","",IF(COUNTIFS('02_KICH_BAN_NODES'!$B$5:$B$204,A184,'02_KICH_BAN_NODES'!$D$5:$D$204,"choice")=0,"ChoiceNodeId không tồn tại hoặc không phải choice",IF(COUNTIFS($A$5:$A$404,A184,$B$5:$B$404,B184)&gt;1,"Trùng OptionOrder trong cùng choice",IF(OR(B184="",C184="",D184="",F184="",H184=""),"Thiếu trường bắt buộc",IF(OR(COUNTIF($A$5:$A$404,A184)&lt;2,COUNTIF($A$5:$A$404,A184)&gt;4),"Mỗi choice cần 2–4 option",IF(COUNTIFS('02_KICH_BAN_NODES'!$B$5:$B$204,A184,'02_KICH_BAN_NODES'!$E$5:$E$204,"Kiến thức")=1,IF(COUNTIFS($A$5:$A$404,A184,$D$5:$D$404,"Có")&lt;&gt;1,"Choice kiến thức cần đúng 1 đáp án đúng",""),IF(COUNTIFS('02_KICH_BAN_NODES'!$B$5:$B$204,A184,'02_KICH_BAN_NODES'!$E$5:$E$204,"Tương tác")=1,IF(COUNTIFS($A$5:$A$404,A184,$D$5:$D$404,"Có")&lt;&gt;0,"Choice tương tác không được đánh dấu đáp án đúng",""),"Choice chưa chọn loại")))))))</f>
        <v/>
      </c>
    </row>
    <row r="185" spans="1:11">
      <c r="A185" s="13"/>
      <c r="B185" s="13"/>
      <c r="C185" s="5"/>
      <c r="D185" s="13"/>
      <c r="E185" s="13"/>
      <c r="F185" s="13"/>
      <c r="G185" s="13"/>
      <c r="H185" s="5"/>
      <c r="I185" s="5"/>
      <c r="J185" s="6" t="str">
        <f t="shared" si="2"/>
        <v/>
      </c>
      <c r="K185" s="6" t="str">
        <f>IF(A185="","",IF(COUNTIFS('02_KICH_BAN_NODES'!$B$5:$B$204,A185,'02_KICH_BAN_NODES'!$D$5:$D$204,"choice")=0,"ChoiceNodeId không tồn tại hoặc không phải choice",IF(COUNTIFS($A$5:$A$404,A185,$B$5:$B$404,B185)&gt;1,"Trùng OptionOrder trong cùng choice",IF(OR(B185="",C185="",D185="",F185="",H185=""),"Thiếu trường bắt buộc",IF(OR(COUNTIF($A$5:$A$404,A185)&lt;2,COUNTIF($A$5:$A$404,A185)&gt;4),"Mỗi choice cần 2–4 option",IF(COUNTIFS('02_KICH_BAN_NODES'!$B$5:$B$204,A185,'02_KICH_BAN_NODES'!$E$5:$E$204,"Kiến thức")=1,IF(COUNTIFS($A$5:$A$404,A185,$D$5:$D$404,"Có")&lt;&gt;1,"Choice kiến thức cần đúng 1 đáp án đúng",""),IF(COUNTIFS('02_KICH_BAN_NODES'!$B$5:$B$204,A185,'02_KICH_BAN_NODES'!$E$5:$E$204,"Tương tác")=1,IF(COUNTIFS($A$5:$A$404,A185,$D$5:$D$404,"Có")&lt;&gt;0,"Choice tương tác không được đánh dấu đáp án đúng",""),"Choice chưa chọn loại")))))))</f>
        <v/>
      </c>
    </row>
    <row r="186" spans="1:11">
      <c r="A186" s="13"/>
      <c r="B186" s="13"/>
      <c r="C186" s="5"/>
      <c r="D186" s="13"/>
      <c r="E186" s="13"/>
      <c r="F186" s="13"/>
      <c r="G186" s="13"/>
      <c r="H186" s="5"/>
      <c r="I186" s="5"/>
      <c r="J186" s="6" t="str">
        <f t="shared" si="2"/>
        <v/>
      </c>
      <c r="K186" s="6" t="str">
        <f>IF(A186="","",IF(COUNTIFS('02_KICH_BAN_NODES'!$B$5:$B$204,A186,'02_KICH_BAN_NODES'!$D$5:$D$204,"choice")=0,"ChoiceNodeId không tồn tại hoặc không phải choice",IF(COUNTIFS($A$5:$A$404,A186,$B$5:$B$404,B186)&gt;1,"Trùng OptionOrder trong cùng choice",IF(OR(B186="",C186="",D186="",F186="",H186=""),"Thiếu trường bắt buộc",IF(OR(COUNTIF($A$5:$A$404,A186)&lt;2,COUNTIF($A$5:$A$404,A186)&gt;4),"Mỗi choice cần 2–4 option",IF(COUNTIFS('02_KICH_BAN_NODES'!$B$5:$B$204,A186,'02_KICH_BAN_NODES'!$E$5:$E$204,"Kiến thức")=1,IF(COUNTIFS($A$5:$A$404,A186,$D$5:$D$404,"Có")&lt;&gt;1,"Choice kiến thức cần đúng 1 đáp án đúng",""),IF(COUNTIFS('02_KICH_BAN_NODES'!$B$5:$B$204,A186,'02_KICH_BAN_NODES'!$E$5:$E$204,"Tương tác")=1,IF(COUNTIFS($A$5:$A$404,A186,$D$5:$D$404,"Có")&lt;&gt;0,"Choice tương tác không được đánh dấu đáp án đúng",""),"Choice chưa chọn loại")))))))</f>
        <v/>
      </c>
    </row>
    <row r="187" spans="1:11">
      <c r="A187" s="13"/>
      <c r="B187" s="13"/>
      <c r="C187" s="5"/>
      <c r="D187" s="13"/>
      <c r="E187" s="13"/>
      <c r="F187" s="13"/>
      <c r="G187" s="13"/>
      <c r="H187" s="5"/>
      <c r="I187" s="5"/>
      <c r="J187" s="6" t="str">
        <f t="shared" si="2"/>
        <v/>
      </c>
      <c r="K187" s="6" t="str">
        <f>IF(A187="","",IF(COUNTIFS('02_KICH_BAN_NODES'!$B$5:$B$204,A187,'02_KICH_BAN_NODES'!$D$5:$D$204,"choice")=0,"ChoiceNodeId không tồn tại hoặc không phải choice",IF(COUNTIFS($A$5:$A$404,A187,$B$5:$B$404,B187)&gt;1,"Trùng OptionOrder trong cùng choice",IF(OR(B187="",C187="",D187="",F187="",H187=""),"Thiếu trường bắt buộc",IF(OR(COUNTIF($A$5:$A$404,A187)&lt;2,COUNTIF($A$5:$A$404,A187)&gt;4),"Mỗi choice cần 2–4 option",IF(COUNTIFS('02_KICH_BAN_NODES'!$B$5:$B$204,A187,'02_KICH_BAN_NODES'!$E$5:$E$204,"Kiến thức")=1,IF(COUNTIFS($A$5:$A$404,A187,$D$5:$D$404,"Có")&lt;&gt;1,"Choice kiến thức cần đúng 1 đáp án đúng",""),IF(COUNTIFS('02_KICH_BAN_NODES'!$B$5:$B$204,A187,'02_KICH_BAN_NODES'!$E$5:$E$204,"Tương tác")=1,IF(COUNTIFS($A$5:$A$404,A187,$D$5:$D$404,"Có")&lt;&gt;0,"Choice tương tác không được đánh dấu đáp án đúng",""),"Choice chưa chọn loại")))))))</f>
        <v/>
      </c>
    </row>
    <row r="188" spans="1:11">
      <c r="A188" s="13"/>
      <c r="B188" s="13"/>
      <c r="C188" s="5"/>
      <c r="D188" s="13"/>
      <c r="E188" s="13"/>
      <c r="F188" s="13"/>
      <c r="G188" s="13"/>
      <c r="H188" s="5"/>
      <c r="I188" s="5"/>
      <c r="J188" s="6" t="str">
        <f t="shared" si="2"/>
        <v/>
      </c>
      <c r="K188" s="6" t="str">
        <f>IF(A188="","",IF(COUNTIFS('02_KICH_BAN_NODES'!$B$5:$B$204,A188,'02_KICH_BAN_NODES'!$D$5:$D$204,"choice")=0,"ChoiceNodeId không tồn tại hoặc không phải choice",IF(COUNTIFS($A$5:$A$404,A188,$B$5:$B$404,B188)&gt;1,"Trùng OptionOrder trong cùng choice",IF(OR(B188="",C188="",D188="",F188="",H188=""),"Thiếu trường bắt buộc",IF(OR(COUNTIF($A$5:$A$404,A188)&lt;2,COUNTIF($A$5:$A$404,A188)&gt;4),"Mỗi choice cần 2–4 option",IF(COUNTIFS('02_KICH_BAN_NODES'!$B$5:$B$204,A188,'02_KICH_BAN_NODES'!$E$5:$E$204,"Kiến thức")=1,IF(COUNTIFS($A$5:$A$404,A188,$D$5:$D$404,"Có")&lt;&gt;1,"Choice kiến thức cần đúng 1 đáp án đúng",""),IF(COUNTIFS('02_KICH_BAN_NODES'!$B$5:$B$204,A188,'02_KICH_BAN_NODES'!$E$5:$E$204,"Tương tác")=1,IF(COUNTIFS($A$5:$A$404,A188,$D$5:$D$404,"Có")&lt;&gt;0,"Choice tương tác không được đánh dấu đáp án đúng",""),"Choice chưa chọn loại")))))))</f>
        <v/>
      </c>
    </row>
    <row r="189" spans="1:11">
      <c r="A189" s="13"/>
      <c r="B189" s="13"/>
      <c r="C189" s="5"/>
      <c r="D189" s="13"/>
      <c r="E189" s="13"/>
      <c r="F189" s="13"/>
      <c r="G189" s="13"/>
      <c r="H189" s="5"/>
      <c r="I189" s="5"/>
      <c r="J189" s="6" t="str">
        <f t="shared" si="2"/>
        <v/>
      </c>
      <c r="K189" s="6" t="str">
        <f>IF(A189="","",IF(COUNTIFS('02_KICH_BAN_NODES'!$B$5:$B$204,A189,'02_KICH_BAN_NODES'!$D$5:$D$204,"choice")=0,"ChoiceNodeId không tồn tại hoặc không phải choice",IF(COUNTIFS($A$5:$A$404,A189,$B$5:$B$404,B189)&gt;1,"Trùng OptionOrder trong cùng choice",IF(OR(B189="",C189="",D189="",F189="",H189=""),"Thiếu trường bắt buộc",IF(OR(COUNTIF($A$5:$A$404,A189)&lt;2,COUNTIF($A$5:$A$404,A189)&gt;4),"Mỗi choice cần 2–4 option",IF(COUNTIFS('02_KICH_BAN_NODES'!$B$5:$B$204,A189,'02_KICH_BAN_NODES'!$E$5:$E$204,"Kiến thức")=1,IF(COUNTIFS($A$5:$A$404,A189,$D$5:$D$404,"Có")&lt;&gt;1,"Choice kiến thức cần đúng 1 đáp án đúng",""),IF(COUNTIFS('02_KICH_BAN_NODES'!$B$5:$B$204,A189,'02_KICH_BAN_NODES'!$E$5:$E$204,"Tương tác")=1,IF(COUNTIFS($A$5:$A$404,A189,$D$5:$D$404,"Có")&lt;&gt;0,"Choice tương tác không được đánh dấu đáp án đúng",""),"Choice chưa chọn loại")))))))</f>
        <v/>
      </c>
    </row>
    <row r="190" spans="1:11">
      <c r="A190" s="13"/>
      <c r="B190" s="13"/>
      <c r="C190" s="5"/>
      <c r="D190" s="13"/>
      <c r="E190" s="13"/>
      <c r="F190" s="13"/>
      <c r="G190" s="13"/>
      <c r="H190" s="5"/>
      <c r="I190" s="5"/>
      <c r="J190" s="6" t="str">
        <f t="shared" si="2"/>
        <v/>
      </c>
      <c r="K190" s="6" t="str">
        <f>IF(A190="","",IF(COUNTIFS('02_KICH_BAN_NODES'!$B$5:$B$204,A190,'02_KICH_BAN_NODES'!$D$5:$D$204,"choice")=0,"ChoiceNodeId không tồn tại hoặc không phải choice",IF(COUNTIFS($A$5:$A$404,A190,$B$5:$B$404,B190)&gt;1,"Trùng OptionOrder trong cùng choice",IF(OR(B190="",C190="",D190="",F190="",H190=""),"Thiếu trường bắt buộc",IF(OR(COUNTIF($A$5:$A$404,A190)&lt;2,COUNTIF($A$5:$A$404,A190)&gt;4),"Mỗi choice cần 2–4 option",IF(COUNTIFS('02_KICH_BAN_NODES'!$B$5:$B$204,A190,'02_KICH_BAN_NODES'!$E$5:$E$204,"Kiến thức")=1,IF(COUNTIFS($A$5:$A$404,A190,$D$5:$D$404,"Có")&lt;&gt;1,"Choice kiến thức cần đúng 1 đáp án đúng",""),IF(COUNTIFS('02_KICH_BAN_NODES'!$B$5:$B$204,A190,'02_KICH_BAN_NODES'!$E$5:$E$204,"Tương tác")=1,IF(COUNTIFS($A$5:$A$404,A190,$D$5:$D$404,"Có")&lt;&gt;0,"Choice tương tác không được đánh dấu đáp án đúng",""),"Choice chưa chọn loại")))))))</f>
        <v/>
      </c>
    </row>
    <row r="191" spans="1:11">
      <c r="A191" s="13"/>
      <c r="B191" s="13"/>
      <c r="C191" s="5"/>
      <c r="D191" s="13"/>
      <c r="E191" s="13"/>
      <c r="F191" s="13"/>
      <c r="G191" s="13"/>
      <c r="H191" s="5"/>
      <c r="I191" s="5"/>
      <c r="J191" s="6" t="str">
        <f t="shared" si="2"/>
        <v/>
      </c>
      <c r="K191" s="6" t="str">
        <f>IF(A191="","",IF(COUNTIFS('02_KICH_BAN_NODES'!$B$5:$B$204,A191,'02_KICH_BAN_NODES'!$D$5:$D$204,"choice")=0,"ChoiceNodeId không tồn tại hoặc không phải choice",IF(COUNTIFS($A$5:$A$404,A191,$B$5:$B$404,B191)&gt;1,"Trùng OptionOrder trong cùng choice",IF(OR(B191="",C191="",D191="",F191="",H191=""),"Thiếu trường bắt buộc",IF(OR(COUNTIF($A$5:$A$404,A191)&lt;2,COUNTIF($A$5:$A$404,A191)&gt;4),"Mỗi choice cần 2–4 option",IF(COUNTIFS('02_KICH_BAN_NODES'!$B$5:$B$204,A191,'02_KICH_BAN_NODES'!$E$5:$E$204,"Kiến thức")=1,IF(COUNTIFS($A$5:$A$404,A191,$D$5:$D$404,"Có")&lt;&gt;1,"Choice kiến thức cần đúng 1 đáp án đúng",""),IF(COUNTIFS('02_KICH_BAN_NODES'!$B$5:$B$204,A191,'02_KICH_BAN_NODES'!$E$5:$E$204,"Tương tác")=1,IF(COUNTIFS($A$5:$A$404,A191,$D$5:$D$404,"Có")&lt;&gt;0,"Choice tương tác không được đánh dấu đáp án đúng",""),"Choice chưa chọn loại")))))))</f>
        <v/>
      </c>
    </row>
    <row r="192" spans="1:11">
      <c r="A192" s="13"/>
      <c r="B192" s="13"/>
      <c r="C192" s="5"/>
      <c r="D192" s="13"/>
      <c r="E192" s="13"/>
      <c r="F192" s="13"/>
      <c r="G192" s="13"/>
      <c r="H192" s="5"/>
      <c r="I192" s="5"/>
      <c r="J192" s="6" t="str">
        <f t="shared" si="2"/>
        <v/>
      </c>
      <c r="K192" s="6" t="str">
        <f>IF(A192="","",IF(COUNTIFS('02_KICH_BAN_NODES'!$B$5:$B$204,A192,'02_KICH_BAN_NODES'!$D$5:$D$204,"choice")=0,"ChoiceNodeId không tồn tại hoặc không phải choice",IF(COUNTIFS($A$5:$A$404,A192,$B$5:$B$404,B192)&gt;1,"Trùng OptionOrder trong cùng choice",IF(OR(B192="",C192="",D192="",F192="",H192=""),"Thiếu trường bắt buộc",IF(OR(COUNTIF($A$5:$A$404,A192)&lt;2,COUNTIF($A$5:$A$404,A192)&gt;4),"Mỗi choice cần 2–4 option",IF(COUNTIFS('02_KICH_BAN_NODES'!$B$5:$B$204,A192,'02_KICH_BAN_NODES'!$E$5:$E$204,"Kiến thức")=1,IF(COUNTIFS($A$5:$A$404,A192,$D$5:$D$404,"Có")&lt;&gt;1,"Choice kiến thức cần đúng 1 đáp án đúng",""),IF(COUNTIFS('02_KICH_BAN_NODES'!$B$5:$B$204,A192,'02_KICH_BAN_NODES'!$E$5:$E$204,"Tương tác")=1,IF(COUNTIFS($A$5:$A$404,A192,$D$5:$D$404,"Có")&lt;&gt;0,"Choice tương tác không được đánh dấu đáp án đúng",""),"Choice chưa chọn loại")))))))</f>
        <v/>
      </c>
    </row>
    <row r="193" spans="1:11">
      <c r="A193" s="13"/>
      <c r="B193" s="13"/>
      <c r="C193" s="5"/>
      <c r="D193" s="13"/>
      <c r="E193" s="13"/>
      <c r="F193" s="13"/>
      <c r="G193" s="13"/>
      <c r="H193" s="5"/>
      <c r="I193" s="5"/>
      <c r="J193" s="6" t="str">
        <f t="shared" si="2"/>
        <v/>
      </c>
      <c r="K193" s="6" t="str">
        <f>IF(A193="","",IF(COUNTIFS('02_KICH_BAN_NODES'!$B$5:$B$204,A193,'02_KICH_BAN_NODES'!$D$5:$D$204,"choice")=0,"ChoiceNodeId không tồn tại hoặc không phải choice",IF(COUNTIFS($A$5:$A$404,A193,$B$5:$B$404,B193)&gt;1,"Trùng OptionOrder trong cùng choice",IF(OR(B193="",C193="",D193="",F193="",H193=""),"Thiếu trường bắt buộc",IF(OR(COUNTIF($A$5:$A$404,A193)&lt;2,COUNTIF($A$5:$A$404,A193)&gt;4),"Mỗi choice cần 2–4 option",IF(COUNTIFS('02_KICH_BAN_NODES'!$B$5:$B$204,A193,'02_KICH_BAN_NODES'!$E$5:$E$204,"Kiến thức")=1,IF(COUNTIFS($A$5:$A$404,A193,$D$5:$D$404,"Có")&lt;&gt;1,"Choice kiến thức cần đúng 1 đáp án đúng",""),IF(COUNTIFS('02_KICH_BAN_NODES'!$B$5:$B$204,A193,'02_KICH_BAN_NODES'!$E$5:$E$204,"Tương tác")=1,IF(COUNTIFS($A$5:$A$404,A193,$D$5:$D$404,"Có")&lt;&gt;0,"Choice tương tác không được đánh dấu đáp án đúng",""),"Choice chưa chọn loại")))))))</f>
        <v/>
      </c>
    </row>
    <row r="194" spans="1:11">
      <c r="A194" s="13"/>
      <c r="B194" s="13"/>
      <c r="C194" s="5"/>
      <c r="D194" s="13"/>
      <c r="E194" s="13"/>
      <c r="F194" s="13"/>
      <c r="G194" s="13"/>
      <c r="H194" s="5"/>
      <c r="I194" s="5"/>
      <c r="J194" s="6" t="str">
        <f t="shared" si="2"/>
        <v/>
      </c>
      <c r="K194" s="6" t="str">
        <f>IF(A194="","",IF(COUNTIFS('02_KICH_BAN_NODES'!$B$5:$B$204,A194,'02_KICH_BAN_NODES'!$D$5:$D$204,"choice")=0,"ChoiceNodeId không tồn tại hoặc không phải choice",IF(COUNTIFS($A$5:$A$404,A194,$B$5:$B$404,B194)&gt;1,"Trùng OptionOrder trong cùng choice",IF(OR(B194="",C194="",D194="",F194="",H194=""),"Thiếu trường bắt buộc",IF(OR(COUNTIF($A$5:$A$404,A194)&lt;2,COUNTIF($A$5:$A$404,A194)&gt;4),"Mỗi choice cần 2–4 option",IF(COUNTIFS('02_KICH_BAN_NODES'!$B$5:$B$204,A194,'02_KICH_BAN_NODES'!$E$5:$E$204,"Kiến thức")=1,IF(COUNTIFS($A$5:$A$404,A194,$D$5:$D$404,"Có")&lt;&gt;1,"Choice kiến thức cần đúng 1 đáp án đúng",""),IF(COUNTIFS('02_KICH_BAN_NODES'!$B$5:$B$204,A194,'02_KICH_BAN_NODES'!$E$5:$E$204,"Tương tác")=1,IF(COUNTIFS($A$5:$A$404,A194,$D$5:$D$404,"Có")&lt;&gt;0,"Choice tương tác không được đánh dấu đáp án đúng",""),"Choice chưa chọn loại")))))))</f>
        <v/>
      </c>
    </row>
    <row r="195" spans="1:11">
      <c r="A195" s="13"/>
      <c r="B195" s="13"/>
      <c r="C195" s="5"/>
      <c r="D195" s="13"/>
      <c r="E195" s="13"/>
      <c r="F195" s="13"/>
      <c r="G195" s="13"/>
      <c r="H195" s="5"/>
      <c r="I195" s="5"/>
      <c r="J195" s="6" t="str">
        <f t="shared" si="2"/>
        <v/>
      </c>
      <c r="K195" s="6" t="str">
        <f>IF(A195="","",IF(COUNTIFS('02_KICH_BAN_NODES'!$B$5:$B$204,A195,'02_KICH_BAN_NODES'!$D$5:$D$204,"choice")=0,"ChoiceNodeId không tồn tại hoặc không phải choice",IF(COUNTIFS($A$5:$A$404,A195,$B$5:$B$404,B195)&gt;1,"Trùng OptionOrder trong cùng choice",IF(OR(B195="",C195="",D195="",F195="",H195=""),"Thiếu trường bắt buộc",IF(OR(COUNTIF($A$5:$A$404,A195)&lt;2,COUNTIF($A$5:$A$404,A195)&gt;4),"Mỗi choice cần 2–4 option",IF(COUNTIFS('02_KICH_BAN_NODES'!$B$5:$B$204,A195,'02_KICH_BAN_NODES'!$E$5:$E$204,"Kiến thức")=1,IF(COUNTIFS($A$5:$A$404,A195,$D$5:$D$404,"Có")&lt;&gt;1,"Choice kiến thức cần đúng 1 đáp án đúng",""),IF(COUNTIFS('02_KICH_BAN_NODES'!$B$5:$B$204,A195,'02_KICH_BAN_NODES'!$E$5:$E$204,"Tương tác")=1,IF(COUNTIFS($A$5:$A$404,A195,$D$5:$D$404,"Có")&lt;&gt;0,"Choice tương tác không được đánh dấu đáp án đúng",""),"Choice chưa chọn loại")))))))</f>
        <v/>
      </c>
    </row>
    <row r="196" spans="1:11">
      <c r="A196" s="13"/>
      <c r="B196" s="13"/>
      <c r="C196" s="5"/>
      <c r="D196" s="13"/>
      <c r="E196" s="13"/>
      <c r="F196" s="13"/>
      <c r="G196" s="13"/>
      <c r="H196" s="5"/>
      <c r="I196" s="5"/>
      <c r="J196" s="6" t="str">
        <f t="shared" si="2"/>
        <v/>
      </c>
      <c r="K196" s="6" t="str">
        <f>IF(A196="","",IF(COUNTIFS('02_KICH_BAN_NODES'!$B$5:$B$204,A196,'02_KICH_BAN_NODES'!$D$5:$D$204,"choice")=0,"ChoiceNodeId không tồn tại hoặc không phải choice",IF(COUNTIFS($A$5:$A$404,A196,$B$5:$B$404,B196)&gt;1,"Trùng OptionOrder trong cùng choice",IF(OR(B196="",C196="",D196="",F196="",H196=""),"Thiếu trường bắt buộc",IF(OR(COUNTIF($A$5:$A$404,A196)&lt;2,COUNTIF($A$5:$A$404,A196)&gt;4),"Mỗi choice cần 2–4 option",IF(COUNTIFS('02_KICH_BAN_NODES'!$B$5:$B$204,A196,'02_KICH_BAN_NODES'!$E$5:$E$204,"Kiến thức")=1,IF(COUNTIFS($A$5:$A$404,A196,$D$5:$D$404,"Có")&lt;&gt;1,"Choice kiến thức cần đúng 1 đáp án đúng",""),IF(COUNTIFS('02_KICH_BAN_NODES'!$B$5:$B$204,A196,'02_KICH_BAN_NODES'!$E$5:$E$204,"Tương tác")=1,IF(COUNTIFS($A$5:$A$404,A196,$D$5:$D$404,"Có")&lt;&gt;0,"Choice tương tác không được đánh dấu đáp án đúng",""),"Choice chưa chọn loại")))))))</f>
        <v/>
      </c>
    </row>
    <row r="197" spans="1:11">
      <c r="A197" s="13"/>
      <c r="B197" s="13"/>
      <c r="C197" s="5"/>
      <c r="D197" s="13"/>
      <c r="E197" s="13"/>
      <c r="F197" s="13"/>
      <c r="G197" s="13"/>
      <c r="H197" s="5"/>
      <c r="I197" s="5"/>
      <c r="J197" s="6" t="str">
        <f t="shared" ref="J197:J260" si="3">IF(A197="","",IF(K197="","HỢP LỆ","CẦN SỬA"))</f>
        <v/>
      </c>
      <c r="K197" s="6" t="str">
        <f>IF(A197="","",IF(COUNTIFS('02_KICH_BAN_NODES'!$B$5:$B$204,A197,'02_KICH_BAN_NODES'!$D$5:$D$204,"choice")=0,"ChoiceNodeId không tồn tại hoặc không phải choice",IF(COUNTIFS($A$5:$A$404,A197,$B$5:$B$404,B197)&gt;1,"Trùng OptionOrder trong cùng choice",IF(OR(B197="",C197="",D197="",F197="",H197=""),"Thiếu trường bắt buộc",IF(OR(COUNTIF($A$5:$A$404,A197)&lt;2,COUNTIF($A$5:$A$404,A197)&gt;4),"Mỗi choice cần 2–4 option",IF(COUNTIFS('02_KICH_BAN_NODES'!$B$5:$B$204,A197,'02_KICH_BAN_NODES'!$E$5:$E$204,"Kiến thức")=1,IF(COUNTIFS($A$5:$A$404,A197,$D$5:$D$404,"Có")&lt;&gt;1,"Choice kiến thức cần đúng 1 đáp án đúng",""),IF(COUNTIFS('02_KICH_BAN_NODES'!$B$5:$B$204,A197,'02_KICH_BAN_NODES'!$E$5:$E$204,"Tương tác")=1,IF(COUNTIFS($A$5:$A$404,A197,$D$5:$D$404,"Có")&lt;&gt;0,"Choice tương tác không được đánh dấu đáp án đúng",""),"Choice chưa chọn loại")))))))</f>
        <v/>
      </c>
    </row>
    <row r="198" spans="1:11">
      <c r="A198" s="13"/>
      <c r="B198" s="13"/>
      <c r="C198" s="5"/>
      <c r="D198" s="13"/>
      <c r="E198" s="13"/>
      <c r="F198" s="13"/>
      <c r="G198" s="13"/>
      <c r="H198" s="5"/>
      <c r="I198" s="5"/>
      <c r="J198" s="6" t="str">
        <f t="shared" si="3"/>
        <v/>
      </c>
      <c r="K198" s="6" t="str">
        <f>IF(A198="","",IF(COUNTIFS('02_KICH_BAN_NODES'!$B$5:$B$204,A198,'02_KICH_BAN_NODES'!$D$5:$D$204,"choice")=0,"ChoiceNodeId không tồn tại hoặc không phải choice",IF(COUNTIFS($A$5:$A$404,A198,$B$5:$B$404,B198)&gt;1,"Trùng OptionOrder trong cùng choice",IF(OR(B198="",C198="",D198="",F198="",H198=""),"Thiếu trường bắt buộc",IF(OR(COUNTIF($A$5:$A$404,A198)&lt;2,COUNTIF($A$5:$A$404,A198)&gt;4),"Mỗi choice cần 2–4 option",IF(COUNTIFS('02_KICH_BAN_NODES'!$B$5:$B$204,A198,'02_KICH_BAN_NODES'!$E$5:$E$204,"Kiến thức")=1,IF(COUNTIFS($A$5:$A$404,A198,$D$5:$D$404,"Có")&lt;&gt;1,"Choice kiến thức cần đúng 1 đáp án đúng",""),IF(COUNTIFS('02_KICH_BAN_NODES'!$B$5:$B$204,A198,'02_KICH_BAN_NODES'!$E$5:$E$204,"Tương tác")=1,IF(COUNTIFS($A$5:$A$404,A198,$D$5:$D$404,"Có")&lt;&gt;0,"Choice tương tác không được đánh dấu đáp án đúng",""),"Choice chưa chọn loại")))))))</f>
        <v/>
      </c>
    </row>
    <row r="199" spans="1:11">
      <c r="A199" s="13"/>
      <c r="B199" s="13"/>
      <c r="C199" s="5"/>
      <c r="D199" s="13"/>
      <c r="E199" s="13"/>
      <c r="F199" s="13"/>
      <c r="G199" s="13"/>
      <c r="H199" s="5"/>
      <c r="I199" s="5"/>
      <c r="J199" s="6" t="str">
        <f t="shared" si="3"/>
        <v/>
      </c>
      <c r="K199" s="6" t="str">
        <f>IF(A199="","",IF(COUNTIFS('02_KICH_BAN_NODES'!$B$5:$B$204,A199,'02_KICH_BAN_NODES'!$D$5:$D$204,"choice")=0,"ChoiceNodeId không tồn tại hoặc không phải choice",IF(COUNTIFS($A$5:$A$404,A199,$B$5:$B$404,B199)&gt;1,"Trùng OptionOrder trong cùng choice",IF(OR(B199="",C199="",D199="",F199="",H199=""),"Thiếu trường bắt buộc",IF(OR(COUNTIF($A$5:$A$404,A199)&lt;2,COUNTIF($A$5:$A$404,A199)&gt;4),"Mỗi choice cần 2–4 option",IF(COUNTIFS('02_KICH_BAN_NODES'!$B$5:$B$204,A199,'02_KICH_BAN_NODES'!$E$5:$E$204,"Kiến thức")=1,IF(COUNTIFS($A$5:$A$404,A199,$D$5:$D$404,"Có")&lt;&gt;1,"Choice kiến thức cần đúng 1 đáp án đúng",""),IF(COUNTIFS('02_KICH_BAN_NODES'!$B$5:$B$204,A199,'02_KICH_BAN_NODES'!$E$5:$E$204,"Tương tác")=1,IF(COUNTIFS($A$5:$A$404,A199,$D$5:$D$404,"Có")&lt;&gt;0,"Choice tương tác không được đánh dấu đáp án đúng",""),"Choice chưa chọn loại")))))))</f>
        <v/>
      </c>
    </row>
    <row r="200" spans="1:11">
      <c r="A200" s="13"/>
      <c r="B200" s="13"/>
      <c r="C200" s="5"/>
      <c r="D200" s="13"/>
      <c r="E200" s="13"/>
      <c r="F200" s="13"/>
      <c r="G200" s="13"/>
      <c r="H200" s="5"/>
      <c r="I200" s="5"/>
      <c r="J200" s="6" t="str">
        <f t="shared" si="3"/>
        <v/>
      </c>
      <c r="K200" s="6" t="str">
        <f>IF(A200="","",IF(COUNTIFS('02_KICH_BAN_NODES'!$B$5:$B$204,A200,'02_KICH_BAN_NODES'!$D$5:$D$204,"choice")=0,"ChoiceNodeId không tồn tại hoặc không phải choice",IF(COUNTIFS($A$5:$A$404,A200,$B$5:$B$404,B200)&gt;1,"Trùng OptionOrder trong cùng choice",IF(OR(B200="",C200="",D200="",F200="",H200=""),"Thiếu trường bắt buộc",IF(OR(COUNTIF($A$5:$A$404,A200)&lt;2,COUNTIF($A$5:$A$404,A200)&gt;4),"Mỗi choice cần 2–4 option",IF(COUNTIFS('02_KICH_BAN_NODES'!$B$5:$B$204,A200,'02_KICH_BAN_NODES'!$E$5:$E$204,"Kiến thức")=1,IF(COUNTIFS($A$5:$A$404,A200,$D$5:$D$404,"Có")&lt;&gt;1,"Choice kiến thức cần đúng 1 đáp án đúng",""),IF(COUNTIFS('02_KICH_BAN_NODES'!$B$5:$B$204,A200,'02_KICH_BAN_NODES'!$E$5:$E$204,"Tương tác")=1,IF(COUNTIFS($A$5:$A$404,A200,$D$5:$D$404,"Có")&lt;&gt;0,"Choice tương tác không được đánh dấu đáp án đúng",""),"Choice chưa chọn loại")))))))</f>
        <v/>
      </c>
    </row>
    <row r="201" spans="1:11">
      <c r="A201" s="13"/>
      <c r="B201" s="13"/>
      <c r="C201" s="5"/>
      <c r="D201" s="13"/>
      <c r="E201" s="13"/>
      <c r="F201" s="13"/>
      <c r="G201" s="13"/>
      <c r="H201" s="5"/>
      <c r="I201" s="5"/>
      <c r="J201" s="6" t="str">
        <f t="shared" si="3"/>
        <v/>
      </c>
      <c r="K201" s="6" t="str">
        <f>IF(A201="","",IF(COUNTIFS('02_KICH_BAN_NODES'!$B$5:$B$204,A201,'02_KICH_BAN_NODES'!$D$5:$D$204,"choice")=0,"ChoiceNodeId không tồn tại hoặc không phải choice",IF(COUNTIFS($A$5:$A$404,A201,$B$5:$B$404,B201)&gt;1,"Trùng OptionOrder trong cùng choice",IF(OR(B201="",C201="",D201="",F201="",H201=""),"Thiếu trường bắt buộc",IF(OR(COUNTIF($A$5:$A$404,A201)&lt;2,COUNTIF($A$5:$A$404,A201)&gt;4),"Mỗi choice cần 2–4 option",IF(COUNTIFS('02_KICH_BAN_NODES'!$B$5:$B$204,A201,'02_KICH_BAN_NODES'!$E$5:$E$204,"Kiến thức")=1,IF(COUNTIFS($A$5:$A$404,A201,$D$5:$D$404,"Có")&lt;&gt;1,"Choice kiến thức cần đúng 1 đáp án đúng",""),IF(COUNTIFS('02_KICH_BAN_NODES'!$B$5:$B$204,A201,'02_KICH_BAN_NODES'!$E$5:$E$204,"Tương tác")=1,IF(COUNTIFS($A$5:$A$404,A201,$D$5:$D$404,"Có")&lt;&gt;0,"Choice tương tác không được đánh dấu đáp án đúng",""),"Choice chưa chọn loại")))))))</f>
        <v/>
      </c>
    </row>
    <row r="202" spans="1:11">
      <c r="A202" s="13"/>
      <c r="B202" s="13"/>
      <c r="C202" s="5"/>
      <c r="D202" s="13"/>
      <c r="E202" s="13"/>
      <c r="F202" s="13"/>
      <c r="G202" s="13"/>
      <c r="H202" s="5"/>
      <c r="I202" s="5"/>
      <c r="J202" s="6" t="str">
        <f t="shared" si="3"/>
        <v/>
      </c>
      <c r="K202" s="6" t="str">
        <f>IF(A202="","",IF(COUNTIFS('02_KICH_BAN_NODES'!$B$5:$B$204,A202,'02_KICH_BAN_NODES'!$D$5:$D$204,"choice")=0,"ChoiceNodeId không tồn tại hoặc không phải choice",IF(COUNTIFS($A$5:$A$404,A202,$B$5:$B$404,B202)&gt;1,"Trùng OptionOrder trong cùng choice",IF(OR(B202="",C202="",D202="",F202="",H202=""),"Thiếu trường bắt buộc",IF(OR(COUNTIF($A$5:$A$404,A202)&lt;2,COUNTIF($A$5:$A$404,A202)&gt;4),"Mỗi choice cần 2–4 option",IF(COUNTIFS('02_KICH_BAN_NODES'!$B$5:$B$204,A202,'02_KICH_BAN_NODES'!$E$5:$E$204,"Kiến thức")=1,IF(COUNTIFS($A$5:$A$404,A202,$D$5:$D$404,"Có")&lt;&gt;1,"Choice kiến thức cần đúng 1 đáp án đúng",""),IF(COUNTIFS('02_KICH_BAN_NODES'!$B$5:$B$204,A202,'02_KICH_BAN_NODES'!$E$5:$E$204,"Tương tác")=1,IF(COUNTIFS($A$5:$A$404,A202,$D$5:$D$404,"Có")&lt;&gt;0,"Choice tương tác không được đánh dấu đáp án đúng",""),"Choice chưa chọn loại")))))))</f>
        <v/>
      </c>
    </row>
    <row r="203" spans="1:11">
      <c r="A203" s="13"/>
      <c r="B203" s="13"/>
      <c r="C203" s="5"/>
      <c r="D203" s="13"/>
      <c r="E203" s="13"/>
      <c r="F203" s="13"/>
      <c r="G203" s="13"/>
      <c r="H203" s="5"/>
      <c r="I203" s="5"/>
      <c r="J203" s="6" t="str">
        <f t="shared" si="3"/>
        <v/>
      </c>
      <c r="K203" s="6" t="str">
        <f>IF(A203="","",IF(COUNTIFS('02_KICH_BAN_NODES'!$B$5:$B$204,A203,'02_KICH_BAN_NODES'!$D$5:$D$204,"choice")=0,"ChoiceNodeId không tồn tại hoặc không phải choice",IF(COUNTIFS($A$5:$A$404,A203,$B$5:$B$404,B203)&gt;1,"Trùng OptionOrder trong cùng choice",IF(OR(B203="",C203="",D203="",F203="",H203=""),"Thiếu trường bắt buộc",IF(OR(COUNTIF($A$5:$A$404,A203)&lt;2,COUNTIF($A$5:$A$404,A203)&gt;4),"Mỗi choice cần 2–4 option",IF(COUNTIFS('02_KICH_BAN_NODES'!$B$5:$B$204,A203,'02_KICH_BAN_NODES'!$E$5:$E$204,"Kiến thức")=1,IF(COUNTIFS($A$5:$A$404,A203,$D$5:$D$404,"Có")&lt;&gt;1,"Choice kiến thức cần đúng 1 đáp án đúng",""),IF(COUNTIFS('02_KICH_BAN_NODES'!$B$5:$B$204,A203,'02_KICH_BAN_NODES'!$E$5:$E$204,"Tương tác")=1,IF(COUNTIFS($A$5:$A$404,A203,$D$5:$D$404,"Có")&lt;&gt;0,"Choice tương tác không được đánh dấu đáp án đúng",""),"Choice chưa chọn loại")))))))</f>
        <v/>
      </c>
    </row>
    <row r="204" spans="1:11">
      <c r="A204" s="13"/>
      <c r="B204" s="13"/>
      <c r="C204" s="5"/>
      <c r="D204" s="13"/>
      <c r="E204" s="13"/>
      <c r="F204" s="13"/>
      <c r="G204" s="13"/>
      <c r="H204" s="5"/>
      <c r="I204" s="5"/>
      <c r="J204" s="6" t="str">
        <f t="shared" si="3"/>
        <v/>
      </c>
      <c r="K204" s="6" t="str">
        <f>IF(A204="","",IF(COUNTIFS('02_KICH_BAN_NODES'!$B$5:$B$204,A204,'02_KICH_BAN_NODES'!$D$5:$D$204,"choice")=0,"ChoiceNodeId không tồn tại hoặc không phải choice",IF(COUNTIFS($A$5:$A$404,A204,$B$5:$B$404,B204)&gt;1,"Trùng OptionOrder trong cùng choice",IF(OR(B204="",C204="",D204="",F204="",H204=""),"Thiếu trường bắt buộc",IF(OR(COUNTIF($A$5:$A$404,A204)&lt;2,COUNTIF($A$5:$A$404,A204)&gt;4),"Mỗi choice cần 2–4 option",IF(COUNTIFS('02_KICH_BAN_NODES'!$B$5:$B$204,A204,'02_KICH_BAN_NODES'!$E$5:$E$204,"Kiến thức")=1,IF(COUNTIFS($A$5:$A$404,A204,$D$5:$D$404,"Có")&lt;&gt;1,"Choice kiến thức cần đúng 1 đáp án đúng",""),IF(COUNTIFS('02_KICH_BAN_NODES'!$B$5:$B$204,A204,'02_KICH_BAN_NODES'!$E$5:$E$204,"Tương tác")=1,IF(COUNTIFS($A$5:$A$404,A204,$D$5:$D$404,"Có")&lt;&gt;0,"Choice tương tác không được đánh dấu đáp án đúng",""),"Choice chưa chọn loại")))))))</f>
        <v/>
      </c>
    </row>
    <row r="205" spans="1:11">
      <c r="A205" s="13"/>
      <c r="B205" s="13"/>
      <c r="C205" s="5"/>
      <c r="D205" s="13"/>
      <c r="E205" s="13"/>
      <c r="F205" s="13"/>
      <c r="G205" s="13"/>
      <c r="H205" s="5"/>
      <c r="I205" s="5"/>
      <c r="J205" s="6" t="str">
        <f t="shared" si="3"/>
        <v/>
      </c>
      <c r="K205" s="6" t="str">
        <f>IF(A205="","",IF(COUNTIFS('02_KICH_BAN_NODES'!$B$5:$B$204,A205,'02_KICH_BAN_NODES'!$D$5:$D$204,"choice")=0,"ChoiceNodeId không tồn tại hoặc không phải choice",IF(COUNTIFS($A$5:$A$404,A205,$B$5:$B$404,B205)&gt;1,"Trùng OptionOrder trong cùng choice",IF(OR(B205="",C205="",D205="",F205="",H205=""),"Thiếu trường bắt buộc",IF(OR(COUNTIF($A$5:$A$404,A205)&lt;2,COUNTIF($A$5:$A$404,A205)&gt;4),"Mỗi choice cần 2–4 option",IF(COUNTIFS('02_KICH_BAN_NODES'!$B$5:$B$204,A205,'02_KICH_BAN_NODES'!$E$5:$E$204,"Kiến thức")=1,IF(COUNTIFS($A$5:$A$404,A205,$D$5:$D$404,"Có")&lt;&gt;1,"Choice kiến thức cần đúng 1 đáp án đúng",""),IF(COUNTIFS('02_KICH_BAN_NODES'!$B$5:$B$204,A205,'02_KICH_BAN_NODES'!$E$5:$E$204,"Tương tác")=1,IF(COUNTIFS($A$5:$A$404,A205,$D$5:$D$404,"Có")&lt;&gt;0,"Choice tương tác không được đánh dấu đáp án đúng",""),"Choice chưa chọn loại")))))))</f>
        <v/>
      </c>
    </row>
    <row r="206" spans="1:11">
      <c r="A206" s="13"/>
      <c r="B206" s="13"/>
      <c r="C206" s="5"/>
      <c r="D206" s="13"/>
      <c r="E206" s="13"/>
      <c r="F206" s="13"/>
      <c r="G206" s="13"/>
      <c r="H206" s="5"/>
      <c r="I206" s="5"/>
      <c r="J206" s="6" t="str">
        <f t="shared" si="3"/>
        <v/>
      </c>
      <c r="K206" s="6" t="str">
        <f>IF(A206="","",IF(COUNTIFS('02_KICH_BAN_NODES'!$B$5:$B$204,A206,'02_KICH_BAN_NODES'!$D$5:$D$204,"choice")=0,"ChoiceNodeId không tồn tại hoặc không phải choice",IF(COUNTIFS($A$5:$A$404,A206,$B$5:$B$404,B206)&gt;1,"Trùng OptionOrder trong cùng choice",IF(OR(B206="",C206="",D206="",F206="",H206=""),"Thiếu trường bắt buộc",IF(OR(COUNTIF($A$5:$A$404,A206)&lt;2,COUNTIF($A$5:$A$404,A206)&gt;4),"Mỗi choice cần 2–4 option",IF(COUNTIFS('02_KICH_BAN_NODES'!$B$5:$B$204,A206,'02_KICH_BAN_NODES'!$E$5:$E$204,"Kiến thức")=1,IF(COUNTIFS($A$5:$A$404,A206,$D$5:$D$404,"Có")&lt;&gt;1,"Choice kiến thức cần đúng 1 đáp án đúng",""),IF(COUNTIFS('02_KICH_BAN_NODES'!$B$5:$B$204,A206,'02_KICH_BAN_NODES'!$E$5:$E$204,"Tương tác")=1,IF(COUNTIFS($A$5:$A$404,A206,$D$5:$D$404,"Có")&lt;&gt;0,"Choice tương tác không được đánh dấu đáp án đúng",""),"Choice chưa chọn loại")))))))</f>
        <v/>
      </c>
    </row>
    <row r="207" spans="1:11">
      <c r="A207" s="13"/>
      <c r="B207" s="13"/>
      <c r="C207" s="5"/>
      <c r="D207" s="13"/>
      <c r="E207" s="13"/>
      <c r="F207" s="13"/>
      <c r="G207" s="13"/>
      <c r="H207" s="5"/>
      <c r="I207" s="5"/>
      <c r="J207" s="6" t="str">
        <f t="shared" si="3"/>
        <v/>
      </c>
      <c r="K207" s="6" t="str">
        <f>IF(A207="","",IF(COUNTIFS('02_KICH_BAN_NODES'!$B$5:$B$204,A207,'02_KICH_BAN_NODES'!$D$5:$D$204,"choice")=0,"ChoiceNodeId không tồn tại hoặc không phải choice",IF(COUNTIFS($A$5:$A$404,A207,$B$5:$B$404,B207)&gt;1,"Trùng OptionOrder trong cùng choice",IF(OR(B207="",C207="",D207="",F207="",H207=""),"Thiếu trường bắt buộc",IF(OR(COUNTIF($A$5:$A$404,A207)&lt;2,COUNTIF($A$5:$A$404,A207)&gt;4),"Mỗi choice cần 2–4 option",IF(COUNTIFS('02_KICH_BAN_NODES'!$B$5:$B$204,A207,'02_KICH_BAN_NODES'!$E$5:$E$204,"Kiến thức")=1,IF(COUNTIFS($A$5:$A$404,A207,$D$5:$D$404,"Có")&lt;&gt;1,"Choice kiến thức cần đúng 1 đáp án đúng",""),IF(COUNTIFS('02_KICH_BAN_NODES'!$B$5:$B$204,A207,'02_KICH_BAN_NODES'!$E$5:$E$204,"Tương tác")=1,IF(COUNTIFS($A$5:$A$404,A207,$D$5:$D$404,"Có")&lt;&gt;0,"Choice tương tác không được đánh dấu đáp án đúng",""),"Choice chưa chọn loại")))))))</f>
        <v/>
      </c>
    </row>
    <row r="208" spans="1:11">
      <c r="A208" s="13"/>
      <c r="B208" s="13"/>
      <c r="C208" s="5"/>
      <c r="D208" s="13"/>
      <c r="E208" s="13"/>
      <c r="F208" s="13"/>
      <c r="G208" s="13"/>
      <c r="H208" s="5"/>
      <c r="I208" s="5"/>
      <c r="J208" s="6" t="str">
        <f t="shared" si="3"/>
        <v/>
      </c>
      <c r="K208" s="6" t="str">
        <f>IF(A208="","",IF(COUNTIFS('02_KICH_BAN_NODES'!$B$5:$B$204,A208,'02_KICH_BAN_NODES'!$D$5:$D$204,"choice")=0,"ChoiceNodeId không tồn tại hoặc không phải choice",IF(COUNTIFS($A$5:$A$404,A208,$B$5:$B$404,B208)&gt;1,"Trùng OptionOrder trong cùng choice",IF(OR(B208="",C208="",D208="",F208="",H208=""),"Thiếu trường bắt buộc",IF(OR(COUNTIF($A$5:$A$404,A208)&lt;2,COUNTIF($A$5:$A$404,A208)&gt;4),"Mỗi choice cần 2–4 option",IF(COUNTIFS('02_KICH_BAN_NODES'!$B$5:$B$204,A208,'02_KICH_BAN_NODES'!$E$5:$E$204,"Kiến thức")=1,IF(COUNTIFS($A$5:$A$404,A208,$D$5:$D$404,"Có")&lt;&gt;1,"Choice kiến thức cần đúng 1 đáp án đúng",""),IF(COUNTIFS('02_KICH_BAN_NODES'!$B$5:$B$204,A208,'02_KICH_BAN_NODES'!$E$5:$E$204,"Tương tác")=1,IF(COUNTIFS($A$5:$A$404,A208,$D$5:$D$404,"Có")&lt;&gt;0,"Choice tương tác không được đánh dấu đáp án đúng",""),"Choice chưa chọn loại")))))))</f>
        <v/>
      </c>
    </row>
    <row r="209" spans="1:11">
      <c r="A209" s="13"/>
      <c r="B209" s="13"/>
      <c r="C209" s="5"/>
      <c r="D209" s="13"/>
      <c r="E209" s="13"/>
      <c r="F209" s="13"/>
      <c r="G209" s="13"/>
      <c r="H209" s="5"/>
      <c r="I209" s="5"/>
      <c r="J209" s="6" t="str">
        <f t="shared" si="3"/>
        <v/>
      </c>
      <c r="K209" s="6" t="str">
        <f>IF(A209="","",IF(COUNTIFS('02_KICH_BAN_NODES'!$B$5:$B$204,A209,'02_KICH_BAN_NODES'!$D$5:$D$204,"choice")=0,"ChoiceNodeId không tồn tại hoặc không phải choice",IF(COUNTIFS($A$5:$A$404,A209,$B$5:$B$404,B209)&gt;1,"Trùng OptionOrder trong cùng choice",IF(OR(B209="",C209="",D209="",F209="",H209=""),"Thiếu trường bắt buộc",IF(OR(COUNTIF($A$5:$A$404,A209)&lt;2,COUNTIF($A$5:$A$404,A209)&gt;4),"Mỗi choice cần 2–4 option",IF(COUNTIFS('02_KICH_BAN_NODES'!$B$5:$B$204,A209,'02_KICH_BAN_NODES'!$E$5:$E$204,"Kiến thức")=1,IF(COUNTIFS($A$5:$A$404,A209,$D$5:$D$404,"Có")&lt;&gt;1,"Choice kiến thức cần đúng 1 đáp án đúng",""),IF(COUNTIFS('02_KICH_BAN_NODES'!$B$5:$B$204,A209,'02_KICH_BAN_NODES'!$E$5:$E$204,"Tương tác")=1,IF(COUNTIFS($A$5:$A$404,A209,$D$5:$D$404,"Có")&lt;&gt;0,"Choice tương tác không được đánh dấu đáp án đúng",""),"Choice chưa chọn loại")))))))</f>
        <v/>
      </c>
    </row>
    <row r="210" spans="1:11">
      <c r="A210" s="13"/>
      <c r="B210" s="13"/>
      <c r="C210" s="5"/>
      <c r="D210" s="13"/>
      <c r="E210" s="13"/>
      <c r="F210" s="13"/>
      <c r="G210" s="13"/>
      <c r="H210" s="5"/>
      <c r="I210" s="5"/>
      <c r="J210" s="6" t="str">
        <f t="shared" si="3"/>
        <v/>
      </c>
      <c r="K210" s="6" t="str">
        <f>IF(A210="","",IF(COUNTIFS('02_KICH_BAN_NODES'!$B$5:$B$204,A210,'02_KICH_BAN_NODES'!$D$5:$D$204,"choice")=0,"ChoiceNodeId không tồn tại hoặc không phải choice",IF(COUNTIFS($A$5:$A$404,A210,$B$5:$B$404,B210)&gt;1,"Trùng OptionOrder trong cùng choice",IF(OR(B210="",C210="",D210="",F210="",H210=""),"Thiếu trường bắt buộc",IF(OR(COUNTIF($A$5:$A$404,A210)&lt;2,COUNTIF($A$5:$A$404,A210)&gt;4),"Mỗi choice cần 2–4 option",IF(COUNTIFS('02_KICH_BAN_NODES'!$B$5:$B$204,A210,'02_KICH_BAN_NODES'!$E$5:$E$204,"Kiến thức")=1,IF(COUNTIFS($A$5:$A$404,A210,$D$5:$D$404,"Có")&lt;&gt;1,"Choice kiến thức cần đúng 1 đáp án đúng",""),IF(COUNTIFS('02_KICH_BAN_NODES'!$B$5:$B$204,A210,'02_KICH_BAN_NODES'!$E$5:$E$204,"Tương tác")=1,IF(COUNTIFS($A$5:$A$404,A210,$D$5:$D$404,"Có")&lt;&gt;0,"Choice tương tác không được đánh dấu đáp án đúng",""),"Choice chưa chọn loại")))))))</f>
        <v/>
      </c>
    </row>
    <row r="211" spans="1:11">
      <c r="A211" s="13"/>
      <c r="B211" s="13"/>
      <c r="C211" s="5"/>
      <c r="D211" s="13"/>
      <c r="E211" s="13"/>
      <c r="F211" s="13"/>
      <c r="G211" s="13"/>
      <c r="H211" s="5"/>
      <c r="I211" s="5"/>
      <c r="J211" s="6" t="str">
        <f t="shared" si="3"/>
        <v/>
      </c>
      <c r="K211" s="6" t="str">
        <f>IF(A211="","",IF(COUNTIFS('02_KICH_BAN_NODES'!$B$5:$B$204,A211,'02_KICH_BAN_NODES'!$D$5:$D$204,"choice")=0,"ChoiceNodeId không tồn tại hoặc không phải choice",IF(COUNTIFS($A$5:$A$404,A211,$B$5:$B$404,B211)&gt;1,"Trùng OptionOrder trong cùng choice",IF(OR(B211="",C211="",D211="",F211="",H211=""),"Thiếu trường bắt buộc",IF(OR(COUNTIF($A$5:$A$404,A211)&lt;2,COUNTIF($A$5:$A$404,A211)&gt;4),"Mỗi choice cần 2–4 option",IF(COUNTIFS('02_KICH_BAN_NODES'!$B$5:$B$204,A211,'02_KICH_BAN_NODES'!$E$5:$E$204,"Kiến thức")=1,IF(COUNTIFS($A$5:$A$404,A211,$D$5:$D$404,"Có")&lt;&gt;1,"Choice kiến thức cần đúng 1 đáp án đúng",""),IF(COUNTIFS('02_KICH_BAN_NODES'!$B$5:$B$204,A211,'02_KICH_BAN_NODES'!$E$5:$E$204,"Tương tác")=1,IF(COUNTIFS($A$5:$A$404,A211,$D$5:$D$404,"Có")&lt;&gt;0,"Choice tương tác không được đánh dấu đáp án đúng",""),"Choice chưa chọn loại")))))))</f>
        <v/>
      </c>
    </row>
    <row r="212" spans="1:11">
      <c r="A212" s="13"/>
      <c r="B212" s="13"/>
      <c r="C212" s="5"/>
      <c r="D212" s="13"/>
      <c r="E212" s="13"/>
      <c r="F212" s="13"/>
      <c r="G212" s="13"/>
      <c r="H212" s="5"/>
      <c r="I212" s="5"/>
      <c r="J212" s="6" t="str">
        <f t="shared" si="3"/>
        <v/>
      </c>
      <c r="K212" s="6" t="str">
        <f>IF(A212="","",IF(COUNTIFS('02_KICH_BAN_NODES'!$B$5:$B$204,A212,'02_KICH_BAN_NODES'!$D$5:$D$204,"choice")=0,"ChoiceNodeId không tồn tại hoặc không phải choice",IF(COUNTIFS($A$5:$A$404,A212,$B$5:$B$404,B212)&gt;1,"Trùng OptionOrder trong cùng choice",IF(OR(B212="",C212="",D212="",F212="",H212=""),"Thiếu trường bắt buộc",IF(OR(COUNTIF($A$5:$A$404,A212)&lt;2,COUNTIF($A$5:$A$404,A212)&gt;4),"Mỗi choice cần 2–4 option",IF(COUNTIFS('02_KICH_BAN_NODES'!$B$5:$B$204,A212,'02_KICH_BAN_NODES'!$E$5:$E$204,"Kiến thức")=1,IF(COUNTIFS($A$5:$A$404,A212,$D$5:$D$404,"Có")&lt;&gt;1,"Choice kiến thức cần đúng 1 đáp án đúng",""),IF(COUNTIFS('02_KICH_BAN_NODES'!$B$5:$B$204,A212,'02_KICH_BAN_NODES'!$E$5:$E$204,"Tương tác")=1,IF(COUNTIFS($A$5:$A$404,A212,$D$5:$D$404,"Có")&lt;&gt;0,"Choice tương tác không được đánh dấu đáp án đúng",""),"Choice chưa chọn loại")))))))</f>
        <v/>
      </c>
    </row>
    <row r="213" spans="1:11">
      <c r="A213" s="13"/>
      <c r="B213" s="13"/>
      <c r="C213" s="5"/>
      <c r="D213" s="13"/>
      <c r="E213" s="13"/>
      <c r="F213" s="13"/>
      <c r="G213" s="13"/>
      <c r="H213" s="5"/>
      <c r="I213" s="5"/>
      <c r="J213" s="6" t="str">
        <f t="shared" si="3"/>
        <v/>
      </c>
      <c r="K213" s="6" t="str">
        <f>IF(A213="","",IF(COUNTIFS('02_KICH_BAN_NODES'!$B$5:$B$204,A213,'02_KICH_BAN_NODES'!$D$5:$D$204,"choice")=0,"ChoiceNodeId không tồn tại hoặc không phải choice",IF(COUNTIFS($A$5:$A$404,A213,$B$5:$B$404,B213)&gt;1,"Trùng OptionOrder trong cùng choice",IF(OR(B213="",C213="",D213="",F213="",H213=""),"Thiếu trường bắt buộc",IF(OR(COUNTIF($A$5:$A$404,A213)&lt;2,COUNTIF($A$5:$A$404,A213)&gt;4),"Mỗi choice cần 2–4 option",IF(COUNTIFS('02_KICH_BAN_NODES'!$B$5:$B$204,A213,'02_KICH_BAN_NODES'!$E$5:$E$204,"Kiến thức")=1,IF(COUNTIFS($A$5:$A$404,A213,$D$5:$D$404,"Có")&lt;&gt;1,"Choice kiến thức cần đúng 1 đáp án đúng",""),IF(COUNTIFS('02_KICH_BAN_NODES'!$B$5:$B$204,A213,'02_KICH_BAN_NODES'!$E$5:$E$204,"Tương tác")=1,IF(COUNTIFS($A$5:$A$404,A213,$D$5:$D$404,"Có")&lt;&gt;0,"Choice tương tác không được đánh dấu đáp án đúng",""),"Choice chưa chọn loại")))))))</f>
        <v/>
      </c>
    </row>
    <row r="214" spans="1:11">
      <c r="A214" s="13"/>
      <c r="B214" s="13"/>
      <c r="C214" s="5"/>
      <c r="D214" s="13"/>
      <c r="E214" s="13"/>
      <c r="F214" s="13"/>
      <c r="G214" s="13"/>
      <c r="H214" s="5"/>
      <c r="I214" s="5"/>
      <c r="J214" s="6" t="str">
        <f t="shared" si="3"/>
        <v/>
      </c>
      <c r="K214" s="6" t="str">
        <f>IF(A214="","",IF(COUNTIFS('02_KICH_BAN_NODES'!$B$5:$B$204,A214,'02_KICH_BAN_NODES'!$D$5:$D$204,"choice")=0,"ChoiceNodeId không tồn tại hoặc không phải choice",IF(COUNTIFS($A$5:$A$404,A214,$B$5:$B$404,B214)&gt;1,"Trùng OptionOrder trong cùng choice",IF(OR(B214="",C214="",D214="",F214="",H214=""),"Thiếu trường bắt buộc",IF(OR(COUNTIF($A$5:$A$404,A214)&lt;2,COUNTIF($A$5:$A$404,A214)&gt;4),"Mỗi choice cần 2–4 option",IF(COUNTIFS('02_KICH_BAN_NODES'!$B$5:$B$204,A214,'02_KICH_BAN_NODES'!$E$5:$E$204,"Kiến thức")=1,IF(COUNTIFS($A$5:$A$404,A214,$D$5:$D$404,"Có")&lt;&gt;1,"Choice kiến thức cần đúng 1 đáp án đúng",""),IF(COUNTIFS('02_KICH_BAN_NODES'!$B$5:$B$204,A214,'02_KICH_BAN_NODES'!$E$5:$E$204,"Tương tác")=1,IF(COUNTIFS($A$5:$A$404,A214,$D$5:$D$404,"Có")&lt;&gt;0,"Choice tương tác không được đánh dấu đáp án đúng",""),"Choice chưa chọn loại")))))))</f>
        <v/>
      </c>
    </row>
    <row r="215" spans="1:11">
      <c r="A215" s="13"/>
      <c r="B215" s="13"/>
      <c r="C215" s="5"/>
      <c r="D215" s="13"/>
      <c r="E215" s="13"/>
      <c r="F215" s="13"/>
      <c r="G215" s="13"/>
      <c r="H215" s="5"/>
      <c r="I215" s="5"/>
      <c r="J215" s="6" t="str">
        <f t="shared" si="3"/>
        <v/>
      </c>
      <c r="K215" s="6" t="str">
        <f>IF(A215="","",IF(COUNTIFS('02_KICH_BAN_NODES'!$B$5:$B$204,A215,'02_KICH_BAN_NODES'!$D$5:$D$204,"choice")=0,"ChoiceNodeId không tồn tại hoặc không phải choice",IF(COUNTIFS($A$5:$A$404,A215,$B$5:$B$404,B215)&gt;1,"Trùng OptionOrder trong cùng choice",IF(OR(B215="",C215="",D215="",F215="",H215=""),"Thiếu trường bắt buộc",IF(OR(COUNTIF($A$5:$A$404,A215)&lt;2,COUNTIF($A$5:$A$404,A215)&gt;4),"Mỗi choice cần 2–4 option",IF(COUNTIFS('02_KICH_BAN_NODES'!$B$5:$B$204,A215,'02_KICH_BAN_NODES'!$E$5:$E$204,"Kiến thức")=1,IF(COUNTIFS($A$5:$A$404,A215,$D$5:$D$404,"Có")&lt;&gt;1,"Choice kiến thức cần đúng 1 đáp án đúng",""),IF(COUNTIFS('02_KICH_BAN_NODES'!$B$5:$B$204,A215,'02_KICH_BAN_NODES'!$E$5:$E$204,"Tương tác")=1,IF(COUNTIFS($A$5:$A$404,A215,$D$5:$D$404,"Có")&lt;&gt;0,"Choice tương tác không được đánh dấu đáp án đúng",""),"Choice chưa chọn loại")))))))</f>
        <v/>
      </c>
    </row>
    <row r="216" spans="1:11">
      <c r="A216" s="13"/>
      <c r="B216" s="13"/>
      <c r="C216" s="5"/>
      <c r="D216" s="13"/>
      <c r="E216" s="13"/>
      <c r="F216" s="13"/>
      <c r="G216" s="13"/>
      <c r="H216" s="5"/>
      <c r="I216" s="5"/>
      <c r="J216" s="6" t="str">
        <f t="shared" si="3"/>
        <v/>
      </c>
      <c r="K216" s="6" t="str">
        <f>IF(A216="","",IF(COUNTIFS('02_KICH_BAN_NODES'!$B$5:$B$204,A216,'02_KICH_BAN_NODES'!$D$5:$D$204,"choice")=0,"ChoiceNodeId không tồn tại hoặc không phải choice",IF(COUNTIFS($A$5:$A$404,A216,$B$5:$B$404,B216)&gt;1,"Trùng OptionOrder trong cùng choice",IF(OR(B216="",C216="",D216="",F216="",H216=""),"Thiếu trường bắt buộc",IF(OR(COUNTIF($A$5:$A$404,A216)&lt;2,COUNTIF($A$5:$A$404,A216)&gt;4),"Mỗi choice cần 2–4 option",IF(COUNTIFS('02_KICH_BAN_NODES'!$B$5:$B$204,A216,'02_KICH_BAN_NODES'!$E$5:$E$204,"Kiến thức")=1,IF(COUNTIFS($A$5:$A$404,A216,$D$5:$D$404,"Có")&lt;&gt;1,"Choice kiến thức cần đúng 1 đáp án đúng",""),IF(COUNTIFS('02_KICH_BAN_NODES'!$B$5:$B$204,A216,'02_KICH_BAN_NODES'!$E$5:$E$204,"Tương tác")=1,IF(COUNTIFS($A$5:$A$404,A216,$D$5:$D$404,"Có")&lt;&gt;0,"Choice tương tác không được đánh dấu đáp án đúng",""),"Choice chưa chọn loại")))))))</f>
        <v/>
      </c>
    </row>
    <row r="217" spans="1:11">
      <c r="A217" s="13"/>
      <c r="B217" s="13"/>
      <c r="C217" s="5"/>
      <c r="D217" s="13"/>
      <c r="E217" s="13"/>
      <c r="F217" s="13"/>
      <c r="G217" s="13"/>
      <c r="H217" s="5"/>
      <c r="I217" s="5"/>
      <c r="J217" s="6" t="str">
        <f t="shared" si="3"/>
        <v/>
      </c>
      <c r="K217" s="6" t="str">
        <f>IF(A217="","",IF(COUNTIFS('02_KICH_BAN_NODES'!$B$5:$B$204,A217,'02_KICH_BAN_NODES'!$D$5:$D$204,"choice")=0,"ChoiceNodeId không tồn tại hoặc không phải choice",IF(COUNTIFS($A$5:$A$404,A217,$B$5:$B$404,B217)&gt;1,"Trùng OptionOrder trong cùng choice",IF(OR(B217="",C217="",D217="",F217="",H217=""),"Thiếu trường bắt buộc",IF(OR(COUNTIF($A$5:$A$404,A217)&lt;2,COUNTIF($A$5:$A$404,A217)&gt;4),"Mỗi choice cần 2–4 option",IF(COUNTIFS('02_KICH_BAN_NODES'!$B$5:$B$204,A217,'02_KICH_BAN_NODES'!$E$5:$E$204,"Kiến thức")=1,IF(COUNTIFS($A$5:$A$404,A217,$D$5:$D$404,"Có")&lt;&gt;1,"Choice kiến thức cần đúng 1 đáp án đúng",""),IF(COUNTIFS('02_KICH_BAN_NODES'!$B$5:$B$204,A217,'02_KICH_BAN_NODES'!$E$5:$E$204,"Tương tác")=1,IF(COUNTIFS($A$5:$A$404,A217,$D$5:$D$404,"Có")&lt;&gt;0,"Choice tương tác không được đánh dấu đáp án đúng",""),"Choice chưa chọn loại")))))))</f>
        <v/>
      </c>
    </row>
    <row r="218" spans="1:11">
      <c r="A218" s="13"/>
      <c r="B218" s="13"/>
      <c r="C218" s="5"/>
      <c r="D218" s="13"/>
      <c r="E218" s="13"/>
      <c r="F218" s="13"/>
      <c r="G218" s="13"/>
      <c r="H218" s="5"/>
      <c r="I218" s="5"/>
      <c r="J218" s="6" t="str">
        <f t="shared" si="3"/>
        <v/>
      </c>
      <c r="K218" s="6" t="str">
        <f>IF(A218="","",IF(COUNTIFS('02_KICH_BAN_NODES'!$B$5:$B$204,A218,'02_KICH_BAN_NODES'!$D$5:$D$204,"choice")=0,"ChoiceNodeId không tồn tại hoặc không phải choice",IF(COUNTIFS($A$5:$A$404,A218,$B$5:$B$404,B218)&gt;1,"Trùng OptionOrder trong cùng choice",IF(OR(B218="",C218="",D218="",F218="",H218=""),"Thiếu trường bắt buộc",IF(OR(COUNTIF($A$5:$A$404,A218)&lt;2,COUNTIF($A$5:$A$404,A218)&gt;4),"Mỗi choice cần 2–4 option",IF(COUNTIFS('02_KICH_BAN_NODES'!$B$5:$B$204,A218,'02_KICH_BAN_NODES'!$E$5:$E$204,"Kiến thức")=1,IF(COUNTIFS($A$5:$A$404,A218,$D$5:$D$404,"Có")&lt;&gt;1,"Choice kiến thức cần đúng 1 đáp án đúng",""),IF(COUNTIFS('02_KICH_BAN_NODES'!$B$5:$B$204,A218,'02_KICH_BAN_NODES'!$E$5:$E$204,"Tương tác")=1,IF(COUNTIFS($A$5:$A$404,A218,$D$5:$D$404,"Có")&lt;&gt;0,"Choice tương tác không được đánh dấu đáp án đúng",""),"Choice chưa chọn loại")))))))</f>
        <v/>
      </c>
    </row>
    <row r="219" spans="1:11">
      <c r="A219" s="13"/>
      <c r="B219" s="13"/>
      <c r="C219" s="5"/>
      <c r="D219" s="13"/>
      <c r="E219" s="13"/>
      <c r="F219" s="13"/>
      <c r="G219" s="13"/>
      <c r="H219" s="5"/>
      <c r="I219" s="5"/>
      <c r="J219" s="6" t="str">
        <f t="shared" si="3"/>
        <v/>
      </c>
      <c r="K219" s="6" t="str">
        <f>IF(A219="","",IF(COUNTIFS('02_KICH_BAN_NODES'!$B$5:$B$204,A219,'02_KICH_BAN_NODES'!$D$5:$D$204,"choice")=0,"ChoiceNodeId không tồn tại hoặc không phải choice",IF(COUNTIFS($A$5:$A$404,A219,$B$5:$B$404,B219)&gt;1,"Trùng OptionOrder trong cùng choice",IF(OR(B219="",C219="",D219="",F219="",H219=""),"Thiếu trường bắt buộc",IF(OR(COUNTIF($A$5:$A$404,A219)&lt;2,COUNTIF($A$5:$A$404,A219)&gt;4),"Mỗi choice cần 2–4 option",IF(COUNTIFS('02_KICH_BAN_NODES'!$B$5:$B$204,A219,'02_KICH_BAN_NODES'!$E$5:$E$204,"Kiến thức")=1,IF(COUNTIFS($A$5:$A$404,A219,$D$5:$D$404,"Có")&lt;&gt;1,"Choice kiến thức cần đúng 1 đáp án đúng",""),IF(COUNTIFS('02_KICH_BAN_NODES'!$B$5:$B$204,A219,'02_KICH_BAN_NODES'!$E$5:$E$204,"Tương tác")=1,IF(COUNTIFS($A$5:$A$404,A219,$D$5:$D$404,"Có")&lt;&gt;0,"Choice tương tác không được đánh dấu đáp án đúng",""),"Choice chưa chọn loại")))))))</f>
        <v/>
      </c>
    </row>
    <row r="220" spans="1:11">
      <c r="A220" s="13"/>
      <c r="B220" s="13"/>
      <c r="C220" s="5"/>
      <c r="D220" s="13"/>
      <c r="E220" s="13"/>
      <c r="F220" s="13"/>
      <c r="G220" s="13"/>
      <c r="H220" s="5"/>
      <c r="I220" s="5"/>
      <c r="J220" s="6" t="str">
        <f t="shared" si="3"/>
        <v/>
      </c>
      <c r="K220" s="6" t="str">
        <f>IF(A220="","",IF(COUNTIFS('02_KICH_BAN_NODES'!$B$5:$B$204,A220,'02_KICH_BAN_NODES'!$D$5:$D$204,"choice")=0,"ChoiceNodeId không tồn tại hoặc không phải choice",IF(COUNTIFS($A$5:$A$404,A220,$B$5:$B$404,B220)&gt;1,"Trùng OptionOrder trong cùng choice",IF(OR(B220="",C220="",D220="",F220="",H220=""),"Thiếu trường bắt buộc",IF(OR(COUNTIF($A$5:$A$404,A220)&lt;2,COUNTIF($A$5:$A$404,A220)&gt;4),"Mỗi choice cần 2–4 option",IF(COUNTIFS('02_KICH_BAN_NODES'!$B$5:$B$204,A220,'02_KICH_BAN_NODES'!$E$5:$E$204,"Kiến thức")=1,IF(COUNTIFS($A$5:$A$404,A220,$D$5:$D$404,"Có")&lt;&gt;1,"Choice kiến thức cần đúng 1 đáp án đúng",""),IF(COUNTIFS('02_KICH_BAN_NODES'!$B$5:$B$204,A220,'02_KICH_BAN_NODES'!$E$5:$E$204,"Tương tác")=1,IF(COUNTIFS($A$5:$A$404,A220,$D$5:$D$404,"Có")&lt;&gt;0,"Choice tương tác không được đánh dấu đáp án đúng",""),"Choice chưa chọn loại")))))))</f>
        <v/>
      </c>
    </row>
    <row r="221" spans="1:11">
      <c r="A221" s="13"/>
      <c r="B221" s="13"/>
      <c r="C221" s="5"/>
      <c r="D221" s="13"/>
      <c r="E221" s="13"/>
      <c r="F221" s="13"/>
      <c r="G221" s="13"/>
      <c r="H221" s="5"/>
      <c r="I221" s="5"/>
      <c r="J221" s="6" t="str">
        <f t="shared" si="3"/>
        <v/>
      </c>
      <c r="K221" s="6" t="str">
        <f>IF(A221="","",IF(COUNTIFS('02_KICH_BAN_NODES'!$B$5:$B$204,A221,'02_KICH_BAN_NODES'!$D$5:$D$204,"choice")=0,"ChoiceNodeId không tồn tại hoặc không phải choice",IF(COUNTIFS($A$5:$A$404,A221,$B$5:$B$404,B221)&gt;1,"Trùng OptionOrder trong cùng choice",IF(OR(B221="",C221="",D221="",F221="",H221=""),"Thiếu trường bắt buộc",IF(OR(COUNTIF($A$5:$A$404,A221)&lt;2,COUNTIF($A$5:$A$404,A221)&gt;4),"Mỗi choice cần 2–4 option",IF(COUNTIFS('02_KICH_BAN_NODES'!$B$5:$B$204,A221,'02_KICH_BAN_NODES'!$E$5:$E$204,"Kiến thức")=1,IF(COUNTIFS($A$5:$A$404,A221,$D$5:$D$404,"Có")&lt;&gt;1,"Choice kiến thức cần đúng 1 đáp án đúng",""),IF(COUNTIFS('02_KICH_BAN_NODES'!$B$5:$B$204,A221,'02_KICH_BAN_NODES'!$E$5:$E$204,"Tương tác")=1,IF(COUNTIFS($A$5:$A$404,A221,$D$5:$D$404,"Có")&lt;&gt;0,"Choice tương tác không được đánh dấu đáp án đúng",""),"Choice chưa chọn loại")))))))</f>
        <v/>
      </c>
    </row>
    <row r="222" spans="1:11">
      <c r="A222" s="13"/>
      <c r="B222" s="13"/>
      <c r="C222" s="5"/>
      <c r="D222" s="13"/>
      <c r="E222" s="13"/>
      <c r="F222" s="13"/>
      <c r="G222" s="13"/>
      <c r="H222" s="5"/>
      <c r="I222" s="5"/>
      <c r="J222" s="6" t="str">
        <f t="shared" si="3"/>
        <v/>
      </c>
      <c r="K222" s="6" t="str">
        <f>IF(A222="","",IF(COUNTIFS('02_KICH_BAN_NODES'!$B$5:$B$204,A222,'02_KICH_BAN_NODES'!$D$5:$D$204,"choice")=0,"ChoiceNodeId không tồn tại hoặc không phải choice",IF(COUNTIFS($A$5:$A$404,A222,$B$5:$B$404,B222)&gt;1,"Trùng OptionOrder trong cùng choice",IF(OR(B222="",C222="",D222="",F222="",H222=""),"Thiếu trường bắt buộc",IF(OR(COUNTIF($A$5:$A$404,A222)&lt;2,COUNTIF($A$5:$A$404,A222)&gt;4),"Mỗi choice cần 2–4 option",IF(COUNTIFS('02_KICH_BAN_NODES'!$B$5:$B$204,A222,'02_KICH_BAN_NODES'!$E$5:$E$204,"Kiến thức")=1,IF(COUNTIFS($A$5:$A$404,A222,$D$5:$D$404,"Có")&lt;&gt;1,"Choice kiến thức cần đúng 1 đáp án đúng",""),IF(COUNTIFS('02_KICH_BAN_NODES'!$B$5:$B$204,A222,'02_KICH_BAN_NODES'!$E$5:$E$204,"Tương tác")=1,IF(COUNTIFS($A$5:$A$404,A222,$D$5:$D$404,"Có")&lt;&gt;0,"Choice tương tác không được đánh dấu đáp án đúng",""),"Choice chưa chọn loại")))))))</f>
        <v/>
      </c>
    </row>
    <row r="223" spans="1:11">
      <c r="A223" s="13"/>
      <c r="B223" s="13"/>
      <c r="C223" s="5"/>
      <c r="D223" s="13"/>
      <c r="E223" s="13"/>
      <c r="F223" s="13"/>
      <c r="G223" s="13"/>
      <c r="H223" s="5"/>
      <c r="I223" s="5"/>
      <c r="J223" s="6" t="str">
        <f t="shared" si="3"/>
        <v/>
      </c>
      <c r="K223" s="6" t="str">
        <f>IF(A223="","",IF(COUNTIFS('02_KICH_BAN_NODES'!$B$5:$B$204,A223,'02_KICH_BAN_NODES'!$D$5:$D$204,"choice")=0,"ChoiceNodeId không tồn tại hoặc không phải choice",IF(COUNTIFS($A$5:$A$404,A223,$B$5:$B$404,B223)&gt;1,"Trùng OptionOrder trong cùng choice",IF(OR(B223="",C223="",D223="",F223="",H223=""),"Thiếu trường bắt buộc",IF(OR(COUNTIF($A$5:$A$404,A223)&lt;2,COUNTIF($A$5:$A$404,A223)&gt;4),"Mỗi choice cần 2–4 option",IF(COUNTIFS('02_KICH_BAN_NODES'!$B$5:$B$204,A223,'02_KICH_BAN_NODES'!$E$5:$E$204,"Kiến thức")=1,IF(COUNTIFS($A$5:$A$404,A223,$D$5:$D$404,"Có")&lt;&gt;1,"Choice kiến thức cần đúng 1 đáp án đúng",""),IF(COUNTIFS('02_KICH_BAN_NODES'!$B$5:$B$204,A223,'02_KICH_BAN_NODES'!$E$5:$E$204,"Tương tác")=1,IF(COUNTIFS($A$5:$A$404,A223,$D$5:$D$404,"Có")&lt;&gt;0,"Choice tương tác không được đánh dấu đáp án đúng",""),"Choice chưa chọn loại")))))))</f>
        <v/>
      </c>
    </row>
    <row r="224" spans="1:11">
      <c r="A224" s="13"/>
      <c r="B224" s="13"/>
      <c r="C224" s="5"/>
      <c r="D224" s="13"/>
      <c r="E224" s="13"/>
      <c r="F224" s="13"/>
      <c r="G224" s="13"/>
      <c r="H224" s="5"/>
      <c r="I224" s="5"/>
      <c r="J224" s="6" t="str">
        <f t="shared" si="3"/>
        <v/>
      </c>
      <c r="K224" s="6" t="str">
        <f>IF(A224="","",IF(COUNTIFS('02_KICH_BAN_NODES'!$B$5:$B$204,A224,'02_KICH_BAN_NODES'!$D$5:$D$204,"choice")=0,"ChoiceNodeId không tồn tại hoặc không phải choice",IF(COUNTIFS($A$5:$A$404,A224,$B$5:$B$404,B224)&gt;1,"Trùng OptionOrder trong cùng choice",IF(OR(B224="",C224="",D224="",F224="",H224=""),"Thiếu trường bắt buộc",IF(OR(COUNTIF($A$5:$A$404,A224)&lt;2,COUNTIF($A$5:$A$404,A224)&gt;4),"Mỗi choice cần 2–4 option",IF(COUNTIFS('02_KICH_BAN_NODES'!$B$5:$B$204,A224,'02_KICH_BAN_NODES'!$E$5:$E$204,"Kiến thức")=1,IF(COUNTIFS($A$5:$A$404,A224,$D$5:$D$404,"Có")&lt;&gt;1,"Choice kiến thức cần đúng 1 đáp án đúng",""),IF(COUNTIFS('02_KICH_BAN_NODES'!$B$5:$B$204,A224,'02_KICH_BAN_NODES'!$E$5:$E$204,"Tương tác")=1,IF(COUNTIFS($A$5:$A$404,A224,$D$5:$D$404,"Có")&lt;&gt;0,"Choice tương tác không được đánh dấu đáp án đúng",""),"Choice chưa chọn loại")))))))</f>
        <v/>
      </c>
    </row>
    <row r="225" spans="1:11">
      <c r="A225" s="13"/>
      <c r="B225" s="13"/>
      <c r="C225" s="5"/>
      <c r="D225" s="13"/>
      <c r="E225" s="13"/>
      <c r="F225" s="13"/>
      <c r="G225" s="13"/>
      <c r="H225" s="5"/>
      <c r="I225" s="5"/>
      <c r="J225" s="6" t="str">
        <f t="shared" si="3"/>
        <v/>
      </c>
      <c r="K225" s="6" t="str">
        <f>IF(A225="","",IF(COUNTIFS('02_KICH_BAN_NODES'!$B$5:$B$204,A225,'02_KICH_BAN_NODES'!$D$5:$D$204,"choice")=0,"ChoiceNodeId không tồn tại hoặc không phải choice",IF(COUNTIFS($A$5:$A$404,A225,$B$5:$B$404,B225)&gt;1,"Trùng OptionOrder trong cùng choice",IF(OR(B225="",C225="",D225="",F225="",H225=""),"Thiếu trường bắt buộc",IF(OR(COUNTIF($A$5:$A$404,A225)&lt;2,COUNTIF($A$5:$A$404,A225)&gt;4),"Mỗi choice cần 2–4 option",IF(COUNTIFS('02_KICH_BAN_NODES'!$B$5:$B$204,A225,'02_KICH_BAN_NODES'!$E$5:$E$204,"Kiến thức")=1,IF(COUNTIFS($A$5:$A$404,A225,$D$5:$D$404,"Có")&lt;&gt;1,"Choice kiến thức cần đúng 1 đáp án đúng",""),IF(COUNTIFS('02_KICH_BAN_NODES'!$B$5:$B$204,A225,'02_KICH_BAN_NODES'!$E$5:$E$204,"Tương tác")=1,IF(COUNTIFS($A$5:$A$404,A225,$D$5:$D$404,"Có")&lt;&gt;0,"Choice tương tác không được đánh dấu đáp án đúng",""),"Choice chưa chọn loại")))))))</f>
        <v/>
      </c>
    </row>
    <row r="226" spans="1:11">
      <c r="A226" s="13"/>
      <c r="B226" s="13"/>
      <c r="C226" s="5"/>
      <c r="D226" s="13"/>
      <c r="E226" s="13"/>
      <c r="F226" s="13"/>
      <c r="G226" s="13"/>
      <c r="H226" s="5"/>
      <c r="I226" s="5"/>
      <c r="J226" s="6" t="str">
        <f t="shared" si="3"/>
        <v/>
      </c>
      <c r="K226" s="6" t="str">
        <f>IF(A226="","",IF(COUNTIFS('02_KICH_BAN_NODES'!$B$5:$B$204,A226,'02_KICH_BAN_NODES'!$D$5:$D$204,"choice")=0,"ChoiceNodeId không tồn tại hoặc không phải choice",IF(COUNTIFS($A$5:$A$404,A226,$B$5:$B$404,B226)&gt;1,"Trùng OptionOrder trong cùng choice",IF(OR(B226="",C226="",D226="",F226="",H226=""),"Thiếu trường bắt buộc",IF(OR(COUNTIF($A$5:$A$404,A226)&lt;2,COUNTIF($A$5:$A$404,A226)&gt;4),"Mỗi choice cần 2–4 option",IF(COUNTIFS('02_KICH_BAN_NODES'!$B$5:$B$204,A226,'02_KICH_BAN_NODES'!$E$5:$E$204,"Kiến thức")=1,IF(COUNTIFS($A$5:$A$404,A226,$D$5:$D$404,"Có")&lt;&gt;1,"Choice kiến thức cần đúng 1 đáp án đúng",""),IF(COUNTIFS('02_KICH_BAN_NODES'!$B$5:$B$204,A226,'02_KICH_BAN_NODES'!$E$5:$E$204,"Tương tác")=1,IF(COUNTIFS($A$5:$A$404,A226,$D$5:$D$404,"Có")&lt;&gt;0,"Choice tương tác không được đánh dấu đáp án đúng",""),"Choice chưa chọn loại")))))))</f>
        <v/>
      </c>
    </row>
    <row r="227" spans="1:11">
      <c r="A227" s="13"/>
      <c r="B227" s="13"/>
      <c r="C227" s="5"/>
      <c r="D227" s="13"/>
      <c r="E227" s="13"/>
      <c r="F227" s="13"/>
      <c r="G227" s="13"/>
      <c r="H227" s="5"/>
      <c r="I227" s="5"/>
      <c r="J227" s="6" t="str">
        <f t="shared" si="3"/>
        <v/>
      </c>
      <c r="K227" s="6" t="str">
        <f>IF(A227="","",IF(COUNTIFS('02_KICH_BAN_NODES'!$B$5:$B$204,A227,'02_KICH_BAN_NODES'!$D$5:$D$204,"choice")=0,"ChoiceNodeId không tồn tại hoặc không phải choice",IF(COUNTIFS($A$5:$A$404,A227,$B$5:$B$404,B227)&gt;1,"Trùng OptionOrder trong cùng choice",IF(OR(B227="",C227="",D227="",F227="",H227=""),"Thiếu trường bắt buộc",IF(OR(COUNTIF($A$5:$A$404,A227)&lt;2,COUNTIF($A$5:$A$404,A227)&gt;4),"Mỗi choice cần 2–4 option",IF(COUNTIFS('02_KICH_BAN_NODES'!$B$5:$B$204,A227,'02_KICH_BAN_NODES'!$E$5:$E$204,"Kiến thức")=1,IF(COUNTIFS($A$5:$A$404,A227,$D$5:$D$404,"Có")&lt;&gt;1,"Choice kiến thức cần đúng 1 đáp án đúng",""),IF(COUNTIFS('02_KICH_BAN_NODES'!$B$5:$B$204,A227,'02_KICH_BAN_NODES'!$E$5:$E$204,"Tương tác")=1,IF(COUNTIFS($A$5:$A$404,A227,$D$5:$D$404,"Có")&lt;&gt;0,"Choice tương tác không được đánh dấu đáp án đúng",""),"Choice chưa chọn loại")))))))</f>
        <v/>
      </c>
    </row>
    <row r="228" spans="1:11">
      <c r="A228" s="13"/>
      <c r="B228" s="13"/>
      <c r="C228" s="5"/>
      <c r="D228" s="13"/>
      <c r="E228" s="13"/>
      <c r="F228" s="13"/>
      <c r="G228" s="13"/>
      <c r="H228" s="5"/>
      <c r="I228" s="5"/>
      <c r="J228" s="6" t="str">
        <f t="shared" si="3"/>
        <v/>
      </c>
      <c r="K228" s="6" t="str">
        <f>IF(A228="","",IF(COUNTIFS('02_KICH_BAN_NODES'!$B$5:$B$204,A228,'02_KICH_BAN_NODES'!$D$5:$D$204,"choice")=0,"ChoiceNodeId không tồn tại hoặc không phải choice",IF(COUNTIFS($A$5:$A$404,A228,$B$5:$B$404,B228)&gt;1,"Trùng OptionOrder trong cùng choice",IF(OR(B228="",C228="",D228="",F228="",H228=""),"Thiếu trường bắt buộc",IF(OR(COUNTIF($A$5:$A$404,A228)&lt;2,COUNTIF($A$5:$A$404,A228)&gt;4),"Mỗi choice cần 2–4 option",IF(COUNTIFS('02_KICH_BAN_NODES'!$B$5:$B$204,A228,'02_KICH_BAN_NODES'!$E$5:$E$204,"Kiến thức")=1,IF(COUNTIFS($A$5:$A$404,A228,$D$5:$D$404,"Có")&lt;&gt;1,"Choice kiến thức cần đúng 1 đáp án đúng",""),IF(COUNTIFS('02_KICH_BAN_NODES'!$B$5:$B$204,A228,'02_KICH_BAN_NODES'!$E$5:$E$204,"Tương tác")=1,IF(COUNTIFS($A$5:$A$404,A228,$D$5:$D$404,"Có")&lt;&gt;0,"Choice tương tác không được đánh dấu đáp án đúng",""),"Choice chưa chọn loại")))))))</f>
        <v/>
      </c>
    </row>
    <row r="229" spans="1:11">
      <c r="A229" s="13"/>
      <c r="B229" s="13"/>
      <c r="C229" s="5"/>
      <c r="D229" s="13"/>
      <c r="E229" s="13"/>
      <c r="F229" s="13"/>
      <c r="G229" s="13"/>
      <c r="H229" s="5"/>
      <c r="I229" s="5"/>
      <c r="J229" s="6" t="str">
        <f t="shared" si="3"/>
        <v/>
      </c>
      <c r="K229" s="6" t="str">
        <f>IF(A229="","",IF(COUNTIFS('02_KICH_BAN_NODES'!$B$5:$B$204,A229,'02_KICH_BAN_NODES'!$D$5:$D$204,"choice")=0,"ChoiceNodeId không tồn tại hoặc không phải choice",IF(COUNTIFS($A$5:$A$404,A229,$B$5:$B$404,B229)&gt;1,"Trùng OptionOrder trong cùng choice",IF(OR(B229="",C229="",D229="",F229="",H229=""),"Thiếu trường bắt buộc",IF(OR(COUNTIF($A$5:$A$404,A229)&lt;2,COUNTIF($A$5:$A$404,A229)&gt;4),"Mỗi choice cần 2–4 option",IF(COUNTIFS('02_KICH_BAN_NODES'!$B$5:$B$204,A229,'02_KICH_BAN_NODES'!$E$5:$E$204,"Kiến thức")=1,IF(COUNTIFS($A$5:$A$404,A229,$D$5:$D$404,"Có")&lt;&gt;1,"Choice kiến thức cần đúng 1 đáp án đúng",""),IF(COUNTIFS('02_KICH_BAN_NODES'!$B$5:$B$204,A229,'02_KICH_BAN_NODES'!$E$5:$E$204,"Tương tác")=1,IF(COUNTIFS($A$5:$A$404,A229,$D$5:$D$404,"Có")&lt;&gt;0,"Choice tương tác không được đánh dấu đáp án đúng",""),"Choice chưa chọn loại")))))))</f>
        <v/>
      </c>
    </row>
    <row r="230" spans="1:11">
      <c r="A230" s="13"/>
      <c r="B230" s="13"/>
      <c r="C230" s="5"/>
      <c r="D230" s="13"/>
      <c r="E230" s="13"/>
      <c r="F230" s="13"/>
      <c r="G230" s="13"/>
      <c r="H230" s="5"/>
      <c r="I230" s="5"/>
      <c r="J230" s="6" t="str">
        <f t="shared" si="3"/>
        <v/>
      </c>
      <c r="K230" s="6" t="str">
        <f>IF(A230="","",IF(COUNTIFS('02_KICH_BAN_NODES'!$B$5:$B$204,A230,'02_KICH_BAN_NODES'!$D$5:$D$204,"choice")=0,"ChoiceNodeId không tồn tại hoặc không phải choice",IF(COUNTIFS($A$5:$A$404,A230,$B$5:$B$404,B230)&gt;1,"Trùng OptionOrder trong cùng choice",IF(OR(B230="",C230="",D230="",F230="",H230=""),"Thiếu trường bắt buộc",IF(OR(COUNTIF($A$5:$A$404,A230)&lt;2,COUNTIF($A$5:$A$404,A230)&gt;4),"Mỗi choice cần 2–4 option",IF(COUNTIFS('02_KICH_BAN_NODES'!$B$5:$B$204,A230,'02_KICH_BAN_NODES'!$E$5:$E$204,"Kiến thức")=1,IF(COUNTIFS($A$5:$A$404,A230,$D$5:$D$404,"Có")&lt;&gt;1,"Choice kiến thức cần đúng 1 đáp án đúng",""),IF(COUNTIFS('02_KICH_BAN_NODES'!$B$5:$B$204,A230,'02_KICH_BAN_NODES'!$E$5:$E$204,"Tương tác")=1,IF(COUNTIFS($A$5:$A$404,A230,$D$5:$D$404,"Có")&lt;&gt;0,"Choice tương tác không được đánh dấu đáp án đúng",""),"Choice chưa chọn loại")))))))</f>
        <v/>
      </c>
    </row>
    <row r="231" spans="1:11">
      <c r="A231" s="13"/>
      <c r="B231" s="13"/>
      <c r="C231" s="5"/>
      <c r="D231" s="13"/>
      <c r="E231" s="13"/>
      <c r="F231" s="13"/>
      <c r="G231" s="13"/>
      <c r="H231" s="5"/>
      <c r="I231" s="5"/>
      <c r="J231" s="6" t="str">
        <f t="shared" si="3"/>
        <v/>
      </c>
      <c r="K231" s="6" t="str">
        <f>IF(A231="","",IF(COUNTIFS('02_KICH_BAN_NODES'!$B$5:$B$204,A231,'02_KICH_BAN_NODES'!$D$5:$D$204,"choice")=0,"ChoiceNodeId không tồn tại hoặc không phải choice",IF(COUNTIFS($A$5:$A$404,A231,$B$5:$B$404,B231)&gt;1,"Trùng OptionOrder trong cùng choice",IF(OR(B231="",C231="",D231="",F231="",H231=""),"Thiếu trường bắt buộc",IF(OR(COUNTIF($A$5:$A$404,A231)&lt;2,COUNTIF($A$5:$A$404,A231)&gt;4),"Mỗi choice cần 2–4 option",IF(COUNTIFS('02_KICH_BAN_NODES'!$B$5:$B$204,A231,'02_KICH_BAN_NODES'!$E$5:$E$204,"Kiến thức")=1,IF(COUNTIFS($A$5:$A$404,A231,$D$5:$D$404,"Có")&lt;&gt;1,"Choice kiến thức cần đúng 1 đáp án đúng",""),IF(COUNTIFS('02_KICH_BAN_NODES'!$B$5:$B$204,A231,'02_KICH_BAN_NODES'!$E$5:$E$204,"Tương tác")=1,IF(COUNTIFS($A$5:$A$404,A231,$D$5:$D$404,"Có")&lt;&gt;0,"Choice tương tác không được đánh dấu đáp án đúng",""),"Choice chưa chọn loại")))))))</f>
        <v/>
      </c>
    </row>
    <row r="232" spans="1:11">
      <c r="A232" s="13"/>
      <c r="B232" s="13"/>
      <c r="C232" s="5"/>
      <c r="D232" s="13"/>
      <c r="E232" s="13"/>
      <c r="F232" s="13"/>
      <c r="G232" s="13"/>
      <c r="H232" s="5"/>
      <c r="I232" s="5"/>
      <c r="J232" s="6" t="str">
        <f t="shared" si="3"/>
        <v/>
      </c>
      <c r="K232" s="6" t="str">
        <f>IF(A232="","",IF(COUNTIFS('02_KICH_BAN_NODES'!$B$5:$B$204,A232,'02_KICH_BAN_NODES'!$D$5:$D$204,"choice")=0,"ChoiceNodeId không tồn tại hoặc không phải choice",IF(COUNTIFS($A$5:$A$404,A232,$B$5:$B$404,B232)&gt;1,"Trùng OptionOrder trong cùng choice",IF(OR(B232="",C232="",D232="",F232="",H232=""),"Thiếu trường bắt buộc",IF(OR(COUNTIF($A$5:$A$404,A232)&lt;2,COUNTIF($A$5:$A$404,A232)&gt;4),"Mỗi choice cần 2–4 option",IF(COUNTIFS('02_KICH_BAN_NODES'!$B$5:$B$204,A232,'02_KICH_BAN_NODES'!$E$5:$E$204,"Kiến thức")=1,IF(COUNTIFS($A$5:$A$404,A232,$D$5:$D$404,"Có")&lt;&gt;1,"Choice kiến thức cần đúng 1 đáp án đúng",""),IF(COUNTIFS('02_KICH_BAN_NODES'!$B$5:$B$204,A232,'02_KICH_BAN_NODES'!$E$5:$E$204,"Tương tác")=1,IF(COUNTIFS($A$5:$A$404,A232,$D$5:$D$404,"Có")&lt;&gt;0,"Choice tương tác không được đánh dấu đáp án đúng",""),"Choice chưa chọn loại")))))))</f>
        <v/>
      </c>
    </row>
    <row r="233" spans="1:11">
      <c r="A233" s="13"/>
      <c r="B233" s="13"/>
      <c r="C233" s="5"/>
      <c r="D233" s="13"/>
      <c r="E233" s="13"/>
      <c r="F233" s="13"/>
      <c r="G233" s="13"/>
      <c r="H233" s="5"/>
      <c r="I233" s="5"/>
      <c r="J233" s="6" t="str">
        <f t="shared" si="3"/>
        <v/>
      </c>
      <c r="K233" s="6" t="str">
        <f>IF(A233="","",IF(COUNTIFS('02_KICH_BAN_NODES'!$B$5:$B$204,A233,'02_KICH_BAN_NODES'!$D$5:$D$204,"choice")=0,"ChoiceNodeId không tồn tại hoặc không phải choice",IF(COUNTIFS($A$5:$A$404,A233,$B$5:$B$404,B233)&gt;1,"Trùng OptionOrder trong cùng choice",IF(OR(B233="",C233="",D233="",F233="",H233=""),"Thiếu trường bắt buộc",IF(OR(COUNTIF($A$5:$A$404,A233)&lt;2,COUNTIF($A$5:$A$404,A233)&gt;4),"Mỗi choice cần 2–4 option",IF(COUNTIFS('02_KICH_BAN_NODES'!$B$5:$B$204,A233,'02_KICH_BAN_NODES'!$E$5:$E$204,"Kiến thức")=1,IF(COUNTIFS($A$5:$A$404,A233,$D$5:$D$404,"Có")&lt;&gt;1,"Choice kiến thức cần đúng 1 đáp án đúng",""),IF(COUNTIFS('02_KICH_BAN_NODES'!$B$5:$B$204,A233,'02_KICH_BAN_NODES'!$E$5:$E$204,"Tương tác")=1,IF(COUNTIFS($A$5:$A$404,A233,$D$5:$D$404,"Có")&lt;&gt;0,"Choice tương tác không được đánh dấu đáp án đúng",""),"Choice chưa chọn loại")))))))</f>
        <v/>
      </c>
    </row>
    <row r="234" spans="1:11">
      <c r="A234" s="13"/>
      <c r="B234" s="13"/>
      <c r="C234" s="5"/>
      <c r="D234" s="13"/>
      <c r="E234" s="13"/>
      <c r="F234" s="13"/>
      <c r="G234" s="13"/>
      <c r="H234" s="5"/>
      <c r="I234" s="5"/>
      <c r="J234" s="6" t="str">
        <f t="shared" si="3"/>
        <v/>
      </c>
      <c r="K234" s="6" t="str">
        <f>IF(A234="","",IF(COUNTIFS('02_KICH_BAN_NODES'!$B$5:$B$204,A234,'02_KICH_BAN_NODES'!$D$5:$D$204,"choice")=0,"ChoiceNodeId không tồn tại hoặc không phải choice",IF(COUNTIFS($A$5:$A$404,A234,$B$5:$B$404,B234)&gt;1,"Trùng OptionOrder trong cùng choice",IF(OR(B234="",C234="",D234="",F234="",H234=""),"Thiếu trường bắt buộc",IF(OR(COUNTIF($A$5:$A$404,A234)&lt;2,COUNTIF($A$5:$A$404,A234)&gt;4),"Mỗi choice cần 2–4 option",IF(COUNTIFS('02_KICH_BAN_NODES'!$B$5:$B$204,A234,'02_KICH_BAN_NODES'!$E$5:$E$204,"Kiến thức")=1,IF(COUNTIFS($A$5:$A$404,A234,$D$5:$D$404,"Có")&lt;&gt;1,"Choice kiến thức cần đúng 1 đáp án đúng",""),IF(COUNTIFS('02_KICH_BAN_NODES'!$B$5:$B$204,A234,'02_KICH_BAN_NODES'!$E$5:$E$204,"Tương tác")=1,IF(COUNTIFS($A$5:$A$404,A234,$D$5:$D$404,"Có")&lt;&gt;0,"Choice tương tác không được đánh dấu đáp án đúng",""),"Choice chưa chọn loại")))))))</f>
        <v/>
      </c>
    </row>
    <row r="235" spans="1:11">
      <c r="A235" s="13"/>
      <c r="B235" s="13"/>
      <c r="C235" s="5"/>
      <c r="D235" s="13"/>
      <c r="E235" s="13"/>
      <c r="F235" s="13"/>
      <c r="G235" s="13"/>
      <c r="H235" s="5"/>
      <c r="I235" s="5"/>
      <c r="J235" s="6" t="str">
        <f t="shared" si="3"/>
        <v/>
      </c>
      <c r="K235" s="6" t="str">
        <f>IF(A235="","",IF(COUNTIFS('02_KICH_BAN_NODES'!$B$5:$B$204,A235,'02_KICH_BAN_NODES'!$D$5:$D$204,"choice")=0,"ChoiceNodeId không tồn tại hoặc không phải choice",IF(COUNTIFS($A$5:$A$404,A235,$B$5:$B$404,B235)&gt;1,"Trùng OptionOrder trong cùng choice",IF(OR(B235="",C235="",D235="",F235="",H235=""),"Thiếu trường bắt buộc",IF(OR(COUNTIF($A$5:$A$404,A235)&lt;2,COUNTIF($A$5:$A$404,A235)&gt;4),"Mỗi choice cần 2–4 option",IF(COUNTIFS('02_KICH_BAN_NODES'!$B$5:$B$204,A235,'02_KICH_BAN_NODES'!$E$5:$E$204,"Kiến thức")=1,IF(COUNTIFS($A$5:$A$404,A235,$D$5:$D$404,"Có")&lt;&gt;1,"Choice kiến thức cần đúng 1 đáp án đúng",""),IF(COUNTIFS('02_KICH_BAN_NODES'!$B$5:$B$204,A235,'02_KICH_BAN_NODES'!$E$5:$E$204,"Tương tác")=1,IF(COUNTIFS($A$5:$A$404,A235,$D$5:$D$404,"Có")&lt;&gt;0,"Choice tương tác không được đánh dấu đáp án đúng",""),"Choice chưa chọn loại")))))))</f>
        <v/>
      </c>
    </row>
    <row r="236" spans="1:11">
      <c r="A236" s="13"/>
      <c r="B236" s="13"/>
      <c r="C236" s="5"/>
      <c r="D236" s="13"/>
      <c r="E236" s="13"/>
      <c r="F236" s="13"/>
      <c r="G236" s="13"/>
      <c r="H236" s="5"/>
      <c r="I236" s="5"/>
      <c r="J236" s="6" t="str">
        <f t="shared" si="3"/>
        <v/>
      </c>
      <c r="K236" s="6" t="str">
        <f>IF(A236="","",IF(COUNTIFS('02_KICH_BAN_NODES'!$B$5:$B$204,A236,'02_KICH_BAN_NODES'!$D$5:$D$204,"choice")=0,"ChoiceNodeId không tồn tại hoặc không phải choice",IF(COUNTIFS($A$5:$A$404,A236,$B$5:$B$404,B236)&gt;1,"Trùng OptionOrder trong cùng choice",IF(OR(B236="",C236="",D236="",F236="",H236=""),"Thiếu trường bắt buộc",IF(OR(COUNTIF($A$5:$A$404,A236)&lt;2,COUNTIF($A$5:$A$404,A236)&gt;4),"Mỗi choice cần 2–4 option",IF(COUNTIFS('02_KICH_BAN_NODES'!$B$5:$B$204,A236,'02_KICH_BAN_NODES'!$E$5:$E$204,"Kiến thức")=1,IF(COUNTIFS($A$5:$A$404,A236,$D$5:$D$404,"Có")&lt;&gt;1,"Choice kiến thức cần đúng 1 đáp án đúng",""),IF(COUNTIFS('02_KICH_BAN_NODES'!$B$5:$B$204,A236,'02_KICH_BAN_NODES'!$E$5:$E$204,"Tương tác")=1,IF(COUNTIFS($A$5:$A$404,A236,$D$5:$D$404,"Có")&lt;&gt;0,"Choice tương tác không được đánh dấu đáp án đúng",""),"Choice chưa chọn loại")))))))</f>
        <v/>
      </c>
    </row>
    <row r="237" spans="1:11">
      <c r="A237" s="13"/>
      <c r="B237" s="13"/>
      <c r="C237" s="5"/>
      <c r="D237" s="13"/>
      <c r="E237" s="13"/>
      <c r="F237" s="13"/>
      <c r="G237" s="13"/>
      <c r="H237" s="5"/>
      <c r="I237" s="5"/>
      <c r="J237" s="6" t="str">
        <f t="shared" si="3"/>
        <v/>
      </c>
      <c r="K237" s="6" t="str">
        <f>IF(A237="","",IF(COUNTIFS('02_KICH_BAN_NODES'!$B$5:$B$204,A237,'02_KICH_BAN_NODES'!$D$5:$D$204,"choice")=0,"ChoiceNodeId không tồn tại hoặc không phải choice",IF(COUNTIFS($A$5:$A$404,A237,$B$5:$B$404,B237)&gt;1,"Trùng OptionOrder trong cùng choice",IF(OR(B237="",C237="",D237="",F237="",H237=""),"Thiếu trường bắt buộc",IF(OR(COUNTIF($A$5:$A$404,A237)&lt;2,COUNTIF($A$5:$A$404,A237)&gt;4),"Mỗi choice cần 2–4 option",IF(COUNTIFS('02_KICH_BAN_NODES'!$B$5:$B$204,A237,'02_KICH_BAN_NODES'!$E$5:$E$204,"Kiến thức")=1,IF(COUNTIFS($A$5:$A$404,A237,$D$5:$D$404,"Có")&lt;&gt;1,"Choice kiến thức cần đúng 1 đáp án đúng",""),IF(COUNTIFS('02_KICH_BAN_NODES'!$B$5:$B$204,A237,'02_KICH_BAN_NODES'!$E$5:$E$204,"Tương tác")=1,IF(COUNTIFS($A$5:$A$404,A237,$D$5:$D$404,"Có")&lt;&gt;0,"Choice tương tác không được đánh dấu đáp án đúng",""),"Choice chưa chọn loại")))))))</f>
        <v/>
      </c>
    </row>
    <row r="238" spans="1:11">
      <c r="A238" s="13"/>
      <c r="B238" s="13"/>
      <c r="C238" s="5"/>
      <c r="D238" s="13"/>
      <c r="E238" s="13"/>
      <c r="F238" s="13"/>
      <c r="G238" s="13"/>
      <c r="H238" s="5"/>
      <c r="I238" s="5"/>
      <c r="J238" s="6" t="str">
        <f t="shared" si="3"/>
        <v/>
      </c>
      <c r="K238" s="6" t="str">
        <f>IF(A238="","",IF(COUNTIFS('02_KICH_BAN_NODES'!$B$5:$B$204,A238,'02_KICH_BAN_NODES'!$D$5:$D$204,"choice")=0,"ChoiceNodeId không tồn tại hoặc không phải choice",IF(COUNTIFS($A$5:$A$404,A238,$B$5:$B$404,B238)&gt;1,"Trùng OptionOrder trong cùng choice",IF(OR(B238="",C238="",D238="",F238="",H238=""),"Thiếu trường bắt buộc",IF(OR(COUNTIF($A$5:$A$404,A238)&lt;2,COUNTIF($A$5:$A$404,A238)&gt;4),"Mỗi choice cần 2–4 option",IF(COUNTIFS('02_KICH_BAN_NODES'!$B$5:$B$204,A238,'02_KICH_BAN_NODES'!$E$5:$E$204,"Kiến thức")=1,IF(COUNTIFS($A$5:$A$404,A238,$D$5:$D$404,"Có")&lt;&gt;1,"Choice kiến thức cần đúng 1 đáp án đúng",""),IF(COUNTIFS('02_KICH_BAN_NODES'!$B$5:$B$204,A238,'02_KICH_BAN_NODES'!$E$5:$E$204,"Tương tác")=1,IF(COUNTIFS($A$5:$A$404,A238,$D$5:$D$404,"Có")&lt;&gt;0,"Choice tương tác không được đánh dấu đáp án đúng",""),"Choice chưa chọn loại")))))))</f>
        <v/>
      </c>
    </row>
    <row r="239" spans="1:11">
      <c r="A239" s="13"/>
      <c r="B239" s="13"/>
      <c r="C239" s="5"/>
      <c r="D239" s="13"/>
      <c r="E239" s="13"/>
      <c r="F239" s="13"/>
      <c r="G239" s="13"/>
      <c r="H239" s="5"/>
      <c r="I239" s="5"/>
      <c r="J239" s="6" t="str">
        <f t="shared" si="3"/>
        <v/>
      </c>
      <c r="K239" s="6" t="str">
        <f>IF(A239="","",IF(COUNTIFS('02_KICH_BAN_NODES'!$B$5:$B$204,A239,'02_KICH_BAN_NODES'!$D$5:$D$204,"choice")=0,"ChoiceNodeId không tồn tại hoặc không phải choice",IF(COUNTIFS($A$5:$A$404,A239,$B$5:$B$404,B239)&gt;1,"Trùng OptionOrder trong cùng choice",IF(OR(B239="",C239="",D239="",F239="",H239=""),"Thiếu trường bắt buộc",IF(OR(COUNTIF($A$5:$A$404,A239)&lt;2,COUNTIF($A$5:$A$404,A239)&gt;4),"Mỗi choice cần 2–4 option",IF(COUNTIFS('02_KICH_BAN_NODES'!$B$5:$B$204,A239,'02_KICH_BAN_NODES'!$E$5:$E$204,"Kiến thức")=1,IF(COUNTIFS($A$5:$A$404,A239,$D$5:$D$404,"Có")&lt;&gt;1,"Choice kiến thức cần đúng 1 đáp án đúng",""),IF(COUNTIFS('02_KICH_BAN_NODES'!$B$5:$B$204,A239,'02_KICH_BAN_NODES'!$E$5:$E$204,"Tương tác")=1,IF(COUNTIFS($A$5:$A$404,A239,$D$5:$D$404,"Có")&lt;&gt;0,"Choice tương tác không được đánh dấu đáp án đúng",""),"Choice chưa chọn loại")))))))</f>
        <v/>
      </c>
    </row>
    <row r="240" spans="1:11">
      <c r="A240" s="13"/>
      <c r="B240" s="13"/>
      <c r="C240" s="5"/>
      <c r="D240" s="13"/>
      <c r="E240" s="13"/>
      <c r="F240" s="13"/>
      <c r="G240" s="13"/>
      <c r="H240" s="5"/>
      <c r="I240" s="5"/>
      <c r="J240" s="6" t="str">
        <f t="shared" si="3"/>
        <v/>
      </c>
      <c r="K240" s="6" t="str">
        <f>IF(A240="","",IF(COUNTIFS('02_KICH_BAN_NODES'!$B$5:$B$204,A240,'02_KICH_BAN_NODES'!$D$5:$D$204,"choice")=0,"ChoiceNodeId không tồn tại hoặc không phải choice",IF(COUNTIFS($A$5:$A$404,A240,$B$5:$B$404,B240)&gt;1,"Trùng OptionOrder trong cùng choice",IF(OR(B240="",C240="",D240="",F240="",H240=""),"Thiếu trường bắt buộc",IF(OR(COUNTIF($A$5:$A$404,A240)&lt;2,COUNTIF($A$5:$A$404,A240)&gt;4),"Mỗi choice cần 2–4 option",IF(COUNTIFS('02_KICH_BAN_NODES'!$B$5:$B$204,A240,'02_KICH_BAN_NODES'!$E$5:$E$204,"Kiến thức")=1,IF(COUNTIFS($A$5:$A$404,A240,$D$5:$D$404,"Có")&lt;&gt;1,"Choice kiến thức cần đúng 1 đáp án đúng",""),IF(COUNTIFS('02_KICH_BAN_NODES'!$B$5:$B$204,A240,'02_KICH_BAN_NODES'!$E$5:$E$204,"Tương tác")=1,IF(COUNTIFS($A$5:$A$404,A240,$D$5:$D$404,"Có")&lt;&gt;0,"Choice tương tác không được đánh dấu đáp án đúng",""),"Choice chưa chọn loại")))))))</f>
        <v/>
      </c>
    </row>
    <row r="241" spans="1:11">
      <c r="A241" s="13"/>
      <c r="B241" s="13"/>
      <c r="C241" s="5"/>
      <c r="D241" s="13"/>
      <c r="E241" s="13"/>
      <c r="F241" s="13"/>
      <c r="G241" s="13"/>
      <c r="H241" s="5"/>
      <c r="I241" s="5"/>
      <c r="J241" s="6" t="str">
        <f t="shared" si="3"/>
        <v/>
      </c>
      <c r="K241" s="6" t="str">
        <f>IF(A241="","",IF(COUNTIFS('02_KICH_BAN_NODES'!$B$5:$B$204,A241,'02_KICH_BAN_NODES'!$D$5:$D$204,"choice")=0,"ChoiceNodeId không tồn tại hoặc không phải choice",IF(COUNTIFS($A$5:$A$404,A241,$B$5:$B$404,B241)&gt;1,"Trùng OptionOrder trong cùng choice",IF(OR(B241="",C241="",D241="",F241="",H241=""),"Thiếu trường bắt buộc",IF(OR(COUNTIF($A$5:$A$404,A241)&lt;2,COUNTIF($A$5:$A$404,A241)&gt;4),"Mỗi choice cần 2–4 option",IF(COUNTIFS('02_KICH_BAN_NODES'!$B$5:$B$204,A241,'02_KICH_BAN_NODES'!$E$5:$E$204,"Kiến thức")=1,IF(COUNTIFS($A$5:$A$404,A241,$D$5:$D$404,"Có")&lt;&gt;1,"Choice kiến thức cần đúng 1 đáp án đúng",""),IF(COUNTIFS('02_KICH_BAN_NODES'!$B$5:$B$204,A241,'02_KICH_BAN_NODES'!$E$5:$E$204,"Tương tác")=1,IF(COUNTIFS($A$5:$A$404,A241,$D$5:$D$404,"Có")&lt;&gt;0,"Choice tương tác không được đánh dấu đáp án đúng",""),"Choice chưa chọn loại")))))))</f>
        <v/>
      </c>
    </row>
    <row r="242" spans="1:11">
      <c r="A242" s="13"/>
      <c r="B242" s="13"/>
      <c r="C242" s="5"/>
      <c r="D242" s="13"/>
      <c r="E242" s="13"/>
      <c r="F242" s="13"/>
      <c r="G242" s="13"/>
      <c r="H242" s="5"/>
      <c r="I242" s="5"/>
      <c r="J242" s="6" t="str">
        <f t="shared" si="3"/>
        <v/>
      </c>
      <c r="K242" s="6" t="str">
        <f>IF(A242="","",IF(COUNTIFS('02_KICH_BAN_NODES'!$B$5:$B$204,A242,'02_KICH_BAN_NODES'!$D$5:$D$204,"choice")=0,"ChoiceNodeId không tồn tại hoặc không phải choice",IF(COUNTIFS($A$5:$A$404,A242,$B$5:$B$404,B242)&gt;1,"Trùng OptionOrder trong cùng choice",IF(OR(B242="",C242="",D242="",F242="",H242=""),"Thiếu trường bắt buộc",IF(OR(COUNTIF($A$5:$A$404,A242)&lt;2,COUNTIF($A$5:$A$404,A242)&gt;4),"Mỗi choice cần 2–4 option",IF(COUNTIFS('02_KICH_BAN_NODES'!$B$5:$B$204,A242,'02_KICH_BAN_NODES'!$E$5:$E$204,"Kiến thức")=1,IF(COUNTIFS($A$5:$A$404,A242,$D$5:$D$404,"Có")&lt;&gt;1,"Choice kiến thức cần đúng 1 đáp án đúng",""),IF(COUNTIFS('02_KICH_BAN_NODES'!$B$5:$B$204,A242,'02_KICH_BAN_NODES'!$E$5:$E$204,"Tương tác")=1,IF(COUNTIFS($A$5:$A$404,A242,$D$5:$D$404,"Có")&lt;&gt;0,"Choice tương tác không được đánh dấu đáp án đúng",""),"Choice chưa chọn loại")))))))</f>
        <v/>
      </c>
    </row>
    <row r="243" spans="1:11">
      <c r="A243" s="13"/>
      <c r="B243" s="13"/>
      <c r="C243" s="5"/>
      <c r="D243" s="13"/>
      <c r="E243" s="13"/>
      <c r="F243" s="13"/>
      <c r="G243" s="13"/>
      <c r="H243" s="5"/>
      <c r="I243" s="5"/>
      <c r="J243" s="6" t="str">
        <f t="shared" si="3"/>
        <v/>
      </c>
      <c r="K243" s="6" t="str">
        <f>IF(A243="","",IF(COUNTIFS('02_KICH_BAN_NODES'!$B$5:$B$204,A243,'02_KICH_BAN_NODES'!$D$5:$D$204,"choice")=0,"ChoiceNodeId không tồn tại hoặc không phải choice",IF(COUNTIFS($A$5:$A$404,A243,$B$5:$B$404,B243)&gt;1,"Trùng OptionOrder trong cùng choice",IF(OR(B243="",C243="",D243="",F243="",H243=""),"Thiếu trường bắt buộc",IF(OR(COUNTIF($A$5:$A$404,A243)&lt;2,COUNTIF($A$5:$A$404,A243)&gt;4),"Mỗi choice cần 2–4 option",IF(COUNTIFS('02_KICH_BAN_NODES'!$B$5:$B$204,A243,'02_KICH_BAN_NODES'!$E$5:$E$204,"Kiến thức")=1,IF(COUNTIFS($A$5:$A$404,A243,$D$5:$D$404,"Có")&lt;&gt;1,"Choice kiến thức cần đúng 1 đáp án đúng",""),IF(COUNTIFS('02_KICH_BAN_NODES'!$B$5:$B$204,A243,'02_KICH_BAN_NODES'!$E$5:$E$204,"Tương tác")=1,IF(COUNTIFS($A$5:$A$404,A243,$D$5:$D$404,"Có")&lt;&gt;0,"Choice tương tác không được đánh dấu đáp án đúng",""),"Choice chưa chọn loại")))))))</f>
        <v/>
      </c>
    </row>
    <row r="244" spans="1:11">
      <c r="A244" s="13"/>
      <c r="B244" s="13"/>
      <c r="C244" s="5"/>
      <c r="D244" s="13"/>
      <c r="E244" s="13"/>
      <c r="F244" s="13"/>
      <c r="G244" s="13"/>
      <c r="H244" s="5"/>
      <c r="I244" s="5"/>
      <c r="J244" s="6" t="str">
        <f t="shared" si="3"/>
        <v/>
      </c>
      <c r="K244" s="6" t="str">
        <f>IF(A244="","",IF(COUNTIFS('02_KICH_BAN_NODES'!$B$5:$B$204,A244,'02_KICH_BAN_NODES'!$D$5:$D$204,"choice")=0,"ChoiceNodeId không tồn tại hoặc không phải choice",IF(COUNTIFS($A$5:$A$404,A244,$B$5:$B$404,B244)&gt;1,"Trùng OptionOrder trong cùng choice",IF(OR(B244="",C244="",D244="",F244="",H244=""),"Thiếu trường bắt buộc",IF(OR(COUNTIF($A$5:$A$404,A244)&lt;2,COUNTIF($A$5:$A$404,A244)&gt;4),"Mỗi choice cần 2–4 option",IF(COUNTIFS('02_KICH_BAN_NODES'!$B$5:$B$204,A244,'02_KICH_BAN_NODES'!$E$5:$E$204,"Kiến thức")=1,IF(COUNTIFS($A$5:$A$404,A244,$D$5:$D$404,"Có")&lt;&gt;1,"Choice kiến thức cần đúng 1 đáp án đúng",""),IF(COUNTIFS('02_KICH_BAN_NODES'!$B$5:$B$204,A244,'02_KICH_BAN_NODES'!$E$5:$E$204,"Tương tác")=1,IF(COUNTIFS($A$5:$A$404,A244,$D$5:$D$404,"Có")&lt;&gt;0,"Choice tương tác không được đánh dấu đáp án đúng",""),"Choice chưa chọn loại")))))))</f>
        <v/>
      </c>
    </row>
    <row r="245" spans="1:11">
      <c r="A245" s="13"/>
      <c r="B245" s="13"/>
      <c r="C245" s="5"/>
      <c r="D245" s="13"/>
      <c r="E245" s="13"/>
      <c r="F245" s="13"/>
      <c r="G245" s="13"/>
      <c r="H245" s="5"/>
      <c r="I245" s="5"/>
      <c r="J245" s="6" t="str">
        <f t="shared" si="3"/>
        <v/>
      </c>
      <c r="K245" s="6" t="str">
        <f>IF(A245="","",IF(COUNTIFS('02_KICH_BAN_NODES'!$B$5:$B$204,A245,'02_KICH_BAN_NODES'!$D$5:$D$204,"choice")=0,"ChoiceNodeId không tồn tại hoặc không phải choice",IF(COUNTIFS($A$5:$A$404,A245,$B$5:$B$404,B245)&gt;1,"Trùng OptionOrder trong cùng choice",IF(OR(B245="",C245="",D245="",F245="",H245=""),"Thiếu trường bắt buộc",IF(OR(COUNTIF($A$5:$A$404,A245)&lt;2,COUNTIF($A$5:$A$404,A245)&gt;4),"Mỗi choice cần 2–4 option",IF(COUNTIFS('02_KICH_BAN_NODES'!$B$5:$B$204,A245,'02_KICH_BAN_NODES'!$E$5:$E$204,"Kiến thức")=1,IF(COUNTIFS($A$5:$A$404,A245,$D$5:$D$404,"Có")&lt;&gt;1,"Choice kiến thức cần đúng 1 đáp án đúng",""),IF(COUNTIFS('02_KICH_BAN_NODES'!$B$5:$B$204,A245,'02_KICH_BAN_NODES'!$E$5:$E$204,"Tương tác")=1,IF(COUNTIFS($A$5:$A$404,A245,$D$5:$D$404,"Có")&lt;&gt;0,"Choice tương tác không được đánh dấu đáp án đúng",""),"Choice chưa chọn loại")))))))</f>
        <v/>
      </c>
    </row>
    <row r="246" spans="1:11">
      <c r="A246" s="13"/>
      <c r="B246" s="13"/>
      <c r="C246" s="5"/>
      <c r="D246" s="13"/>
      <c r="E246" s="13"/>
      <c r="F246" s="13"/>
      <c r="G246" s="13"/>
      <c r="H246" s="5"/>
      <c r="I246" s="5"/>
      <c r="J246" s="6" t="str">
        <f t="shared" si="3"/>
        <v/>
      </c>
      <c r="K246" s="6" t="str">
        <f>IF(A246="","",IF(COUNTIFS('02_KICH_BAN_NODES'!$B$5:$B$204,A246,'02_KICH_BAN_NODES'!$D$5:$D$204,"choice")=0,"ChoiceNodeId không tồn tại hoặc không phải choice",IF(COUNTIFS($A$5:$A$404,A246,$B$5:$B$404,B246)&gt;1,"Trùng OptionOrder trong cùng choice",IF(OR(B246="",C246="",D246="",F246="",H246=""),"Thiếu trường bắt buộc",IF(OR(COUNTIF($A$5:$A$404,A246)&lt;2,COUNTIF($A$5:$A$404,A246)&gt;4),"Mỗi choice cần 2–4 option",IF(COUNTIFS('02_KICH_BAN_NODES'!$B$5:$B$204,A246,'02_KICH_BAN_NODES'!$E$5:$E$204,"Kiến thức")=1,IF(COUNTIFS($A$5:$A$404,A246,$D$5:$D$404,"Có")&lt;&gt;1,"Choice kiến thức cần đúng 1 đáp án đúng",""),IF(COUNTIFS('02_KICH_BAN_NODES'!$B$5:$B$204,A246,'02_KICH_BAN_NODES'!$E$5:$E$204,"Tương tác")=1,IF(COUNTIFS($A$5:$A$404,A246,$D$5:$D$404,"Có")&lt;&gt;0,"Choice tương tác không được đánh dấu đáp án đúng",""),"Choice chưa chọn loại")))))))</f>
        <v/>
      </c>
    </row>
    <row r="247" spans="1:11">
      <c r="A247" s="13"/>
      <c r="B247" s="13"/>
      <c r="C247" s="5"/>
      <c r="D247" s="13"/>
      <c r="E247" s="13"/>
      <c r="F247" s="13"/>
      <c r="G247" s="13"/>
      <c r="H247" s="5"/>
      <c r="I247" s="5"/>
      <c r="J247" s="6" t="str">
        <f t="shared" si="3"/>
        <v/>
      </c>
      <c r="K247" s="6" t="str">
        <f>IF(A247="","",IF(COUNTIFS('02_KICH_BAN_NODES'!$B$5:$B$204,A247,'02_KICH_BAN_NODES'!$D$5:$D$204,"choice")=0,"ChoiceNodeId không tồn tại hoặc không phải choice",IF(COUNTIFS($A$5:$A$404,A247,$B$5:$B$404,B247)&gt;1,"Trùng OptionOrder trong cùng choice",IF(OR(B247="",C247="",D247="",F247="",H247=""),"Thiếu trường bắt buộc",IF(OR(COUNTIF($A$5:$A$404,A247)&lt;2,COUNTIF($A$5:$A$404,A247)&gt;4),"Mỗi choice cần 2–4 option",IF(COUNTIFS('02_KICH_BAN_NODES'!$B$5:$B$204,A247,'02_KICH_BAN_NODES'!$E$5:$E$204,"Kiến thức")=1,IF(COUNTIFS($A$5:$A$404,A247,$D$5:$D$404,"Có")&lt;&gt;1,"Choice kiến thức cần đúng 1 đáp án đúng",""),IF(COUNTIFS('02_KICH_BAN_NODES'!$B$5:$B$204,A247,'02_KICH_BAN_NODES'!$E$5:$E$204,"Tương tác")=1,IF(COUNTIFS($A$5:$A$404,A247,$D$5:$D$404,"Có")&lt;&gt;0,"Choice tương tác không được đánh dấu đáp án đúng",""),"Choice chưa chọn loại")))))))</f>
        <v/>
      </c>
    </row>
    <row r="248" spans="1:11">
      <c r="A248" s="13"/>
      <c r="B248" s="13"/>
      <c r="C248" s="5"/>
      <c r="D248" s="13"/>
      <c r="E248" s="13"/>
      <c r="F248" s="13"/>
      <c r="G248" s="13"/>
      <c r="H248" s="5"/>
      <c r="I248" s="5"/>
      <c r="J248" s="6" t="str">
        <f t="shared" si="3"/>
        <v/>
      </c>
      <c r="K248" s="6" t="str">
        <f>IF(A248="","",IF(COUNTIFS('02_KICH_BAN_NODES'!$B$5:$B$204,A248,'02_KICH_BAN_NODES'!$D$5:$D$204,"choice")=0,"ChoiceNodeId không tồn tại hoặc không phải choice",IF(COUNTIFS($A$5:$A$404,A248,$B$5:$B$404,B248)&gt;1,"Trùng OptionOrder trong cùng choice",IF(OR(B248="",C248="",D248="",F248="",H248=""),"Thiếu trường bắt buộc",IF(OR(COUNTIF($A$5:$A$404,A248)&lt;2,COUNTIF($A$5:$A$404,A248)&gt;4),"Mỗi choice cần 2–4 option",IF(COUNTIFS('02_KICH_BAN_NODES'!$B$5:$B$204,A248,'02_KICH_BAN_NODES'!$E$5:$E$204,"Kiến thức")=1,IF(COUNTIFS($A$5:$A$404,A248,$D$5:$D$404,"Có")&lt;&gt;1,"Choice kiến thức cần đúng 1 đáp án đúng",""),IF(COUNTIFS('02_KICH_BAN_NODES'!$B$5:$B$204,A248,'02_KICH_BAN_NODES'!$E$5:$E$204,"Tương tác")=1,IF(COUNTIFS($A$5:$A$404,A248,$D$5:$D$404,"Có")&lt;&gt;0,"Choice tương tác không được đánh dấu đáp án đúng",""),"Choice chưa chọn loại")))))))</f>
        <v/>
      </c>
    </row>
    <row r="249" spans="1:11">
      <c r="A249" s="13"/>
      <c r="B249" s="13"/>
      <c r="C249" s="5"/>
      <c r="D249" s="13"/>
      <c r="E249" s="13"/>
      <c r="F249" s="13"/>
      <c r="G249" s="13"/>
      <c r="H249" s="5"/>
      <c r="I249" s="5"/>
      <c r="J249" s="6" t="str">
        <f t="shared" si="3"/>
        <v/>
      </c>
      <c r="K249" s="6" t="str">
        <f>IF(A249="","",IF(COUNTIFS('02_KICH_BAN_NODES'!$B$5:$B$204,A249,'02_KICH_BAN_NODES'!$D$5:$D$204,"choice")=0,"ChoiceNodeId không tồn tại hoặc không phải choice",IF(COUNTIFS($A$5:$A$404,A249,$B$5:$B$404,B249)&gt;1,"Trùng OptionOrder trong cùng choice",IF(OR(B249="",C249="",D249="",F249="",H249=""),"Thiếu trường bắt buộc",IF(OR(COUNTIF($A$5:$A$404,A249)&lt;2,COUNTIF($A$5:$A$404,A249)&gt;4),"Mỗi choice cần 2–4 option",IF(COUNTIFS('02_KICH_BAN_NODES'!$B$5:$B$204,A249,'02_KICH_BAN_NODES'!$E$5:$E$204,"Kiến thức")=1,IF(COUNTIFS($A$5:$A$404,A249,$D$5:$D$404,"Có")&lt;&gt;1,"Choice kiến thức cần đúng 1 đáp án đúng",""),IF(COUNTIFS('02_KICH_BAN_NODES'!$B$5:$B$204,A249,'02_KICH_BAN_NODES'!$E$5:$E$204,"Tương tác")=1,IF(COUNTIFS($A$5:$A$404,A249,$D$5:$D$404,"Có")&lt;&gt;0,"Choice tương tác không được đánh dấu đáp án đúng",""),"Choice chưa chọn loại")))))))</f>
        <v/>
      </c>
    </row>
    <row r="250" spans="1:11">
      <c r="A250" s="13"/>
      <c r="B250" s="13"/>
      <c r="C250" s="5"/>
      <c r="D250" s="13"/>
      <c r="E250" s="13"/>
      <c r="F250" s="13"/>
      <c r="G250" s="13"/>
      <c r="H250" s="5"/>
      <c r="I250" s="5"/>
      <c r="J250" s="6" t="str">
        <f t="shared" si="3"/>
        <v/>
      </c>
      <c r="K250" s="6" t="str">
        <f>IF(A250="","",IF(COUNTIFS('02_KICH_BAN_NODES'!$B$5:$B$204,A250,'02_KICH_BAN_NODES'!$D$5:$D$204,"choice")=0,"ChoiceNodeId không tồn tại hoặc không phải choice",IF(COUNTIFS($A$5:$A$404,A250,$B$5:$B$404,B250)&gt;1,"Trùng OptionOrder trong cùng choice",IF(OR(B250="",C250="",D250="",F250="",H250=""),"Thiếu trường bắt buộc",IF(OR(COUNTIF($A$5:$A$404,A250)&lt;2,COUNTIF($A$5:$A$404,A250)&gt;4),"Mỗi choice cần 2–4 option",IF(COUNTIFS('02_KICH_BAN_NODES'!$B$5:$B$204,A250,'02_KICH_BAN_NODES'!$E$5:$E$204,"Kiến thức")=1,IF(COUNTIFS($A$5:$A$404,A250,$D$5:$D$404,"Có")&lt;&gt;1,"Choice kiến thức cần đúng 1 đáp án đúng",""),IF(COUNTIFS('02_KICH_BAN_NODES'!$B$5:$B$204,A250,'02_KICH_BAN_NODES'!$E$5:$E$204,"Tương tác")=1,IF(COUNTIFS($A$5:$A$404,A250,$D$5:$D$404,"Có")&lt;&gt;0,"Choice tương tác không được đánh dấu đáp án đúng",""),"Choice chưa chọn loại")))))))</f>
        <v/>
      </c>
    </row>
    <row r="251" spans="1:11">
      <c r="A251" s="13"/>
      <c r="B251" s="13"/>
      <c r="C251" s="5"/>
      <c r="D251" s="13"/>
      <c r="E251" s="13"/>
      <c r="F251" s="13"/>
      <c r="G251" s="13"/>
      <c r="H251" s="5"/>
      <c r="I251" s="5"/>
      <c r="J251" s="6" t="str">
        <f t="shared" si="3"/>
        <v/>
      </c>
      <c r="K251" s="6" t="str">
        <f>IF(A251="","",IF(COUNTIFS('02_KICH_BAN_NODES'!$B$5:$B$204,A251,'02_KICH_BAN_NODES'!$D$5:$D$204,"choice")=0,"ChoiceNodeId không tồn tại hoặc không phải choice",IF(COUNTIFS($A$5:$A$404,A251,$B$5:$B$404,B251)&gt;1,"Trùng OptionOrder trong cùng choice",IF(OR(B251="",C251="",D251="",F251="",H251=""),"Thiếu trường bắt buộc",IF(OR(COUNTIF($A$5:$A$404,A251)&lt;2,COUNTIF($A$5:$A$404,A251)&gt;4),"Mỗi choice cần 2–4 option",IF(COUNTIFS('02_KICH_BAN_NODES'!$B$5:$B$204,A251,'02_KICH_BAN_NODES'!$E$5:$E$204,"Kiến thức")=1,IF(COUNTIFS($A$5:$A$404,A251,$D$5:$D$404,"Có")&lt;&gt;1,"Choice kiến thức cần đúng 1 đáp án đúng",""),IF(COUNTIFS('02_KICH_BAN_NODES'!$B$5:$B$204,A251,'02_KICH_BAN_NODES'!$E$5:$E$204,"Tương tác")=1,IF(COUNTIFS($A$5:$A$404,A251,$D$5:$D$404,"Có")&lt;&gt;0,"Choice tương tác không được đánh dấu đáp án đúng",""),"Choice chưa chọn loại")))))))</f>
        <v/>
      </c>
    </row>
    <row r="252" spans="1:11">
      <c r="A252" s="13"/>
      <c r="B252" s="13"/>
      <c r="C252" s="5"/>
      <c r="D252" s="13"/>
      <c r="E252" s="13"/>
      <c r="F252" s="13"/>
      <c r="G252" s="13"/>
      <c r="H252" s="5"/>
      <c r="I252" s="5"/>
      <c r="J252" s="6" t="str">
        <f t="shared" si="3"/>
        <v/>
      </c>
      <c r="K252" s="6" t="str">
        <f>IF(A252="","",IF(COUNTIFS('02_KICH_BAN_NODES'!$B$5:$B$204,A252,'02_KICH_BAN_NODES'!$D$5:$D$204,"choice")=0,"ChoiceNodeId không tồn tại hoặc không phải choice",IF(COUNTIFS($A$5:$A$404,A252,$B$5:$B$404,B252)&gt;1,"Trùng OptionOrder trong cùng choice",IF(OR(B252="",C252="",D252="",F252="",H252=""),"Thiếu trường bắt buộc",IF(OR(COUNTIF($A$5:$A$404,A252)&lt;2,COUNTIF($A$5:$A$404,A252)&gt;4),"Mỗi choice cần 2–4 option",IF(COUNTIFS('02_KICH_BAN_NODES'!$B$5:$B$204,A252,'02_KICH_BAN_NODES'!$E$5:$E$204,"Kiến thức")=1,IF(COUNTIFS($A$5:$A$404,A252,$D$5:$D$404,"Có")&lt;&gt;1,"Choice kiến thức cần đúng 1 đáp án đúng",""),IF(COUNTIFS('02_KICH_BAN_NODES'!$B$5:$B$204,A252,'02_KICH_BAN_NODES'!$E$5:$E$204,"Tương tác")=1,IF(COUNTIFS($A$5:$A$404,A252,$D$5:$D$404,"Có")&lt;&gt;0,"Choice tương tác không được đánh dấu đáp án đúng",""),"Choice chưa chọn loại")))))))</f>
        <v/>
      </c>
    </row>
    <row r="253" spans="1:11">
      <c r="A253" s="13"/>
      <c r="B253" s="13"/>
      <c r="C253" s="5"/>
      <c r="D253" s="13"/>
      <c r="E253" s="13"/>
      <c r="F253" s="13"/>
      <c r="G253" s="13"/>
      <c r="H253" s="5"/>
      <c r="I253" s="5"/>
      <c r="J253" s="6" t="str">
        <f t="shared" si="3"/>
        <v/>
      </c>
      <c r="K253" s="6" t="str">
        <f>IF(A253="","",IF(COUNTIFS('02_KICH_BAN_NODES'!$B$5:$B$204,A253,'02_KICH_BAN_NODES'!$D$5:$D$204,"choice")=0,"ChoiceNodeId không tồn tại hoặc không phải choice",IF(COUNTIFS($A$5:$A$404,A253,$B$5:$B$404,B253)&gt;1,"Trùng OptionOrder trong cùng choice",IF(OR(B253="",C253="",D253="",F253="",H253=""),"Thiếu trường bắt buộc",IF(OR(COUNTIF($A$5:$A$404,A253)&lt;2,COUNTIF($A$5:$A$404,A253)&gt;4),"Mỗi choice cần 2–4 option",IF(COUNTIFS('02_KICH_BAN_NODES'!$B$5:$B$204,A253,'02_KICH_BAN_NODES'!$E$5:$E$204,"Kiến thức")=1,IF(COUNTIFS($A$5:$A$404,A253,$D$5:$D$404,"Có")&lt;&gt;1,"Choice kiến thức cần đúng 1 đáp án đúng",""),IF(COUNTIFS('02_KICH_BAN_NODES'!$B$5:$B$204,A253,'02_KICH_BAN_NODES'!$E$5:$E$204,"Tương tác")=1,IF(COUNTIFS($A$5:$A$404,A253,$D$5:$D$404,"Có")&lt;&gt;0,"Choice tương tác không được đánh dấu đáp án đúng",""),"Choice chưa chọn loại")))))))</f>
        <v/>
      </c>
    </row>
    <row r="254" spans="1:11">
      <c r="A254" s="13"/>
      <c r="B254" s="13"/>
      <c r="C254" s="5"/>
      <c r="D254" s="13"/>
      <c r="E254" s="13"/>
      <c r="F254" s="13"/>
      <c r="G254" s="13"/>
      <c r="H254" s="5"/>
      <c r="I254" s="5"/>
      <c r="J254" s="6" t="str">
        <f t="shared" si="3"/>
        <v/>
      </c>
      <c r="K254" s="6" t="str">
        <f>IF(A254="","",IF(COUNTIFS('02_KICH_BAN_NODES'!$B$5:$B$204,A254,'02_KICH_BAN_NODES'!$D$5:$D$204,"choice")=0,"ChoiceNodeId không tồn tại hoặc không phải choice",IF(COUNTIFS($A$5:$A$404,A254,$B$5:$B$404,B254)&gt;1,"Trùng OptionOrder trong cùng choice",IF(OR(B254="",C254="",D254="",F254="",H254=""),"Thiếu trường bắt buộc",IF(OR(COUNTIF($A$5:$A$404,A254)&lt;2,COUNTIF($A$5:$A$404,A254)&gt;4),"Mỗi choice cần 2–4 option",IF(COUNTIFS('02_KICH_BAN_NODES'!$B$5:$B$204,A254,'02_KICH_BAN_NODES'!$E$5:$E$204,"Kiến thức")=1,IF(COUNTIFS($A$5:$A$404,A254,$D$5:$D$404,"Có")&lt;&gt;1,"Choice kiến thức cần đúng 1 đáp án đúng",""),IF(COUNTIFS('02_KICH_BAN_NODES'!$B$5:$B$204,A254,'02_KICH_BAN_NODES'!$E$5:$E$204,"Tương tác")=1,IF(COUNTIFS($A$5:$A$404,A254,$D$5:$D$404,"Có")&lt;&gt;0,"Choice tương tác không được đánh dấu đáp án đúng",""),"Choice chưa chọn loại")))))))</f>
        <v/>
      </c>
    </row>
    <row r="255" spans="1:11">
      <c r="A255" s="13"/>
      <c r="B255" s="13"/>
      <c r="C255" s="5"/>
      <c r="D255" s="13"/>
      <c r="E255" s="13"/>
      <c r="F255" s="13"/>
      <c r="G255" s="13"/>
      <c r="H255" s="5"/>
      <c r="I255" s="5"/>
      <c r="J255" s="6" t="str">
        <f t="shared" si="3"/>
        <v/>
      </c>
      <c r="K255" s="6" t="str">
        <f>IF(A255="","",IF(COUNTIFS('02_KICH_BAN_NODES'!$B$5:$B$204,A255,'02_KICH_BAN_NODES'!$D$5:$D$204,"choice")=0,"ChoiceNodeId không tồn tại hoặc không phải choice",IF(COUNTIFS($A$5:$A$404,A255,$B$5:$B$404,B255)&gt;1,"Trùng OptionOrder trong cùng choice",IF(OR(B255="",C255="",D255="",F255="",H255=""),"Thiếu trường bắt buộc",IF(OR(COUNTIF($A$5:$A$404,A255)&lt;2,COUNTIF($A$5:$A$404,A255)&gt;4),"Mỗi choice cần 2–4 option",IF(COUNTIFS('02_KICH_BAN_NODES'!$B$5:$B$204,A255,'02_KICH_BAN_NODES'!$E$5:$E$204,"Kiến thức")=1,IF(COUNTIFS($A$5:$A$404,A255,$D$5:$D$404,"Có")&lt;&gt;1,"Choice kiến thức cần đúng 1 đáp án đúng",""),IF(COUNTIFS('02_KICH_BAN_NODES'!$B$5:$B$204,A255,'02_KICH_BAN_NODES'!$E$5:$E$204,"Tương tác")=1,IF(COUNTIFS($A$5:$A$404,A255,$D$5:$D$404,"Có")&lt;&gt;0,"Choice tương tác không được đánh dấu đáp án đúng",""),"Choice chưa chọn loại")))))))</f>
        <v/>
      </c>
    </row>
    <row r="256" spans="1:11">
      <c r="A256" s="13"/>
      <c r="B256" s="13"/>
      <c r="C256" s="5"/>
      <c r="D256" s="13"/>
      <c r="E256" s="13"/>
      <c r="F256" s="13"/>
      <c r="G256" s="13"/>
      <c r="H256" s="5"/>
      <c r="I256" s="5"/>
      <c r="J256" s="6" t="str">
        <f t="shared" si="3"/>
        <v/>
      </c>
      <c r="K256" s="6" t="str">
        <f>IF(A256="","",IF(COUNTIFS('02_KICH_BAN_NODES'!$B$5:$B$204,A256,'02_KICH_BAN_NODES'!$D$5:$D$204,"choice")=0,"ChoiceNodeId không tồn tại hoặc không phải choice",IF(COUNTIFS($A$5:$A$404,A256,$B$5:$B$404,B256)&gt;1,"Trùng OptionOrder trong cùng choice",IF(OR(B256="",C256="",D256="",F256="",H256=""),"Thiếu trường bắt buộc",IF(OR(COUNTIF($A$5:$A$404,A256)&lt;2,COUNTIF($A$5:$A$404,A256)&gt;4),"Mỗi choice cần 2–4 option",IF(COUNTIFS('02_KICH_BAN_NODES'!$B$5:$B$204,A256,'02_KICH_BAN_NODES'!$E$5:$E$204,"Kiến thức")=1,IF(COUNTIFS($A$5:$A$404,A256,$D$5:$D$404,"Có")&lt;&gt;1,"Choice kiến thức cần đúng 1 đáp án đúng",""),IF(COUNTIFS('02_KICH_BAN_NODES'!$B$5:$B$204,A256,'02_KICH_BAN_NODES'!$E$5:$E$204,"Tương tác")=1,IF(COUNTIFS($A$5:$A$404,A256,$D$5:$D$404,"Có")&lt;&gt;0,"Choice tương tác không được đánh dấu đáp án đúng",""),"Choice chưa chọn loại")))))))</f>
        <v/>
      </c>
    </row>
    <row r="257" spans="1:11">
      <c r="A257" s="13"/>
      <c r="B257" s="13"/>
      <c r="C257" s="5"/>
      <c r="D257" s="13"/>
      <c r="E257" s="13"/>
      <c r="F257" s="13"/>
      <c r="G257" s="13"/>
      <c r="H257" s="5"/>
      <c r="I257" s="5"/>
      <c r="J257" s="6" t="str">
        <f t="shared" si="3"/>
        <v/>
      </c>
      <c r="K257" s="6" t="str">
        <f>IF(A257="","",IF(COUNTIFS('02_KICH_BAN_NODES'!$B$5:$B$204,A257,'02_KICH_BAN_NODES'!$D$5:$D$204,"choice")=0,"ChoiceNodeId không tồn tại hoặc không phải choice",IF(COUNTIFS($A$5:$A$404,A257,$B$5:$B$404,B257)&gt;1,"Trùng OptionOrder trong cùng choice",IF(OR(B257="",C257="",D257="",F257="",H257=""),"Thiếu trường bắt buộc",IF(OR(COUNTIF($A$5:$A$404,A257)&lt;2,COUNTIF($A$5:$A$404,A257)&gt;4),"Mỗi choice cần 2–4 option",IF(COUNTIFS('02_KICH_BAN_NODES'!$B$5:$B$204,A257,'02_KICH_BAN_NODES'!$E$5:$E$204,"Kiến thức")=1,IF(COUNTIFS($A$5:$A$404,A257,$D$5:$D$404,"Có")&lt;&gt;1,"Choice kiến thức cần đúng 1 đáp án đúng",""),IF(COUNTIFS('02_KICH_BAN_NODES'!$B$5:$B$204,A257,'02_KICH_BAN_NODES'!$E$5:$E$204,"Tương tác")=1,IF(COUNTIFS($A$5:$A$404,A257,$D$5:$D$404,"Có")&lt;&gt;0,"Choice tương tác không được đánh dấu đáp án đúng",""),"Choice chưa chọn loại")))))))</f>
        <v/>
      </c>
    </row>
    <row r="258" spans="1:11">
      <c r="A258" s="13"/>
      <c r="B258" s="13"/>
      <c r="C258" s="5"/>
      <c r="D258" s="13"/>
      <c r="E258" s="13"/>
      <c r="F258" s="13"/>
      <c r="G258" s="13"/>
      <c r="H258" s="5"/>
      <c r="I258" s="5"/>
      <c r="J258" s="6" t="str">
        <f t="shared" si="3"/>
        <v/>
      </c>
      <c r="K258" s="6" t="str">
        <f>IF(A258="","",IF(COUNTIFS('02_KICH_BAN_NODES'!$B$5:$B$204,A258,'02_KICH_BAN_NODES'!$D$5:$D$204,"choice")=0,"ChoiceNodeId không tồn tại hoặc không phải choice",IF(COUNTIFS($A$5:$A$404,A258,$B$5:$B$404,B258)&gt;1,"Trùng OptionOrder trong cùng choice",IF(OR(B258="",C258="",D258="",F258="",H258=""),"Thiếu trường bắt buộc",IF(OR(COUNTIF($A$5:$A$404,A258)&lt;2,COUNTIF($A$5:$A$404,A258)&gt;4),"Mỗi choice cần 2–4 option",IF(COUNTIFS('02_KICH_BAN_NODES'!$B$5:$B$204,A258,'02_KICH_BAN_NODES'!$E$5:$E$204,"Kiến thức")=1,IF(COUNTIFS($A$5:$A$404,A258,$D$5:$D$404,"Có")&lt;&gt;1,"Choice kiến thức cần đúng 1 đáp án đúng",""),IF(COUNTIFS('02_KICH_BAN_NODES'!$B$5:$B$204,A258,'02_KICH_BAN_NODES'!$E$5:$E$204,"Tương tác")=1,IF(COUNTIFS($A$5:$A$404,A258,$D$5:$D$404,"Có")&lt;&gt;0,"Choice tương tác không được đánh dấu đáp án đúng",""),"Choice chưa chọn loại")))))))</f>
        <v/>
      </c>
    </row>
    <row r="259" spans="1:11">
      <c r="A259" s="13"/>
      <c r="B259" s="13"/>
      <c r="C259" s="5"/>
      <c r="D259" s="13"/>
      <c r="E259" s="13"/>
      <c r="F259" s="13"/>
      <c r="G259" s="13"/>
      <c r="H259" s="5"/>
      <c r="I259" s="5"/>
      <c r="J259" s="6" t="str">
        <f t="shared" si="3"/>
        <v/>
      </c>
      <c r="K259" s="6" t="str">
        <f>IF(A259="","",IF(COUNTIFS('02_KICH_BAN_NODES'!$B$5:$B$204,A259,'02_KICH_BAN_NODES'!$D$5:$D$204,"choice")=0,"ChoiceNodeId không tồn tại hoặc không phải choice",IF(COUNTIFS($A$5:$A$404,A259,$B$5:$B$404,B259)&gt;1,"Trùng OptionOrder trong cùng choice",IF(OR(B259="",C259="",D259="",F259="",H259=""),"Thiếu trường bắt buộc",IF(OR(COUNTIF($A$5:$A$404,A259)&lt;2,COUNTIF($A$5:$A$404,A259)&gt;4),"Mỗi choice cần 2–4 option",IF(COUNTIFS('02_KICH_BAN_NODES'!$B$5:$B$204,A259,'02_KICH_BAN_NODES'!$E$5:$E$204,"Kiến thức")=1,IF(COUNTIFS($A$5:$A$404,A259,$D$5:$D$404,"Có")&lt;&gt;1,"Choice kiến thức cần đúng 1 đáp án đúng",""),IF(COUNTIFS('02_KICH_BAN_NODES'!$B$5:$B$204,A259,'02_KICH_BAN_NODES'!$E$5:$E$204,"Tương tác")=1,IF(COUNTIFS($A$5:$A$404,A259,$D$5:$D$404,"Có")&lt;&gt;0,"Choice tương tác không được đánh dấu đáp án đúng",""),"Choice chưa chọn loại")))))))</f>
        <v/>
      </c>
    </row>
    <row r="260" spans="1:11">
      <c r="A260" s="13"/>
      <c r="B260" s="13"/>
      <c r="C260" s="5"/>
      <c r="D260" s="13"/>
      <c r="E260" s="13"/>
      <c r="F260" s="13"/>
      <c r="G260" s="13"/>
      <c r="H260" s="5"/>
      <c r="I260" s="5"/>
      <c r="J260" s="6" t="str">
        <f t="shared" si="3"/>
        <v/>
      </c>
      <c r="K260" s="6" t="str">
        <f>IF(A260="","",IF(COUNTIFS('02_KICH_BAN_NODES'!$B$5:$B$204,A260,'02_KICH_BAN_NODES'!$D$5:$D$204,"choice")=0,"ChoiceNodeId không tồn tại hoặc không phải choice",IF(COUNTIFS($A$5:$A$404,A260,$B$5:$B$404,B260)&gt;1,"Trùng OptionOrder trong cùng choice",IF(OR(B260="",C260="",D260="",F260="",H260=""),"Thiếu trường bắt buộc",IF(OR(COUNTIF($A$5:$A$404,A260)&lt;2,COUNTIF($A$5:$A$404,A260)&gt;4),"Mỗi choice cần 2–4 option",IF(COUNTIFS('02_KICH_BAN_NODES'!$B$5:$B$204,A260,'02_KICH_BAN_NODES'!$E$5:$E$204,"Kiến thức")=1,IF(COUNTIFS($A$5:$A$404,A260,$D$5:$D$404,"Có")&lt;&gt;1,"Choice kiến thức cần đúng 1 đáp án đúng",""),IF(COUNTIFS('02_KICH_BAN_NODES'!$B$5:$B$204,A260,'02_KICH_BAN_NODES'!$E$5:$E$204,"Tương tác")=1,IF(COUNTIFS($A$5:$A$404,A260,$D$5:$D$404,"Có")&lt;&gt;0,"Choice tương tác không được đánh dấu đáp án đúng",""),"Choice chưa chọn loại")))))))</f>
        <v/>
      </c>
    </row>
    <row r="261" spans="1:11">
      <c r="A261" s="13"/>
      <c r="B261" s="13"/>
      <c r="C261" s="5"/>
      <c r="D261" s="13"/>
      <c r="E261" s="13"/>
      <c r="F261" s="13"/>
      <c r="G261" s="13"/>
      <c r="H261" s="5"/>
      <c r="I261" s="5"/>
      <c r="J261" s="6" t="str">
        <f t="shared" ref="J261:J324" si="4">IF(A261="","",IF(K261="","HỢP LỆ","CẦN SỬA"))</f>
        <v/>
      </c>
      <c r="K261" s="6" t="str">
        <f>IF(A261="","",IF(COUNTIFS('02_KICH_BAN_NODES'!$B$5:$B$204,A261,'02_KICH_BAN_NODES'!$D$5:$D$204,"choice")=0,"ChoiceNodeId không tồn tại hoặc không phải choice",IF(COUNTIFS($A$5:$A$404,A261,$B$5:$B$404,B261)&gt;1,"Trùng OptionOrder trong cùng choice",IF(OR(B261="",C261="",D261="",F261="",H261=""),"Thiếu trường bắt buộc",IF(OR(COUNTIF($A$5:$A$404,A261)&lt;2,COUNTIF($A$5:$A$404,A261)&gt;4),"Mỗi choice cần 2–4 option",IF(COUNTIFS('02_KICH_BAN_NODES'!$B$5:$B$204,A261,'02_KICH_BAN_NODES'!$E$5:$E$204,"Kiến thức")=1,IF(COUNTIFS($A$5:$A$404,A261,$D$5:$D$404,"Có")&lt;&gt;1,"Choice kiến thức cần đúng 1 đáp án đúng",""),IF(COUNTIFS('02_KICH_BAN_NODES'!$B$5:$B$204,A261,'02_KICH_BAN_NODES'!$E$5:$E$204,"Tương tác")=1,IF(COUNTIFS($A$5:$A$404,A261,$D$5:$D$404,"Có")&lt;&gt;0,"Choice tương tác không được đánh dấu đáp án đúng",""),"Choice chưa chọn loại")))))))</f>
        <v/>
      </c>
    </row>
    <row r="262" spans="1:11">
      <c r="A262" s="13"/>
      <c r="B262" s="13"/>
      <c r="C262" s="5"/>
      <c r="D262" s="13"/>
      <c r="E262" s="13"/>
      <c r="F262" s="13"/>
      <c r="G262" s="13"/>
      <c r="H262" s="5"/>
      <c r="I262" s="5"/>
      <c r="J262" s="6" t="str">
        <f t="shared" si="4"/>
        <v/>
      </c>
      <c r="K262" s="6" t="str">
        <f>IF(A262="","",IF(COUNTIFS('02_KICH_BAN_NODES'!$B$5:$B$204,A262,'02_KICH_BAN_NODES'!$D$5:$D$204,"choice")=0,"ChoiceNodeId không tồn tại hoặc không phải choice",IF(COUNTIFS($A$5:$A$404,A262,$B$5:$B$404,B262)&gt;1,"Trùng OptionOrder trong cùng choice",IF(OR(B262="",C262="",D262="",F262="",H262=""),"Thiếu trường bắt buộc",IF(OR(COUNTIF($A$5:$A$404,A262)&lt;2,COUNTIF($A$5:$A$404,A262)&gt;4),"Mỗi choice cần 2–4 option",IF(COUNTIFS('02_KICH_BAN_NODES'!$B$5:$B$204,A262,'02_KICH_BAN_NODES'!$E$5:$E$204,"Kiến thức")=1,IF(COUNTIFS($A$5:$A$404,A262,$D$5:$D$404,"Có")&lt;&gt;1,"Choice kiến thức cần đúng 1 đáp án đúng",""),IF(COUNTIFS('02_KICH_BAN_NODES'!$B$5:$B$204,A262,'02_KICH_BAN_NODES'!$E$5:$E$204,"Tương tác")=1,IF(COUNTIFS($A$5:$A$404,A262,$D$5:$D$404,"Có")&lt;&gt;0,"Choice tương tác không được đánh dấu đáp án đúng",""),"Choice chưa chọn loại")))))))</f>
        <v/>
      </c>
    </row>
    <row r="263" spans="1:11">
      <c r="A263" s="13"/>
      <c r="B263" s="13"/>
      <c r="C263" s="5"/>
      <c r="D263" s="13"/>
      <c r="E263" s="13"/>
      <c r="F263" s="13"/>
      <c r="G263" s="13"/>
      <c r="H263" s="5"/>
      <c r="I263" s="5"/>
      <c r="J263" s="6" t="str">
        <f t="shared" si="4"/>
        <v/>
      </c>
      <c r="K263" s="6" t="str">
        <f>IF(A263="","",IF(COUNTIFS('02_KICH_BAN_NODES'!$B$5:$B$204,A263,'02_KICH_BAN_NODES'!$D$5:$D$204,"choice")=0,"ChoiceNodeId không tồn tại hoặc không phải choice",IF(COUNTIFS($A$5:$A$404,A263,$B$5:$B$404,B263)&gt;1,"Trùng OptionOrder trong cùng choice",IF(OR(B263="",C263="",D263="",F263="",H263=""),"Thiếu trường bắt buộc",IF(OR(COUNTIF($A$5:$A$404,A263)&lt;2,COUNTIF($A$5:$A$404,A263)&gt;4),"Mỗi choice cần 2–4 option",IF(COUNTIFS('02_KICH_BAN_NODES'!$B$5:$B$204,A263,'02_KICH_BAN_NODES'!$E$5:$E$204,"Kiến thức")=1,IF(COUNTIFS($A$5:$A$404,A263,$D$5:$D$404,"Có")&lt;&gt;1,"Choice kiến thức cần đúng 1 đáp án đúng",""),IF(COUNTIFS('02_KICH_BAN_NODES'!$B$5:$B$204,A263,'02_KICH_BAN_NODES'!$E$5:$E$204,"Tương tác")=1,IF(COUNTIFS($A$5:$A$404,A263,$D$5:$D$404,"Có")&lt;&gt;0,"Choice tương tác không được đánh dấu đáp án đúng",""),"Choice chưa chọn loại")))))))</f>
        <v/>
      </c>
    </row>
    <row r="264" spans="1:11">
      <c r="A264" s="13"/>
      <c r="B264" s="13"/>
      <c r="C264" s="5"/>
      <c r="D264" s="13"/>
      <c r="E264" s="13"/>
      <c r="F264" s="13"/>
      <c r="G264" s="13"/>
      <c r="H264" s="5"/>
      <c r="I264" s="5"/>
      <c r="J264" s="6" t="str">
        <f t="shared" si="4"/>
        <v/>
      </c>
      <c r="K264" s="6" t="str">
        <f>IF(A264="","",IF(COUNTIFS('02_KICH_BAN_NODES'!$B$5:$B$204,A264,'02_KICH_BAN_NODES'!$D$5:$D$204,"choice")=0,"ChoiceNodeId không tồn tại hoặc không phải choice",IF(COUNTIFS($A$5:$A$404,A264,$B$5:$B$404,B264)&gt;1,"Trùng OptionOrder trong cùng choice",IF(OR(B264="",C264="",D264="",F264="",H264=""),"Thiếu trường bắt buộc",IF(OR(COUNTIF($A$5:$A$404,A264)&lt;2,COUNTIF($A$5:$A$404,A264)&gt;4),"Mỗi choice cần 2–4 option",IF(COUNTIFS('02_KICH_BAN_NODES'!$B$5:$B$204,A264,'02_KICH_BAN_NODES'!$E$5:$E$204,"Kiến thức")=1,IF(COUNTIFS($A$5:$A$404,A264,$D$5:$D$404,"Có")&lt;&gt;1,"Choice kiến thức cần đúng 1 đáp án đúng",""),IF(COUNTIFS('02_KICH_BAN_NODES'!$B$5:$B$204,A264,'02_KICH_BAN_NODES'!$E$5:$E$204,"Tương tác")=1,IF(COUNTIFS($A$5:$A$404,A264,$D$5:$D$404,"Có")&lt;&gt;0,"Choice tương tác không được đánh dấu đáp án đúng",""),"Choice chưa chọn loại")))))))</f>
        <v/>
      </c>
    </row>
    <row r="265" spans="1:11">
      <c r="A265" s="13"/>
      <c r="B265" s="13"/>
      <c r="C265" s="5"/>
      <c r="D265" s="13"/>
      <c r="E265" s="13"/>
      <c r="F265" s="13"/>
      <c r="G265" s="13"/>
      <c r="H265" s="5"/>
      <c r="I265" s="5"/>
      <c r="J265" s="6" t="str">
        <f t="shared" si="4"/>
        <v/>
      </c>
      <c r="K265" s="6" t="str">
        <f>IF(A265="","",IF(COUNTIFS('02_KICH_BAN_NODES'!$B$5:$B$204,A265,'02_KICH_BAN_NODES'!$D$5:$D$204,"choice")=0,"ChoiceNodeId không tồn tại hoặc không phải choice",IF(COUNTIFS($A$5:$A$404,A265,$B$5:$B$404,B265)&gt;1,"Trùng OptionOrder trong cùng choice",IF(OR(B265="",C265="",D265="",F265="",H265=""),"Thiếu trường bắt buộc",IF(OR(COUNTIF($A$5:$A$404,A265)&lt;2,COUNTIF($A$5:$A$404,A265)&gt;4),"Mỗi choice cần 2–4 option",IF(COUNTIFS('02_KICH_BAN_NODES'!$B$5:$B$204,A265,'02_KICH_BAN_NODES'!$E$5:$E$204,"Kiến thức")=1,IF(COUNTIFS($A$5:$A$404,A265,$D$5:$D$404,"Có")&lt;&gt;1,"Choice kiến thức cần đúng 1 đáp án đúng",""),IF(COUNTIFS('02_KICH_BAN_NODES'!$B$5:$B$204,A265,'02_KICH_BAN_NODES'!$E$5:$E$204,"Tương tác")=1,IF(COUNTIFS($A$5:$A$404,A265,$D$5:$D$404,"Có")&lt;&gt;0,"Choice tương tác không được đánh dấu đáp án đúng",""),"Choice chưa chọn loại")))))))</f>
        <v/>
      </c>
    </row>
    <row r="266" spans="1:11">
      <c r="A266" s="13"/>
      <c r="B266" s="13"/>
      <c r="C266" s="5"/>
      <c r="D266" s="13"/>
      <c r="E266" s="13"/>
      <c r="F266" s="13"/>
      <c r="G266" s="13"/>
      <c r="H266" s="5"/>
      <c r="I266" s="5"/>
      <c r="J266" s="6" t="str">
        <f t="shared" si="4"/>
        <v/>
      </c>
      <c r="K266" s="6" t="str">
        <f>IF(A266="","",IF(COUNTIFS('02_KICH_BAN_NODES'!$B$5:$B$204,A266,'02_KICH_BAN_NODES'!$D$5:$D$204,"choice")=0,"ChoiceNodeId không tồn tại hoặc không phải choice",IF(COUNTIFS($A$5:$A$404,A266,$B$5:$B$404,B266)&gt;1,"Trùng OptionOrder trong cùng choice",IF(OR(B266="",C266="",D266="",F266="",H266=""),"Thiếu trường bắt buộc",IF(OR(COUNTIF($A$5:$A$404,A266)&lt;2,COUNTIF($A$5:$A$404,A266)&gt;4),"Mỗi choice cần 2–4 option",IF(COUNTIFS('02_KICH_BAN_NODES'!$B$5:$B$204,A266,'02_KICH_BAN_NODES'!$E$5:$E$204,"Kiến thức")=1,IF(COUNTIFS($A$5:$A$404,A266,$D$5:$D$404,"Có")&lt;&gt;1,"Choice kiến thức cần đúng 1 đáp án đúng",""),IF(COUNTIFS('02_KICH_BAN_NODES'!$B$5:$B$204,A266,'02_KICH_BAN_NODES'!$E$5:$E$204,"Tương tác")=1,IF(COUNTIFS($A$5:$A$404,A266,$D$5:$D$404,"Có")&lt;&gt;0,"Choice tương tác không được đánh dấu đáp án đúng",""),"Choice chưa chọn loại")))))))</f>
        <v/>
      </c>
    </row>
    <row r="267" spans="1:11">
      <c r="A267" s="13"/>
      <c r="B267" s="13"/>
      <c r="C267" s="5"/>
      <c r="D267" s="13"/>
      <c r="E267" s="13"/>
      <c r="F267" s="13"/>
      <c r="G267" s="13"/>
      <c r="H267" s="5"/>
      <c r="I267" s="5"/>
      <c r="J267" s="6" t="str">
        <f t="shared" si="4"/>
        <v/>
      </c>
      <c r="K267" s="6" t="str">
        <f>IF(A267="","",IF(COUNTIFS('02_KICH_BAN_NODES'!$B$5:$B$204,A267,'02_KICH_BAN_NODES'!$D$5:$D$204,"choice")=0,"ChoiceNodeId không tồn tại hoặc không phải choice",IF(COUNTIFS($A$5:$A$404,A267,$B$5:$B$404,B267)&gt;1,"Trùng OptionOrder trong cùng choice",IF(OR(B267="",C267="",D267="",F267="",H267=""),"Thiếu trường bắt buộc",IF(OR(COUNTIF($A$5:$A$404,A267)&lt;2,COUNTIF($A$5:$A$404,A267)&gt;4),"Mỗi choice cần 2–4 option",IF(COUNTIFS('02_KICH_BAN_NODES'!$B$5:$B$204,A267,'02_KICH_BAN_NODES'!$E$5:$E$204,"Kiến thức")=1,IF(COUNTIFS($A$5:$A$404,A267,$D$5:$D$404,"Có")&lt;&gt;1,"Choice kiến thức cần đúng 1 đáp án đúng",""),IF(COUNTIFS('02_KICH_BAN_NODES'!$B$5:$B$204,A267,'02_KICH_BAN_NODES'!$E$5:$E$204,"Tương tác")=1,IF(COUNTIFS($A$5:$A$404,A267,$D$5:$D$404,"Có")&lt;&gt;0,"Choice tương tác không được đánh dấu đáp án đúng",""),"Choice chưa chọn loại")))))))</f>
        <v/>
      </c>
    </row>
    <row r="268" spans="1:11">
      <c r="A268" s="13"/>
      <c r="B268" s="13"/>
      <c r="C268" s="5"/>
      <c r="D268" s="13"/>
      <c r="E268" s="13"/>
      <c r="F268" s="13"/>
      <c r="G268" s="13"/>
      <c r="H268" s="5"/>
      <c r="I268" s="5"/>
      <c r="J268" s="6" t="str">
        <f t="shared" si="4"/>
        <v/>
      </c>
      <c r="K268" s="6" t="str">
        <f>IF(A268="","",IF(COUNTIFS('02_KICH_BAN_NODES'!$B$5:$B$204,A268,'02_KICH_BAN_NODES'!$D$5:$D$204,"choice")=0,"ChoiceNodeId không tồn tại hoặc không phải choice",IF(COUNTIFS($A$5:$A$404,A268,$B$5:$B$404,B268)&gt;1,"Trùng OptionOrder trong cùng choice",IF(OR(B268="",C268="",D268="",F268="",H268=""),"Thiếu trường bắt buộc",IF(OR(COUNTIF($A$5:$A$404,A268)&lt;2,COUNTIF($A$5:$A$404,A268)&gt;4),"Mỗi choice cần 2–4 option",IF(COUNTIFS('02_KICH_BAN_NODES'!$B$5:$B$204,A268,'02_KICH_BAN_NODES'!$E$5:$E$204,"Kiến thức")=1,IF(COUNTIFS($A$5:$A$404,A268,$D$5:$D$404,"Có")&lt;&gt;1,"Choice kiến thức cần đúng 1 đáp án đúng",""),IF(COUNTIFS('02_KICH_BAN_NODES'!$B$5:$B$204,A268,'02_KICH_BAN_NODES'!$E$5:$E$204,"Tương tác")=1,IF(COUNTIFS($A$5:$A$404,A268,$D$5:$D$404,"Có")&lt;&gt;0,"Choice tương tác không được đánh dấu đáp án đúng",""),"Choice chưa chọn loại")))))))</f>
        <v/>
      </c>
    </row>
    <row r="269" spans="1:11">
      <c r="A269" s="13"/>
      <c r="B269" s="13"/>
      <c r="C269" s="5"/>
      <c r="D269" s="13"/>
      <c r="E269" s="13"/>
      <c r="F269" s="13"/>
      <c r="G269" s="13"/>
      <c r="H269" s="5"/>
      <c r="I269" s="5"/>
      <c r="J269" s="6" t="str">
        <f t="shared" si="4"/>
        <v/>
      </c>
      <c r="K269" s="6" t="str">
        <f>IF(A269="","",IF(COUNTIFS('02_KICH_BAN_NODES'!$B$5:$B$204,A269,'02_KICH_BAN_NODES'!$D$5:$D$204,"choice")=0,"ChoiceNodeId không tồn tại hoặc không phải choice",IF(COUNTIFS($A$5:$A$404,A269,$B$5:$B$404,B269)&gt;1,"Trùng OptionOrder trong cùng choice",IF(OR(B269="",C269="",D269="",F269="",H269=""),"Thiếu trường bắt buộc",IF(OR(COUNTIF($A$5:$A$404,A269)&lt;2,COUNTIF($A$5:$A$404,A269)&gt;4),"Mỗi choice cần 2–4 option",IF(COUNTIFS('02_KICH_BAN_NODES'!$B$5:$B$204,A269,'02_KICH_BAN_NODES'!$E$5:$E$204,"Kiến thức")=1,IF(COUNTIFS($A$5:$A$404,A269,$D$5:$D$404,"Có")&lt;&gt;1,"Choice kiến thức cần đúng 1 đáp án đúng",""),IF(COUNTIFS('02_KICH_BAN_NODES'!$B$5:$B$204,A269,'02_KICH_BAN_NODES'!$E$5:$E$204,"Tương tác")=1,IF(COUNTIFS($A$5:$A$404,A269,$D$5:$D$404,"Có")&lt;&gt;0,"Choice tương tác không được đánh dấu đáp án đúng",""),"Choice chưa chọn loại")))))))</f>
        <v/>
      </c>
    </row>
    <row r="270" spans="1:11">
      <c r="A270" s="13"/>
      <c r="B270" s="13"/>
      <c r="C270" s="5"/>
      <c r="D270" s="13"/>
      <c r="E270" s="13"/>
      <c r="F270" s="13"/>
      <c r="G270" s="13"/>
      <c r="H270" s="5"/>
      <c r="I270" s="5"/>
      <c r="J270" s="6" t="str">
        <f t="shared" si="4"/>
        <v/>
      </c>
      <c r="K270" s="6" t="str">
        <f>IF(A270="","",IF(COUNTIFS('02_KICH_BAN_NODES'!$B$5:$B$204,A270,'02_KICH_BAN_NODES'!$D$5:$D$204,"choice")=0,"ChoiceNodeId không tồn tại hoặc không phải choice",IF(COUNTIFS($A$5:$A$404,A270,$B$5:$B$404,B270)&gt;1,"Trùng OptionOrder trong cùng choice",IF(OR(B270="",C270="",D270="",F270="",H270=""),"Thiếu trường bắt buộc",IF(OR(COUNTIF($A$5:$A$404,A270)&lt;2,COUNTIF($A$5:$A$404,A270)&gt;4),"Mỗi choice cần 2–4 option",IF(COUNTIFS('02_KICH_BAN_NODES'!$B$5:$B$204,A270,'02_KICH_BAN_NODES'!$E$5:$E$204,"Kiến thức")=1,IF(COUNTIFS($A$5:$A$404,A270,$D$5:$D$404,"Có")&lt;&gt;1,"Choice kiến thức cần đúng 1 đáp án đúng",""),IF(COUNTIFS('02_KICH_BAN_NODES'!$B$5:$B$204,A270,'02_KICH_BAN_NODES'!$E$5:$E$204,"Tương tác")=1,IF(COUNTIFS($A$5:$A$404,A270,$D$5:$D$404,"Có")&lt;&gt;0,"Choice tương tác không được đánh dấu đáp án đúng",""),"Choice chưa chọn loại")))))))</f>
        <v/>
      </c>
    </row>
    <row r="271" spans="1:11">
      <c r="A271" s="13"/>
      <c r="B271" s="13"/>
      <c r="C271" s="5"/>
      <c r="D271" s="13"/>
      <c r="E271" s="13"/>
      <c r="F271" s="13"/>
      <c r="G271" s="13"/>
      <c r="H271" s="5"/>
      <c r="I271" s="5"/>
      <c r="J271" s="6" t="str">
        <f t="shared" si="4"/>
        <v/>
      </c>
      <c r="K271" s="6" t="str">
        <f>IF(A271="","",IF(COUNTIFS('02_KICH_BAN_NODES'!$B$5:$B$204,A271,'02_KICH_BAN_NODES'!$D$5:$D$204,"choice")=0,"ChoiceNodeId không tồn tại hoặc không phải choice",IF(COUNTIFS($A$5:$A$404,A271,$B$5:$B$404,B271)&gt;1,"Trùng OptionOrder trong cùng choice",IF(OR(B271="",C271="",D271="",F271="",H271=""),"Thiếu trường bắt buộc",IF(OR(COUNTIF($A$5:$A$404,A271)&lt;2,COUNTIF($A$5:$A$404,A271)&gt;4),"Mỗi choice cần 2–4 option",IF(COUNTIFS('02_KICH_BAN_NODES'!$B$5:$B$204,A271,'02_KICH_BAN_NODES'!$E$5:$E$204,"Kiến thức")=1,IF(COUNTIFS($A$5:$A$404,A271,$D$5:$D$404,"Có")&lt;&gt;1,"Choice kiến thức cần đúng 1 đáp án đúng",""),IF(COUNTIFS('02_KICH_BAN_NODES'!$B$5:$B$204,A271,'02_KICH_BAN_NODES'!$E$5:$E$204,"Tương tác")=1,IF(COUNTIFS($A$5:$A$404,A271,$D$5:$D$404,"Có")&lt;&gt;0,"Choice tương tác không được đánh dấu đáp án đúng",""),"Choice chưa chọn loại")))))))</f>
        <v/>
      </c>
    </row>
    <row r="272" spans="1:11">
      <c r="A272" s="13"/>
      <c r="B272" s="13"/>
      <c r="C272" s="5"/>
      <c r="D272" s="13"/>
      <c r="E272" s="13"/>
      <c r="F272" s="13"/>
      <c r="G272" s="13"/>
      <c r="H272" s="5"/>
      <c r="I272" s="5"/>
      <c r="J272" s="6" t="str">
        <f t="shared" si="4"/>
        <v/>
      </c>
      <c r="K272" s="6" t="str">
        <f>IF(A272="","",IF(COUNTIFS('02_KICH_BAN_NODES'!$B$5:$B$204,A272,'02_KICH_BAN_NODES'!$D$5:$D$204,"choice")=0,"ChoiceNodeId không tồn tại hoặc không phải choice",IF(COUNTIFS($A$5:$A$404,A272,$B$5:$B$404,B272)&gt;1,"Trùng OptionOrder trong cùng choice",IF(OR(B272="",C272="",D272="",F272="",H272=""),"Thiếu trường bắt buộc",IF(OR(COUNTIF($A$5:$A$404,A272)&lt;2,COUNTIF($A$5:$A$404,A272)&gt;4),"Mỗi choice cần 2–4 option",IF(COUNTIFS('02_KICH_BAN_NODES'!$B$5:$B$204,A272,'02_KICH_BAN_NODES'!$E$5:$E$204,"Kiến thức")=1,IF(COUNTIFS($A$5:$A$404,A272,$D$5:$D$404,"Có")&lt;&gt;1,"Choice kiến thức cần đúng 1 đáp án đúng",""),IF(COUNTIFS('02_KICH_BAN_NODES'!$B$5:$B$204,A272,'02_KICH_BAN_NODES'!$E$5:$E$204,"Tương tác")=1,IF(COUNTIFS($A$5:$A$404,A272,$D$5:$D$404,"Có")&lt;&gt;0,"Choice tương tác không được đánh dấu đáp án đúng",""),"Choice chưa chọn loại")))))))</f>
        <v/>
      </c>
    </row>
    <row r="273" spans="1:11">
      <c r="A273" s="13"/>
      <c r="B273" s="13"/>
      <c r="C273" s="5"/>
      <c r="D273" s="13"/>
      <c r="E273" s="13"/>
      <c r="F273" s="13"/>
      <c r="G273" s="13"/>
      <c r="H273" s="5"/>
      <c r="I273" s="5"/>
      <c r="J273" s="6" t="str">
        <f t="shared" si="4"/>
        <v/>
      </c>
      <c r="K273" s="6" t="str">
        <f>IF(A273="","",IF(COUNTIFS('02_KICH_BAN_NODES'!$B$5:$B$204,A273,'02_KICH_BAN_NODES'!$D$5:$D$204,"choice")=0,"ChoiceNodeId không tồn tại hoặc không phải choice",IF(COUNTIFS($A$5:$A$404,A273,$B$5:$B$404,B273)&gt;1,"Trùng OptionOrder trong cùng choice",IF(OR(B273="",C273="",D273="",F273="",H273=""),"Thiếu trường bắt buộc",IF(OR(COUNTIF($A$5:$A$404,A273)&lt;2,COUNTIF($A$5:$A$404,A273)&gt;4),"Mỗi choice cần 2–4 option",IF(COUNTIFS('02_KICH_BAN_NODES'!$B$5:$B$204,A273,'02_KICH_BAN_NODES'!$E$5:$E$204,"Kiến thức")=1,IF(COUNTIFS($A$5:$A$404,A273,$D$5:$D$404,"Có")&lt;&gt;1,"Choice kiến thức cần đúng 1 đáp án đúng",""),IF(COUNTIFS('02_KICH_BAN_NODES'!$B$5:$B$204,A273,'02_KICH_BAN_NODES'!$E$5:$E$204,"Tương tác")=1,IF(COUNTIFS($A$5:$A$404,A273,$D$5:$D$404,"Có")&lt;&gt;0,"Choice tương tác không được đánh dấu đáp án đúng",""),"Choice chưa chọn loại")))))))</f>
        <v/>
      </c>
    </row>
    <row r="274" spans="1:11">
      <c r="A274" s="13"/>
      <c r="B274" s="13"/>
      <c r="C274" s="5"/>
      <c r="D274" s="13"/>
      <c r="E274" s="13"/>
      <c r="F274" s="13"/>
      <c r="G274" s="13"/>
      <c r="H274" s="5"/>
      <c r="I274" s="5"/>
      <c r="J274" s="6" t="str">
        <f t="shared" si="4"/>
        <v/>
      </c>
      <c r="K274" s="6" t="str">
        <f>IF(A274="","",IF(COUNTIFS('02_KICH_BAN_NODES'!$B$5:$B$204,A274,'02_KICH_BAN_NODES'!$D$5:$D$204,"choice")=0,"ChoiceNodeId không tồn tại hoặc không phải choice",IF(COUNTIFS($A$5:$A$404,A274,$B$5:$B$404,B274)&gt;1,"Trùng OptionOrder trong cùng choice",IF(OR(B274="",C274="",D274="",F274="",H274=""),"Thiếu trường bắt buộc",IF(OR(COUNTIF($A$5:$A$404,A274)&lt;2,COUNTIF($A$5:$A$404,A274)&gt;4),"Mỗi choice cần 2–4 option",IF(COUNTIFS('02_KICH_BAN_NODES'!$B$5:$B$204,A274,'02_KICH_BAN_NODES'!$E$5:$E$204,"Kiến thức")=1,IF(COUNTIFS($A$5:$A$404,A274,$D$5:$D$404,"Có")&lt;&gt;1,"Choice kiến thức cần đúng 1 đáp án đúng",""),IF(COUNTIFS('02_KICH_BAN_NODES'!$B$5:$B$204,A274,'02_KICH_BAN_NODES'!$E$5:$E$204,"Tương tác")=1,IF(COUNTIFS($A$5:$A$404,A274,$D$5:$D$404,"Có")&lt;&gt;0,"Choice tương tác không được đánh dấu đáp án đúng",""),"Choice chưa chọn loại")))))))</f>
        <v/>
      </c>
    </row>
    <row r="275" spans="1:11">
      <c r="A275" s="13"/>
      <c r="B275" s="13"/>
      <c r="C275" s="5"/>
      <c r="D275" s="13"/>
      <c r="E275" s="13"/>
      <c r="F275" s="13"/>
      <c r="G275" s="13"/>
      <c r="H275" s="5"/>
      <c r="I275" s="5"/>
      <c r="J275" s="6" t="str">
        <f t="shared" si="4"/>
        <v/>
      </c>
      <c r="K275" s="6" t="str">
        <f>IF(A275="","",IF(COUNTIFS('02_KICH_BAN_NODES'!$B$5:$B$204,A275,'02_KICH_BAN_NODES'!$D$5:$D$204,"choice")=0,"ChoiceNodeId không tồn tại hoặc không phải choice",IF(COUNTIFS($A$5:$A$404,A275,$B$5:$B$404,B275)&gt;1,"Trùng OptionOrder trong cùng choice",IF(OR(B275="",C275="",D275="",F275="",H275=""),"Thiếu trường bắt buộc",IF(OR(COUNTIF($A$5:$A$404,A275)&lt;2,COUNTIF($A$5:$A$404,A275)&gt;4),"Mỗi choice cần 2–4 option",IF(COUNTIFS('02_KICH_BAN_NODES'!$B$5:$B$204,A275,'02_KICH_BAN_NODES'!$E$5:$E$204,"Kiến thức")=1,IF(COUNTIFS($A$5:$A$404,A275,$D$5:$D$404,"Có")&lt;&gt;1,"Choice kiến thức cần đúng 1 đáp án đúng",""),IF(COUNTIFS('02_KICH_BAN_NODES'!$B$5:$B$204,A275,'02_KICH_BAN_NODES'!$E$5:$E$204,"Tương tác")=1,IF(COUNTIFS($A$5:$A$404,A275,$D$5:$D$404,"Có")&lt;&gt;0,"Choice tương tác không được đánh dấu đáp án đúng",""),"Choice chưa chọn loại")))))))</f>
        <v/>
      </c>
    </row>
    <row r="276" spans="1:11">
      <c r="A276" s="13"/>
      <c r="B276" s="13"/>
      <c r="C276" s="5"/>
      <c r="D276" s="13"/>
      <c r="E276" s="13"/>
      <c r="F276" s="13"/>
      <c r="G276" s="13"/>
      <c r="H276" s="5"/>
      <c r="I276" s="5"/>
      <c r="J276" s="6" t="str">
        <f t="shared" si="4"/>
        <v/>
      </c>
      <c r="K276" s="6" t="str">
        <f>IF(A276="","",IF(COUNTIFS('02_KICH_BAN_NODES'!$B$5:$B$204,A276,'02_KICH_BAN_NODES'!$D$5:$D$204,"choice")=0,"ChoiceNodeId không tồn tại hoặc không phải choice",IF(COUNTIFS($A$5:$A$404,A276,$B$5:$B$404,B276)&gt;1,"Trùng OptionOrder trong cùng choice",IF(OR(B276="",C276="",D276="",F276="",H276=""),"Thiếu trường bắt buộc",IF(OR(COUNTIF($A$5:$A$404,A276)&lt;2,COUNTIF($A$5:$A$404,A276)&gt;4),"Mỗi choice cần 2–4 option",IF(COUNTIFS('02_KICH_BAN_NODES'!$B$5:$B$204,A276,'02_KICH_BAN_NODES'!$E$5:$E$204,"Kiến thức")=1,IF(COUNTIFS($A$5:$A$404,A276,$D$5:$D$404,"Có")&lt;&gt;1,"Choice kiến thức cần đúng 1 đáp án đúng",""),IF(COUNTIFS('02_KICH_BAN_NODES'!$B$5:$B$204,A276,'02_KICH_BAN_NODES'!$E$5:$E$204,"Tương tác")=1,IF(COUNTIFS($A$5:$A$404,A276,$D$5:$D$404,"Có")&lt;&gt;0,"Choice tương tác không được đánh dấu đáp án đúng",""),"Choice chưa chọn loại")))))))</f>
        <v/>
      </c>
    </row>
    <row r="277" spans="1:11">
      <c r="A277" s="13"/>
      <c r="B277" s="13"/>
      <c r="C277" s="5"/>
      <c r="D277" s="13"/>
      <c r="E277" s="13"/>
      <c r="F277" s="13"/>
      <c r="G277" s="13"/>
      <c r="H277" s="5"/>
      <c r="I277" s="5"/>
      <c r="J277" s="6" t="str">
        <f t="shared" si="4"/>
        <v/>
      </c>
      <c r="K277" s="6" t="str">
        <f>IF(A277="","",IF(COUNTIFS('02_KICH_BAN_NODES'!$B$5:$B$204,A277,'02_KICH_BAN_NODES'!$D$5:$D$204,"choice")=0,"ChoiceNodeId không tồn tại hoặc không phải choice",IF(COUNTIFS($A$5:$A$404,A277,$B$5:$B$404,B277)&gt;1,"Trùng OptionOrder trong cùng choice",IF(OR(B277="",C277="",D277="",F277="",H277=""),"Thiếu trường bắt buộc",IF(OR(COUNTIF($A$5:$A$404,A277)&lt;2,COUNTIF($A$5:$A$404,A277)&gt;4),"Mỗi choice cần 2–4 option",IF(COUNTIFS('02_KICH_BAN_NODES'!$B$5:$B$204,A277,'02_KICH_BAN_NODES'!$E$5:$E$204,"Kiến thức")=1,IF(COUNTIFS($A$5:$A$404,A277,$D$5:$D$404,"Có")&lt;&gt;1,"Choice kiến thức cần đúng 1 đáp án đúng",""),IF(COUNTIFS('02_KICH_BAN_NODES'!$B$5:$B$204,A277,'02_KICH_BAN_NODES'!$E$5:$E$204,"Tương tác")=1,IF(COUNTIFS($A$5:$A$404,A277,$D$5:$D$404,"Có")&lt;&gt;0,"Choice tương tác không được đánh dấu đáp án đúng",""),"Choice chưa chọn loại")))))))</f>
        <v/>
      </c>
    </row>
    <row r="278" spans="1:11">
      <c r="A278" s="13"/>
      <c r="B278" s="13"/>
      <c r="C278" s="5"/>
      <c r="D278" s="13"/>
      <c r="E278" s="13"/>
      <c r="F278" s="13"/>
      <c r="G278" s="13"/>
      <c r="H278" s="5"/>
      <c r="I278" s="5"/>
      <c r="J278" s="6" t="str">
        <f t="shared" si="4"/>
        <v/>
      </c>
      <c r="K278" s="6" t="str">
        <f>IF(A278="","",IF(COUNTIFS('02_KICH_BAN_NODES'!$B$5:$B$204,A278,'02_KICH_BAN_NODES'!$D$5:$D$204,"choice")=0,"ChoiceNodeId không tồn tại hoặc không phải choice",IF(COUNTIFS($A$5:$A$404,A278,$B$5:$B$404,B278)&gt;1,"Trùng OptionOrder trong cùng choice",IF(OR(B278="",C278="",D278="",F278="",H278=""),"Thiếu trường bắt buộc",IF(OR(COUNTIF($A$5:$A$404,A278)&lt;2,COUNTIF($A$5:$A$404,A278)&gt;4),"Mỗi choice cần 2–4 option",IF(COUNTIFS('02_KICH_BAN_NODES'!$B$5:$B$204,A278,'02_KICH_BAN_NODES'!$E$5:$E$204,"Kiến thức")=1,IF(COUNTIFS($A$5:$A$404,A278,$D$5:$D$404,"Có")&lt;&gt;1,"Choice kiến thức cần đúng 1 đáp án đúng",""),IF(COUNTIFS('02_KICH_BAN_NODES'!$B$5:$B$204,A278,'02_KICH_BAN_NODES'!$E$5:$E$204,"Tương tác")=1,IF(COUNTIFS($A$5:$A$404,A278,$D$5:$D$404,"Có")&lt;&gt;0,"Choice tương tác không được đánh dấu đáp án đúng",""),"Choice chưa chọn loại")))))))</f>
        <v/>
      </c>
    </row>
    <row r="279" spans="1:11">
      <c r="A279" s="13"/>
      <c r="B279" s="13"/>
      <c r="C279" s="5"/>
      <c r="D279" s="13"/>
      <c r="E279" s="13"/>
      <c r="F279" s="13"/>
      <c r="G279" s="13"/>
      <c r="H279" s="5"/>
      <c r="I279" s="5"/>
      <c r="J279" s="6" t="str">
        <f t="shared" si="4"/>
        <v/>
      </c>
      <c r="K279" s="6" t="str">
        <f>IF(A279="","",IF(COUNTIFS('02_KICH_BAN_NODES'!$B$5:$B$204,A279,'02_KICH_BAN_NODES'!$D$5:$D$204,"choice")=0,"ChoiceNodeId không tồn tại hoặc không phải choice",IF(COUNTIFS($A$5:$A$404,A279,$B$5:$B$404,B279)&gt;1,"Trùng OptionOrder trong cùng choice",IF(OR(B279="",C279="",D279="",F279="",H279=""),"Thiếu trường bắt buộc",IF(OR(COUNTIF($A$5:$A$404,A279)&lt;2,COUNTIF($A$5:$A$404,A279)&gt;4),"Mỗi choice cần 2–4 option",IF(COUNTIFS('02_KICH_BAN_NODES'!$B$5:$B$204,A279,'02_KICH_BAN_NODES'!$E$5:$E$204,"Kiến thức")=1,IF(COUNTIFS($A$5:$A$404,A279,$D$5:$D$404,"Có")&lt;&gt;1,"Choice kiến thức cần đúng 1 đáp án đúng",""),IF(COUNTIFS('02_KICH_BAN_NODES'!$B$5:$B$204,A279,'02_KICH_BAN_NODES'!$E$5:$E$204,"Tương tác")=1,IF(COUNTIFS($A$5:$A$404,A279,$D$5:$D$404,"Có")&lt;&gt;0,"Choice tương tác không được đánh dấu đáp án đúng",""),"Choice chưa chọn loại")))))))</f>
        <v/>
      </c>
    </row>
    <row r="280" spans="1:11">
      <c r="A280" s="13"/>
      <c r="B280" s="13"/>
      <c r="C280" s="5"/>
      <c r="D280" s="13"/>
      <c r="E280" s="13"/>
      <c r="F280" s="13"/>
      <c r="G280" s="13"/>
      <c r="H280" s="5"/>
      <c r="I280" s="5"/>
      <c r="J280" s="6" t="str">
        <f t="shared" si="4"/>
        <v/>
      </c>
      <c r="K280" s="6" t="str">
        <f>IF(A280="","",IF(COUNTIFS('02_KICH_BAN_NODES'!$B$5:$B$204,A280,'02_KICH_BAN_NODES'!$D$5:$D$204,"choice")=0,"ChoiceNodeId không tồn tại hoặc không phải choice",IF(COUNTIFS($A$5:$A$404,A280,$B$5:$B$404,B280)&gt;1,"Trùng OptionOrder trong cùng choice",IF(OR(B280="",C280="",D280="",F280="",H280=""),"Thiếu trường bắt buộc",IF(OR(COUNTIF($A$5:$A$404,A280)&lt;2,COUNTIF($A$5:$A$404,A280)&gt;4),"Mỗi choice cần 2–4 option",IF(COUNTIFS('02_KICH_BAN_NODES'!$B$5:$B$204,A280,'02_KICH_BAN_NODES'!$E$5:$E$204,"Kiến thức")=1,IF(COUNTIFS($A$5:$A$404,A280,$D$5:$D$404,"Có")&lt;&gt;1,"Choice kiến thức cần đúng 1 đáp án đúng",""),IF(COUNTIFS('02_KICH_BAN_NODES'!$B$5:$B$204,A280,'02_KICH_BAN_NODES'!$E$5:$E$204,"Tương tác")=1,IF(COUNTIFS($A$5:$A$404,A280,$D$5:$D$404,"Có")&lt;&gt;0,"Choice tương tác không được đánh dấu đáp án đúng",""),"Choice chưa chọn loại")))))))</f>
        <v/>
      </c>
    </row>
    <row r="281" spans="1:11">
      <c r="A281" s="13"/>
      <c r="B281" s="13"/>
      <c r="C281" s="5"/>
      <c r="D281" s="13"/>
      <c r="E281" s="13"/>
      <c r="F281" s="13"/>
      <c r="G281" s="13"/>
      <c r="H281" s="5"/>
      <c r="I281" s="5"/>
      <c r="J281" s="6" t="str">
        <f t="shared" si="4"/>
        <v/>
      </c>
      <c r="K281" s="6" t="str">
        <f>IF(A281="","",IF(COUNTIFS('02_KICH_BAN_NODES'!$B$5:$B$204,A281,'02_KICH_BAN_NODES'!$D$5:$D$204,"choice")=0,"ChoiceNodeId không tồn tại hoặc không phải choice",IF(COUNTIFS($A$5:$A$404,A281,$B$5:$B$404,B281)&gt;1,"Trùng OptionOrder trong cùng choice",IF(OR(B281="",C281="",D281="",F281="",H281=""),"Thiếu trường bắt buộc",IF(OR(COUNTIF($A$5:$A$404,A281)&lt;2,COUNTIF($A$5:$A$404,A281)&gt;4),"Mỗi choice cần 2–4 option",IF(COUNTIFS('02_KICH_BAN_NODES'!$B$5:$B$204,A281,'02_KICH_BAN_NODES'!$E$5:$E$204,"Kiến thức")=1,IF(COUNTIFS($A$5:$A$404,A281,$D$5:$D$404,"Có")&lt;&gt;1,"Choice kiến thức cần đúng 1 đáp án đúng",""),IF(COUNTIFS('02_KICH_BAN_NODES'!$B$5:$B$204,A281,'02_KICH_BAN_NODES'!$E$5:$E$204,"Tương tác")=1,IF(COUNTIFS($A$5:$A$404,A281,$D$5:$D$404,"Có")&lt;&gt;0,"Choice tương tác không được đánh dấu đáp án đúng",""),"Choice chưa chọn loại")))))))</f>
        <v/>
      </c>
    </row>
    <row r="282" spans="1:11">
      <c r="A282" s="13"/>
      <c r="B282" s="13"/>
      <c r="C282" s="5"/>
      <c r="D282" s="13"/>
      <c r="E282" s="13"/>
      <c r="F282" s="13"/>
      <c r="G282" s="13"/>
      <c r="H282" s="5"/>
      <c r="I282" s="5"/>
      <c r="J282" s="6" t="str">
        <f t="shared" si="4"/>
        <v/>
      </c>
      <c r="K282" s="6" t="str">
        <f>IF(A282="","",IF(COUNTIFS('02_KICH_BAN_NODES'!$B$5:$B$204,A282,'02_KICH_BAN_NODES'!$D$5:$D$204,"choice")=0,"ChoiceNodeId không tồn tại hoặc không phải choice",IF(COUNTIFS($A$5:$A$404,A282,$B$5:$B$404,B282)&gt;1,"Trùng OptionOrder trong cùng choice",IF(OR(B282="",C282="",D282="",F282="",H282=""),"Thiếu trường bắt buộc",IF(OR(COUNTIF($A$5:$A$404,A282)&lt;2,COUNTIF($A$5:$A$404,A282)&gt;4),"Mỗi choice cần 2–4 option",IF(COUNTIFS('02_KICH_BAN_NODES'!$B$5:$B$204,A282,'02_KICH_BAN_NODES'!$E$5:$E$204,"Kiến thức")=1,IF(COUNTIFS($A$5:$A$404,A282,$D$5:$D$404,"Có")&lt;&gt;1,"Choice kiến thức cần đúng 1 đáp án đúng",""),IF(COUNTIFS('02_KICH_BAN_NODES'!$B$5:$B$204,A282,'02_KICH_BAN_NODES'!$E$5:$E$204,"Tương tác")=1,IF(COUNTIFS($A$5:$A$404,A282,$D$5:$D$404,"Có")&lt;&gt;0,"Choice tương tác không được đánh dấu đáp án đúng",""),"Choice chưa chọn loại")))))))</f>
        <v/>
      </c>
    </row>
    <row r="283" spans="1:11">
      <c r="A283" s="13"/>
      <c r="B283" s="13"/>
      <c r="C283" s="5"/>
      <c r="D283" s="13"/>
      <c r="E283" s="13"/>
      <c r="F283" s="13"/>
      <c r="G283" s="13"/>
      <c r="H283" s="5"/>
      <c r="I283" s="5"/>
      <c r="J283" s="6" t="str">
        <f t="shared" si="4"/>
        <v/>
      </c>
      <c r="K283" s="6" t="str">
        <f>IF(A283="","",IF(COUNTIFS('02_KICH_BAN_NODES'!$B$5:$B$204,A283,'02_KICH_BAN_NODES'!$D$5:$D$204,"choice")=0,"ChoiceNodeId không tồn tại hoặc không phải choice",IF(COUNTIFS($A$5:$A$404,A283,$B$5:$B$404,B283)&gt;1,"Trùng OptionOrder trong cùng choice",IF(OR(B283="",C283="",D283="",F283="",H283=""),"Thiếu trường bắt buộc",IF(OR(COUNTIF($A$5:$A$404,A283)&lt;2,COUNTIF($A$5:$A$404,A283)&gt;4),"Mỗi choice cần 2–4 option",IF(COUNTIFS('02_KICH_BAN_NODES'!$B$5:$B$204,A283,'02_KICH_BAN_NODES'!$E$5:$E$204,"Kiến thức")=1,IF(COUNTIFS($A$5:$A$404,A283,$D$5:$D$404,"Có")&lt;&gt;1,"Choice kiến thức cần đúng 1 đáp án đúng",""),IF(COUNTIFS('02_KICH_BAN_NODES'!$B$5:$B$204,A283,'02_KICH_BAN_NODES'!$E$5:$E$204,"Tương tác")=1,IF(COUNTIFS($A$5:$A$404,A283,$D$5:$D$404,"Có")&lt;&gt;0,"Choice tương tác không được đánh dấu đáp án đúng",""),"Choice chưa chọn loại")))))))</f>
        <v/>
      </c>
    </row>
    <row r="284" spans="1:11">
      <c r="A284" s="13"/>
      <c r="B284" s="13"/>
      <c r="C284" s="5"/>
      <c r="D284" s="13"/>
      <c r="E284" s="13"/>
      <c r="F284" s="13"/>
      <c r="G284" s="13"/>
      <c r="H284" s="5"/>
      <c r="I284" s="5"/>
      <c r="J284" s="6" t="str">
        <f t="shared" si="4"/>
        <v/>
      </c>
      <c r="K284" s="6" t="str">
        <f>IF(A284="","",IF(COUNTIFS('02_KICH_BAN_NODES'!$B$5:$B$204,A284,'02_KICH_BAN_NODES'!$D$5:$D$204,"choice")=0,"ChoiceNodeId không tồn tại hoặc không phải choice",IF(COUNTIFS($A$5:$A$404,A284,$B$5:$B$404,B284)&gt;1,"Trùng OptionOrder trong cùng choice",IF(OR(B284="",C284="",D284="",F284="",H284=""),"Thiếu trường bắt buộc",IF(OR(COUNTIF($A$5:$A$404,A284)&lt;2,COUNTIF($A$5:$A$404,A284)&gt;4),"Mỗi choice cần 2–4 option",IF(COUNTIFS('02_KICH_BAN_NODES'!$B$5:$B$204,A284,'02_KICH_BAN_NODES'!$E$5:$E$204,"Kiến thức")=1,IF(COUNTIFS($A$5:$A$404,A284,$D$5:$D$404,"Có")&lt;&gt;1,"Choice kiến thức cần đúng 1 đáp án đúng",""),IF(COUNTIFS('02_KICH_BAN_NODES'!$B$5:$B$204,A284,'02_KICH_BAN_NODES'!$E$5:$E$204,"Tương tác")=1,IF(COUNTIFS($A$5:$A$404,A284,$D$5:$D$404,"Có")&lt;&gt;0,"Choice tương tác không được đánh dấu đáp án đúng",""),"Choice chưa chọn loại")))))))</f>
        <v/>
      </c>
    </row>
    <row r="285" spans="1:11">
      <c r="A285" s="13"/>
      <c r="B285" s="13"/>
      <c r="C285" s="5"/>
      <c r="D285" s="13"/>
      <c r="E285" s="13"/>
      <c r="F285" s="13"/>
      <c r="G285" s="13"/>
      <c r="H285" s="5"/>
      <c r="I285" s="5"/>
      <c r="J285" s="6" t="str">
        <f t="shared" si="4"/>
        <v/>
      </c>
      <c r="K285" s="6" t="str">
        <f>IF(A285="","",IF(COUNTIFS('02_KICH_BAN_NODES'!$B$5:$B$204,A285,'02_KICH_BAN_NODES'!$D$5:$D$204,"choice")=0,"ChoiceNodeId không tồn tại hoặc không phải choice",IF(COUNTIFS($A$5:$A$404,A285,$B$5:$B$404,B285)&gt;1,"Trùng OptionOrder trong cùng choice",IF(OR(B285="",C285="",D285="",F285="",H285=""),"Thiếu trường bắt buộc",IF(OR(COUNTIF($A$5:$A$404,A285)&lt;2,COUNTIF($A$5:$A$404,A285)&gt;4),"Mỗi choice cần 2–4 option",IF(COUNTIFS('02_KICH_BAN_NODES'!$B$5:$B$204,A285,'02_KICH_BAN_NODES'!$E$5:$E$204,"Kiến thức")=1,IF(COUNTIFS($A$5:$A$404,A285,$D$5:$D$404,"Có")&lt;&gt;1,"Choice kiến thức cần đúng 1 đáp án đúng",""),IF(COUNTIFS('02_KICH_BAN_NODES'!$B$5:$B$204,A285,'02_KICH_BAN_NODES'!$E$5:$E$204,"Tương tác")=1,IF(COUNTIFS($A$5:$A$404,A285,$D$5:$D$404,"Có")&lt;&gt;0,"Choice tương tác không được đánh dấu đáp án đúng",""),"Choice chưa chọn loại")))))))</f>
        <v/>
      </c>
    </row>
    <row r="286" spans="1:11">
      <c r="A286" s="13"/>
      <c r="B286" s="13"/>
      <c r="C286" s="5"/>
      <c r="D286" s="13"/>
      <c r="E286" s="13"/>
      <c r="F286" s="13"/>
      <c r="G286" s="13"/>
      <c r="H286" s="5"/>
      <c r="I286" s="5"/>
      <c r="J286" s="6" t="str">
        <f t="shared" si="4"/>
        <v/>
      </c>
      <c r="K286" s="6" t="str">
        <f>IF(A286="","",IF(COUNTIFS('02_KICH_BAN_NODES'!$B$5:$B$204,A286,'02_KICH_BAN_NODES'!$D$5:$D$204,"choice")=0,"ChoiceNodeId không tồn tại hoặc không phải choice",IF(COUNTIFS($A$5:$A$404,A286,$B$5:$B$404,B286)&gt;1,"Trùng OptionOrder trong cùng choice",IF(OR(B286="",C286="",D286="",F286="",H286=""),"Thiếu trường bắt buộc",IF(OR(COUNTIF($A$5:$A$404,A286)&lt;2,COUNTIF($A$5:$A$404,A286)&gt;4),"Mỗi choice cần 2–4 option",IF(COUNTIFS('02_KICH_BAN_NODES'!$B$5:$B$204,A286,'02_KICH_BAN_NODES'!$E$5:$E$204,"Kiến thức")=1,IF(COUNTIFS($A$5:$A$404,A286,$D$5:$D$404,"Có")&lt;&gt;1,"Choice kiến thức cần đúng 1 đáp án đúng",""),IF(COUNTIFS('02_KICH_BAN_NODES'!$B$5:$B$204,A286,'02_KICH_BAN_NODES'!$E$5:$E$204,"Tương tác")=1,IF(COUNTIFS($A$5:$A$404,A286,$D$5:$D$404,"Có")&lt;&gt;0,"Choice tương tác không được đánh dấu đáp án đúng",""),"Choice chưa chọn loại")))))))</f>
        <v/>
      </c>
    </row>
    <row r="287" spans="1:11">
      <c r="A287" s="13"/>
      <c r="B287" s="13"/>
      <c r="C287" s="5"/>
      <c r="D287" s="13"/>
      <c r="E287" s="13"/>
      <c r="F287" s="13"/>
      <c r="G287" s="13"/>
      <c r="H287" s="5"/>
      <c r="I287" s="5"/>
      <c r="J287" s="6" t="str">
        <f t="shared" si="4"/>
        <v/>
      </c>
      <c r="K287" s="6" t="str">
        <f>IF(A287="","",IF(COUNTIFS('02_KICH_BAN_NODES'!$B$5:$B$204,A287,'02_KICH_BAN_NODES'!$D$5:$D$204,"choice")=0,"ChoiceNodeId không tồn tại hoặc không phải choice",IF(COUNTIFS($A$5:$A$404,A287,$B$5:$B$404,B287)&gt;1,"Trùng OptionOrder trong cùng choice",IF(OR(B287="",C287="",D287="",F287="",H287=""),"Thiếu trường bắt buộc",IF(OR(COUNTIF($A$5:$A$404,A287)&lt;2,COUNTIF($A$5:$A$404,A287)&gt;4),"Mỗi choice cần 2–4 option",IF(COUNTIFS('02_KICH_BAN_NODES'!$B$5:$B$204,A287,'02_KICH_BAN_NODES'!$E$5:$E$204,"Kiến thức")=1,IF(COUNTIFS($A$5:$A$404,A287,$D$5:$D$404,"Có")&lt;&gt;1,"Choice kiến thức cần đúng 1 đáp án đúng",""),IF(COUNTIFS('02_KICH_BAN_NODES'!$B$5:$B$204,A287,'02_KICH_BAN_NODES'!$E$5:$E$204,"Tương tác")=1,IF(COUNTIFS($A$5:$A$404,A287,$D$5:$D$404,"Có")&lt;&gt;0,"Choice tương tác không được đánh dấu đáp án đúng",""),"Choice chưa chọn loại")))))))</f>
        <v/>
      </c>
    </row>
    <row r="288" spans="1:11">
      <c r="A288" s="13"/>
      <c r="B288" s="13"/>
      <c r="C288" s="5"/>
      <c r="D288" s="13"/>
      <c r="E288" s="13"/>
      <c r="F288" s="13"/>
      <c r="G288" s="13"/>
      <c r="H288" s="5"/>
      <c r="I288" s="5"/>
      <c r="J288" s="6" t="str">
        <f t="shared" si="4"/>
        <v/>
      </c>
      <c r="K288" s="6" t="str">
        <f>IF(A288="","",IF(COUNTIFS('02_KICH_BAN_NODES'!$B$5:$B$204,A288,'02_KICH_BAN_NODES'!$D$5:$D$204,"choice")=0,"ChoiceNodeId không tồn tại hoặc không phải choice",IF(COUNTIFS($A$5:$A$404,A288,$B$5:$B$404,B288)&gt;1,"Trùng OptionOrder trong cùng choice",IF(OR(B288="",C288="",D288="",F288="",H288=""),"Thiếu trường bắt buộc",IF(OR(COUNTIF($A$5:$A$404,A288)&lt;2,COUNTIF($A$5:$A$404,A288)&gt;4),"Mỗi choice cần 2–4 option",IF(COUNTIFS('02_KICH_BAN_NODES'!$B$5:$B$204,A288,'02_KICH_BAN_NODES'!$E$5:$E$204,"Kiến thức")=1,IF(COUNTIFS($A$5:$A$404,A288,$D$5:$D$404,"Có")&lt;&gt;1,"Choice kiến thức cần đúng 1 đáp án đúng",""),IF(COUNTIFS('02_KICH_BAN_NODES'!$B$5:$B$204,A288,'02_KICH_BAN_NODES'!$E$5:$E$204,"Tương tác")=1,IF(COUNTIFS($A$5:$A$404,A288,$D$5:$D$404,"Có")&lt;&gt;0,"Choice tương tác không được đánh dấu đáp án đúng",""),"Choice chưa chọn loại")))))))</f>
        <v/>
      </c>
    </row>
    <row r="289" spans="1:11">
      <c r="A289" s="13"/>
      <c r="B289" s="13"/>
      <c r="C289" s="5"/>
      <c r="D289" s="13"/>
      <c r="E289" s="13"/>
      <c r="F289" s="13"/>
      <c r="G289" s="13"/>
      <c r="H289" s="5"/>
      <c r="I289" s="5"/>
      <c r="J289" s="6" t="str">
        <f t="shared" si="4"/>
        <v/>
      </c>
      <c r="K289" s="6" t="str">
        <f>IF(A289="","",IF(COUNTIFS('02_KICH_BAN_NODES'!$B$5:$B$204,A289,'02_KICH_BAN_NODES'!$D$5:$D$204,"choice")=0,"ChoiceNodeId không tồn tại hoặc không phải choice",IF(COUNTIFS($A$5:$A$404,A289,$B$5:$B$404,B289)&gt;1,"Trùng OptionOrder trong cùng choice",IF(OR(B289="",C289="",D289="",F289="",H289=""),"Thiếu trường bắt buộc",IF(OR(COUNTIF($A$5:$A$404,A289)&lt;2,COUNTIF($A$5:$A$404,A289)&gt;4),"Mỗi choice cần 2–4 option",IF(COUNTIFS('02_KICH_BAN_NODES'!$B$5:$B$204,A289,'02_KICH_BAN_NODES'!$E$5:$E$204,"Kiến thức")=1,IF(COUNTIFS($A$5:$A$404,A289,$D$5:$D$404,"Có")&lt;&gt;1,"Choice kiến thức cần đúng 1 đáp án đúng",""),IF(COUNTIFS('02_KICH_BAN_NODES'!$B$5:$B$204,A289,'02_KICH_BAN_NODES'!$E$5:$E$204,"Tương tác")=1,IF(COUNTIFS($A$5:$A$404,A289,$D$5:$D$404,"Có")&lt;&gt;0,"Choice tương tác không được đánh dấu đáp án đúng",""),"Choice chưa chọn loại")))))))</f>
        <v/>
      </c>
    </row>
    <row r="290" spans="1:11">
      <c r="A290" s="13"/>
      <c r="B290" s="13"/>
      <c r="C290" s="5"/>
      <c r="D290" s="13"/>
      <c r="E290" s="13"/>
      <c r="F290" s="13"/>
      <c r="G290" s="13"/>
      <c r="H290" s="5"/>
      <c r="I290" s="5"/>
      <c r="J290" s="6" t="str">
        <f t="shared" si="4"/>
        <v/>
      </c>
      <c r="K290" s="6" t="str">
        <f>IF(A290="","",IF(COUNTIFS('02_KICH_BAN_NODES'!$B$5:$B$204,A290,'02_KICH_BAN_NODES'!$D$5:$D$204,"choice")=0,"ChoiceNodeId không tồn tại hoặc không phải choice",IF(COUNTIFS($A$5:$A$404,A290,$B$5:$B$404,B290)&gt;1,"Trùng OptionOrder trong cùng choice",IF(OR(B290="",C290="",D290="",F290="",H290=""),"Thiếu trường bắt buộc",IF(OR(COUNTIF($A$5:$A$404,A290)&lt;2,COUNTIF($A$5:$A$404,A290)&gt;4),"Mỗi choice cần 2–4 option",IF(COUNTIFS('02_KICH_BAN_NODES'!$B$5:$B$204,A290,'02_KICH_BAN_NODES'!$E$5:$E$204,"Kiến thức")=1,IF(COUNTIFS($A$5:$A$404,A290,$D$5:$D$404,"Có")&lt;&gt;1,"Choice kiến thức cần đúng 1 đáp án đúng",""),IF(COUNTIFS('02_KICH_BAN_NODES'!$B$5:$B$204,A290,'02_KICH_BAN_NODES'!$E$5:$E$204,"Tương tác")=1,IF(COUNTIFS($A$5:$A$404,A290,$D$5:$D$404,"Có")&lt;&gt;0,"Choice tương tác không được đánh dấu đáp án đúng",""),"Choice chưa chọn loại")))))))</f>
        <v/>
      </c>
    </row>
    <row r="291" spans="1:11">
      <c r="A291" s="13"/>
      <c r="B291" s="13"/>
      <c r="C291" s="5"/>
      <c r="D291" s="13"/>
      <c r="E291" s="13"/>
      <c r="F291" s="13"/>
      <c r="G291" s="13"/>
      <c r="H291" s="5"/>
      <c r="I291" s="5"/>
      <c r="J291" s="6" t="str">
        <f t="shared" si="4"/>
        <v/>
      </c>
      <c r="K291" s="6" t="str">
        <f>IF(A291="","",IF(COUNTIFS('02_KICH_BAN_NODES'!$B$5:$B$204,A291,'02_KICH_BAN_NODES'!$D$5:$D$204,"choice")=0,"ChoiceNodeId không tồn tại hoặc không phải choice",IF(COUNTIFS($A$5:$A$404,A291,$B$5:$B$404,B291)&gt;1,"Trùng OptionOrder trong cùng choice",IF(OR(B291="",C291="",D291="",F291="",H291=""),"Thiếu trường bắt buộc",IF(OR(COUNTIF($A$5:$A$404,A291)&lt;2,COUNTIF($A$5:$A$404,A291)&gt;4),"Mỗi choice cần 2–4 option",IF(COUNTIFS('02_KICH_BAN_NODES'!$B$5:$B$204,A291,'02_KICH_BAN_NODES'!$E$5:$E$204,"Kiến thức")=1,IF(COUNTIFS($A$5:$A$404,A291,$D$5:$D$404,"Có")&lt;&gt;1,"Choice kiến thức cần đúng 1 đáp án đúng",""),IF(COUNTIFS('02_KICH_BAN_NODES'!$B$5:$B$204,A291,'02_KICH_BAN_NODES'!$E$5:$E$204,"Tương tác")=1,IF(COUNTIFS($A$5:$A$404,A291,$D$5:$D$404,"Có")&lt;&gt;0,"Choice tương tác không được đánh dấu đáp án đúng",""),"Choice chưa chọn loại")))))))</f>
        <v/>
      </c>
    </row>
    <row r="292" spans="1:11">
      <c r="A292" s="13"/>
      <c r="B292" s="13"/>
      <c r="C292" s="5"/>
      <c r="D292" s="13"/>
      <c r="E292" s="13"/>
      <c r="F292" s="13"/>
      <c r="G292" s="13"/>
      <c r="H292" s="5"/>
      <c r="I292" s="5"/>
      <c r="J292" s="6" t="str">
        <f t="shared" si="4"/>
        <v/>
      </c>
      <c r="K292" s="6" t="str">
        <f>IF(A292="","",IF(COUNTIFS('02_KICH_BAN_NODES'!$B$5:$B$204,A292,'02_KICH_BAN_NODES'!$D$5:$D$204,"choice")=0,"ChoiceNodeId không tồn tại hoặc không phải choice",IF(COUNTIFS($A$5:$A$404,A292,$B$5:$B$404,B292)&gt;1,"Trùng OptionOrder trong cùng choice",IF(OR(B292="",C292="",D292="",F292="",H292=""),"Thiếu trường bắt buộc",IF(OR(COUNTIF($A$5:$A$404,A292)&lt;2,COUNTIF($A$5:$A$404,A292)&gt;4),"Mỗi choice cần 2–4 option",IF(COUNTIFS('02_KICH_BAN_NODES'!$B$5:$B$204,A292,'02_KICH_BAN_NODES'!$E$5:$E$204,"Kiến thức")=1,IF(COUNTIFS($A$5:$A$404,A292,$D$5:$D$404,"Có")&lt;&gt;1,"Choice kiến thức cần đúng 1 đáp án đúng",""),IF(COUNTIFS('02_KICH_BAN_NODES'!$B$5:$B$204,A292,'02_KICH_BAN_NODES'!$E$5:$E$204,"Tương tác")=1,IF(COUNTIFS($A$5:$A$404,A292,$D$5:$D$404,"Có")&lt;&gt;0,"Choice tương tác không được đánh dấu đáp án đúng",""),"Choice chưa chọn loại")))))))</f>
        <v/>
      </c>
    </row>
    <row r="293" spans="1:11">
      <c r="A293" s="13"/>
      <c r="B293" s="13"/>
      <c r="C293" s="5"/>
      <c r="D293" s="13"/>
      <c r="E293" s="13"/>
      <c r="F293" s="13"/>
      <c r="G293" s="13"/>
      <c r="H293" s="5"/>
      <c r="I293" s="5"/>
      <c r="J293" s="6" t="str">
        <f t="shared" si="4"/>
        <v/>
      </c>
      <c r="K293" s="6" t="str">
        <f>IF(A293="","",IF(COUNTIFS('02_KICH_BAN_NODES'!$B$5:$B$204,A293,'02_KICH_BAN_NODES'!$D$5:$D$204,"choice")=0,"ChoiceNodeId không tồn tại hoặc không phải choice",IF(COUNTIFS($A$5:$A$404,A293,$B$5:$B$404,B293)&gt;1,"Trùng OptionOrder trong cùng choice",IF(OR(B293="",C293="",D293="",F293="",H293=""),"Thiếu trường bắt buộc",IF(OR(COUNTIF($A$5:$A$404,A293)&lt;2,COUNTIF($A$5:$A$404,A293)&gt;4),"Mỗi choice cần 2–4 option",IF(COUNTIFS('02_KICH_BAN_NODES'!$B$5:$B$204,A293,'02_KICH_BAN_NODES'!$E$5:$E$204,"Kiến thức")=1,IF(COUNTIFS($A$5:$A$404,A293,$D$5:$D$404,"Có")&lt;&gt;1,"Choice kiến thức cần đúng 1 đáp án đúng",""),IF(COUNTIFS('02_KICH_BAN_NODES'!$B$5:$B$204,A293,'02_KICH_BAN_NODES'!$E$5:$E$204,"Tương tác")=1,IF(COUNTIFS($A$5:$A$404,A293,$D$5:$D$404,"Có")&lt;&gt;0,"Choice tương tác không được đánh dấu đáp án đúng",""),"Choice chưa chọn loại")))))))</f>
        <v/>
      </c>
    </row>
    <row r="294" spans="1:11">
      <c r="A294" s="13"/>
      <c r="B294" s="13"/>
      <c r="C294" s="5"/>
      <c r="D294" s="13"/>
      <c r="E294" s="13"/>
      <c r="F294" s="13"/>
      <c r="G294" s="13"/>
      <c r="H294" s="5"/>
      <c r="I294" s="5"/>
      <c r="J294" s="6" t="str">
        <f t="shared" si="4"/>
        <v/>
      </c>
      <c r="K294" s="6" t="str">
        <f>IF(A294="","",IF(COUNTIFS('02_KICH_BAN_NODES'!$B$5:$B$204,A294,'02_KICH_BAN_NODES'!$D$5:$D$204,"choice")=0,"ChoiceNodeId không tồn tại hoặc không phải choice",IF(COUNTIFS($A$5:$A$404,A294,$B$5:$B$404,B294)&gt;1,"Trùng OptionOrder trong cùng choice",IF(OR(B294="",C294="",D294="",F294="",H294=""),"Thiếu trường bắt buộc",IF(OR(COUNTIF($A$5:$A$404,A294)&lt;2,COUNTIF($A$5:$A$404,A294)&gt;4),"Mỗi choice cần 2–4 option",IF(COUNTIFS('02_KICH_BAN_NODES'!$B$5:$B$204,A294,'02_KICH_BAN_NODES'!$E$5:$E$204,"Kiến thức")=1,IF(COUNTIFS($A$5:$A$404,A294,$D$5:$D$404,"Có")&lt;&gt;1,"Choice kiến thức cần đúng 1 đáp án đúng",""),IF(COUNTIFS('02_KICH_BAN_NODES'!$B$5:$B$204,A294,'02_KICH_BAN_NODES'!$E$5:$E$204,"Tương tác")=1,IF(COUNTIFS($A$5:$A$404,A294,$D$5:$D$404,"Có")&lt;&gt;0,"Choice tương tác không được đánh dấu đáp án đúng",""),"Choice chưa chọn loại")))))))</f>
        <v/>
      </c>
    </row>
    <row r="295" spans="1:11">
      <c r="A295" s="13"/>
      <c r="B295" s="13"/>
      <c r="C295" s="5"/>
      <c r="D295" s="13"/>
      <c r="E295" s="13"/>
      <c r="F295" s="13"/>
      <c r="G295" s="13"/>
      <c r="H295" s="5"/>
      <c r="I295" s="5"/>
      <c r="J295" s="6" t="str">
        <f t="shared" si="4"/>
        <v/>
      </c>
      <c r="K295" s="6" t="str">
        <f>IF(A295="","",IF(COUNTIFS('02_KICH_BAN_NODES'!$B$5:$B$204,A295,'02_KICH_BAN_NODES'!$D$5:$D$204,"choice")=0,"ChoiceNodeId không tồn tại hoặc không phải choice",IF(COUNTIFS($A$5:$A$404,A295,$B$5:$B$404,B295)&gt;1,"Trùng OptionOrder trong cùng choice",IF(OR(B295="",C295="",D295="",F295="",H295=""),"Thiếu trường bắt buộc",IF(OR(COUNTIF($A$5:$A$404,A295)&lt;2,COUNTIF($A$5:$A$404,A295)&gt;4),"Mỗi choice cần 2–4 option",IF(COUNTIFS('02_KICH_BAN_NODES'!$B$5:$B$204,A295,'02_KICH_BAN_NODES'!$E$5:$E$204,"Kiến thức")=1,IF(COUNTIFS($A$5:$A$404,A295,$D$5:$D$404,"Có")&lt;&gt;1,"Choice kiến thức cần đúng 1 đáp án đúng",""),IF(COUNTIFS('02_KICH_BAN_NODES'!$B$5:$B$204,A295,'02_KICH_BAN_NODES'!$E$5:$E$204,"Tương tác")=1,IF(COUNTIFS($A$5:$A$404,A295,$D$5:$D$404,"Có")&lt;&gt;0,"Choice tương tác không được đánh dấu đáp án đúng",""),"Choice chưa chọn loại")))))))</f>
        <v/>
      </c>
    </row>
    <row r="296" spans="1:11">
      <c r="A296" s="13"/>
      <c r="B296" s="13"/>
      <c r="C296" s="5"/>
      <c r="D296" s="13"/>
      <c r="E296" s="13"/>
      <c r="F296" s="13"/>
      <c r="G296" s="13"/>
      <c r="H296" s="5"/>
      <c r="I296" s="5"/>
      <c r="J296" s="6" t="str">
        <f t="shared" si="4"/>
        <v/>
      </c>
      <c r="K296" s="6" t="str">
        <f>IF(A296="","",IF(COUNTIFS('02_KICH_BAN_NODES'!$B$5:$B$204,A296,'02_KICH_BAN_NODES'!$D$5:$D$204,"choice")=0,"ChoiceNodeId không tồn tại hoặc không phải choice",IF(COUNTIFS($A$5:$A$404,A296,$B$5:$B$404,B296)&gt;1,"Trùng OptionOrder trong cùng choice",IF(OR(B296="",C296="",D296="",F296="",H296=""),"Thiếu trường bắt buộc",IF(OR(COUNTIF($A$5:$A$404,A296)&lt;2,COUNTIF($A$5:$A$404,A296)&gt;4),"Mỗi choice cần 2–4 option",IF(COUNTIFS('02_KICH_BAN_NODES'!$B$5:$B$204,A296,'02_KICH_BAN_NODES'!$E$5:$E$204,"Kiến thức")=1,IF(COUNTIFS($A$5:$A$404,A296,$D$5:$D$404,"Có")&lt;&gt;1,"Choice kiến thức cần đúng 1 đáp án đúng",""),IF(COUNTIFS('02_KICH_BAN_NODES'!$B$5:$B$204,A296,'02_KICH_BAN_NODES'!$E$5:$E$204,"Tương tác")=1,IF(COUNTIFS($A$5:$A$404,A296,$D$5:$D$404,"Có")&lt;&gt;0,"Choice tương tác không được đánh dấu đáp án đúng",""),"Choice chưa chọn loại")))))))</f>
        <v/>
      </c>
    </row>
    <row r="297" spans="1:11">
      <c r="A297" s="13"/>
      <c r="B297" s="13"/>
      <c r="C297" s="5"/>
      <c r="D297" s="13"/>
      <c r="E297" s="13"/>
      <c r="F297" s="13"/>
      <c r="G297" s="13"/>
      <c r="H297" s="5"/>
      <c r="I297" s="5"/>
      <c r="J297" s="6" t="str">
        <f t="shared" si="4"/>
        <v/>
      </c>
      <c r="K297" s="6" t="str">
        <f>IF(A297="","",IF(COUNTIFS('02_KICH_BAN_NODES'!$B$5:$B$204,A297,'02_KICH_BAN_NODES'!$D$5:$D$204,"choice")=0,"ChoiceNodeId không tồn tại hoặc không phải choice",IF(COUNTIFS($A$5:$A$404,A297,$B$5:$B$404,B297)&gt;1,"Trùng OptionOrder trong cùng choice",IF(OR(B297="",C297="",D297="",F297="",H297=""),"Thiếu trường bắt buộc",IF(OR(COUNTIF($A$5:$A$404,A297)&lt;2,COUNTIF($A$5:$A$404,A297)&gt;4),"Mỗi choice cần 2–4 option",IF(COUNTIFS('02_KICH_BAN_NODES'!$B$5:$B$204,A297,'02_KICH_BAN_NODES'!$E$5:$E$204,"Kiến thức")=1,IF(COUNTIFS($A$5:$A$404,A297,$D$5:$D$404,"Có")&lt;&gt;1,"Choice kiến thức cần đúng 1 đáp án đúng",""),IF(COUNTIFS('02_KICH_BAN_NODES'!$B$5:$B$204,A297,'02_KICH_BAN_NODES'!$E$5:$E$204,"Tương tác")=1,IF(COUNTIFS($A$5:$A$404,A297,$D$5:$D$404,"Có")&lt;&gt;0,"Choice tương tác không được đánh dấu đáp án đúng",""),"Choice chưa chọn loại")))))))</f>
        <v/>
      </c>
    </row>
    <row r="298" spans="1:11">
      <c r="A298" s="13"/>
      <c r="B298" s="13"/>
      <c r="C298" s="5"/>
      <c r="D298" s="13"/>
      <c r="E298" s="13"/>
      <c r="F298" s="13"/>
      <c r="G298" s="13"/>
      <c r="H298" s="5"/>
      <c r="I298" s="5"/>
      <c r="J298" s="6" t="str">
        <f t="shared" si="4"/>
        <v/>
      </c>
      <c r="K298" s="6" t="str">
        <f>IF(A298="","",IF(COUNTIFS('02_KICH_BAN_NODES'!$B$5:$B$204,A298,'02_KICH_BAN_NODES'!$D$5:$D$204,"choice")=0,"ChoiceNodeId không tồn tại hoặc không phải choice",IF(COUNTIFS($A$5:$A$404,A298,$B$5:$B$404,B298)&gt;1,"Trùng OptionOrder trong cùng choice",IF(OR(B298="",C298="",D298="",F298="",H298=""),"Thiếu trường bắt buộc",IF(OR(COUNTIF($A$5:$A$404,A298)&lt;2,COUNTIF($A$5:$A$404,A298)&gt;4),"Mỗi choice cần 2–4 option",IF(COUNTIFS('02_KICH_BAN_NODES'!$B$5:$B$204,A298,'02_KICH_BAN_NODES'!$E$5:$E$204,"Kiến thức")=1,IF(COUNTIFS($A$5:$A$404,A298,$D$5:$D$404,"Có")&lt;&gt;1,"Choice kiến thức cần đúng 1 đáp án đúng",""),IF(COUNTIFS('02_KICH_BAN_NODES'!$B$5:$B$204,A298,'02_KICH_BAN_NODES'!$E$5:$E$204,"Tương tác")=1,IF(COUNTIFS($A$5:$A$404,A298,$D$5:$D$404,"Có")&lt;&gt;0,"Choice tương tác không được đánh dấu đáp án đúng",""),"Choice chưa chọn loại")))))))</f>
        <v/>
      </c>
    </row>
    <row r="299" spans="1:11">
      <c r="A299" s="13"/>
      <c r="B299" s="13"/>
      <c r="C299" s="5"/>
      <c r="D299" s="13"/>
      <c r="E299" s="13"/>
      <c r="F299" s="13"/>
      <c r="G299" s="13"/>
      <c r="H299" s="5"/>
      <c r="I299" s="5"/>
      <c r="J299" s="6" t="str">
        <f t="shared" si="4"/>
        <v/>
      </c>
      <c r="K299" s="6" t="str">
        <f>IF(A299="","",IF(COUNTIFS('02_KICH_BAN_NODES'!$B$5:$B$204,A299,'02_KICH_BAN_NODES'!$D$5:$D$204,"choice")=0,"ChoiceNodeId không tồn tại hoặc không phải choice",IF(COUNTIFS($A$5:$A$404,A299,$B$5:$B$404,B299)&gt;1,"Trùng OptionOrder trong cùng choice",IF(OR(B299="",C299="",D299="",F299="",H299=""),"Thiếu trường bắt buộc",IF(OR(COUNTIF($A$5:$A$404,A299)&lt;2,COUNTIF($A$5:$A$404,A299)&gt;4),"Mỗi choice cần 2–4 option",IF(COUNTIFS('02_KICH_BAN_NODES'!$B$5:$B$204,A299,'02_KICH_BAN_NODES'!$E$5:$E$204,"Kiến thức")=1,IF(COUNTIFS($A$5:$A$404,A299,$D$5:$D$404,"Có")&lt;&gt;1,"Choice kiến thức cần đúng 1 đáp án đúng",""),IF(COUNTIFS('02_KICH_BAN_NODES'!$B$5:$B$204,A299,'02_KICH_BAN_NODES'!$E$5:$E$204,"Tương tác")=1,IF(COUNTIFS($A$5:$A$404,A299,$D$5:$D$404,"Có")&lt;&gt;0,"Choice tương tác không được đánh dấu đáp án đúng",""),"Choice chưa chọn loại")))))))</f>
        <v/>
      </c>
    </row>
    <row r="300" spans="1:11">
      <c r="A300" s="13"/>
      <c r="B300" s="13"/>
      <c r="C300" s="5"/>
      <c r="D300" s="13"/>
      <c r="E300" s="13"/>
      <c r="F300" s="13"/>
      <c r="G300" s="13"/>
      <c r="H300" s="5"/>
      <c r="I300" s="5"/>
      <c r="J300" s="6" t="str">
        <f t="shared" si="4"/>
        <v/>
      </c>
      <c r="K300" s="6" t="str">
        <f>IF(A300="","",IF(COUNTIFS('02_KICH_BAN_NODES'!$B$5:$B$204,A300,'02_KICH_BAN_NODES'!$D$5:$D$204,"choice")=0,"ChoiceNodeId không tồn tại hoặc không phải choice",IF(COUNTIFS($A$5:$A$404,A300,$B$5:$B$404,B300)&gt;1,"Trùng OptionOrder trong cùng choice",IF(OR(B300="",C300="",D300="",F300="",H300=""),"Thiếu trường bắt buộc",IF(OR(COUNTIF($A$5:$A$404,A300)&lt;2,COUNTIF($A$5:$A$404,A300)&gt;4),"Mỗi choice cần 2–4 option",IF(COUNTIFS('02_KICH_BAN_NODES'!$B$5:$B$204,A300,'02_KICH_BAN_NODES'!$E$5:$E$204,"Kiến thức")=1,IF(COUNTIFS($A$5:$A$404,A300,$D$5:$D$404,"Có")&lt;&gt;1,"Choice kiến thức cần đúng 1 đáp án đúng",""),IF(COUNTIFS('02_KICH_BAN_NODES'!$B$5:$B$204,A300,'02_KICH_BAN_NODES'!$E$5:$E$204,"Tương tác")=1,IF(COUNTIFS($A$5:$A$404,A300,$D$5:$D$404,"Có")&lt;&gt;0,"Choice tương tác không được đánh dấu đáp án đúng",""),"Choice chưa chọn loại")))))))</f>
        <v/>
      </c>
    </row>
    <row r="301" spans="1:11">
      <c r="A301" s="13"/>
      <c r="B301" s="13"/>
      <c r="C301" s="5"/>
      <c r="D301" s="13"/>
      <c r="E301" s="13"/>
      <c r="F301" s="13"/>
      <c r="G301" s="13"/>
      <c r="H301" s="5"/>
      <c r="I301" s="5"/>
      <c r="J301" s="6" t="str">
        <f t="shared" si="4"/>
        <v/>
      </c>
      <c r="K301" s="6" t="str">
        <f>IF(A301="","",IF(COUNTIFS('02_KICH_BAN_NODES'!$B$5:$B$204,A301,'02_KICH_BAN_NODES'!$D$5:$D$204,"choice")=0,"ChoiceNodeId không tồn tại hoặc không phải choice",IF(COUNTIFS($A$5:$A$404,A301,$B$5:$B$404,B301)&gt;1,"Trùng OptionOrder trong cùng choice",IF(OR(B301="",C301="",D301="",F301="",H301=""),"Thiếu trường bắt buộc",IF(OR(COUNTIF($A$5:$A$404,A301)&lt;2,COUNTIF($A$5:$A$404,A301)&gt;4),"Mỗi choice cần 2–4 option",IF(COUNTIFS('02_KICH_BAN_NODES'!$B$5:$B$204,A301,'02_KICH_BAN_NODES'!$E$5:$E$204,"Kiến thức")=1,IF(COUNTIFS($A$5:$A$404,A301,$D$5:$D$404,"Có")&lt;&gt;1,"Choice kiến thức cần đúng 1 đáp án đúng",""),IF(COUNTIFS('02_KICH_BAN_NODES'!$B$5:$B$204,A301,'02_KICH_BAN_NODES'!$E$5:$E$204,"Tương tác")=1,IF(COUNTIFS($A$5:$A$404,A301,$D$5:$D$404,"Có")&lt;&gt;0,"Choice tương tác không được đánh dấu đáp án đúng",""),"Choice chưa chọn loại")))))))</f>
        <v/>
      </c>
    </row>
    <row r="302" spans="1:11">
      <c r="A302" s="13"/>
      <c r="B302" s="13"/>
      <c r="C302" s="5"/>
      <c r="D302" s="13"/>
      <c r="E302" s="13"/>
      <c r="F302" s="13"/>
      <c r="G302" s="13"/>
      <c r="H302" s="5"/>
      <c r="I302" s="5"/>
      <c r="J302" s="6" t="str">
        <f t="shared" si="4"/>
        <v/>
      </c>
      <c r="K302" s="6" t="str">
        <f>IF(A302="","",IF(COUNTIFS('02_KICH_BAN_NODES'!$B$5:$B$204,A302,'02_KICH_BAN_NODES'!$D$5:$D$204,"choice")=0,"ChoiceNodeId không tồn tại hoặc không phải choice",IF(COUNTIFS($A$5:$A$404,A302,$B$5:$B$404,B302)&gt;1,"Trùng OptionOrder trong cùng choice",IF(OR(B302="",C302="",D302="",F302="",H302=""),"Thiếu trường bắt buộc",IF(OR(COUNTIF($A$5:$A$404,A302)&lt;2,COUNTIF($A$5:$A$404,A302)&gt;4),"Mỗi choice cần 2–4 option",IF(COUNTIFS('02_KICH_BAN_NODES'!$B$5:$B$204,A302,'02_KICH_BAN_NODES'!$E$5:$E$204,"Kiến thức")=1,IF(COUNTIFS($A$5:$A$404,A302,$D$5:$D$404,"Có")&lt;&gt;1,"Choice kiến thức cần đúng 1 đáp án đúng",""),IF(COUNTIFS('02_KICH_BAN_NODES'!$B$5:$B$204,A302,'02_KICH_BAN_NODES'!$E$5:$E$204,"Tương tác")=1,IF(COUNTIFS($A$5:$A$404,A302,$D$5:$D$404,"Có")&lt;&gt;0,"Choice tương tác không được đánh dấu đáp án đúng",""),"Choice chưa chọn loại")))))))</f>
        <v/>
      </c>
    </row>
    <row r="303" spans="1:11">
      <c r="A303" s="13"/>
      <c r="B303" s="13"/>
      <c r="C303" s="5"/>
      <c r="D303" s="13"/>
      <c r="E303" s="13"/>
      <c r="F303" s="13"/>
      <c r="G303" s="13"/>
      <c r="H303" s="5"/>
      <c r="I303" s="5"/>
      <c r="J303" s="6" t="str">
        <f t="shared" si="4"/>
        <v/>
      </c>
      <c r="K303" s="6" t="str">
        <f>IF(A303="","",IF(COUNTIFS('02_KICH_BAN_NODES'!$B$5:$B$204,A303,'02_KICH_BAN_NODES'!$D$5:$D$204,"choice")=0,"ChoiceNodeId không tồn tại hoặc không phải choice",IF(COUNTIFS($A$5:$A$404,A303,$B$5:$B$404,B303)&gt;1,"Trùng OptionOrder trong cùng choice",IF(OR(B303="",C303="",D303="",F303="",H303=""),"Thiếu trường bắt buộc",IF(OR(COUNTIF($A$5:$A$404,A303)&lt;2,COUNTIF($A$5:$A$404,A303)&gt;4),"Mỗi choice cần 2–4 option",IF(COUNTIFS('02_KICH_BAN_NODES'!$B$5:$B$204,A303,'02_KICH_BAN_NODES'!$E$5:$E$204,"Kiến thức")=1,IF(COUNTIFS($A$5:$A$404,A303,$D$5:$D$404,"Có")&lt;&gt;1,"Choice kiến thức cần đúng 1 đáp án đúng",""),IF(COUNTIFS('02_KICH_BAN_NODES'!$B$5:$B$204,A303,'02_KICH_BAN_NODES'!$E$5:$E$204,"Tương tác")=1,IF(COUNTIFS($A$5:$A$404,A303,$D$5:$D$404,"Có")&lt;&gt;0,"Choice tương tác không được đánh dấu đáp án đúng",""),"Choice chưa chọn loại")))))))</f>
        <v/>
      </c>
    </row>
    <row r="304" spans="1:11">
      <c r="A304" s="13"/>
      <c r="B304" s="13"/>
      <c r="C304" s="5"/>
      <c r="D304" s="13"/>
      <c r="E304" s="13"/>
      <c r="F304" s="13"/>
      <c r="G304" s="13"/>
      <c r="H304" s="5"/>
      <c r="I304" s="5"/>
      <c r="J304" s="6" t="str">
        <f t="shared" si="4"/>
        <v/>
      </c>
      <c r="K304" s="6" t="str">
        <f>IF(A304="","",IF(COUNTIFS('02_KICH_BAN_NODES'!$B$5:$B$204,A304,'02_KICH_BAN_NODES'!$D$5:$D$204,"choice")=0,"ChoiceNodeId không tồn tại hoặc không phải choice",IF(COUNTIFS($A$5:$A$404,A304,$B$5:$B$404,B304)&gt;1,"Trùng OptionOrder trong cùng choice",IF(OR(B304="",C304="",D304="",F304="",H304=""),"Thiếu trường bắt buộc",IF(OR(COUNTIF($A$5:$A$404,A304)&lt;2,COUNTIF($A$5:$A$404,A304)&gt;4),"Mỗi choice cần 2–4 option",IF(COUNTIFS('02_KICH_BAN_NODES'!$B$5:$B$204,A304,'02_KICH_BAN_NODES'!$E$5:$E$204,"Kiến thức")=1,IF(COUNTIFS($A$5:$A$404,A304,$D$5:$D$404,"Có")&lt;&gt;1,"Choice kiến thức cần đúng 1 đáp án đúng",""),IF(COUNTIFS('02_KICH_BAN_NODES'!$B$5:$B$204,A304,'02_KICH_BAN_NODES'!$E$5:$E$204,"Tương tác")=1,IF(COUNTIFS($A$5:$A$404,A304,$D$5:$D$404,"Có")&lt;&gt;0,"Choice tương tác không được đánh dấu đáp án đúng",""),"Choice chưa chọn loại")))))))</f>
        <v/>
      </c>
    </row>
    <row r="305" spans="1:11">
      <c r="A305" s="13"/>
      <c r="B305" s="13"/>
      <c r="C305" s="5"/>
      <c r="D305" s="13"/>
      <c r="E305" s="13"/>
      <c r="F305" s="13"/>
      <c r="G305" s="13"/>
      <c r="H305" s="5"/>
      <c r="I305" s="5"/>
      <c r="J305" s="6" t="str">
        <f t="shared" si="4"/>
        <v/>
      </c>
      <c r="K305" s="6" t="str">
        <f>IF(A305="","",IF(COUNTIFS('02_KICH_BAN_NODES'!$B$5:$B$204,A305,'02_KICH_BAN_NODES'!$D$5:$D$204,"choice")=0,"ChoiceNodeId không tồn tại hoặc không phải choice",IF(COUNTIFS($A$5:$A$404,A305,$B$5:$B$404,B305)&gt;1,"Trùng OptionOrder trong cùng choice",IF(OR(B305="",C305="",D305="",F305="",H305=""),"Thiếu trường bắt buộc",IF(OR(COUNTIF($A$5:$A$404,A305)&lt;2,COUNTIF($A$5:$A$404,A305)&gt;4),"Mỗi choice cần 2–4 option",IF(COUNTIFS('02_KICH_BAN_NODES'!$B$5:$B$204,A305,'02_KICH_BAN_NODES'!$E$5:$E$204,"Kiến thức")=1,IF(COUNTIFS($A$5:$A$404,A305,$D$5:$D$404,"Có")&lt;&gt;1,"Choice kiến thức cần đúng 1 đáp án đúng",""),IF(COUNTIFS('02_KICH_BAN_NODES'!$B$5:$B$204,A305,'02_KICH_BAN_NODES'!$E$5:$E$204,"Tương tác")=1,IF(COUNTIFS($A$5:$A$404,A305,$D$5:$D$404,"Có")&lt;&gt;0,"Choice tương tác không được đánh dấu đáp án đúng",""),"Choice chưa chọn loại")))))))</f>
        <v/>
      </c>
    </row>
    <row r="306" spans="1:11">
      <c r="A306" s="13"/>
      <c r="B306" s="13"/>
      <c r="C306" s="5"/>
      <c r="D306" s="13"/>
      <c r="E306" s="13"/>
      <c r="F306" s="13"/>
      <c r="G306" s="13"/>
      <c r="H306" s="5"/>
      <c r="I306" s="5"/>
      <c r="J306" s="6" t="str">
        <f t="shared" si="4"/>
        <v/>
      </c>
      <c r="K306" s="6" t="str">
        <f>IF(A306="","",IF(COUNTIFS('02_KICH_BAN_NODES'!$B$5:$B$204,A306,'02_KICH_BAN_NODES'!$D$5:$D$204,"choice")=0,"ChoiceNodeId không tồn tại hoặc không phải choice",IF(COUNTIFS($A$5:$A$404,A306,$B$5:$B$404,B306)&gt;1,"Trùng OptionOrder trong cùng choice",IF(OR(B306="",C306="",D306="",F306="",H306=""),"Thiếu trường bắt buộc",IF(OR(COUNTIF($A$5:$A$404,A306)&lt;2,COUNTIF($A$5:$A$404,A306)&gt;4),"Mỗi choice cần 2–4 option",IF(COUNTIFS('02_KICH_BAN_NODES'!$B$5:$B$204,A306,'02_KICH_BAN_NODES'!$E$5:$E$204,"Kiến thức")=1,IF(COUNTIFS($A$5:$A$404,A306,$D$5:$D$404,"Có")&lt;&gt;1,"Choice kiến thức cần đúng 1 đáp án đúng",""),IF(COUNTIFS('02_KICH_BAN_NODES'!$B$5:$B$204,A306,'02_KICH_BAN_NODES'!$E$5:$E$204,"Tương tác")=1,IF(COUNTIFS($A$5:$A$404,A306,$D$5:$D$404,"Có")&lt;&gt;0,"Choice tương tác không được đánh dấu đáp án đúng",""),"Choice chưa chọn loại")))))))</f>
        <v/>
      </c>
    </row>
    <row r="307" spans="1:11">
      <c r="A307" s="13"/>
      <c r="B307" s="13"/>
      <c r="C307" s="5"/>
      <c r="D307" s="13"/>
      <c r="E307" s="13"/>
      <c r="F307" s="13"/>
      <c r="G307" s="13"/>
      <c r="H307" s="5"/>
      <c r="I307" s="5"/>
      <c r="J307" s="6" t="str">
        <f t="shared" si="4"/>
        <v/>
      </c>
      <c r="K307" s="6" t="str">
        <f>IF(A307="","",IF(COUNTIFS('02_KICH_BAN_NODES'!$B$5:$B$204,A307,'02_KICH_BAN_NODES'!$D$5:$D$204,"choice")=0,"ChoiceNodeId không tồn tại hoặc không phải choice",IF(COUNTIFS($A$5:$A$404,A307,$B$5:$B$404,B307)&gt;1,"Trùng OptionOrder trong cùng choice",IF(OR(B307="",C307="",D307="",F307="",H307=""),"Thiếu trường bắt buộc",IF(OR(COUNTIF($A$5:$A$404,A307)&lt;2,COUNTIF($A$5:$A$404,A307)&gt;4),"Mỗi choice cần 2–4 option",IF(COUNTIFS('02_KICH_BAN_NODES'!$B$5:$B$204,A307,'02_KICH_BAN_NODES'!$E$5:$E$204,"Kiến thức")=1,IF(COUNTIFS($A$5:$A$404,A307,$D$5:$D$404,"Có")&lt;&gt;1,"Choice kiến thức cần đúng 1 đáp án đúng",""),IF(COUNTIFS('02_KICH_BAN_NODES'!$B$5:$B$204,A307,'02_KICH_BAN_NODES'!$E$5:$E$204,"Tương tác")=1,IF(COUNTIFS($A$5:$A$404,A307,$D$5:$D$404,"Có")&lt;&gt;0,"Choice tương tác không được đánh dấu đáp án đúng",""),"Choice chưa chọn loại")))))))</f>
        <v/>
      </c>
    </row>
    <row r="308" spans="1:11">
      <c r="A308" s="13"/>
      <c r="B308" s="13"/>
      <c r="C308" s="5"/>
      <c r="D308" s="13"/>
      <c r="E308" s="13"/>
      <c r="F308" s="13"/>
      <c r="G308" s="13"/>
      <c r="H308" s="5"/>
      <c r="I308" s="5"/>
      <c r="J308" s="6" t="str">
        <f t="shared" si="4"/>
        <v/>
      </c>
      <c r="K308" s="6" t="str">
        <f>IF(A308="","",IF(COUNTIFS('02_KICH_BAN_NODES'!$B$5:$B$204,A308,'02_KICH_BAN_NODES'!$D$5:$D$204,"choice")=0,"ChoiceNodeId không tồn tại hoặc không phải choice",IF(COUNTIFS($A$5:$A$404,A308,$B$5:$B$404,B308)&gt;1,"Trùng OptionOrder trong cùng choice",IF(OR(B308="",C308="",D308="",F308="",H308=""),"Thiếu trường bắt buộc",IF(OR(COUNTIF($A$5:$A$404,A308)&lt;2,COUNTIF($A$5:$A$404,A308)&gt;4),"Mỗi choice cần 2–4 option",IF(COUNTIFS('02_KICH_BAN_NODES'!$B$5:$B$204,A308,'02_KICH_BAN_NODES'!$E$5:$E$204,"Kiến thức")=1,IF(COUNTIFS($A$5:$A$404,A308,$D$5:$D$404,"Có")&lt;&gt;1,"Choice kiến thức cần đúng 1 đáp án đúng",""),IF(COUNTIFS('02_KICH_BAN_NODES'!$B$5:$B$204,A308,'02_KICH_BAN_NODES'!$E$5:$E$204,"Tương tác")=1,IF(COUNTIFS($A$5:$A$404,A308,$D$5:$D$404,"Có")&lt;&gt;0,"Choice tương tác không được đánh dấu đáp án đúng",""),"Choice chưa chọn loại")))))))</f>
        <v/>
      </c>
    </row>
    <row r="309" spans="1:11">
      <c r="A309" s="13"/>
      <c r="B309" s="13"/>
      <c r="C309" s="5"/>
      <c r="D309" s="13"/>
      <c r="E309" s="13"/>
      <c r="F309" s="13"/>
      <c r="G309" s="13"/>
      <c r="H309" s="5"/>
      <c r="I309" s="5"/>
      <c r="J309" s="6" t="str">
        <f t="shared" si="4"/>
        <v/>
      </c>
      <c r="K309" s="6" t="str">
        <f>IF(A309="","",IF(COUNTIFS('02_KICH_BAN_NODES'!$B$5:$B$204,A309,'02_KICH_BAN_NODES'!$D$5:$D$204,"choice")=0,"ChoiceNodeId không tồn tại hoặc không phải choice",IF(COUNTIFS($A$5:$A$404,A309,$B$5:$B$404,B309)&gt;1,"Trùng OptionOrder trong cùng choice",IF(OR(B309="",C309="",D309="",F309="",H309=""),"Thiếu trường bắt buộc",IF(OR(COUNTIF($A$5:$A$404,A309)&lt;2,COUNTIF($A$5:$A$404,A309)&gt;4),"Mỗi choice cần 2–4 option",IF(COUNTIFS('02_KICH_BAN_NODES'!$B$5:$B$204,A309,'02_KICH_BAN_NODES'!$E$5:$E$204,"Kiến thức")=1,IF(COUNTIFS($A$5:$A$404,A309,$D$5:$D$404,"Có")&lt;&gt;1,"Choice kiến thức cần đúng 1 đáp án đúng",""),IF(COUNTIFS('02_KICH_BAN_NODES'!$B$5:$B$204,A309,'02_KICH_BAN_NODES'!$E$5:$E$204,"Tương tác")=1,IF(COUNTIFS($A$5:$A$404,A309,$D$5:$D$404,"Có")&lt;&gt;0,"Choice tương tác không được đánh dấu đáp án đúng",""),"Choice chưa chọn loại")))))))</f>
        <v/>
      </c>
    </row>
    <row r="310" spans="1:11">
      <c r="A310" s="13"/>
      <c r="B310" s="13"/>
      <c r="C310" s="5"/>
      <c r="D310" s="13"/>
      <c r="E310" s="13"/>
      <c r="F310" s="13"/>
      <c r="G310" s="13"/>
      <c r="H310" s="5"/>
      <c r="I310" s="5"/>
      <c r="J310" s="6" t="str">
        <f t="shared" si="4"/>
        <v/>
      </c>
      <c r="K310" s="6" t="str">
        <f>IF(A310="","",IF(COUNTIFS('02_KICH_BAN_NODES'!$B$5:$B$204,A310,'02_KICH_BAN_NODES'!$D$5:$D$204,"choice")=0,"ChoiceNodeId không tồn tại hoặc không phải choice",IF(COUNTIFS($A$5:$A$404,A310,$B$5:$B$404,B310)&gt;1,"Trùng OptionOrder trong cùng choice",IF(OR(B310="",C310="",D310="",F310="",H310=""),"Thiếu trường bắt buộc",IF(OR(COUNTIF($A$5:$A$404,A310)&lt;2,COUNTIF($A$5:$A$404,A310)&gt;4),"Mỗi choice cần 2–4 option",IF(COUNTIFS('02_KICH_BAN_NODES'!$B$5:$B$204,A310,'02_KICH_BAN_NODES'!$E$5:$E$204,"Kiến thức")=1,IF(COUNTIFS($A$5:$A$404,A310,$D$5:$D$404,"Có")&lt;&gt;1,"Choice kiến thức cần đúng 1 đáp án đúng",""),IF(COUNTIFS('02_KICH_BAN_NODES'!$B$5:$B$204,A310,'02_KICH_BAN_NODES'!$E$5:$E$204,"Tương tác")=1,IF(COUNTIFS($A$5:$A$404,A310,$D$5:$D$404,"Có")&lt;&gt;0,"Choice tương tác không được đánh dấu đáp án đúng",""),"Choice chưa chọn loại")))))))</f>
        <v/>
      </c>
    </row>
    <row r="311" spans="1:11">
      <c r="A311" s="13"/>
      <c r="B311" s="13"/>
      <c r="C311" s="5"/>
      <c r="D311" s="13"/>
      <c r="E311" s="13"/>
      <c r="F311" s="13"/>
      <c r="G311" s="13"/>
      <c r="H311" s="5"/>
      <c r="I311" s="5"/>
      <c r="J311" s="6" t="str">
        <f t="shared" si="4"/>
        <v/>
      </c>
      <c r="K311" s="6" t="str">
        <f>IF(A311="","",IF(COUNTIFS('02_KICH_BAN_NODES'!$B$5:$B$204,A311,'02_KICH_BAN_NODES'!$D$5:$D$204,"choice")=0,"ChoiceNodeId không tồn tại hoặc không phải choice",IF(COUNTIFS($A$5:$A$404,A311,$B$5:$B$404,B311)&gt;1,"Trùng OptionOrder trong cùng choice",IF(OR(B311="",C311="",D311="",F311="",H311=""),"Thiếu trường bắt buộc",IF(OR(COUNTIF($A$5:$A$404,A311)&lt;2,COUNTIF($A$5:$A$404,A311)&gt;4),"Mỗi choice cần 2–4 option",IF(COUNTIFS('02_KICH_BAN_NODES'!$B$5:$B$204,A311,'02_KICH_BAN_NODES'!$E$5:$E$204,"Kiến thức")=1,IF(COUNTIFS($A$5:$A$404,A311,$D$5:$D$404,"Có")&lt;&gt;1,"Choice kiến thức cần đúng 1 đáp án đúng",""),IF(COUNTIFS('02_KICH_BAN_NODES'!$B$5:$B$204,A311,'02_KICH_BAN_NODES'!$E$5:$E$204,"Tương tác")=1,IF(COUNTIFS($A$5:$A$404,A311,$D$5:$D$404,"Có")&lt;&gt;0,"Choice tương tác không được đánh dấu đáp án đúng",""),"Choice chưa chọn loại")))))))</f>
        <v/>
      </c>
    </row>
    <row r="312" spans="1:11">
      <c r="A312" s="13"/>
      <c r="B312" s="13"/>
      <c r="C312" s="5"/>
      <c r="D312" s="13"/>
      <c r="E312" s="13"/>
      <c r="F312" s="13"/>
      <c r="G312" s="13"/>
      <c r="H312" s="5"/>
      <c r="I312" s="5"/>
      <c r="J312" s="6" t="str">
        <f t="shared" si="4"/>
        <v/>
      </c>
      <c r="K312" s="6" t="str">
        <f>IF(A312="","",IF(COUNTIFS('02_KICH_BAN_NODES'!$B$5:$B$204,A312,'02_KICH_BAN_NODES'!$D$5:$D$204,"choice")=0,"ChoiceNodeId không tồn tại hoặc không phải choice",IF(COUNTIFS($A$5:$A$404,A312,$B$5:$B$404,B312)&gt;1,"Trùng OptionOrder trong cùng choice",IF(OR(B312="",C312="",D312="",F312="",H312=""),"Thiếu trường bắt buộc",IF(OR(COUNTIF($A$5:$A$404,A312)&lt;2,COUNTIF($A$5:$A$404,A312)&gt;4),"Mỗi choice cần 2–4 option",IF(COUNTIFS('02_KICH_BAN_NODES'!$B$5:$B$204,A312,'02_KICH_BAN_NODES'!$E$5:$E$204,"Kiến thức")=1,IF(COUNTIFS($A$5:$A$404,A312,$D$5:$D$404,"Có")&lt;&gt;1,"Choice kiến thức cần đúng 1 đáp án đúng",""),IF(COUNTIFS('02_KICH_BAN_NODES'!$B$5:$B$204,A312,'02_KICH_BAN_NODES'!$E$5:$E$204,"Tương tác")=1,IF(COUNTIFS($A$5:$A$404,A312,$D$5:$D$404,"Có")&lt;&gt;0,"Choice tương tác không được đánh dấu đáp án đúng",""),"Choice chưa chọn loại")))))))</f>
        <v/>
      </c>
    </row>
    <row r="313" spans="1:11">
      <c r="A313" s="13"/>
      <c r="B313" s="13"/>
      <c r="C313" s="5"/>
      <c r="D313" s="13"/>
      <c r="E313" s="13"/>
      <c r="F313" s="13"/>
      <c r="G313" s="13"/>
      <c r="H313" s="5"/>
      <c r="I313" s="5"/>
      <c r="J313" s="6" t="str">
        <f t="shared" si="4"/>
        <v/>
      </c>
      <c r="K313" s="6" t="str">
        <f>IF(A313="","",IF(COUNTIFS('02_KICH_BAN_NODES'!$B$5:$B$204,A313,'02_KICH_BAN_NODES'!$D$5:$D$204,"choice")=0,"ChoiceNodeId không tồn tại hoặc không phải choice",IF(COUNTIFS($A$5:$A$404,A313,$B$5:$B$404,B313)&gt;1,"Trùng OptionOrder trong cùng choice",IF(OR(B313="",C313="",D313="",F313="",H313=""),"Thiếu trường bắt buộc",IF(OR(COUNTIF($A$5:$A$404,A313)&lt;2,COUNTIF($A$5:$A$404,A313)&gt;4),"Mỗi choice cần 2–4 option",IF(COUNTIFS('02_KICH_BAN_NODES'!$B$5:$B$204,A313,'02_KICH_BAN_NODES'!$E$5:$E$204,"Kiến thức")=1,IF(COUNTIFS($A$5:$A$404,A313,$D$5:$D$404,"Có")&lt;&gt;1,"Choice kiến thức cần đúng 1 đáp án đúng",""),IF(COUNTIFS('02_KICH_BAN_NODES'!$B$5:$B$204,A313,'02_KICH_BAN_NODES'!$E$5:$E$204,"Tương tác")=1,IF(COUNTIFS($A$5:$A$404,A313,$D$5:$D$404,"Có")&lt;&gt;0,"Choice tương tác không được đánh dấu đáp án đúng",""),"Choice chưa chọn loại")))))))</f>
        <v/>
      </c>
    </row>
    <row r="314" spans="1:11">
      <c r="A314" s="13"/>
      <c r="B314" s="13"/>
      <c r="C314" s="5"/>
      <c r="D314" s="13"/>
      <c r="E314" s="13"/>
      <c r="F314" s="13"/>
      <c r="G314" s="13"/>
      <c r="H314" s="5"/>
      <c r="I314" s="5"/>
      <c r="J314" s="6" t="str">
        <f t="shared" si="4"/>
        <v/>
      </c>
      <c r="K314" s="6" t="str">
        <f>IF(A314="","",IF(COUNTIFS('02_KICH_BAN_NODES'!$B$5:$B$204,A314,'02_KICH_BAN_NODES'!$D$5:$D$204,"choice")=0,"ChoiceNodeId không tồn tại hoặc không phải choice",IF(COUNTIFS($A$5:$A$404,A314,$B$5:$B$404,B314)&gt;1,"Trùng OptionOrder trong cùng choice",IF(OR(B314="",C314="",D314="",F314="",H314=""),"Thiếu trường bắt buộc",IF(OR(COUNTIF($A$5:$A$404,A314)&lt;2,COUNTIF($A$5:$A$404,A314)&gt;4),"Mỗi choice cần 2–4 option",IF(COUNTIFS('02_KICH_BAN_NODES'!$B$5:$B$204,A314,'02_KICH_BAN_NODES'!$E$5:$E$204,"Kiến thức")=1,IF(COUNTIFS($A$5:$A$404,A314,$D$5:$D$404,"Có")&lt;&gt;1,"Choice kiến thức cần đúng 1 đáp án đúng",""),IF(COUNTIFS('02_KICH_BAN_NODES'!$B$5:$B$204,A314,'02_KICH_BAN_NODES'!$E$5:$E$204,"Tương tác")=1,IF(COUNTIFS($A$5:$A$404,A314,$D$5:$D$404,"Có")&lt;&gt;0,"Choice tương tác không được đánh dấu đáp án đúng",""),"Choice chưa chọn loại")))))))</f>
        <v/>
      </c>
    </row>
    <row r="315" spans="1:11">
      <c r="A315" s="13"/>
      <c r="B315" s="13"/>
      <c r="C315" s="5"/>
      <c r="D315" s="13"/>
      <c r="E315" s="13"/>
      <c r="F315" s="13"/>
      <c r="G315" s="13"/>
      <c r="H315" s="5"/>
      <c r="I315" s="5"/>
      <c r="J315" s="6" t="str">
        <f t="shared" si="4"/>
        <v/>
      </c>
      <c r="K315" s="6" t="str">
        <f>IF(A315="","",IF(COUNTIFS('02_KICH_BAN_NODES'!$B$5:$B$204,A315,'02_KICH_BAN_NODES'!$D$5:$D$204,"choice")=0,"ChoiceNodeId không tồn tại hoặc không phải choice",IF(COUNTIFS($A$5:$A$404,A315,$B$5:$B$404,B315)&gt;1,"Trùng OptionOrder trong cùng choice",IF(OR(B315="",C315="",D315="",F315="",H315=""),"Thiếu trường bắt buộc",IF(OR(COUNTIF($A$5:$A$404,A315)&lt;2,COUNTIF($A$5:$A$404,A315)&gt;4),"Mỗi choice cần 2–4 option",IF(COUNTIFS('02_KICH_BAN_NODES'!$B$5:$B$204,A315,'02_KICH_BAN_NODES'!$E$5:$E$204,"Kiến thức")=1,IF(COUNTIFS($A$5:$A$404,A315,$D$5:$D$404,"Có")&lt;&gt;1,"Choice kiến thức cần đúng 1 đáp án đúng",""),IF(COUNTIFS('02_KICH_BAN_NODES'!$B$5:$B$204,A315,'02_KICH_BAN_NODES'!$E$5:$E$204,"Tương tác")=1,IF(COUNTIFS($A$5:$A$404,A315,$D$5:$D$404,"Có")&lt;&gt;0,"Choice tương tác không được đánh dấu đáp án đúng",""),"Choice chưa chọn loại")))))))</f>
        <v/>
      </c>
    </row>
    <row r="316" spans="1:11">
      <c r="A316" s="13"/>
      <c r="B316" s="13"/>
      <c r="C316" s="5"/>
      <c r="D316" s="13"/>
      <c r="E316" s="13"/>
      <c r="F316" s="13"/>
      <c r="G316" s="13"/>
      <c r="H316" s="5"/>
      <c r="I316" s="5"/>
      <c r="J316" s="6" t="str">
        <f t="shared" si="4"/>
        <v/>
      </c>
      <c r="K316" s="6" t="str">
        <f>IF(A316="","",IF(COUNTIFS('02_KICH_BAN_NODES'!$B$5:$B$204,A316,'02_KICH_BAN_NODES'!$D$5:$D$204,"choice")=0,"ChoiceNodeId không tồn tại hoặc không phải choice",IF(COUNTIFS($A$5:$A$404,A316,$B$5:$B$404,B316)&gt;1,"Trùng OptionOrder trong cùng choice",IF(OR(B316="",C316="",D316="",F316="",H316=""),"Thiếu trường bắt buộc",IF(OR(COUNTIF($A$5:$A$404,A316)&lt;2,COUNTIF($A$5:$A$404,A316)&gt;4),"Mỗi choice cần 2–4 option",IF(COUNTIFS('02_KICH_BAN_NODES'!$B$5:$B$204,A316,'02_KICH_BAN_NODES'!$E$5:$E$204,"Kiến thức")=1,IF(COUNTIFS($A$5:$A$404,A316,$D$5:$D$404,"Có")&lt;&gt;1,"Choice kiến thức cần đúng 1 đáp án đúng",""),IF(COUNTIFS('02_KICH_BAN_NODES'!$B$5:$B$204,A316,'02_KICH_BAN_NODES'!$E$5:$E$204,"Tương tác")=1,IF(COUNTIFS($A$5:$A$404,A316,$D$5:$D$404,"Có")&lt;&gt;0,"Choice tương tác không được đánh dấu đáp án đúng",""),"Choice chưa chọn loại")))))))</f>
        <v/>
      </c>
    </row>
    <row r="317" spans="1:11">
      <c r="A317" s="13"/>
      <c r="B317" s="13"/>
      <c r="C317" s="5"/>
      <c r="D317" s="13"/>
      <c r="E317" s="13"/>
      <c r="F317" s="13"/>
      <c r="G317" s="13"/>
      <c r="H317" s="5"/>
      <c r="I317" s="5"/>
      <c r="J317" s="6" t="str">
        <f t="shared" si="4"/>
        <v/>
      </c>
      <c r="K317" s="6" t="str">
        <f>IF(A317="","",IF(COUNTIFS('02_KICH_BAN_NODES'!$B$5:$B$204,A317,'02_KICH_BAN_NODES'!$D$5:$D$204,"choice")=0,"ChoiceNodeId không tồn tại hoặc không phải choice",IF(COUNTIFS($A$5:$A$404,A317,$B$5:$B$404,B317)&gt;1,"Trùng OptionOrder trong cùng choice",IF(OR(B317="",C317="",D317="",F317="",H317=""),"Thiếu trường bắt buộc",IF(OR(COUNTIF($A$5:$A$404,A317)&lt;2,COUNTIF($A$5:$A$404,A317)&gt;4),"Mỗi choice cần 2–4 option",IF(COUNTIFS('02_KICH_BAN_NODES'!$B$5:$B$204,A317,'02_KICH_BAN_NODES'!$E$5:$E$204,"Kiến thức")=1,IF(COUNTIFS($A$5:$A$404,A317,$D$5:$D$404,"Có")&lt;&gt;1,"Choice kiến thức cần đúng 1 đáp án đúng",""),IF(COUNTIFS('02_KICH_BAN_NODES'!$B$5:$B$204,A317,'02_KICH_BAN_NODES'!$E$5:$E$204,"Tương tác")=1,IF(COUNTIFS($A$5:$A$404,A317,$D$5:$D$404,"Có")&lt;&gt;0,"Choice tương tác không được đánh dấu đáp án đúng",""),"Choice chưa chọn loại")))))))</f>
        <v/>
      </c>
    </row>
    <row r="318" spans="1:11">
      <c r="A318" s="13"/>
      <c r="B318" s="13"/>
      <c r="C318" s="5"/>
      <c r="D318" s="13"/>
      <c r="E318" s="13"/>
      <c r="F318" s="13"/>
      <c r="G318" s="13"/>
      <c r="H318" s="5"/>
      <c r="I318" s="5"/>
      <c r="J318" s="6" t="str">
        <f t="shared" si="4"/>
        <v/>
      </c>
      <c r="K318" s="6" t="str">
        <f>IF(A318="","",IF(COUNTIFS('02_KICH_BAN_NODES'!$B$5:$B$204,A318,'02_KICH_BAN_NODES'!$D$5:$D$204,"choice")=0,"ChoiceNodeId không tồn tại hoặc không phải choice",IF(COUNTIFS($A$5:$A$404,A318,$B$5:$B$404,B318)&gt;1,"Trùng OptionOrder trong cùng choice",IF(OR(B318="",C318="",D318="",F318="",H318=""),"Thiếu trường bắt buộc",IF(OR(COUNTIF($A$5:$A$404,A318)&lt;2,COUNTIF($A$5:$A$404,A318)&gt;4),"Mỗi choice cần 2–4 option",IF(COUNTIFS('02_KICH_BAN_NODES'!$B$5:$B$204,A318,'02_KICH_BAN_NODES'!$E$5:$E$204,"Kiến thức")=1,IF(COUNTIFS($A$5:$A$404,A318,$D$5:$D$404,"Có")&lt;&gt;1,"Choice kiến thức cần đúng 1 đáp án đúng",""),IF(COUNTIFS('02_KICH_BAN_NODES'!$B$5:$B$204,A318,'02_KICH_BAN_NODES'!$E$5:$E$204,"Tương tác")=1,IF(COUNTIFS($A$5:$A$404,A318,$D$5:$D$404,"Có")&lt;&gt;0,"Choice tương tác không được đánh dấu đáp án đúng",""),"Choice chưa chọn loại")))))))</f>
        <v/>
      </c>
    </row>
    <row r="319" spans="1:11">
      <c r="A319" s="13"/>
      <c r="B319" s="13"/>
      <c r="C319" s="5"/>
      <c r="D319" s="13"/>
      <c r="E319" s="13"/>
      <c r="F319" s="13"/>
      <c r="G319" s="13"/>
      <c r="H319" s="5"/>
      <c r="I319" s="5"/>
      <c r="J319" s="6" t="str">
        <f t="shared" si="4"/>
        <v/>
      </c>
      <c r="K319" s="6" t="str">
        <f>IF(A319="","",IF(COUNTIFS('02_KICH_BAN_NODES'!$B$5:$B$204,A319,'02_KICH_BAN_NODES'!$D$5:$D$204,"choice")=0,"ChoiceNodeId không tồn tại hoặc không phải choice",IF(COUNTIFS($A$5:$A$404,A319,$B$5:$B$404,B319)&gt;1,"Trùng OptionOrder trong cùng choice",IF(OR(B319="",C319="",D319="",F319="",H319=""),"Thiếu trường bắt buộc",IF(OR(COUNTIF($A$5:$A$404,A319)&lt;2,COUNTIF($A$5:$A$404,A319)&gt;4),"Mỗi choice cần 2–4 option",IF(COUNTIFS('02_KICH_BAN_NODES'!$B$5:$B$204,A319,'02_KICH_BAN_NODES'!$E$5:$E$204,"Kiến thức")=1,IF(COUNTIFS($A$5:$A$404,A319,$D$5:$D$404,"Có")&lt;&gt;1,"Choice kiến thức cần đúng 1 đáp án đúng",""),IF(COUNTIFS('02_KICH_BAN_NODES'!$B$5:$B$204,A319,'02_KICH_BAN_NODES'!$E$5:$E$204,"Tương tác")=1,IF(COUNTIFS($A$5:$A$404,A319,$D$5:$D$404,"Có")&lt;&gt;0,"Choice tương tác không được đánh dấu đáp án đúng",""),"Choice chưa chọn loại")))))))</f>
        <v/>
      </c>
    </row>
    <row r="320" spans="1:11">
      <c r="A320" s="13"/>
      <c r="B320" s="13"/>
      <c r="C320" s="5"/>
      <c r="D320" s="13"/>
      <c r="E320" s="13"/>
      <c r="F320" s="13"/>
      <c r="G320" s="13"/>
      <c r="H320" s="5"/>
      <c r="I320" s="5"/>
      <c r="J320" s="6" t="str">
        <f t="shared" si="4"/>
        <v/>
      </c>
      <c r="K320" s="6" t="str">
        <f>IF(A320="","",IF(COUNTIFS('02_KICH_BAN_NODES'!$B$5:$B$204,A320,'02_KICH_BAN_NODES'!$D$5:$D$204,"choice")=0,"ChoiceNodeId không tồn tại hoặc không phải choice",IF(COUNTIFS($A$5:$A$404,A320,$B$5:$B$404,B320)&gt;1,"Trùng OptionOrder trong cùng choice",IF(OR(B320="",C320="",D320="",F320="",H320=""),"Thiếu trường bắt buộc",IF(OR(COUNTIF($A$5:$A$404,A320)&lt;2,COUNTIF($A$5:$A$404,A320)&gt;4),"Mỗi choice cần 2–4 option",IF(COUNTIFS('02_KICH_BAN_NODES'!$B$5:$B$204,A320,'02_KICH_BAN_NODES'!$E$5:$E$204,"Kiến thức")=1,IF(COUNTIFS($A$5:$A$404,A320,$D$5:$D$404,"Có")&lt;&gt;1,"Choice kiến thức cần đúng 1 đáp án đúng",""),IF(COUNTIFS('02_KICH_BAN_NODES'!$B$5:$B$204,A320,'02_KICH_BAN_NODES'!$E$5:$E$204,"Tương tác")=1,IF(COUNTIFS($A$5:$A$404,A320,$D$5:$D$404,"Có")&lt;&gt;0,"Choice tương tác không được đánh dấu đáp án đúng",""),"Choice chưa chọn loại")))))))</f>
        <v/>
      </c>
    </row>
    <row r="321" spans="1:11">
      <c r="A321" s="13"/>
      <c r="B321" s="13"/>
      <c r="C321" s="5"/>
      <c r="D321" s="13"/>
      <c r="E321" s="13"/>
      <c r="F321" s="13"/>
      <c r="G321" s="13"/>
      <c r="H321" s="5"/>
      <c r="I321" s="5"/>
      <c r="J321" s="6" t="str">
        <f t="shared" si="4"/>
        <v/>
      </c>
      <c r="K321" s="6" t="str">
        <f>IF(A321="","",IF(COUNTIFS('02_KICH_BAN_NODES'!$B$5:$B$204,A321,'02_KICH_BAN_NODES'!$D$5:$D$204,"choice")=0,"ChoiceNodeId không tồn tại hoặc không phải choice",IF(COUNTIFS($A$5:$A$404,A321,$B$5:$B$404,B321)&gt;1,"Trùng OptionOrder trong cùng choice",IF(OR(B321="",C321="",D321="",F321="",H321=""),"Thiếu trường bắt buộc",IF(OR(COUNTIF($A$5:$A$404,A321)&lt;2,COUNTIF($A$5:$A$404,A321)&gt;4),"Mỗi choice cần 2–4 option",IF(COUNTIFS('02_KICH_BAN_NODES'!$B$5:$B$204,A321,'02_KICH_BAN_NODES'!$E$5:$E$204,"Kiến thức")=1,IF(COUNTIFS($A$5:$A$404,A321,$D$5:$D$404,"Có")&lt;&gt;1,"Choice kiến thức cần đúng 1 đáp án đúng",""),IF(COUNTIFS('02_KICH_BAN_NODES'!$B$5:$B$204,A321,'02_KICH_BAN_NODES'!$E$5:$E$204,"Tương tác")=1,IF(COUNTIFS($A$5:$A$404,A321,$D$5:$D$404,"Có")&lt;&gt;0,"Choice tương tác không được đánh dấu đáp án đúng",""),"Choice chưa chọn loại")))))))</f>
        <v/>
      </c>
    </row>
    <row r="322" spans="1:11">
      <c r="A322" s="13"/>
      <c r="B322" s="13"/>
      <c r="C322" s="5"/>
      <c r="D322" s="13"/>
      <c r="E322" s="13"/>
      <c r="F322" s="13"/>
      <c r="G322" s="13"/>
      <c r="H322" s="5"/>
      <c r="I322" s="5"/>
      <c r="J322" s="6" t="str">
        <f t="shared" si="4"/>
        <v/>
      </c>
      <c r="K322" s="6" t="str">
        <f>IF(A322="","",IF(COUNTIFS('02_KICH_BAN_NODES'!$B$5:$B$204,A322,'02_KICH_BAN_NODES'!$D$5:$D$204,"choice")=0,"ChoiceNodeId không tồn tại hoặc không phải choice",IF(COUNTIFS($A$5:$A$404,A322,$B$5:$B$404,B322)&gt;1,"Trùng OptionOrder trong cùng choice",IF(OR(B322="",C322="",D322="",F322="",H322=""),"Thiếu trường bắt buộc",IF(OR(COUNTIF($A$5:$A$404,A322)&lt;2,COUNTIF($A$5:$A$404,A322)&gt;4),"Mỗi choice cần 2–4 option",IF(COUNTIFS('02_KICH_BAN_NODES'!$B$5:$B$204,A322,'02_KICH_BAN_NODES'!$E$5:$E$204,"Kiến thức")=1,IF(COUNTIFS($A$5:$A$404,A322,$D$5:$D$404,"Có")&lt;&gt;1,"Choice kiến thức cần đúng 1 đáp án đúng",""),IF(COUNTIFS('02_KICH_BAN_NODES'!$B$5:$B$204,A322,'02_KICH_BAN_NODES'!$E$5:$E$204,"Tương tác")=1,IF(COUNTIFS($A$5:$A$404,A322,$D$5:$D$404,"Có")&lt;&gt;0,"Choice tương tác không được đánh dấu đáp án đúng",""),"Choice chưa chọn loại")))))))</f>
        <v/>
      </c>
    </row>
    <row r="323" spans="1:11">
      <c r="A323" s="13"/>
      <c r="B323" s="13"/>
      <c r="C323" s="5"/>
      <c r="D323" s="13"/>
      <c r="E323" s="13"/>
      <c r="F323" s="13"/>
      <c r="G323" s="13"/>
      <c r="H323" s="5"/>
      <c r="I323" s="5"/>
      <c r="J323" s="6" t="str">
        <f t="shared" si="4"/>
        <v/>
      </c>
      <c r="K323" s="6" t="str">
        <f>IF(A323="","",IF(COUNTIFS('02_KICH_BAN_NODES'!$B$5:$B$204,A323,'02_KICH_BAN_NODES'!$D$5:$D$204,"choice")=0,"ChoiceNodeId không tồn tại hoặc không phải choice",IF(COUNTIFS($A$5:$A$404,A323,$B$5:$B$404,B323)&gt;1,"Trùng OptionOrder trong cùng choice",IF(OR(B323="",C323="",D323="",F323="",H323=""),"Thiếu trường bắt buộc",IF(OR(COUNTIF($A$5:$A$404,A323)&lt;2,COUNTIF($A$5:$A$404,A323)&gt;4),"Mỗi choice cần 2–4 option",IF(COUNTIFS('02_KICH_BAN_NODES'!$B$5:$B$204,A323,'02_KICH_BAN_NODES'!$E$5:$E$204,"Kiến thức")=1,IF(COUNTIFS($A$5:$A$404,A323,$D$5:$D$404,"Có")&lt;&gt;1,"Choice kiến thức cần đúng 1 đáp án đúng",""),IF(COUNTIFS('02_KICH_BAN_NODES'!$B$5:$B$204,A323,'02_KICH_BAN_NODES'!$E$5:$E$204,"Tương tác")=1,IF(COUNTIFS($A$5:$A$404,A323,$D$5:$D$404,"Có")&lt;&gt;0,"Choice tương tác không được đánh dấu đáp án đúng",""),"Choice chưa chọn loại")))))))</f>
        <v/>
      </c>
    </row>
    <row r="324" spans="1:11">
      <c r="A324" s="13"/>
      <c r="B324" s="13"/>
      <c r="C324" s="5"/>
      <c r="D324" s="13"/>
      <c r="E324" s="13"/>
      <c r="F324" s="13"/>
      <c r="G324" s="13"/>
      <c r="H324" s="5"/>
      <c r="I324" s="5"/>
      <c r="J324" s="6" t="str">
        <f t="shared" si="4"/>
        <v/>
      </c>
      <c r="K324" s="6" t="str">
        <f>IF(A324="","",IF(COUNTIFS('02_KICH_BAN_NODES'!$B$5:$B$204,A324,'02_KICH_BAN_NODES'!$D$5:$D$204,"choice")=0,"ChoiceNodeId không tồn tại hoặc không phải choice",IF(COUNTIFS($A$5:$A$404,A324,$B$5:$B$404,B324)&gt;1,"Trùng OptionOrder trong cùng choice",IF(OR(B324="",C324="",D324="",F324="",H324=""),"Thiếu trường bắt buộc",IF(OR(COUNTIF($A$5:$A$404,A324)&lt;2,COUNTIF($A$5:$A$404,A324)&gt;4),"Mỗi choice cần 2–4 option",IF(COUNTIFS('02_KICH_BAN_NODES'!$B$5:$B$204,A324,'02_KICH_BAN_NODES'!$E$5:$E$204,"Kiến thức")=1,IF(COUNTIFS($A$5:$A$404,A324,$D$5:$D$404,"Có")&lt;&gt;1,"Choice kiến thức cần đúng 1 đáp án đúng",""),IF(COUNTIFS('02_KICH_BAN_NODES'!$B$5:$B$204,A324,'02_KICH_BAN_NODES'!$E$5:$E$204,"Tương tác")=1,IF(COUNTIFS($A$5:$A$404,A324,$D$5:$D$404,"Có")&lt;&gt;0,"Choice tương tác không được đánh dấu đáp án đúng",""),"Choice chưa chọn loại")))))))</f>
        <v/>
      </c>
    </row>
    <row r="325" spans="1:11">
      <c r="A325" s="13"/>
      <c r="B325" s="13"/>
      <c r="C325" s="5"/>
      <c r="D325" s="13"/>
      <c r="E325" s="13"/>
      <c r="F325" s="13"/>
      <c r="G325" s="13"/>
      <c r="H325" s="5"/>
      <c r="I325" s="5"/>
      <c r="J325" s="6" t="str">
        <f t="shared" ref="J325:J388" si="5">IF(A325="","",IF(K325="","HỢP LỆ","CẦN SỬA"))</f>
        <v/>
      </c>
      <c r="K325" s="6" t="str">
        <f>IF(A325="","",IF(COUNTIFS('02_KICH_BAN_NODES'!$B$5:$B$204,A325,'02_KICH_BAN_NODES'!$D$5:$D$204,"choice")=0,"ChoiceNodeId không tồn tại hoặc không phải choice",IF(COUNTIFS($A$5:$A$404,A325,$B$5:$B$404,B325)&gt;1,"Trùng OptionOrder trong cùng choice",IF(OR(B325="",C325="",D325="",F325="",H325=""),"Thiếu trường bắt buộc",IF(OR(COUNTIF($A$5:$A$404,A325)&lt;2,COUNTIF($A$5:$A$404,A325)&gt;4),"Mỗi choice cần 2–4 option",IF(COUNTIFS('02_KICH_BAN_NODES'!$B$5:$B$204,A325,'02_KICH_BAN_NODES'!$E$5:$E$204,"Kiến thức")=1,IF(COUNTIFS($A$5:$A$404,A325,$D$5:$D$404,"Có")&lt;&gt;1,"Choice kiến thức cần đúng 1 đáp án đúng",""),IF(COUNTIFS('02_KICH_BAN_NODES'!$B$5:$B$204,A325,'02_KICH_BAN_NODES'!$E$5:$E$204,"Tương tác")=1,IF(COUNTIFS($A$5:$A$404,A325,$D$5:$D$404,"Có")&lt;&gt;0,"Choice tương tác không được đánh dấu đáp án đúng",""),"Choice chưa chọn loại")))))))</f>
        <v/>
      </c>
    </row>
    <row r="326" spans="1:11">
      <c r="A326" s="13"/>
      <c r="B326" s="13"/>
      <c r="C326" s="5"/>
      <c r="D326" s="13"/>
      <c r="E326" s="13"/>
      <c r="F326" s="13"/>
      <c r="G326" s="13"/>
      <c r="H326" s="5"/>
      <c r="I326" s="5"/>
      <c r="J326" s="6" t="str">
        <f t="shared" si="5"/>
        <v/>
      </c>
      <c r="K326" s="6" t="str">
        <f>IF(A326="","",IF(COUNTIFS('02_KICH_BAN_NODES'!$B$5:$B$204,A326,'02_KICH_BAN_NODES'!$D$5:$D$204,"choice")=0,"ChoiceNodeId không tồn tại hoặc không phải choice",IF(COUNTIFS($A$5:$A$404,A326,$B$5:$B$404,B326)&gt;1,"Trùng OptionOrder trong cùng choice",IF(OR(B326="",C326="",D326="",F326="",H326=""),"Thiếu trường bắt buộc",IF(OR(COUNTIF($A$5:$A$404,A326)&lt;2,COUNTIF($A$5:$A$404,A326)&gt;4),"Mỗi choice cần 2–4 option",IF(COUNTIFS('02_KICH_BAN_NODES'!$B$5:$B$204,A326,'02_KICH_BAN_NODES'!$E$5:$E$204,"Kiến thức")=1,IF(COUNTIFS($A$5:$A$404,A326,$D$5:$D$404,"Có")&lt;&gt;1,"Choice kiến thức cần đúng 1 đáp án đúng",""),IF(COUNTIFS('02_KICH_BAN_NODES'!$B$5:$B$204,A326,'02_KICH_BAN_NODES'!$E$5:$E$204,"Tương tác")=1,IF(COUNTIFS($A$5:$A$404,A326,$D$5:$D$404,"Có")&lt;&gt;0,"Choice tương tác không được đánh dấu đáp án đúng",""),"Choice chưa chọn loại")))))))</f>
        <v/>
      </c>
    </row>
    <row r="327" spans="1:11">
      <c r="A327" s="13"/>
      <c r="B327" s="13"/>
      <c r="C327" s="5"/>
      <c r="D327" s="13"/>
      <c r="E327" s="13"/>
      <c r="F327" s="13"/>
      <c r="G327" s="13"/>
      <c r="H327" s="5"/>
      <c r="I327" s="5"/>
      <c r="J327" s="6" t="str">
        <f t="shared" si="5"/>
        <v/>
      </c>
      <c r="K327" s="6" t="str">
        <f>IF(A327="","",IF(COUNTIFS('02_KICH_BAN_NODES'!$B$5:$B$204,A327,'02_KICH_BAN_NODES'!$D$5:$D$204,"choice")=0,"ChoiceNodeId không tồn tại hoặc không phải choice",IF(COUNTIFS($A$5:$A$404,A327,$B$5:$B$404,B327)&gt;1,"Trùng OptionOrder trong cùng choice",IF(OR(B327="",C327="",D327="",F327="",H327=""),"Thiếu trường bắt buộc",IF(OR(COUNTIF($A$5:$A$404,A327)&lt;2,COUNTIF($A$5:$A$404,A327)&gt;4),"Mỗi choice cần 2–4 option",IF(COUNTIFS('02_KICH_BAN_NODES'!$B$5:$B$204,A327,'02_KICH_BAN_NODES'!$E$5:$E$204,"Kiến thức")=1,IF(COUNTIFS($A$5:$A$404,A327,$D$5:$D$404,"Có")&lt;&gt;1,"Choice kiến thức cần đúng 1 đáp án đúng",""),IF(COUNTIFS('02_KICH_BAN_NODES'!$B$5:$B$204,A327,'02_KICH_BAN_NODES'!$E$5:$E$204,"Tương tác")=1,IF(COUNTIFS($A$5:$A$404,A327,$D$5:$D$404,"Có")&lt;&gt;0,"Choice tương tác không được đánh dấu đáp án đúng",""),"Choice chưa chọn loại")))))))</f>
        <v/>
      </c>
    </row>
    <row r="328" spans="1:11">
      <c r="A328" s="13"/>
      <c r="B328" s="13"/>
      <c r="C328" s="5"/>
      <c r="D328" s="13"/>
      <c r="E328" s="13"/>
      <c r="F328" s="13"/>
      <c r="G328" s="13"/>
      <c r="H328" s="5"/>
      <c r="I328" s="5"/>
      <c r="J328" s="6" t="str">
        <f t="shared" si="5"/>
        <v/>
      </c>
      <c r="K328" s="6" t="str">
        <f>IF(A328="","",IF(COUNTIFS('02_KICH_BAN_NODES'!$B$5:$B$204,A328,'02_KICH_BAN_NODES'!$D$5:$D$204,"choice")=0,"ChoiceNodeId không tồn tại hoặc không phải choice",IF(COUNTIFS($A$5:$A$404,A328,$B$5:$B$404,B328)&gt;1,"Trùng OptionOrder trong cùng choice",IF(OR(B328="",C328="",D328="",F328="",H328=""),"Thiếu trường bắt buộc",IF(OR(COUNTIF($A$5:$A$404,A328)&lt;2,COUNTIF($A$5:$A$404,A328)&gt;4),"Mỗi choice cần 2–4 option",IF(COUNTIFS('02_KICH_BAN_NODES'!$B$5:$B$204,A328,'02_KICH_BAN_NODES'!$E$5:$E$204,"Kiến thức")=1,IF(COUNTIFS($A$5:$A$404,A328,$D$5:$D$404,"Có")&lt;&gt;1,"Choice kiến thức cần đúng 1 đáp án đúng",""),IF(COUNTIFS('02_KICH_BAN_NODES'!$B$5:$B$204,A328,'02_KICH_BAN_NODES'!$E$5:$E$204,"Tương tác")=1,IF(COUNTIFS($A$5:$A$404,A328,$D$5:$D$404,"Có")&lt;&gt;0,"Choice tương tác không được đánh dấu đáp án đúng",""),"Choice chưa chọn loại")))))))</f>
        <v/>
      </c>
    </row>
    <row r="329" spans="1:11">
      <c r="A329" s="13"/>
      <c r="B329" s="13"/>
      <c r="C329" s="5"/>
      <c r="D329" s="13"/>
      <c r="E329" s="13"/>
      <c r="F329" s="13"/>
      <c r="G329" s="13"/>
      <c r="H329" s="5"/>
      <c r="I329" s="5"/>
      <c r="J329" s="6" t="str">
        <f t="shared" si="5"/>
        <v/>
      </c>
      <c r="K329" s="6" t="str">
        <f>IF(A329="","",IF(COUNTIFS('02_KICH_BAN_NODES'!$B$5:$B$204,A329,'02_KICH_BAN_NODES'!$D$5:$D$204,"choice")=0,"ChoiceNodeId không tồn tại hoặc không phải choice",IF(COUNTIFS($A$5:$A$404,A329,$B$5:$B$404,B329)&gt;1,"Trùng OptionOrder trong cùng choice",IF(OR(B329="",C329="",D329="",F329="",H329=""),"Thiếu trường bắt buộc",IF(OR(COUNTIF($A$5:$A$404,A329)&lt;2,COUNTIF($A$5:$A$404,A329)&gt;4),"Mỗi choice cần 2–4 option",IF(COUNTIFS('02_KICH_BAN_NODES'!$B$5:$B$204,A329,'02_KICH_BAN_NODES'!$E$5:$E$204,"Kiến thức")=1,IF(COUNTIFS($A$5:$A$404,A329,$D$5:$D$404,"Có")&lt;&gt;1,"Choice kiến thức cần đúng 1 đáp án đúng",""),IF(COUNTIFS('02_KICH_BAN_NODES'!$B$5:$B$204,A329,'02_KICH_BAN_NODES'!$E$5:$E$204,"Tương tác")=1,IF(COUNTIFS($A$5:$A$404,A329,$D$5:$D$404,"Có")&lt;&gt;0,"Choice tương tác không được đánh dấu đáp án đúng",""),"Choice chưa chọn loại")))))))</f>
        <v/>
      </c>
    </row>
    <row r="330" spans="1:11">
      <c r="A330" s="13"/>
      <c r="B330" s="13"/>
      <c r="C330" s="5"/>
      <c r="D330" s="13"/>
      <c r="E330" s="13"/>
      <c r="F330" s="13"/>
      <c r="G330" s="13"/>
      <c r="H330" s="5"/>
      <c r="I330" s="5"/>
      <c r="J330" s="6" t="str">
        <f t="shared" si="5"/>
        <v/>
      </c>
      <c r="K330" s="6" t="str">
        <f>IF(A330="","",IF(COUNTIFS('02_KICH_BAN_NODES'!$B$5:$B$204,A330,'02_KICH_BAN_NODES'!$D$5:$D$204,"choice")=0,"ChoiceNodeId không tồn tại hoặc không phải choice",IF(COUNTIFS($A$5:$A$404,A330,$B$5:$B$404,B330)&gt;1,"Trùng OptionOrder trong cùng choice",IF(OR(B330="",C330="",D330="",F330="",H330=""),"Thiếu trường bắt buộc",IF(OR(COUNTIF($A$5:$A$404,A330)&lt;2,COUNTIF($A$5:$A$404,A330)&gt;4),"Mỗi choice cần 2–4 option",IF(COUNTIFS('02_KICH_BAN_NODES'!$B$5:$B$204,A330,'02_KICH_BAN_NODES'!$E$5:$E$204,"Kiến thức")=1,IF(COUNTIFS($A$5:$A$404,A330,$D$5:$D$404,"Có")&lt;&gt;1,"Choice kiến thức cần đúng 1 đáp án đúng",""),IF(COUNTIFS('02_KICH_BAN_NODES'!$B$5:$B$204,A330,'02_KICH_BAN_NODES'!$E$5:$E$204,"Tương tác")=1,IF(COUNTIFS($A$5:$A$404,A330,$D$5:$D$404,"Có")&lt;&gt;0,"Choice tương tác không được đánh dấu đáp án đúng",""),"Choice chưa chọn loại")))))))</f>
        <v/>
      </c>
    </row>
    <row r="331" spans="1:11">
      <c r="A331" s="13"/>
      <c r="B331" s="13"/>
      <c r="C331" s="5"/>
      <c r="D331" s="13"/>
      <c r="E331" s="13"/>
      <c r="F331" s="13"/>
      <c r="G331" s="13"/>
      <c r="H331" s="5"/>
      <c r="I331" s="5"/>
      <c r="J331" s="6" t="str">
        <f t="shared" si="5"/>
        <v/>
      </c>
      <c r="K331" s="6" t="str">
        <f>IF(A331="","",IF(COUNTIFS('02_KICH_BAN_NODES'!$B$5:$B$204,A331,'02_KICH_BAN_NODES'!$D$5:$D$204,"choice")=0,"ChoiceNodeId không tồn tại hoặc không phải choice",IF(COUNTIFS($A$5:$A$404,A331,$B$5:$B$404,B331)&gt;1,"Trùng OptionOrder trong cùng choice",IF(OR(B331="",C331="",D331="",F331="",H331=""),"Thiếu trường bắt buộc",IF(OR(COUNTIF($A$5:$A$404,A331)&lt;2,COUNTIF($A$5:$A$404,A331)&gt;4),"Mỗi choice cần 2–4 option",IF(COUNTIFS('02_KICH_BAN_NODES'!$B$5:$B$204,A331,'02_KICH_BAN_NODES'!$E$5:$E$204,"Kiến thức")=1,IF(COUNTIFS($A$5:$A$404,A331,$D$5:$D$404,"Có")&lt;&gt;1,"Choice kiến thức cần đúng 1 đáp án đúng",""),IF(COUNTIFS('02_KICH_BAN_NODES'!$B$5:$B$204,A331,'02_KICH_BAN_NODES'!$E$5:$E$204,"Tương tác")=1,IF(COUNTIFS($A$5:$A$404,A331,$D$5:$D$404,"Có")&lt;&gt;0,"Choice tương tác không được đánh dấu đáp án đúng",""),"Choice chưa chọn loại")))))))</f>
        <v/>
      </c>
    </row>
    <row r="332" spans="1:11">
      <c r="A332" s="13"/>
      <c r="B332" s="13"/>
      <c r="C332" s="5"/>
      <c r="D332" s="13"/>
      <c r="E332" s="13"/>
      <c r="F332" s="13"/>
      <c r="G332" s="13"/>
      <c r="H332" s="5"/>
      <c r="I332" s="5"/>
      <c r="J332" s="6" t="str">
        <f t="shared" si="5"/>
        <v/>
      </c>
      <c r="K332" s="6" t="str">
        <f>IF(A332="","",IF(COUNTIFS('02_KICH_BAN_NODES'!$B$5:$B$204,A332,'02_KICH_BAN_NODES'!$D$5:$D$204,"choice")=0,"ChoiceNodeId không tồn tại hoặc không phải choice",IF(COUNTIFS($A$5:$A$404,A332,$B$5:$B$404,B332)&gt;1,"Trùng OptionOrder trong cùng choice",IF(OR(B332="",C332="",D332="",F332="",H332=""),"Thiếu trường bắt buộc",IF(OR(COUNTIF($A$5:$A$404,A332)&lt;2,COUNTIF($A$5:$A$404,A332)&gt;4),"Mỗi choice cần 2–4 option",IF(COUNTIFS('02_KICH_BAN_NODES'!$B$5:$B$204,A332,'02_KICH_BAN_NODES'!$E$5:$E$204,"Kiến thức")=1,IF(COUNTIFS($A$5:$A$404,A332,$D$5:$D$404,"Có")&lt;&gt;1,"Choice kiến thức cần đúng 1 đáp án đúng",""),IF(COUNTIFS('02_KICH_BAN_NODES'!$B$5:$B$204,A332,'02_KICH_BAN_NODES'!$E$5:$E$204,"Tương tác")=1,IF(COUNTIFS($A$5:$A$404,A332,$D$5:$D$404,"Có")&lt;&gt;0,"Choice tương tác không được đánh dấu đáp án đúng",""),"Choice chưa chọn loại")))))))</f>
        <v/>
      </c>
    </row>
    <row r="333" spans="1:11">
      <c r="A333" s="13"/>
      <c r="B333" s="13"/>
      <c r="C333" s="5"/>
      <c r="D333" s="13"/>
      <c r="E333" s="13"/>
      <c r="F333" s="13"/>
      <c r="G333" s="13"/>
      <c r="H333" s="5"/>
      <c r="I333" s="5"/>
      <c r="J333" s="6" t="str">
        <f t="shared" si="5"/>
        <v/>
      </c>
      <c r="K333" s="6" t="str">
        <f>IF(A333="","",IF(COUNTIFS('02_KICH_BAN_NODES'!$B$5:$B$204,A333,'02_KICH_BAN_NODES'!$D$5:$D$204,"choice")=0,"ChoiceNodeId không tồn tại hoặc không phải choice",IF(COUNTIFS($A$5:$A$404,A333,$B$5:$B$404,B333)&gt;1,"Trùng OptionOrder trong cùng choice",IF(OR(B333="",C333="",D333="",F333="",H333=""),"Thiếu trường bắt buộc",IF(OR(COUNTIF($A$5:$A$404,A333)&lt;2,COUNTIF($A$5:$A$404,A333)&gt;4),"Mỗi choice cần 2–4 option",IF(COUNTIFS('02_KICH_BAN_NODES'!$B$5:$B$204,A333,'02_KICH_BAN_NODES'!$E$5:$E$204,"Kiến thức")=1,IF(COUNTIFS($A$5:$A$404,A333,$D$5:$D$404,"Có")&lt;&gt;1,"Choice kiến thức cần đúng 1 đáp án đúng",""),IF(COUNTIFS('02_KICH_BAN_NODES'!$B$5:$B$204,A333,'02_KICH_BAN_NODES'!$E$5:$E$204,"Tương tác")=1,IF(COUNTIFS($A$5:$A$404,A333,$D$5:$D$404,"Có")&lt;&gt;0,"Choice tương tác không được đánh dấu đáp án đúng",""),"Choice chưa chọn loại")))))))</f>
        <v/>
      </c>
    </row>
    <row r="334" spans="1:11">
      <c r="A334" s="13"/>
      <c r="B334" s="13"/>
      <c r="C334" s="5"/>
      <c r="D334" s="13"/>
      <c r="E334" s="13"/>
      <c r="F334" s="13"/>
      <c r="G334" s="13"/>
      <c r="H334" s="5"/>
      <c r="I334" s="5"/>
      <c r="J334" s="6" t="str">
        <f t="shared" si="5"/>
        <v/>
      </c>
      <c r="K334" s="6" t="str">
        <f>IF(A334="","",IF(COUNTIFS('02_KICH_BAN_NODES'!$B$5:$B$204,A334,'02_KICH_BAN_NODES'!$D$5:$D$204,"choice")=0,"ChoiceNodeId không tồn tại hoặc không phải choice",IF(COUNTIFS($A$5:$A$404,A334,$B$5:$B$404,B334)&gt;1,"Trùng OptionOrder trong cùng choice",IF(OR(B334="",C334="",D334="",F334="",H334=""),"Thiếu trường bắt buộc",IF(OR(COUNTIF($A$5:$A$404,A334)&lt;2,COUNTIF($A$5:$A$404,A334)&gt;4),"Mỗi choice cần 2–4 option",IF(COUNTIFS('02_KICH_BAN_NODES'!$B$5:$B$204,A334,'02_KICH_BAN_NODES'!$E$5:$E$204,"Kiến thức")=1,IF(COUNTIFS($A$5:$A$404,A334,$D$5:$D$404,"Có")&lt;&gt;1,"Choice kiến thức cần đúng 1 đáp án đúng",""),IF(COUNTIFS('02_KICH_BAN_NODES'!$B$5:$B$204,A334,'02_KICH_BAN_NODES'!$E$5:$E$204,"Tương tác")=1,IF(COUNTIFS($A$5:$A$404,A334,$D$5:$D$404,"Có")&lt;&gt;0,"Choice tương tác không được đánh dấu đáp án đúng",""),"Choice chưa chọn loại")))))))</f>
        <v/>
      </c>
    </row>
    <row r="335" spans="1:11">
      <c r="A335" s="13"/>
      <c r="B335" s="13"/>
      <c r="C335" s="5"/>
      <c r="D335" s="13"/>
      <c r="E335" s="13"/>
      <c r="F335" s="13"/>
      <c r="G335" s="13"/>
      <c r="H335" s="5"/>
      <c r="I335" s="5"/>
      <c r="J335" s="6" t="str">
        <f t="shared" si="5"/>
        <v/>
      </c>
      <c r="K335" s="6" t="str">
        <f>IF(A335="","",IF(COUNTIFS('02_KICH_BAN_NODES'!$B$5:$B$204,A335,'02_KICH_BAN_NODES'!$D$5:$D$204,"choice")=0,"ChoiceNodeId không tồn tại hoặc không phải choice",IF(COUNTIFS($A$5:$A$404,A335,$B$5:$B$404,B335)&gt;1,"Trùng OptionOrder trong cùng choice",IF(OR(B335="",C335="",D335="",F335="",H335=""),"Thiếu trường bắt buộc",IF(OR(COUNTIF($A$5:$A$404,A335)&lt;2,COUNTIF($A$5:$A$404,A335)&gt;4),"Mỗi choice cần 2–4 option",IF(COUNTIFS('02_KICH_BAN_NODES'!$B$5:$B$204,A335,'02_KICH_BAN_NODES'!$E$5:$E$204,"Kiến thức")=1,IF(COUNTIFS($A$5:$A$404,A335,$D$5:$D$404,"Có")&lt;&gt;1,"Choice kiến thức cần đúng 1 đáp án đúng",""),IF(COUNTIFS('02_KICH_BAN_NODES'!$B$5:$B$204,A335,'02_KICH_BAN_NODES'!$E$5:$E$204,"Tương tác")=1,IF(COUNTIFS($A$5:$A$404,A335,$D$5:$D$404,"Có")&lt;&gt;0,"Choice tương tác không được đánh dấu đáp án đúng",""),"Choice chưa chọn loại")))))))</f>
        <v/>
      </c>
    </row>
    <row r="336" spans="1:11">
      <c r="A336" s="13"/>
      <c r="B336" s="13"/>
      <c r="C336" s="5"/>
      <c r="D336" s="13"/>
      <c r="E336" s="13"/>
      <c r="F336" s="13"/>
      <c r="G336" s="13"/>
      <c r="H336" s="5"/>
      <c r="I336" s="5"/>
      <c r="J336" s="6" t="str">
        <f t="shared" si="5"/>
        <v/>
      </c>
      <c r="K336" s="6" t="str">
        <f>IF(A336="","",IF(COUNTIFS('02_KICH_BAN_NODES'!$B$5:$B$204,A336,'02_KICH_BAN_NODES'!$D$5:$D$204,"choice")=0,"ChoiceNodeId không tồn tại hoặc không phải choice",IF(COUNTIFS($A$5:$A$404,A336,$B$5:$B$404,B336)&gt;1,"Trùng OptionOrder trong cùng choice",IF(OR(B336="",C336="",D336="",F336="",H336=""),"Thiếu trường bắt buộc",IF(OR(COUNTIF($A$5:$A$404,A336)&lt;2,COUNTIF($A$5:$A$404,A336)&gt;4),"Mỗi choice cần 2–4 option",IF(COUNTIFS('02_KICH_BAN_NODES'!$B$5:$B$204,A336,'02_KICH_BAN_NODES'!$E$5:$E$204,"Kiến thức")=1,IF(COUNTIFS($A$5:$A$404,A336,$D$5:$D$404,"Có")&lt;&gt;1,"Choice kiến thức cần đúng 1 đáp án đúng",""),IF(COUNTIFS('02_KICH_BAN_NODES'!$B$5:$B$204,A336,'02_KICH_BAN_NODES'!$E$5:$E$204,"Tương tác")=1,IF(COUNTIFS($A$5:$A$404,A336,$D$5:$D$404,"Có")&lt;&gt;0,"Choice tương tác không được đánh dấu đáp án đúng",""),"Choice chưa chọn loại")))))))</f>
        <v/>
      </c>
    </row>
    <row r="337" spans="1:11">
      <c r="A337" s="13"/>
      <c r="B337" s="13"/>
      <c r="C337" s="5"/>
      <c r="D337" s="13"/>
      <c r="E337" s="13"/>
      <c r="F337" s="13"/>
      <c r="G337" s="13"/>
      <c r="H337" s="5"/>
      <c r="I337" s="5"/>
      <c r="J337" s="6" t="str">
        <f t="shared" si="5"/>
        <v/>
      </c>
      <c r="K337" s="6" t="str">
        <f>IF(A337="","",IF(COUNTIFS('02_KICH_BAN_NODES'!$B$5:$B$204,A337,'02_KICH_BAN_NODES'!$D$5:$D$204,"choice")=0,"ChoiceNodeId không tồn tại hoặc không phải choice",IF(COUNTIFS($A$5:$A$404,A337,$B$5:$B$404,B337)&gt;1,"Trùng OptionOrder trong cùng choice",IF(OR(B337="",C337="",D337="",F337="",H337=""),"Thiếu trường bắt buộc",IF(OR(COUNTIF($A$5:$A$404,A337)&lt;2,COUNTIF($A$5:$A$404,A337)&gt;4),"Mỗi choice cần 2–4 option",IF(COUNTIFS('02_KICH_BAN_NODES'!$B$5:$B$204,A337,'02_KICH_BAN_NODES'!$E$5:$E$204,"Kiến thức")=1,IF(COUNTIFS($A$5:$A$404,A337,$D$5:$D$404,"Có")&lt;&gt;1,"Choice kiến thức cần đúng 1 đáp án đúng",""),IF(COUNTIFS('02_KICH_BAN_NODES'!$B$5:$B$204,A337,'02_KICH_BAN_NODES'!$E$5:$E$204,"Tương tác")=1,IF(COUNTIFS($A$5:$A$404,A337,$D$5:$D$404,"Có")&lt;&gt;0,"Choice tương tác không được đánh dấu đáp án đúng",""),"Choice chưa chọn loại")))))))</f>
        <v/>
      </c>
    </row>
    <row r="338" spans="1:11">
      <c r="A338" s="13"/>
      <c r="B338" s="13"/>
      <c r="C338" s="5"/>
      <c r="D338" s="13"/>
      <c r="E338" s="13"/>
      <c r="F338" s="13"/>
      <c r="G338" s="13"/>
      <c r="H338" s="5"/>
      <c r="I338" s="5"/>
      <c r="J338" s="6" t="str">
        <f t="shared" si="5"/>
        <v/>
      </c>
      <c r="K338" s="6" t="str">
        <f>IF(A338="","",IF(COUNTIFS('02_KICH_BAN_NODES'!$B$5:$B$204,A338,'02_KICH_BAN_NODES'!$D$5:$D$204,"choice")=0,"ChoiceNodeId không tồn tại hoặc không phải choice",IF(COUNTIFS($A$5:$A$404,A338,$B$5:$B$404,B338)&gt;1,"Trùng OptionOrder trong cùng choice",IF(OR(B338="",C338="",D338="",F338="",H338=""),"Thiếu trường bắt buộc",IF(OR(COUNTIF($A$5:$A$404,A338)&lt;2,COUNTIF($A$5:$A$404,A338)&gt;4),"Mỗi choice cần 2–4 option",IF(COUNTIFS('02_KICH_BAN_NODES'!$B$5:$B$204,A338,'02_KICH_BAN_NODES'!$E$5:$E$204,"Kiến thức")=1,IF(COUNTIFS($A$5:$A$404,A338,$D$5:$D$404,"Có")&lt;&gt;1,"Choice kiến thức cần đúng 1 đáp án đúng",""),IF(COUNTIFS('02_KICH_BAN_NODES'!$B$5:$B$204,A338,'02_KICH_BAN_NODES'!$E$5:$E$204,"Tương tác")=1,IF(COUNTIFS($A$5:$A$404,A338,$D$5:$D$404,"Có")&lt;&gt;0,"Choice tương tác không được đánh dấu đáp án đúng",""),"Choice chưa chọn loại")))))))</f>
        <v/>
      </c>
    </row>
    <row r="339" spans="1:11">
      <c r="A339" s="13"/>
      <c r="B339" s="13"/>
      <c r="C339" s="5"/>
      <c r="D339" s="13"/>
      <c r="E339" s="13"/>
      <c r="F339" s="13"/>
      <c r="G339" s="13"/>
      <c r="H339" s="5"/>
      <c r="I339" s="5"/>
      <c r="J339" s="6" t="str">
        <f t="shared" si="5"/>
        <v/>
      </c>
      <c r="K339" s="6" t="str">
        <f>IF(A339="","",IF(COUNTIFS('02_KICH_BAN_NODES'!$B$5:$B$204,A339,'02_KICH_BAN_NODES'!$D$5:$D$204,"choice")=0,"ChoiceNodeId không tồn tại hoặc không phải choice",IF(COUNTIFS($A$5:$A$404,A339,$B$5:$B$404,B339)&gt;1,"Trùng OptionOrder trong cùng choice",IF(OR(B339="",C339="",D339="",F339="",H339=""),"Thiếu trường bắt buộc",IF(OR(COUNTIF($A$5:$A$404,A339)&lt;2,COUNTIF($A$5:$A$404,A339)&gt;4),"Mỗi choice cần 2–4 option",IF(COUNTIFS('02_KICH_BAN_NODES'!$B$5:$B$204,A339,'02_KICH_BAN_NODES'!$E$5:$E$204,"Kiến thức")=1,IF(COUNTIFS($A$5:$A$404,A339,$D$5:$D$404,"Có")&lt;&gt;1,"Choice kiến thức cần đúng 1 đáp án đúng",""),IF(COUNTIFS('02_KICH_BAN_NODES'!$B$5:$B$204,A339,'02_KICH_BAN_NODES'!$E$5:$E$204,"Tương tác")=1,IF(COUNTIFS($A$5:$A$404,A339,$D$5:$D$404,"Có")&lt;&gt;0,"Choice tương tác không được đánh dấu đáp án đúng",""),"Choice chưa chọn loại")))))))</f>
        <v/>
      </c>
    </row>
    <row r="340" spans="1:11">
      <c r="A340" s="13"/>
      <c r="B340" s="13"/>
      <c r="C340" s="5"/>
      <c r="D340" s="13"/>
      <c r="E340" s="13"/>
      <c r="F340" s="13"/>
      <c r="G340" s="13"/>
      <c r="H340" s="5"/>
      <c r="I340" s="5"/>
      <c r="J340" s="6" t="str">
        <f t="shared" si="5"/>
        <v/>
      </c>
      <c r="K340" s="6" t="str">
        <f>IF(A340="","",IF(COUNTIFS('02_KICH_BAN_NODES'!$B$5:$B$204,A340,'02_KICH_BAN_NODES'!$D$5:$D$204,"choice")=0,"ChoiceNodeId không tồn tại hoặc không phải choice",IF(COUNTIFS($A$5:$A$404,A340,$B$5:$B$404,B340)&gt;1,"Trùng OptionOrder trong cùng choice",IF(OR(B340="",C340="",D340="",F340="",H340=""),"Thiếu trường bắt buộc",IF(OR(COUNTIF($A$5:$A$404,A340)&lt;2,COUNTIF($A$5:$A$404,A340)&gt;4),"Mỗi choice cần 2–4 option",IF(COUNTIFS('02_KICH_BAN_NODES'!$B$5:$B$204,A340,'02_KICH_BAN_NODES'!$E$5:$E$204,"Kiến thức")=1,IF(COUNTIFS($A$5:$A$404,A340,$D$5:$D$404,"Có")&lt;&gt;1,"Choice kiến thức cần đúng 1 đáp án đúng",""),IF(COUNTIFS('02_KICH_BAN_NODES'!$B$5:$B$204,A340,'02_KICH_BAN_NODES'!$E$5:$E$204,"Tương tác")=1,IF(COUNTIFS($A$5:$A$404,A340,$D$5:$D$404,"Có")&lt;&gt;0,"Choice tương tác không được đánh dấu đáp án đúng",""),"Choice chưa chọn loại")))))))</f>
        <v/>
      </c>
    </row>
    <row r="341" spans="1:11">
      <c r="A341" s="13"/>
      <c r="B341" s="13"/>
      <c r="C341" s="5"/>
      <c r="D341" s="13"/>
      <c r="E341" s="13"/>
      <c r="F341" s="13"/>
      <c r="G341" s="13"/>
      <c r="H341" s="5"/>
      <c r="I341" s="5"/>
      <c r="J341" s="6" t="str">
        <f t="shared" si="5"/>
        <v/>
      </c>
      <c r="K341" s="6" t="str">
        <f>IF(A341="","",IF(COUNTIFS('02_KICH_BAN_NODES'!$B$5:$B$204,A341,'02_KICH_BAN_NODES'!$D$5:$D$204,"choice")=0,"ChoiceNodeId không tồn tại hoặc không phải choice",IF(COUNTIFS($A$5:$A$404,A341,$B$5:$B$404,B341)&gt;1,"Trùng OptionOrder trong cùng choice",IF(OR(B341="",C341="",D341="",F341="",H341=""),"Thiếu trường bắt buộc",IF(OR(COUNTIF($A$5:$A$404,A341)&lt;2,COUNTIF($A$5:$A$404,A341)&gt;4),"Mỗi choice cần 2–4 option",IF(COUNTIFS('02_KICH_BAN_NODES'!$B$5:$B$204,A341,'02_KICH_BAN_NODES'!$E$5:$E$204,"Kiến thức")=1,IF(COUNTIFS($A$5:$A$404,A341,$D$5:$D$404,"Có")&lt;&gt;1,"Choice kiến thức cần đúng 1 đáp án đúng",""),IF(COUNTIFS('02_KICH_BAN_NODES'!$B$5:$B$204,A341,'02_KICH_BAN_NODES'!$E$5:$E$204,"Tương tác")=1,IF(COUNTIFS($A$5:$A$404,A341,$D$5:$D$404,"Có")&lt;&gt;0,"Choice tương tác không được đánh dấu đáp án đúng",""),"Choice chưa chọn loại")))))))</f>
        <v/>
      </c>
    </row>
    <row r="342" spans="1:11">
      <c r="A342" s="13"/>
      <c r="B342" s="13"/>
      <c r="C342" s="5"/>
      <c r="D342" s="13"/>
      <c r="E342" s="13"/>
      <c r="F342" s="13"/>
      <c r="G342" s="13"/>
      <c r="H342" s="5"/>
      <c r="I342" s="5"/>
      <c r="J342" s="6" t="str">
        <f t="shared" si="5"/>
        <v/>
      </c>
      <c r="K342" s="6" t="str">
        <f>IF(A342="","",IF(COUNTIFS('02_KICH_BAN_NODES'!$B$5:$B$204,A342,'02_KICH_BAN_NODES'!$D$5:$D$204,"choice")=0,"ChoiceNodeId không tồn tại hoặc không phải choice",IF(COUNTIFS($A$5:$A$404,A342,$B$5:$B$404,B342)&gt;1,"Trùng OptionOrder trong cùng choice",IF(OR(B342="",C342="",D342="",F342="",H342=""),"Thiếu trường bắt buộc",IF(OR(COUNTIF($A$5:$A$404,A342)&lt;2,COUNTIF($A$5:$A$404,A342)&gt;4),"Mỗi choice cần 2–4 option",IF(COUNTIFS('02_KICH_BAN_NODES'!$B$5:$B$204,A342,'02_KICH_BAN_NODES'!$E$5:$E$204,"Kiến thức")=1,IF(COUNTIFS($A$5:$A$404,A342,$D$5:$D$404,"Có")&lt;&gt;1,"Choice kiến thức cần đúng 1 đáp án đúng",""),IF(COUNTIFS('02_KICH_BAN_NODES'!$B$5:$B$204,A342,'02_KICH_BAN_NODES'!$E$5:$E$204,"Tương tác")=1,IF(COUNTIFS($A$5:$A$404,A342,$D$5:$D$404,"Có")&lt;&gt;0,"Choice tương tác không được đánh dấu đáp án đúng",""),"Choice chưa chọn loại")))))))</f>
        <v/>
      </c>
    </row>
    <row r="343" spans="1:11">
      <c r="A343" s="13"/>
      <c r="B343" s="13"/>
      <c r="C343" s="5"/>
      <c r="D343" s="13"/>
      <c r="E343" s="13"/>
      <c r="F343" s="13"/>
      <c r="G343" s="13"/>
      <c r="H343" s="5"/>
      <c r="I343" s="5"/>
      <c r="J343" s="6" t="str">
        <f t="shared" si="5"/>
        <v/>
      </c>
      <c r="K343" s="6" t="str">
        <f>IF(A343="","",IF(COUNTIFS('02_KICH_BAN_NODES'!$B$5:$B$204,A343,'02_KICH_BAN_NODES'!$D$5:$D$204,"choice")=0,"ChoiceNodeId không tồn tại hoặc không phải choice",IF(COUNTIFS($A$5:$A$404,A343,$B$5:$B$404,B343)&gt;1,"Trùng OptionOrder trong cùng choice",IF(OR(B343="",C343="",D343="",F343="",H343=""),"Thiếu trường bắt buộc",IF(OR(COUNTIF($A$5:$A$404,A343)&lt;2,COUNTIF($A$5:$A$404,A343)&gt;4),"Mỗi choice cần 2–4 option",IF(COUNTIFS('02_KICH_BAN_NODES'!$B$5:$B$204,A343,'02_KICH_BAN_NODES'!$E$5:$E$204,"Kiến thức")=1,IF(COUNTIFS($A$5:$A$404,A343,$D$5:$D$404,"Có")&lt;&gt;1,"Choice kiến thức cần đúng 1 đáp án đúng",""),IF(COUNTIFS('02_KICH_BAN_NODES'!$B$5:$B$204,A343,'02_KICH_BAN_NODES'!$E$5:$E$204,"Tương tác")=1,IF(COUNTIFS($A$5:$A$404,A343,$D$5:$D$404,"Có")&lt;&gt;0,"Choice tương tác không được đánh dấu đáp án đúng",""),"Choice chưa chọn loại")))))))</f>
        <v/>
      </c>
    </row>
    <row r="344" spans="1:11">
      <c r="A344" s="13"/>
      <c r="B344" s="13"/>
      <c r="C344" s="5"/>
      <c r="D344" s="13"/>
      <c r="E344" s="13"/>
      <c r="F344" s="13"/>
      <c r="G344" s="13"/>
      <c r="H344" s="5"/>
      <c r="I344" s="5"/>
      <c r="J344" s="6" t="str">
        <f t="shared" si="5"/>
        <v/>
      </c>
      <c r="K344" s="6" t="str">
        <f>IF(A344="","",IF(COUNTIFS('02_KICH_BAN_NODES'!$B$5:$B$204,A344,'02_KICH_BAN_NODES'!$D$5:$D$204,"choice")=0,"ChoiceNodeId không tồn tại hoặc không phải choice",IF(COUNTIFS($A$5:$A$404,A344,$B$5:$B$404,B344)&gt;1,"Trùng OptionOrder trong cùng choice",IF(OR(B344="",C344="",D344="",F344="",H344=""),"Thiếu trường bắt buộc",IF(OR(COUNTIF($A$5:$A$404,A344)&lt;2,COUNTIF($A$5:$A$404,A344)&gt;4),"Mỗi choice cần 2–4 option",IF(COUNTIFS('02_KICH_BAN_NODES'!$B$5:$B$204,A344,'02_KICH_BAN_NODES'!$E$5:$E$204,"Kiến thức")=1,IF(COUNTIFS($A$5:$A$404,A344,$D$5:$D$404,"Có")&lt;&gt;1,"Choice kiến thức cần đúng 1 đáp án đúng",""),IF(COUNTIFS('02_KICH_BAN_NODES'!$B$5:$B$204,A344,'02_KICH_BAN_NODES'!$E$5:$E$204,"Tương tác")=1,IF(COUNTIFS($A$5:$A$404,A344,$D$5:$D$404,"Có")&lt;&gt;0,"Choice tương tác không được đánh dấu đáp án đúng",""),"Choice chưa chọn loại")))))))</f>
        <v/>
      </c>
    </row>
    <row r="345" spans="1:11">
      <c r="A345" s="13"/>
      <c r="B345" s="13"/>
      <c r="C345" s="5"/>
      <c r="D345" s="13"/>
      <c r="E345" s="13"/>
      <c r="F345" s="13"/>
      <c r="G345" s="13"/>
      <c r="H345" s="5"/>
      <c r="I345" s="5"/>
      <c r="J345" s="6" t="str">
        <f t="shared" si="5"/>
        <v/>
      </c>
      <c r="K345" s="6" t="str">
        <f>IF(A345="","",IF(COUNTIFS('02_KICH_BAN_NODES'!$B$5:$B$204,A345,'02_KICH_BAN_NODES'!$D$5:$D$204,"choice")=0,"ChoiceNodeId không tồn tại hoặc không phải choice",IF(COUNTIFS($A$5:$A$404,A345,$B$5:$B$404,B345)&gt;1,"Trùng OptionOrder trong cùng choice",IF(OR(B345="",C345="",D345="",F345="",H345=""),"Thiếu trường bắt buộc",IF(OR(COUNTIF($A$5:$A$404,A345)&lt;2,COUNTIF($A$5:$A$404,A345)&gt;4),"Mỗi choice cần 2–4 option",IF(COUNTIFS('02_KICH_BAN_NODES'!$B$5:$B$204,A345,'02_KICH_BAN_NODES'!$E$5:$E$204,"Kiến thức")=1,IF(COUNTIFS($A$5:$A$404,A345,$D$5:$D$404,"Có")&lt;&gt;1,"Choice kiến thức cần đúng 1 đáp án đúng",""),IF(COUNTIFS('02_KICH_BAN_NODES'!$B$5:$B$204,A345,'02_KICH_BAN_NODES'!$E$5:$E$204,"Tương tác")=1,IF(COUNTIFS($A$5:$A$404,A345,$D$5:$D$404,"Có")&lt;&gt;0,"Choice tương tác không được đánh dấu đáp án đúng",""),"Choice chưa chọn loại")))))))</f>
        <v/>
      </c>
    </row>
    <row r="346" spans="1:11">
      <c r="A346" s="13"/>
      <c r="B346" s="13"/>
      <c r="C346" s="5"/>
      <c r="D346" s="13"/>
      <c r="E346" s="13"/>
      <c r="F346" s="13"/>
      <c r="G346" s="13"/>
      <c r="H346" s="5"/>
      <c r="I346" s="5"/>
      <c r="J346" s="6" t="str">
        <f t="shared" si="5"/>
        <v/>
      </c>
      <c r="K346" s="6" t="str">
        <f>IF(A346="","",IF(COUNTIFS('02_KICH_BAN_NODES'!$B$5:$B$204,A346,'02_KICH_BAN_NODES'!$D$5:$D$204,"choice")=0,"ChoiceNodeId không tồn tại hoặc không phải choice",IF(COUNTIFS($A$5:$A$404,A346,$B$5:$B$404,B346)&gt;1,"Trùng OptionOrder trong cùng choice",IF(OR(B346="",C346="",D346="",F346="",H346=""),"Thiếu trường bắt buộc",IF(OR(COUNTIF($A$5:$A$404,A346)&lt;2,COUNTIF($A$5:$A$404,A346)&gt;4),"Mỗi choice cần 2–4 option",IF(COUNTIFS('02_KICH_BAN_NODES'!$B$5:$B$204,A346,'02_KICH_BAN_NODES'!$E$5:$E$204,"Kiến thức")=1,IF(COUNTIFS($A$5:$A$404,A346,$D$5:$D$404,"Có")&lt;&gt;1,"Choice kiến thức cần đúng 1 đáp án đúng",""),IF(COUNTIFS('02_KICH_BAN_NODES'!$B$5:$B$204,A346,'02_KICH_BAN_NODES'!$E$5:$E$204,"Tương tác")=1,IF(COUNTIFS($A$5:$A$404,A346,$D$5:$D$404,"Có")&lt;&gt;0,"Choice tương tác không được đánh dấu đáp án đúng",""),"Choice chưa chọn loại")))))))</f>
        <v/>
      </c>
    </row>
    <row r="347" spans="1:11">
      <c r="A347" s="13"/>
      <c r="B347" s="13"/>
      <c r="C347" s="5"/>
      <c r="D347" s="13"/>
      <c r="E347" s="13"/>
      <c r="F347" s="13"/>
      <c r="G347" s="13"/>
      <c r="H347" s="5"/>
      <c r="I347" s="5"/>
      <c r="J347" s="6" t="str">
        <f t="shared" si="5"/>
        <v/>
      </c>
      <c r="K347" s="6" t="str">
        <f>IF(A347="","",IF(COUNTIFS('02_KICH_BAN_NODES'!$B$5:$B$204,A347,'02_KICH_BAN_NODES'!$D$5:$D$204,"choice")=0,"ChoiceNodeId không tồn tại hoặc không phải choice",IF(COUNTIFS($A$5:$A$404,A347,$B$5:$B$404,B347)&gt;1,"Trùng OptionOrder trong cùng choice",IF(OR(B347="",C347="",D347="",F347="",H347=""),"Thiếu trường bắt buộc",IF(OR(COUNTIF($A$5:$A$404,A347)&lt;2,COUNTIF($A$5:$A$404,A347)&gt;4),"Mỗi choice cần 2–4 option",IF(COUNTIFS('02_KICH_BAN_NODES'!$B$5:$B$204,A347,'02_KICH_BAN_NODES'!$E$5:$E$204,"Kiến thức")=1,IF(COUNTIFS($A$5:$A$404,A347,$D$5:$D$404,"Có")&lt;&gt;1,"Choice kiến thức cần đúng 1 đáp án đúng",""),IF(COUNTIFS('02_KICH_BAN_NODES'!$B$5:$B$204,A347,'02_KICH_BAN_NODES'!$E$5:$E$204,"Tương tác")=1,IF(COUNTIFS($A$5:$A$404,A347,$D$5:$D$404,"Có")&lt;&gt;0,"Choice tương tác không được đánh dấu đáp án đúng",""),"Choice chưa chọn loại")))))))</f>
        <v/>
      </c>
    </row>
    <row r="348" spans="1:11">
      <c r="A348" s="13"/>
      <c r="B348" s="13"/>
      <c r="C348" s="5"/>
      <c r="D348" s="13"/>
      <c r="E348" s="13"/>
      <c r="F348" s="13"/>
      <c r="G348" s="13"/>
      <c r="H348" s="5"/>
      <c r="I348" s="5"/>
      <c r="J348" s="6" t="str">
        <f t="shared" si="5"/>
        <v/>
      </c>
      <c r="K348" s="6" t="str">
        <f>IF(A348="","",IF(COUNTIFS('02_KICH_BAN_NODES'!$B$5:$B$204,A348,'02_KICH_BAN_NODES'!$D$5:$D$204,"choice")=0,"ChoiceNodeId không tồn tại hoặc không phải choice",IF(COUNTIFS($A$5:$A$404,A348,$B$5:$B$404,B348)&gt;1,"Trùng OptionOrder trong cùng choice",IF(OR(B348="",C348="",D348="",F348="",H348=""),"Thiếu trường bắt buộc",IF(OR(COUNTIF($A$5:$A$404,A348)&lt;2,COUNTIF($A$5:$A$404,A348)&gt;4),"Mỗi choice cần 2–4 option",IF(COUNTIFS('02_KICH_BAN_NODES'!$B$5:$B$204,A348,'02_KICH_BAN_NODES'!$E$5:$E$204,"Kiến thức")=1,IF(COUNTIFS($A$5:$A$404,A348,$D$5:$D$404,"Có")&lt;&gt;1,"Choice kiến thức cần đúng 1 đáp án đúng",""),IF(COUNTIFS('02_KICH_BAN_NODES'!$B$5:$B$204,A348,'02_KICH_BAN_NODES'!$E$5:$E$204,"Tương tác")=1,IF(COUNTIFS($A$5:$A$404,A348,$D$5:$D$404,"Có")&lt;&gt;0,"Choice tương tác không được đánh dấu đáp án đúng",""),"Choice chưa chọn loại")))))))</f>
        <v/>
      </c>
    </row>
    <row r="349" spans="1:11">
      <c r="A349" s="13"/>
      <c r="B349" s="13"/>
      <c r="C349" s="5"/>
      <c r="D349" s="13"/>
      <c r="E349" s="13"/>
      <c r="F349" s="13"/>
      <c r="G349" s="13"/>
      <c r="H349" s="5"/>
      <c r="I349" s="5"/>
      <c r="J349" s="6" t="str">
        <f t="shared" si="5"/>
        <v/>
      </c>
      <c r="K349" s="6" t="str">
        <f>IF(A349="","",IF(COUNTIFS('02_KICH_BAN_NODES'!$B$5:$B$204,A349,'02_KICH_BAN_NODES'!$D$5:$D$204,"choice")=0,"ChoiceNodeId không tồn tại hoặc không phải choice",IF(COUNTIFS($A$5:$A$404,A349,$B$5:$B$404,B349)&gt;1,"Trùng OptionOrder trong cùng choice",IF(OR(B349="",C349="",D349="",F349="",H349=""),"Thiếu trường bắt buộc",IF(OR(COUNTIF($A$5:$A$404,A349)&lt;2,COUNTIF($A$5:$A$404,A349)&gt;4),"Mỗi choice cần 2–4 option",IF(COUNTIFS('02_KICH_BAN_NODES'!$B$5:$B$204,A349,'02_KICH_BAN_NODES'!$E$5:$E$204,"Kiến thức")=1,IF(COUNTIFS($A$5:$A$404,A349,$D$5:$D$404,"Có")&lt;&gt;1,"Choice kiến thức cần đúng 1 đáp án đúng",""),IF(COUNTIFS('02_KICH_BAN_NODES'!$B$5:$B$204,A349,'02_KICH_BAN_NODES'!$E$5:$E$204,"Tương tác")=1,IF(COUNTIFS($A$5:$A$404,A349,$D$5:$D$404,"Có")&lt;&gt;0,"Choice tương tác không được đánh dấu đáp án đúng",""),"Choice chưa chọn loại")))))))</f>
        <v/>
      </c>
    </row>
    <row r="350" spans="1:11">
      <c r="A350" s="13"/>
      <c r="B350" s="13"/>
      <c r="C350" s="5"/>
      <c r="D350" s="13"/>
      <c r="E350" s="13"/>
      <c r="F350" s="13"/>
      <c r="G350" s="13"/>
      <c r="H350" s="5"/>
      <c r="I350" s="5"/>
      <c r="J350" s="6" t="str">
        <f t="shared" si="5"/>
        <v/>
      </c>
      <c r="K350" s="6" t="str">
        <f>IF(A350="","",IF(COUNTIFS('02_KICH_BAN_NODES'!$B$5:$B$204,A350,'02_KICH_BAN_NODES'!$D$5:$D$204,"choice")=0,"ChoiceNodeId không tồn tại hoặc không phải choice",IF(COUNTIFS($A$5:$A$404,A350,$B$5:$B$404,B350)&gt;1,"Trùng OptionOrder trong cùng choice",IF(OR(B350="",C350="",D350="",F350="",H350=""),"Thiếu trường bắt buộc",IF(OR(COUNTIF($A$5:$A$404,A350)&lt;2,COUNTIF($A$5:$A$404,A350)&gt;4),"Mỗi choice cần 2–4 option",IF(COUNTIFS('02_KICH_BAN_NODES'!$B$5:$B$204,A350,'02_KICH_BAN_NODES'!$E$5:$E$204,"Kiến thức")=1,IF(COUNTIFS($A$5:$A$404,A350,$D$5:$D$404,"Có")&lt;&gt;1,"Choice kiến thức cần đúng 1 đáp án đúng",""),IF(COUNTIFS('02_KICH_BAN_NODES'!$B$5:$B$204,A350,'02_KICH_BAN_NODES'!$E$5:$E$204,"Tương tác")=1,IF(COUNTIFS($A$5:$A$404,A350,$D$5:$D$404,"Có")&lt;&gt;0,"Choice tương tác không được đánh dấu đáp án đúng",""),"Choice chưa chọn loại")))))))</f>
        <v/>
      </c>
    </row>
    <row r="351" spans="1:11">
      <c r="A351" s="13"/>
      <c r="B351" s="13"/>
      <c r="C351" s="5"/>
      <c r="D351" s="13"/>
      <c r="E351" s="13"/>
      <c r="F351" s="13"/>
      <c r="G351" s="13"/>
      <c r="H351" s="5"/>
      <c r="I351" s="5"/>
      <c r="J351" s="6" t="str">
        <f t="shared" si="5"/>
        <v/>
      </c>
      <c r="K351" s="6" t="str">
        <f>IF(A351="","",IF(COUNTIFS('02_KICH_BAN_NODES'!$B$5:$B$204,A351,'02_KICH_BAN_NODES'!$D$5:$D$204,"choice")=0,"ChoiceNodeId không tồn tại hoặc không phải choice",IF(COUNTIFS($A$5:$A$404,A351,$B$5:$B$404,B351)&gt;1,"Trùng OptionOrder trong cùng choice",IF(OR(B351="",C351="",D351="",F351="",H351=""),"Thiếu trường bắt buộc",IF(OR(COUNTIF($A$5:$A$404,A351)&lt;2,COUNTIF($A$5:$A$404,A351)&gt;4),"Mỗi choice cần 2–4 option",IF(COUNTIFS('02_KICH_BAN_NODES'!$B$5:$B$204,A351,'02_KICH_BAN_NODES'!$E$5:$E$204,"Kiến thức")=1,IF(COUNTIFS($A$5:$A$404,A351,$D$5:$D$404,"Có")&lt;&gt;1,"Choice kiến thức cần đúng 1 đáp án đúng",""),IF(COUNTIFS('02_KICH_BAN_NODES'!$B$5:$B$204,A351,'02_KICH_BAN_NODES'!$E$5:$E$204,"Tương tác")=1,IF(COUNTIFS($A$5:$A$404,A351,$D$5:$D$404,"Có")&lt;&gt;0,"Choice tương tác không được đánh dấu đáp án đúng",""),"Choice chưa chọn loại")))))))</f>
        <v/>
      </c>
    </row>
    <row r="352" spans="1:11">
      <c r="A352" s="13"/>
      <c r="B352" s="13"/>
      <c r="C352" s="5"/>
      <c r="D352" s="13"/>
      <c r="E352" s="13"/>
      <c r="F352" s="13"/>
      <c r="G352" s="13"/>
      <c r="H352" s="5"/>
      <c r="I352" s="5"/>
      <c r="J352" s="6" t="str">
        <f t="shared" si="5"/>
        <v/>
      </c>
      <c r="K352" s="6" t="str">
        <f>IF(A352="","",IF(COUNTIFS('02_KICH_BAN_NODES'!$B$5:$B$204,A352,'02_KICH_BAN_NODES'!$D$5:$D$204,"choice")=0,"ChoiceNodeId không tồn tại hoặc không phải choice",IF(COUNTIFS($A$5:$A$404,A352,$B$5:$B$404,B352)&gt;1,"Trùng OptionOrder trong cùng choice",IF(OR(B352="",C352="",D352="",F352="",H352=""),"Thiếu trường bắt buộc",IF(OR(COUNTIF($A$5:$A$404,A352)&lt;2,COUNTIF($A$5:$A$404,A352)&gt;4),"Mỗi choice cần 2–4 option",IF(COUNTIFS('02_KICH_BAN_NODES'!$B$5:$B$204,A352,'02_KICH_BAN_NODES'!$E$5:$E$204,"Kiến thức")=1,IF(COUNTIFS($A$5:$A$404,A352,$D$5:$D$404,"Có")&lt;&gt;1,"Choice kiến thức cần đúng 1 đáp án đúng",""),IF(COUNTIFS('02_KICH_BAN_NODES'!$B$5:$B$204,A352,'02_KICH_BAN_NODES'!$E$5:$E$204,"Tương tác")=1,IF(COUNTIFS($A$5:$A$404,A352,$D$5:$D$404,"Có")&lt;&gt;0,"Choice tương tác không được đánh dấu đáp án đúng",""),"Choice chưa chọn loại")))))))</f>
        <v/>
      </c>
    </row>
    <row r="353" spans="1:11">
      <c r="A353" s="13"/>
      <c r="B353" s="13"/>
      <c r="C353" s="5"/>
      <c r="D353" s="13"/>
      <c r="E353" s="13"/>
      <c r="F353" s="13"/>
      <c r="G353" s="13"/>
      <c r="H353" s="5"/>
      <c r="I353" s="5"/>
      <c r="J353" s="6" t="str">
        <f t="shared" si="5"/>
        <v/>
      </c>
      <c r="K353" s="6" t="str">
        <f>IF(A353="","",IF(COUNTIFS('02_KICH_BAN_NODES'!$B$5:$B$204,A353,'02_KICH_BAN_NODES'!$D$5:$D$204,"choice")=0,"ChoiceNodeId không tồn tại hoặc không phải choice",IF(COUNTIFS($A$5:$A$404,A353,$B$5:$B$404,B353)&gt;1,"Trùng OptionOrder trong cùng choice",IF(OR(B353="",C353="",D353="",F353="",H353=""),"Thiếu trường bắt buộc",IF(OR(COUNTIF($A$5:$A$404,A353)&lt;2,COUNTIF($A$5:$A$404,A353)&gt;4),"Mỗi choice cần 2–4 option",IF(COUNTIFS('02_KICH_BAN_NODES'!$B$5:$B$204,A353,'02_KICH_BAN_NODES'!$E$5:$E$204,"Kiến thức")=1,IF(COUNTIFS($A$5:$A$404,A353,$D$5:$D$404,"Có")&lt;&gt;1,"Choice kiến thức cần đúng 1 đáp án đúng",""),IF(COUNTIFS('02_KICH_BAN_NODES'!$B$5:$B$204,A353,'02_KICH_BAN_NODES'!$E$5:$E$204,"Tương tác")=1,IF(COUNTIFS($A$5:$A$404,A353,$D$5:$D$404,"Có")&lt;&gt;0,"Choice tương tác không được đánh dấu đáp án đúng",""),"Choice chưa chọn loại")))))))</f>
        <v/>
      </c>
    </row>
    <row r="354" spans="1:11">
      <c r="A354" s="13"/>
      <c r="B354" s="13"/>
      <c r="C354" s="5"/>
      <c r="D354" s="13"/>
      <c r="E354" s="13"/>
      <c r="F354" s="13"/>
      <c r="G354" s="13"/>
      <c r="H354" s="5"/>
      <c r="I354" s="5"/>
      <c r="J354" s="6" t="str">
        <f t="shared" si="5"/>
        <v/>
      </c>
      <c r="K354" s="6" t="str">
        <f>IF(A354="","",IF(COUNTIFS('02_KICH_BAN_NODES'!$B$5:$B$204,A354,'02_KICH_BAN_NODES'!$D$5:$D$204,"choice")=0,"ChoiceNodeId không tồn tại hoặc không phải choice",IF(COUNTIFS($A$5:$A$404,A354,$B$5:$B$404,B354)&gt;1,"Trùng OptionOrder trong cùng choice",IF(OR(B354="",C354="",D354="",F354="",H354=""),"Thiếu trường bắt buộc",IF(OR(COUNTIF($A$5:$A$404,A354)&lt;2,COUNTIF($A$5:$A$404,A354)&gt;4),"Mỗi choice cần 2–4 option",IF(COUNTIFS('02_KICH_BAN_NODES'!$B$5:$B$204,A354,'02_KICH_BAN_NODES'!$E$5:$E$204,"Kiến thức")=1,IF(COUNTIFS($A$5:$A$404,A354,$D$5:$D$404,"Có")&lt;&gt;1,"Choice kiến thức cần đúng 1 đáp án đúng",""),IF(COUNTIFS('02_KICH_BAN_NODES'!$B$5:$B$204,A354,'02_KICH_BAN_NODES'!$E$5:$E$204,"Tương tác")=1,IF(COUNTIFS($A$5:$A$404,A354,$D$5:$D$404,"Có")&lt;&gt;0,"Choice tương tác không được đánh dấu đáp án đúng",""),"Choice chưa chọn loại")))))))</f>
        <v/>
      </c>
    </row>
    <row r="355" spans="1:11">
      <c r="A355" s="13"/>
      <c r="B355" s="13"/>
      <c r="C355" s="5"/>
      <c r="D355" s="13"/>
      <c r="E355" s="13"/>
      <c r="F355" s="13"/>
      <c r="G355" s="13"/>
      <c r="H355" s="5"/>
      <c r="I355" s="5"/>
      <c r="J355" s="6" t="str">
        <f t="shared" si="5"/>
        <v/>
      </c>
      <c r="K355" s="6" t="str">
        <f>IF(A355="","",IF(COUNTIFS('02_KICH_BAN_NODES'!$B$5:$B$204,A355,'02_KICH_BAN_NODES'!$D$5:$D$204,"choice")=0,"ChoiceNodeId không tồn tại hoặc không phải choice",IF(COUNTIFS($A$5:$A$404,A355,$B$5:$B$404,B355)&gt;1,"Trùng OptionOrder trong cùng choice",IF(OR(B355="",C355="",D355="",F355="",H355=""),"Thiếu trường bắt buộc",IF(OR(COUNTIF($A$5:$A$404,A355)&lt;2,COUNTIF($A$5:$A$404,A355)&gt;4),"Mỗi choice cần 2–4 option",IF(COUNTIFS('02_KICH_BAN_NODES'!$B$5:$B$204,A355,'02_KICH_BAN_NODES'!$E$5:$E$204,"Kiến thức")=1,IF(COUNTIFS($A$5:$A$404,A355,$D$5:$D$404,"Có")&lt;&gt;1,"Choice kiến thức cần đúng 1 đáp án đúng",""),IF(COUNTIFS('02_KICH_BAN_NODES'!$B$5:$B$204,A355,'02_KICH_BAN_NODES'!$E$5:$E$204,"Tương tác")=1,IF(COUNTIFS($A$5:$A$404,A355,$D$5:$D$404,"Có")&lt;&gt;0,"Choice tương tác không được đánh dấu đáp án đúng",""),"Choice chưa chọn loại")))))))</f>
        <v/>
      </c>
    </row>
    <row r="356" spans="1:11">
      <c r="A356" s="13"/>
      <c r="B356" s="13"/>
      <c r="C356" s="5"/>
      <c r="D356" s="13"/>
      <c r="E356" s="13"/>
      <c r="F356" s="13"/>
      <c r="G356" s="13"/>
      <c r="H356" s="5"/>
      <c r="I356" s="5"/>
      <c r="J356" s="6" t="str">
        <f t="shared" si="5"/>
        <v/>
      </c>
      <c r="K356" s="6" t="str">
        <f>IF(A356="","",IF(COUNTIFS('02_KICH_BAN_NODES'!$B$5:$B$204,A356,'02_KICH_BAN_NODES'!$D$5:$D$204,"choice")=0,"ChoiceNodeId không tồn tại hoặc không phải choice",IF(COUNTIFS($A$5:$A$404,A356,$B$5:$B$404,B356)&gt;1,"Trùng OptionOrder trong cùng choice",IF(OR(B356="",C356="",D356="",F356="",H356=""),"Thiếu trường bắt buộc",IF(OR(COUNTIF($A$5:$A$404,A356)&lt;2,COUNTIF($A$5:$A$404,A356)&gt;4),"Mỗi choice cần 2–4 option",IF(COUNTIFS('02_KICH_BAN_NODES'!$B$5:$B$204,A356,'02_KICH_BAN_NODES'!$E$5:$E$204,"Kiến thức")=1,IF(COUNTIFS($A$5:$A$404,A356,$D$5:$D$404,"Có")&lt;&gt;1,"Choice kiến thức cần đúng 1 đáp án đúng",""),IF(COUNTIFS('02_KICH_BAN_NODES'!$B$5:$B$204,A356,'02_KICH_BAN_NODES'!$E$5:$E$204,"Tương tác")=1,IF(COUNTIFS($A$5:$A$404,A356,$D$5:$D$404,"Có")&lt;&gt;0,"Choice tương tác không được đánh dấu đáp án đúng",""),"Choice chưa chọn loại")))))))</f>
        <v/>
      </c>
    </row>
    <row r="357" spans="1:11">
      <c r="A357" s="13"/>
      <c r="B357" s="13"/>
      <c r="C357" s="5"/>
      <c r="D357" s="13"/>
      <c r="E357" s="13"/>
      <c r="F357" s="13"/>
      <c r="G357" s="13"/>
      <c r="H357" s="5"/>
      <c r="I357" s="5"/>
      <c r="J357" s="6" t="str">
        <f t="shared" si="5"/>
        <v/>
      </c>
      <c r="K357" s="6" t="str">
        <f>IF(A357="","",IF(COUNTIFS('02_KICH_BAN_NODES'!$B$5:$B$204,A357,'02_KICH_BAN_NODES'!$D$5:$D$204,"choice")=0,"ChoiceNodeId không tồn tại hoặc không phải choice",IF(COUNTIFS($A$5:$A$404,A357,$B$5:$B$404,B357)&gt;1,"Trùng OptionOrder trong cùng choice",IF(OR(B357="",C357="",D357="",F357="",H357=""),"Thiếu trường bắt buộc",IF(OR(COUNTIF($A$5:$A$404,A357)&lt;2,COUNTIF($A$5:$A$404,A357)&gt;4),"Mỗi choice cần 2–4 option",IF(COUNTIFS('02_KICH_BAN_NODES'!$B$5:$B$204,A357,'02_KICH_BAN_NODES'!$E$5:$E$204,"Kiến thức")=1,IF(COUNTIFS($A$5:$A$404,A357,$D$5:$D$404,"Có")&lt;&gt;1,"Choice kiến thức cần đúng 1 đáp án đúng",""),IF(COUNTIFS('02_KICH_BAN_NODES'!$B$5:$B$204,A357,'02_KICH_BAN_NODES'!$E$5:$E$204,"Tương tác")=1,IF(COUNTIFS($A$5:$A$404,A357,$D$5:$D$404,"Có")&lt;&gt;0,"Choice tương tác không được đánh dấu đáp án đúng",""),"Choice chưa chọn loại")))))))</f>
        <v/>
      </c>
    </row>
    <row r="358" spans="1:11">
      <c r="A358" s="13"/>
      <c r="B358" s="13"/>
      <c r="C358" s="5"/>
      <c r="D358" s="13"/>
      <c r="E358" s="13"/>
      <c r="F358" s="13"/>
      <c r="G358" s="13"/>
      <c r="H358" s="5"/>
      <c r="I358" s="5"/>
      <c r="J358" s="6" t="str">
        <f t="shared" si="5"/>
        <v/>
      </c>
      <c r="K358" s="6" t="str">
        <f>IF(A358="","",IF(COUNTIFS('02_KICH_BAN_NODES'!$B$5:$B$204,A358,'02_KICH_BAN_NODES'!$D$5:$D$204,"choice")=0,"ChoiceNodeId không tồn tại hoặc không phải choice",IF(COUNTIFS($A$5:$A$404,A358,$B$5:$B$404,B358)&gt;1,"Trùng OptionOrder trong cùng choice",IF(OR(B358="",C358="",D358="",F358="",H358=""),"Thiếu trường bắt buộc",IF(OR(COUNTIF($A$5:$A$404,A358)&lt;2,COUNTIF($A$5:$A$404,A358)&gt;4),"Mỗi choice cần 2–4 option",IF(COUNTIFS('02_KICH_BAN_NODES'!$B$5:$B$204,A358,'02_KICH_BAN_NODES'!$E$5:$E$204,"Kiến thức")=1,IF(COUNTIFS($A$5:$A$404,A358,$D$5:$D$404,"Có")&lt;&gt;1,"Choice kiến thức cần đúng 1 đáp án đúng",""),IF(COUNTIFS('02_KICH_BAN_NODES'!$B$5:$B$204,A358,'02_KICH_BAN_NODES'!$E$5:$E$204,"Tương tác")=1,IF(COUNTIFS($A$5:$A$404,A358,$D$5:$D$404,"Có")&lt;&gt;0,"Choice tương tác không được đánh dấu đáp án đúng",""),"Choice chưa chọn loại")))))))</f>
        <v/>
      </c>
    </row>
    <row r="359" spans="1:11">
      <c r="A359" s="13"/>
      <c r="B359" s="13"/>
      <c r="C359" s="5"/>
      <c r="D359" s="13"/>
      <c r="E359" s="13"/>
      <c r="F359" s="13"/>
      <c r="G359" s="13"/>
      <c r="H359" s="5"/>
      <c r="I359" s="5"/>
      <c r="J359" s="6" t="str">
        <f t="shared" si="5"/>
        <v/>
      </c>
      <c r="K359" s="6" t="str">
        <f>IF(A359="","",IF(COUNTIFS('02_KICH_BAN_NODES'!$B$5:$B$204,A359,'02_KICH_BAN_NODES'!$D$5:$D$204,"choice")=0,"ChoiceNodeId không tồn tại hoặc không phải choice",IF(COUNTIFS($A$5:$A$404,A359,$B$5:$B$404,B359)&gt;1,"Trùng OptionOrder trong cùng choice",IF(OR(B359="",C359="",D359="",F359="",H359=""),"Thiếu trường bắt buộc",IF(OR(COUNTIF($A$5:$A$404,A359)&lt;2,COUNTIF($A$5:$A$404,A359)&gt;4),"Mỗi choice cần 2–4 option",IF(COUNTIFS('02_KICH_BAN_NODES'!$B$5:$B$204,A359,'02_KICH_BAN_NODES'!$E$5:$E$204,"Kiến thức")=1,IF(COUNTIFS($A$5:$A$404,A359,$D$5:$D$404,"Có")&lt;&gt;1,"Choice kiến thức cần đúng 1 đáp án đúng",""),IF(COUNTIFS('02_KICH_BAN_NODES'!$B$5:$B$204,A359,'02_KICH_BAN_NODES'!$E$5:$E$204,"Tương tác")=1,IF(COUNTIFS($A$5:$A$404,A359,$D$5:$D$404,"Có")&lt;&gt;0,"Choice tương tác không được đánh dấu đáp án đúng",""),"Choice chưa chọn loại")))))))</f>
        <v/>
      </c>
    </row>
    <row r="360" spans="1:11">
      <c r="A360" s="13"/>
      <c r="B360" s="13"/>
      <c r="C360" s="5"/>
      <c r="D360" s="13"/>
      <c r="E360" s="13"/>
      <c r="F360" s="13"/>
      <c r="G360" s="13"/>
      <c r="H360" s="5"/>
      <c r="I360" s="5"/>
      <c r="J360" s="6" t="str">
        <f t="shared" si="5"/>
        <v/>
      </c>
      <c r="K360" s="6" t="str">
        <f>IF(A360="","",IF(COUNTIFS('02_KICH_BAN_NODES'!$B$5:$B$204,A360,'02_KICH_BAN_NODES'!$D$5:$D$204,"choice")=0,"ChoiceNodeId không tồn tại hoặc không phải choice",IF(COUNTIFS($A$5:$A$404,A360,$B$5:$B$404,B360)&gt;1,"Trùng OptionOrder trong cùng choice",IF(OR(B360="",C360="",D360="",F360="",H360=""),"Thiếu trường bắt buộc",IF(OR(COUNTIF($A$5:$A$404,A360)&lt;2,COUNTIF($A$5:$A$404,A360)&gt;4),"Mỗi choice cần 2–4 option",IF(COUNTIFS('02_KICH_BAN_NODES'!$B$5:$B$204,A360,'02_KICH_BAN_NODES'!$E$5:$E$204,"Kiến thức")=1,IF(COUNTIFS($A$5:$A$404,A360,$D$5:$D$404,"Có")&lt;&gt;1,"Choice kiến thức cần đúng 1 đáp án đúng",""),IF(COUNTIFS('02_KICH_BAN_NODES'!$B$5:$B$204,A360,'02_KICH_BAN_NODES'!$E$5:$E$204,"Tương tác")=1,IF(COUNTIFS($A$5:$A$404,A360,$D$5:$D$404,"Có")&lt;&gt;0,"Choice tương tác không được đánh dấu đáp án đúng",""),"Choice chưa chọn loại")))))))</f>
        <v/>
      </c>
    </row>
    <row r="361" spans="1:11">
      <c r="A361" s="13"/>
      <c r="B361" s="13"/>
      <c r="C361" s="5"/>
      <c r="D361" s="13"/>
      <c r="E361" s="13"/>
      <c r="F361" s="13"/>
      <c r="G361" s="13"/>
      <c r="H361" s="5"/>
      <c r="I361" s="5"/>
      <c r="J361" s="6" t="str">
        <f t="shared" si="5"/>
        <v/>
      </c>
      <c r="K361" s="6" t="str">
        <f>IF(A361="","",IF(COUNTIFS('02_KICH_BAN_NODES'!$B$5:$B$204,A361,'02_KICH_BAN_NODES'!$D$5:$D$204,"choice")=0,"ChoiceNodeId không tồn tại hoặc không phải choice",IF(COUNTIFS($A$5:$A$404,A361,$B$5:$B$404,B361)&gt;1,"Trùng OptionOrder trong cùng choice",IF(OR(B361="",C361="",D361="",F361="",H361=""),"Thiếu trường bắt buộc",IF(OR(COUNTIF($A$5:$A$404,A361)&lt;2,COUNTIF($A$5:$A$404,A361)&gt;4),"Mỗi choice cần 2–4 option",IF(COUNTIFS('02_KICH_BAN_NODES'!$B$5:$B$204,A361,'02_KICH_BAN_NODES'!$E$5:$E$204,"Kiến thức")=1,IF(COUNTIFS($A$5:$A$404,A361,$D$5:$D$404,"Có")&lt;&gt;1,"Choice kiến thức cần đúng 1 đáp án đúng",""),IF(COUNTIFS('02_KICH_BAN_NODES'!$B$5:$B$204,A361,'02_KICH_BAN_NODES'!$E$5:$E$204,"Tương tác")=1,IF(COUNTIFS($A$5:$A$404,A361,$D$5:$D$404,"Có")&lt;&gt;0,"Choice tương tác không được đánh dấu đáp án đúng",""),"Choice chưa chọn loại")))))))</f>
        <v/>
      </c>
    </row>
    <row r="362" spans="1:11">
      <c r="A362" s="13"/>
      <c r="B362" s="13"/>
      <c r="C362" s="5"/>
      <c r="D362" s="13"/>
      <c r="E362" s="13"/>
      <c r="F362" s="13"/>
      <c r="G362" s="13"/>
      <c r="H362" s="5"/>
      <c r="I362" s="5"/>
      <c r="J362" s="6" t="str">
        <f t="shared" si="5"/>
        <v/>
      </c>
      <c r="K362" s="6" t="str">
        <f>IF(A362="","",IF(COUNTIFS('02_KICH_BAN_NODES'!$B$5:$B$204,A362,'02_KICH_BAN_NODES'!$D$5:$D$204,"choice")=0,"ChoiceNodeId không tồn tại hoặc không phải choice",IF(COUNTIFS($A$5:$A$404,A362,$B$5:$B$404,B362)&gt;1,"Trùng OptionOrder trong cùng choice",IF(OR(B362="",C362="",D362="",F362="",H362=""),"Thiếu trường bắt buộc",IF(OR(COUNTIF($A$5:$A$404,A362)&lt;2,COUNTIF($A$5:$A$404,A362)&gt;4),"Mỗi choice cần 2–4 option",IF(COUNTIFS('02_KICH_BAN_NODES'!$B$5:$B$204,A362,'02_KICH_BAN_NODES'!$E$5:$E$204,"Kiến thức")=1,IF(COUNTIFS($A$5:$A$404,A362,$D$5:$D$404,"Có")&lt;&gt;1,"Choice kiến thức cần đúng 1 đáp án đúng",""),IF(COUNTIFS('02_KICH_BAN_NODES'!$B$5:$B$204,A362,'02_KICH_BAN_NODES'!$E$5:$E$204,"Tương tác")=1,IF(COUNTIFS($A$5:$A$404,A362,$D$5:$D$404,"Có")&lt;&gt;0,"Choice tương tác không được đánh dấu đáp án đúng",""),"Choice chưa chọn loại")))))))</f>
        <v/>
      </c>
    </row>
    <row r="363" spans="1:11">
      <c r="A363" s="13"/>
      <c r="B363" s="13"/>
      <c r="C363" s="5"/>
      <c r="D363" s="13"/>
      <c r="E363" s="13"/>
      <c r="F363" s="13"/>
      <c r="G363" s="13"/>
      <c r="H363" s="5"/>
      <c r="I363" s="5"/>
      <c r="J363" s="6" t="str">
        <f t="shared" si="5"/>
        <v/>
      </c>
      <c r="K363" s="6" t="str">
        <f>IF(A363="","",IF(COUNTIFS('02_KICH_BAN_NODES'!$B$5:$B$204,A363,'02_KICH_BAN_NODES'!$D$5:$D$204,"choice")=0,"ChoiceNodeId không tồn tại hoặc không phải choice",IF(COUNTIFS($A$5:$A$404,A363,$B$5:$B$404,B363)&gt;1,"Trùng OptionOrder trong cùng choice",IF(OR(B363="",C363="",D363="",F363="",H363=""),"Thiếu trường bắt buộc",IF(OR(COUNTIF($A$5:$A$404,A363)&lt;2,COUNTIF($A$5:$A$404,A363)&gt;4),"Mỗi choice cần 2–4 option",IF(COUNTIFS('02_KICH_BAN_NODES'!$B$5:$B$204,A363,'02_KICH_BAN_NODES'!$E$5:$E$204,"Kiến thức")=1,IF(COUNTIFS($A$5:$A$404,A363,$D$5:$D$404,"Có")&lt;&gt;1,"Choice kiến thức cần đúng 1 đáp án đúng",""),IF(COUNTIFS('02_KICH_BAN_NODES'!$B$5:$B$204,A363,'02_KICH_BAN_NODES'!$E$5:$E$204,"Tương tác")=1,IF(COUNTIFS($A$5:$A$404,A363,$D$5:$D$404,"Có")&lt;&gt;0,"Choice tương tác không được đánh dấu đáp án đúng",""),"Choice chưa chọn loại")))))))</f>
        <v/>
      </c>
    </row>
    <row r="364" spans="1:11">
      <c r="A364" s="13"/>
      <c r="B364" s="13"/>
      <c r="C364" s="5"/>
      <c r="D364" s="13"/>
      <c r="E364" s="13"/>
      <c r="F364" s="13"/>
      <c r="G364" s="13"/>
      <c r="H364" s="5"/>
      <c r="I364" s="5"/>
      <c r="J364" s="6" t="str">
        <f t="shared" si="5"/>
        <v/>
      </c>
      <c r="K364" s="6" t="str">
        <f>IF(A364="","",IF(COUNTIFS('02_KICH_BAN_NODES'!$B$5:$B$204,A364,'02_KICH_BAN_NODES'!$D$5:$D$204,"choice")=0,"ChoiceNodeId không tồn tại hoặc không phải choice",IF(COUNTIFS($A$5:$A$404,A364,$B$5:$B$404,B364)&gt;1,"Trùng OptionOrder trong cùng choice",IF(OR(B364="",C364="",D364="",F364="",H364=""),"Thiếu trường bắt buộc",IF(OR(COUNTIF($A$5:$A$404,A364)&lt;2,COUNTIF($A$5:$A$404,A364)&gt;4),"Mỗi choice cần 2–4 option",IF(COUNTIFS('02_KICH_BAN_NODES'!$B$5:$B$204,A364,'02_KICH_BAN_NODES'!$E$5:$E$204,"Kiến thức")=1,IF(COUNTIFS($A$5:$A$404,A364,$D$5:$D$404,"Có")&lt;&gt;1,"Choice kiến thức cần đúng 1 đáp án đúng",""),IF(COUNTIFS('02_KICH_BAN_NODES'!$B$5:$B$204,A364,'02_KICH_BAN_NODES'!$E$5:$E$204,"Tương tác")=1,IF(COUNTIFS($A$5:$A$404,A364,$D$5:$D$404,"Có")&lt;&gt;0,"Choice tương tác không được đánh dấu đáp án đúng",""),"Choice chưa chọn loại")))))))</f>
        <v/>
      </c>
    </row>
    <row r="365" spans="1:11">
      <c r="A365" s="13"/>
      <c r="B365" s="13"/>
      <c r="C365" s="5"/>
      <c r="D365" s="13"/>
      <c r="E365" s="13"/>
      <c r="F365" s="13"/>
      <c r="G365" s="13"/>
      <c r="H365" s="5"/>
      <c r="I365" s="5"/>
      <c r="J365" s="6" t="str">
        <f t="shared" si="5"/>
        <v/>
      </c>
      <c r="K365" s="6" t="str">
        <f>IF(A365="","",IF(COUNTIFS('02_KICH_BAN_NODES'!$B$5:$B$204,A365,'02_KICH_BAN_NODES'!$D$5:$D$204,"choice")=0,"ChoiceNodeId không tồn tại hoặc không phải choice",IF(COUNTIFS($A$5:$A$404,A365,$B$5:$B$404,B365)&gt;1,"Trùng OptionOrder trong cùng choice",IF(OR(B365="",C365="",D365="",F365="",H365=""),"Thiếu trường bắt buộc",IF(OR(COUNTIF($A$5:$A$404,A365)&lt;2,COUNTIF($A$5:$A$404,A365)&gt;4),"Mỗi choice cần 2–4 option",IF(COUNTIFS('02_KICH_BAN_NODES'!$B$5:$B$204,A365,'02_KICH_BAN_NODES'!$E$5:$E$204,"Kiến thức")=1,IF(COUNTIFS($A$5:$A$404,A365,$D$5:$D$404,"Có")&lt;&gt;1,"Choice kiến thức cần đúng 1 đáp án đúng",""),IF(COUNTIFS('02_KICH_BAN_NODES'!$B$5:$B$204,A365,'02_KICH_BAN_NODES'!$E$5:$E$204,"Tương tác")=1,IF(COUNTIFS($A$5:$A$404,A365,$D$5:$D$404,"Có")&lt;&gt;0,"Choice tương tác không được đánh dấu đáp án đúng",""),"Choice chưa chọn loại")))))))</f>
        <v/>
      </c>
    </row>
    <row r="366" spans="1:11">
      <c r="A366" s="13"/>
      <c r="B366" s="13"/>
      <c r="C366" s="5"/>
      <c r="D366" s="13"/>
      <c r="E366" s="13"/>
      <c r="F366" s="13"/>
      <c r="G366" s="13"/>
      <c r="H366" s="5"/>
      <c r="I366" s="5"/>
      <c r="J366" s="6" t="str">
        <f t="shared" si="5"/>
        <v/>
      </c>
      <c r="K366" s="6" t="str">
        <f>IF(A366="","",IF(COUNTIFS('02_KICH_BAN_NODES'!$B$5:$B$204,A366,'02_KICH_BAN_NODES'!$D$5:$D$204,"choice")=0,"ChoiceNodeId không tồn tại hoặc không phải choice",IF(COUNTIFS($A$5:$A$404,A366,$B$5:$B$404,B366)&gt;1,"Trùng OptionOrder trong cùng choice",IF(OR(B366="",C366="",D366="",F366="",H366=""),"Thiếu trường bắt buộc",IF(OR(COUNTIF($A$5:$A$404,A366)&lt;2,COUNTIF($A$5:$A$404,A366)&gt;4),"Mỗi choice cần 2–4 option",IF(COUNTIFS('02_KICH_BAN_NODES'!$B$5:$B$204,A366,'02_KICH_BAN_NODES'!$E$5:$E$204,"Kiến thức")=1,IF(COUNTIFS($A$5:$A$404,A366,$D$5:$D$404,"Có")&lt;&gt;1,"Choice kiến thức cần đúng 1 đáp án đúng",""),IF(COUNTIFS('02_KICH_BAN_NODES'!$B$5:$B$204,A366,'02_KICH_BAN_NODES'!$E$5:$E$204,"Tương tác")=1,IF(COUNTIFS($A$5:$A$404,A366,$D$5:$D$404,"Có")&lt;&gt;0,"Choice tương tác không được đánh dấu đáp án đúng",""),"Choice chưa chọn loại")))))))</f>
        <v/>
      </c>
    </row>
    <row r="367" spans="1:11">
      <c r="A367" s="13"/>
      <c r="B367" s="13"/>
      <c r="C367" s="5"/>
      <c r="D367" s="13"/>
      <c r="E367" s="13"/>
      <c r="F367" s="13"/>
      <c r="G367" s="13"/>
      <c r="H367" s="5"/>
      <c r="I367" s="5"/>
      <c r="J367" s="6" t="str">
        <f t="shared" si="5"/>
        <v/>
      </c>
      <c r="K367" s="6" t="str">
        <f>IF(A367="","",IF(COUNTIFS('02_KICH_BAN_NODES'!$B$5:$B$204,A367,'02_KICH_BAN_NODES'!$D$5:$D$204,"choice")=0,"ChoiceNodeId không tồn tại hoặc không phải choice",IF(COUNTIFS($A$5:$A$404,A367,$B$5:$B$404,B367)&gt;1,"Trùng OptionOrder trong cùng choice",IF(OR(B367="",C367="",D367="",F367="",H367=""),"Thiếu trường bắt buộc",IF(OR(COUNTIF($A$5:$A$404,A367)&lt;2,COUNTIF($A$5:$A$404,A367)&gt;4),"Mỗi choice cần 2–4 option",IF(COUNTIFS('02_KICH_BAN_NODES'!$B$5:$B$204,A367,'02_KICH_BAN_NODES'!$E$5:$E$204,"Kiến thức")=1,IF(COUNTIFS($A$5:$A$404,A367,$D$5:$D$404,"Có")&lt;&gt;1,"Choice kiến thức cần đúng 1 đáp án đúng",""),IF(COUNTIFS('02_KICH_BAN_NODES'!$B$5:$B$204,A367,'02_KICH_BAN_NODES'!$E$5:$E$204,"Tương tác")=1,IF(COUNTIFS($A$5:$A$404,A367,$D$5:$D$404,"Có")&lt;&gt;0,"Choice tương tác không được đánh dấu đáp án đúng",""),"Choice chưa chọn loại")))))))</f>
        <v/>
      </c>
    </row>
    <row r="368" spans="1:11">
      <c r="A368" s="13"/>
      <c r="B368" s="13"/>
      <c r="C368" s="5"/>
      <c r="D368" s="13"/>
      <c r="E368" s="13"/>
      <c r="F368" s="13"/>
      <c r="G368" s="13"/>
      <c r="H368" s="5"/>
      <c r="I368" s="5"/>
      <c r="J368" s="6" t="str">
        <f t="shared" si="5"/>
        <v/>
      </c>
      <c r="K368" s="6" t="str">
        <f>IF(A368="","",IF(COUNTIFS('02_KICH_BAN_NODES'!$B$5:$B$204,A368,'02_KICH_BAN_NODES'!$D$5:$D$204,"choice")=0,"ChoiceNodeId không tồn tại hoặc không phải choice",IF(COUNTIFS($A$5:$A$404,A368,$B$5:$B$404,B368)&gt;1,"Trùng OptionOrder trong cùng choice",IF(OR(B368="",C368="",D368="",F368="",H368=""),"Thiếu trường bắt buộc",IF(OR(COUNTIF($A$5:$A$404,A368)&lt;2,COUNTIF($A$5:$A$404,A368)&gt;4),"Mỗi choice cần 2–4 option",IF(COUNTIFS('02_KICH_BAN_NODES'!$B$5:$B$204,A368,'02_KICH_BAN_NODES'!$E$5:$E$204,"Kiến thức")=1,IF(COUNTIFS($A$5:$A$404,A368,$D$5:$D$404,"Có")&lt;&gt;1,"Choice kiến thức cần đúng 1 đáp án đúng",""),IF(COUNTIFS('02_KICH_BAN_NODES'!$B$5:$B$204,A368,'02_KICH_BAN_NODES'!$E$5:$E$204,"Tương tác")=1,IF(COUNTIFS($A$5:$A$404,A368,$D$5:$D$404,"Có")&lt;&gt;0,"Choice tương tác không được đánh dấu đáp án đúng",""),"Choice chưa chọn loại")))))))</f>
        <v/>
      </c>
    </row>
    <row r="369" spans="1:11">
      <c r="A369" s="13"/>
      <c r="B369" s="13"/>
      <c r="C369" s="5"/>
      <c r="D369" s="13"/>
      <c r="E369" s="13"/>
      <c r="F369" s="13"/>
      <c r="G369" s="13"/>
      <c r="H369" s="5"/>
      <c r="I369" s="5"/>
      <c r="J369" s="6" t="str">
        <f t="shared" si="5"/>
        <v/>
      </c>
      <c r="K369" s="6" t="str">
        <f>IF(A369="","",IF(COUNTIFS('02_KICH_BAN_NODES'!$B$5:$B$204,A369,'02_KICH_BAN_NODES'!$D$5:$D$204,"choice")=0,"ChoiceNodeId không tồn tại hoặc không phải choice",IF(COUNTIFS($A$5:$A$404,A369,$B$5:$B$404,B369)&gt;1,"Trùng OptionOrder trong cùng choice",IF(OR(B369="",C369="",D369="",F369="",H369=""),"Thiếu trường bắt buộc",IF(OR(COUNTIF($A$5:$A$404,A369)&lt;2,COUNTIF($A$5:$A$404,A369)&gt;4),"Mỗi choice cần 2–4 option",IF(COUNTIFS('02_KICH_BAN_NODES'!$B$5:$B$204,A369,'02_KICH_BAN_NODES'!$E$5:$E$204,"Kiến thức")=1,IF(COUNTIFS($A$5:$A$404,A369,$D$5:$D$404,"Có")&lt;&gt;1,"Choice kiến thức cần đúng 1 đáp án đúng",""),IF(COUNTIFS('02_KICH_BAN_NODES'!$B$5:$B$204,A369,'02_KICH_BAN_NODES'!$E$5:$E$204,"Tương tác")=1,IF(COUNTIFS($A$5:$A$404,A369,$D$5:$D$404,"Có")&lt;&gt;0,"Choice tương tác không được đánh dấu đáp án đúng",""),"Choice chưa chọn loại")))))))</f>
        <v/>
      </c>
    </row>
    <row r="370" spans="1:11">
      <c r="A370" s="13"/>
      <c r="B370" s="13"/>
      <c r="C370" s="5"/>
      <c r="D370" s="13"/>
      <c r="E370" s="13"/>
      <c r="F370" s="13"/>
      <c r="G370" s="13"/>
      <c r="H370" s="5"/>
      <c r="I370" s="5"/>
      <c r="J370" s="6" t="str">
        <f t="shared" si="5"/>
        <v/>
      </c>
      <c r="K370" s="6" t="str">
        <f>IF(A370="","",IF(COUNTIFS('02_KICH_BAN_NODES'!$B$5:$B$204,A370,'02_KICH_BAN_NODES'!$D$5:$D$204,"choice")=0,"ChoiceNodeId không tồn tại hoặc không phải choice",IF(COUNTIFS($A$5:$A$404,A370,$B$5:$B$404,B370)&gt;1,"Trùng OptionOrder trong cùng choice",IF(OR(B370="",C370="",D370="",F370="",H370=""),"Thiếu trường bắt buộc",IF(OR(COUNTIF($A$5:$A$404,A370)&lt;2,COUNTIF($A$5:$A$404,A370)&gt;4),"Mỗi choice cần 2–4 option",IF(COUNTIFS('02_KICH_BAN_NODES'!$B$5:$B$204,A370,'02_KICH_BAN_NODES'!$E$5:$E$204,"Kiến thức")=1,IF(COUNTIFS($A$5:$A$404,A370,$D$5:$D$404,"Có")&lt;&gt;1,"Choice kiến thức cần đúng 1 đáp án đúng",""),IF(COUNTIFS('02_KICH_BAN_NODES'!$B$5:$B$204,A370,'02_KICH_BAN_NODES'!$E$5:$E$204,"Tương tác")=1,IF(COUNTIFS($A$5:$A$404,A370,$D$5:$D$404,"Có")&lt;&gt;0,"Choice tương tác không được đánh dấu đáp án đúng",""),"Choice chưa chọn loại")))))))</f>
        <v/>
      </c>
    </row>
    <row r="371" spans="1:11">
      <c r="A371" s="13"/>
      <c r="B371" s="13"/>
      <c r="C371" s="5"/>
      <c r="D371" s="13"/>
      <c r="E371" s="13"/>
      <c r="F371" s="13"/>
      <c r="G371" s="13"/>
      <c r="H371" s="5"/>
      <c r="I371" s="5"/>
      <c r="J371" s="6" t="str">
        <f t="shared" si="5"/>
        <v/>
      </c>
      <c r="K371" s="6" t="str">
        <f>IF(A371="","",IF(COUNTIFS('02_KICH_BAN_NODES'!$B$5:$B$204,A371,'02_KICH_BAN_NODES'!$D$5:$D$204,"choice")=0,"ChoiceNodeId không tồn tại hoặc không phải choice",IF(COUNTIFS($A$5:$A$404,A371,$B$5:$B$404,B371)&gt;1,"Trùng OptionOrder trong cùng choice",IF(OR(B371="",C371="",D371="",F371="",H371=""),"Thiếu trường bắt buộc",IF(OR(COUNTIF($A$5:$A$404,A371)&lt;2,COUNTIF($A$5:$A$404,A371)&gt;4),"Mỗi choice cần 2–4 option",IF(COUNTIFS('02_KICH_BAN_NODES'!$B$5:$B$204,A371,'02_KICH_BAN_NODES'!$E$5:$E$204,"Kiến thức")=1,IF(COUNTIFS($A$5:$A$404,A371,$D$5:$D$404,"Có")&lt;&gt;1,"Choice kiến thức cần đúng 1 đáp án đúng",""),IF(COUNTIFS('02_KICH_BAN_NODES'!$B$5:$B$204,A371,'02_KICH_BAN_NODES'!$E$5:$E$204,"Tương tác")=1,IF(COUNTIFS($A$5:$A$404,A371,$D$5:$D$404,"Có")&lt;&gt;0,"Choice tương tác không được đánh dấu đáp án đúng",""),"Choice chưa chọn loại")))))))</f>
        <v/>
      </c>
    </row>
    <row r="372" spans="1:11">
      <c r="A372" s="13"/>
      <c r="B372" s="13"/>
      <c r="C372" s="5"/>
      <c r="D372" s="13"/>
      <c r="E372" s="13"/>
      <c r="F372" s="13"/>
      <c r="G372" s="13"/>
      <c r="H372" s="5"/>
      <c r="I372" s="5"/>
      <c r="J372" s="6" t="str">
        <f t="shared" si="5"/>
        <v/>
      </c>
      <c r="K372" s="6" t="str">
        <f>IF(A372="","",IF(COUNTIFS('02_KICH_BAN_NODES'!$B$5:$B$204,A372,'02_KICH_BAN_NODES'!$D$5:$D$204,"choice")=0,"ChoiceNodeId không tồn tại hoặc không phải choice",IF(COUNTIFS($A$5:$A$404,A372,$B$5:$B$404,B372)&gt;1,"Trùng OptionOrder trong cùng choice",IF(OR(B372="",C372="",D372="",F372="",H372=""),"Thiếu trường bắt buộc",IF(OR(COUNTIF($A$5:$A$404,A372)&lt;2,COUNTIF($A$5:$A$404,A372)&gt;4),"Mỗi choice cần 2–4 option",IF(COUNTIFS('02_KICH_BAN_NODES'!$B$5:$B$204,A372,'02_KICH_BAN_NODES'!$E$5:$E$204,"Kiến thức")=1,IF(COUNTIFS($A$5:$A$404,A372,$D$5:$D$404,"Có")&lt;&gt;1,"Choice kiến thức cần đúng 1 đáp án đúng",""),IF(COUNTIFS('02_KICH_BAN_NODES'!$B$5:$B$204,A372,'02_KICH_BAN_NODES'!$E$5:$E$204,"Tương tác")=1,IF(COUNTIFS($A$5:$A$404,A372,$D$5:$D$404,"Có")&lt;&gt;0,"Choice tương tác không được đánh dấu đáp án đúng",""),"Choice chưa chọn loại")))))))</f>
        <v/>
      </c>
    </row>
    <row r="373" spans="1:11">
      <c r="A373" s="13"/>
      <c r="B373" s="13"/>
      <c r="C373" s="5"/>
      <c r="D373" s="13"/>
      <c r="E373" s="13"/>
      <c r="F373" s="13"/>
      <c r="G373" s="13"/>
      <c r="H373" s="5"/>
      <c r="I373" s="5"/>
      <c r="J373" s="6" t="str">
        <f t="shared" si="5"/>
        <v/>
      </c>
      <c r="K373" s="6" t="str">
        <f>IF(A373="","",IF(COUNTIFS('02_KICH_BAN_NODES'!$B$5:$B$204,A373,'02_KICH_BAN_NODES'!$D$5:$D$204,"choice")=0,"ChoiceNodeId không tồn tại hoặc không phải choice",IF(COUNTIFS($A$5:$A$404,A373,$B$5:$B$404,B373)&gt;1,"Trùng OptionOrder trong cùng choice",IF(OR(B373="",C373="",D373="",F373="",H373=""),"Thiếu trường bắt buộc",IF(OR(COUNTIF($A$5:$A$404,A373)&lt;2,COUNTIF($A$5:$A$404,A373)&gt;4),"Mỗi choice cần 2–4 option",IF(COUNTIFS('02_KICH_BAN_NODES'!$B$5:$B$204,A373,'02_KICH_BAN_NODES'!$E$5:$E$204,"Kiến thức")=1,IF(COUNTIFS($A$5:$A$404,A373,$D$5:$D$404,"Có")&lt;&gt;1,"Choice kiến thức cần đúng 1 đáp án đúng",""),IF(COUNTIFS('02_KICH_BAN_NODES'!$B$5:$B$204,A373,'02_KICH_BAN_NODES'!$E$5:$E$204,"Tương tác")=1,IF(COUNTIFS($A$5:$A$404,A373,$D$5:$D$404,"Có")&lt;&gt;0,"Choice tương tác không được đánh dấu đáp án đúng",""),"Choice chưa chọn loại")))))))</f>
        <v/>
      </c>
    </row>
    <row r="374" spans="1:11">
      <c r="A374" s="13"/>
      <c r="B374" s="13"/>
      <c r="C374" s="5"/>
      <c r="D374" s="13"/>
      <c r="E374" s="13"/>
      <c r="F374" s="13"/>
      <c r="G374" s="13"/>
      <c r="H374" s="5"/>
      <c r="I374" s="5"/>
      <c r="J374" s="6" t="str">
        <f t="shared" si="5"/>
        <v/>
      </c>
      <c r="K374" s="6" t="str">
        <f>IF(A374="","",IF(COUNTIFS('02_KICH_BAN_NODES'!$B$5:$B$204,A374,'02_KICH_BAN_NODES'!$D$5:$D$204,"choice")=0,"ChoiceNodeId không tồn tại hoặc không phải choice",IF(COUNTIFS($A$5:$A$404,A374,$B$5:$B$404,B374)&gt;1,"Trùng OptionOrder trong cùng choice",IF(OR(B374="",C374="",D374="",F374="",H374=""),"Thiếu trường bắt buộc",IF(OR(COUNTIF($A$5:$A$404,A374)&lt;2,COUNTIF($A$5:$A$404,A374)&gt;4),"Mỗi choice cần 2–4 option",IF(COUNTIFS('02_KICH_BAN_NODES'!$B$5:$B$204,A374,'02_KICH_BAN_NODES'!$E$5:$E$204,"Kiến thức")=1,IF(COUNTIFS($A$5:$A$404,A374,$D$5:$D$404,"Có")&lt;&gt;1,"Choice kiến thức cần đúng 1 đáp án đúng",""),IF(COUNTIFS('02_KICH_BAN_NODES'!$B$5:$B$204,A374,'02_KICH_BAN_NODES'!$E$5:$E$204,"Tương tác")=1,IF(COUNTIFS($A$5:$A$404,A374,$D$5:$D$404,"Có")&lt;&gt;0,"Choice tương tác không được đánh dấu đáp án đúng",""),"Choice chưa chọn loại")))))))</f>
        <v/>
      </c>
    </row>
    <row r="375" spans="1:11">
      <c r="A375" s="13"/>
      <c r="B375" s="13"/>
      <c r="C375" s="5"/>
      <c r="D375" s="13"/>
      <c r="E375" s="13"/>
      <c r="F375" s="13"/>
      <c r="G375" s="13"/>
      <c r="H375" s="5"/>
      <c r="I375" s="5"/>
      <c r="J375" s="6" t="str">
        <f t="shared" si="5"/>
        <v/>
      </c>
      <c r="K375" s="6" t="str">
        <f>IF(A375="","",IF(COUNTIFS('02_KICH_BAN_NODES'!$B$5:$B$204,A375,'02_KICH_BAN_NODES'!$D$5:$D$204,"choice")=0,"ChoiceNodeId không tồn tại hoặc không phải choice",IF(COUNTIFS($A$5:$A$404,A375,$B$5:$B$404,B375)&gt;1,"Trùng OptionOrder trong cùng choice",IF(OR(B375="",C375="",D375="",F375="",H375=""),"Thiếu trường bắt buộc",IF(OR(COUNTIF($A$5:$A$404,A375)&lt;2,COUNTIF($A$5:$A$404,A375)&gt;4),"Mỗi choice cần 2–4 option",IF(COUNTIFS('02_KICH_BAN_NODES'!$B$5:$B$204,A375,'02_KICH_BAN_NODES'!$E$5:$E$204,"Kiến thức")=1,IF(COUNTIFS($A$5:$A$404,A375,$D$5:$D$404,"Có")&lt;&gt;1,"Choice kiến thức cần đúng 1 đáp án đúng",""),IF(COUNTIFS('02_KICH_BAN_NODES'!$B$5:$B$204,A375,'02_KICH_BAN_NODES'!$E$5:$E$204,"Tương tác")=1,IF(COUNTIFS($A$5:$A$404,A375,$D$5:$D$404,"Có")&lt;&gt;0,"Choice tương tác không được đánh dấu đáp án đúng",""),"Choice chưa chọn loại")))))))</f>
        <v/>
      </c>
    </row>
    <row r="376" spans="1:11">
      <c r="A376" s="13"/>
      <c r="B376" s="13"/>
      <c r="C376" s="5"/>
      <c r="D376" s="13"/>
      <c r="E376" s="13"/>
      <c r="F376" s="13"/>
      <c r="G376" s="13"/>
      <c r="H376" s="5"/>
      <c r="I376" s="5"/>
      <c r="J376" s="6" t="str">
        <f t="shared" si="5"/>
        <v/>
      </c>
      <c r="K376" s="6" t="str">
        <f>IF(A376="","",IF(COUNTIFS('02_KICH_BAN_NODES'!$B$5:$B$204,A376,'02_KICH_BAN_NODES'!$D$5:$D$204,"choice")=0,"ChoiceNodeId không tồn tại hoặc không phải choice",IF(COUNTIFS($A$5:$A$404,A376,$B$5:$B$404,B376)&gt;1,"Trùng OptionOrder trong cùng choice",IF(OR(B376="",C376="",D376="",F376="",H376=""),"Thiếu trường bắt buộc",IF(OR(COUNTIF($A$5:$A$404,A376)&lt;2,COUNTIF($A$5:$A$404,A376)&gt;4),"Mỗi choice cần 2–4 option",IF(COUNTIFS('02_KICH_BAN_NODES'!$B$5:$B$204,A376,'02_KICH_BAN_NODES'!$E$5:$E$204,"Kiến thức")=1,IF(COUNTIFS($A$5:$A$404,A376,$D$5:$D$404,"Có")&lt;&gt;1,"Choice kiến thức cần đúng 1 đáp án đúng",""),IF(COUNTIFS('02_KICH_BAN_NODES'!$B$5:$B$204,A376,'02_KICH_BAN_NODES'!$E$5:$E$204,"Tương tác")=1,IF(COUNTIFS($A$5:$A$404,A376,$D$5:$D$404,"Có")&lt;&gt;0,"Choice tương tác không được đánh dấu đáp án đúng",""),"Choice chưa chọn loại")))))))</f>
        <v/>
      </c>
    </row>
    <row r="377" spans="1:11">
      <c r="A377" s="13"/>
      <c r="B377" s="13"/>
      <c r="C377" s="5"/>
      <c r="D377" s="13"/>
      <c r="E377" s="13"/>
      <c r="F377" s="13"/>
      <c r="G377" s="13"/>
      <c r="H377" s="5"/>
      <c r="I377" s="5"/>
      <c r="J377" s="6" t="str">
        <f t="shared" si="5"/>
        <v/>
      </c>
      <c r="K377" s="6" t="str">
        <f>IF(A377="","",IF(COUNTIFS('02_KICH_BAN_NODES'!$B$5:$B$204,A377,'02_KICH_BAN_NODES'!$D$5:$D$204,"choice")=0,"ChoiceNodeId không tồn tại hoặc không phải choice",IF(COUNTIFS($A$5:$A$404,A377,$B$5:$B$404,B377)&gt;1,"Trùng OptionOrder trong cùng choice",IF(OR(B377="",C377="",D377="",F377="",H377=""),"Thiếu trường bắt buộc",IF(OR(COUNTIF($A$5:$A$404,A377)&lt;2,COUNTIF($A$5:$A$404,A377)&gt;4),"Mỗi choice cần 2–4 option",IF(COUNTIFS('02_KICH_BAN_NODES'!$B$5:$B$204,A377,'02_KICH_BAN_NODES'!$E$5:$E$204,"Kiến thức")=1,IF(COUNTIFS($A$5:$A$404,A377,$D$5:$D$404,"Có")&lt;&gt;1,"Choice kiến thức cần đúng 1 đáp án đúng",""),IF(COUNTIFS('02_KICH_BAN_NODES'!$B$5:$B$204,A377,'02_KICH_BAN_NODES'!$E$5:$E$204,"Tương tác")=1,IF(COUNTIFS($A$5:$A$404,A377,$D$5:$D$404,"Có")&lt;&gt;0,"Choice tương tác không được đánh dấu đáp án đúng",""),"Choice chưa chọn loại")))))))</f>
        <v/>
      </c>
    </row>
    <row r="378" spans="1:11">
      <c r="A378" s="13"/>
      <c r="B378" s="13"/>
      <c r="C378" s="5"/>
      <c r="D378" s="13"/>
      <c r="E378" s="13"/>
      <c r="F378" s="13"/>
      <c r="G378" s="13"/>
      <c r="H378" s="5"/>
      <c r="I378" s="5"/>
      <c r="J378" s="6" t="str">
        <f t="shared" si="5"/>
        <v/>
      </c>
      <c r="K378" s="6" t="str">
        <f>IF(A378="","",IF(COUNTIFS('02_KICH_BAN_NODES'!$B$5:$B$204,A378,'02_KICH_BAN_NODES'!$D$5:$D$204,"choice")=0,"ChoiceNodeId không tồn tại hoặc không phải choice",IF(COUNTIFS($A$5:$A$404,A378,$B$5:$B$404,B378)&gt;1,"Trùng OptionOrder trong cùng choice",IF(OR(B378="",C378="",D378="",F378="",H378=""),"Thiếu trường bắt buộc",IF(OR(COUNTIF($A$5:$A$404,A378)&lt;2,COUNTIF($A$5:$A$404,A378)&gt;4),"Mỗi choice cần 2–4 option",IF(COUNTIFS('02_KICH_BAN_NODES'!$B$5:$B$204,A378,'02_KICH_BAN_NODES'!$E$5:$E$204,"Kiến thức")=1,IF(COUNTIFS($A$5:$A$404,A378,$D$5:$D$404,"Có")&lt;&gt;1,"Choice kiến thức cần đúng 1 đáp án đúng",""),IF(COUNTIFS('02_KICH_BAN_NODES'!$B$5:$B$204,A378,'02_KICH_BAN_NODES'!$E$5:$E$204,"Tương tác")=1,IF(COUNTIFS($A$5:$A$404,A378,$D$5:$D$404,"Có")&lt;&gt;0,"Choice tương tác không được đánh dấu đáp án đúng",""),"Choice chưa chọn loại")))))))</f>
        <v/>
      </c>
    </row>
    <row r="379" spans="1:11">
      <c r="A379" s="13"/>
      <c r="B379" s="13"/>
      <c r="C379" s="5"/>
      <c r="D379" s="13"/>
      <c r="E379" s="13"/>
      <c r="F379" s="13"/>
      <c r="G379" s="13"/>
      <c r="H379" s="5"/>
      <c r="I379" s="5"/>
      <c r="J379" s="6" t="str">
        <f t="shared" si="5"/>
        <v/>
      </c>
      <c r="K379" s="6" t="str">
        <f>IF(A379="","",IF(COUNTIFS('02_KICH_BAN_NODES'!$B$5:$B$204,A379,'02_KICH_BAN_NODES'!$D$5:$D$204,"choice")=0,"ChoiceNodeId không tồn tại hoặc không phải choice",IF(COUNTIFS($A$5:$A$404,A379,$B$5:$B$404,B379)&gt;1,"Trùng OptionOrder trong cùng choice",IF(OR(B379="",C379="",D379="",F379="",H379=""),"Thiếu trường bắt buộc",IF(OR(COUNTIF($A$5:$A$404,A379)&lt;2,COUNTIF($A$5:$A$404,A379)&gt;4),"Mỗi choice cần 2–4 option",IF(COUNTIFS('02_KICH_BAN_NODES'!$B$5:$B$204,A379,'02_KICH_BAN_NODES'!$E$5:$E$204,"Kiến thức")=1,IF(COUNTIFS($A$5:$A$404,A379,$D$5:$D$404,"Có")&lt;&gt;1,"Choice kiến thức cần đúng 1 đáp án đúng",""),IF(COUNTIFS('02_KICH_BAN_NODES'!$B$5:$B$204,A379,'02_KICH_BAN_NODES'!$E$5:$E$204,"Tương tác")=1,IF(COUNTIFS($A$5:$A$404,A379,$D$5:$D$404,"Có")&lt;&gt;0,"Choice tương tác không được đánh dấu đáp án đúng",""),"Choice chưa chọn loại")))))))</f>
        <v/>
      </c>
    </row>
    <row r="380" spans="1:11">
      <c r="A380" s="13"/>
      <c r="B380" s="13"/>
      <c r="C380" s="5"/>
      <c r="D380" s="13"/>
      <c r="E380" s="13"/>
      <c r="F380" s="13"/>
      <c r="G380" s="13"/>
      <c r="H380" s="5"/>
      <c r="I380" s="5"/>
      <c r="J380" s="6" t="str">
        <f t="shared" si="5"/>
        <v/>
      </c>
      <c r="K380" s="6" t="str">
        <f>IF(A380="","",IF(COUNTIFS('02_KICH_BAN_NODES'!$B$5:$B$204,A380,'02_KICH_BAN_NODES'!$D$5:$D$204,"choice")=0,"ChoiceNodeId không tồn tại hoặc không phải choice",IF(COUNTIFS($A$5:$A$404,A380,$B$5:$B$404,B380)&gt;1,"Trùng OptionOrder trong cùng choice",IF(OR(B380="",C380="",D380="",F380="",H380=""),"Thiếu trường bắt buộc",IF(OR(COUNTIF($A$5:$A$404,A380)&lt;2,COUNTIF($A$5:$A$404,A380)&gt;4),"Mỗi choice cần 2–4 option",IF(COUNTIFS('02_KICH_BAN_NODES'!$B$5:$B$204,A380,'02_KICH_BAN_NODES'!$E$5:$E$204,"Kiến thức")=1,IF(COUNTIFS($A$5:$A$404,A380,$D$5:$D$404,"Có")&lt;&gt;1,"Choice kiến thức cần đúng 1 đáp án đúng",""),IF(COUNTIFS('02_KICH_BAN_NODES'!$B$5:$B$204,A380,'02_KICH_BAN_NODES'!$E$5:$E$204,"Tương tác")=1,IF(COUNTIFS($A$5:$A$404,A380,$D$5:$D$404,"Có")&lt;&gt;0,"Choice tương tác không được đánh dấu đáp án đúng",""),"Choice chưa chọn loại")))))))</f>
        <v/>
      </c>
    </row>
    <row r="381" spans="1:11">
      <c r="A381" s="13"/>
      <c r="B381" s="13"/>
      <c r="C381" s="5"/>
      <c r="D381" s="13"/>
      <c r="E381" s="13"/>
      <c r="F381" s="13"/>
      <c r="G381" s="13"/>
      <c r="H381" s="5"/>
      <c r="I381" s="5"/>
      <c r="J381" s="6" t="str">
        <f t="shared" si="5"/>
        <v/>
      </c>
      <c r="K381" s="6" t="str">
        <f>IF(A381="","",IF(COUNTIFS('02_KICH_BAN_NODES'!$B$5:$B$204,A381,'02_KICH_BAN_NODES'!$D$5:$D$204,"choice")=0,"ChoiceNodeId không tồn tại hoặc không phải choice",IF(COUNTIFS($A$5:$A$404,A381,$B$5:$B$404,B381)&gt;1,"Trùng OptionOrder trong cùng choice",IF(OR(B381="",C381="",D381="",F381="",H381=""),"Thiếu trường bắt buộc",IF(OR(COUNTIF($A$5:$A$404,A381)&lt;2,COUNTIF($A$5:$A$404,A381)&gt;4),"Mỗi choice cần 2–4 option",IF(COUNTIFS('02_KICH_BAN_NODES'!$B$5:$B$204,A381,'02_KICH_BAN_NODES'!$E$5:$E$204,"Kiến thức")=1,IF(COUNTIFS($A$5:$A$404,A381,$D$5:$D$404,"Có")&lt;&gt;1,"Choice kiến thức cần đúng 1 đáp án đúng",""),IF(COUNTIFS('02_KICH_BAN_NODES'!$B$5:$B$204,A381,'02_KICH_BAN_NODES'!$E$5:$E$204,"Tương tác")=1,IF(COUNTIFS($A$5:$A$404,A381,$D$5:$D$404,"Có")&lt;&gt;0,"Choice tương tác không được đánh dấu đáp án đúng",""),"Choice chưa chọn loại")))))))</f>
        <v/>
      </c>
    </row>
    <row r="382" spans="1:11">
      <c r="A382" s="13"/>
      <c r="B382" s="13"/>
      <c r="C382" s="5"/>
      <c r="D382" s="13"/>
      <c r="E382" s="13"/>
      <c r="F382" s="13"/>
      <c r="G382" s="13"/>
      <c r="H382" s="5"/>
      <c r="I382" s="5"/>
      <c r="J382" s="6" t="str">
        <f t="shared" si="5"/>
        <v/>
      </c>
      <c r="K382" s="6" t="str">
        <f>IF(A382="","",IF(COUNTIFS('02_KICH_BAN_NODES'!$B$5:$B$204,A382,'02_KICH_BAN_NODES'!$D$5:$D$204,"choice")=0,"ChoiceNodeId không tồn tại hoặc không phải choice",IF(COUNTIFS($A$5:$A$404,A382,$B$5:$B$404,B382)&gt;1,"Trùng OptionOrder trong cùng choice",IF(OR(B382="",C382="",D382="",F382="",H382=""),"Thiếu trường bắt buộc",IF(OR(COUNTIF($A$5:$A$404,A382)&lt;2,COUNTIF($A$5:$A$404,A382)&gt;4),"Mỗi choice cần 2–4 option",IF(COUNTIFS('02_KICH_BAN_NODES'!$B$5:$B$204,A382,'02_KICH_BAN_NODES'!$E$5:$E$204,"Kiến thức")=1,IF(COUNTIFS($A$5:$A$404,A382,$D$5:$D$404,"Có")&lt;&gt;1,"Choice kiến thức cần đúng 1 đáp án đúng",""),IF(COUNTIFS('02_KICH_BAN_NODES'!$B$5:$B$204,A382,'02_KICH_BAN_NODES'!$E$5:$E$204,"Tương tác")=1,IF(COUNTIFS($A$5:$A$404,A382,$D$5:$D$404,"Có")&lt;&gt;0,"Choice tương tác không được đánh dấu đáp án đúng",""),"Choice chưa chọn loại")))))))</f>
        <v/>
      </c>
    </row>
    <row r="383" spans="1:11">
      <c r="A383" s="13"/>
      <c r="B383" s="13"/>
      <c r="C383" s="5"/>
      <c r="D383" s="13"/>
      <c r="E383" s="13"/>
      <c r="F383" s="13"/>
      <c r="G383" s="13"/>
      <c r="H383" s="5"/>
      <c r="I383" s="5"/>
      <c r="J383" s="6" t="str">
        <f t="shared" si="5"/>
        <v/>
      </c>
      <c r="K383" s="6" t="str">
        <f>IF(A383="","",IF(COUNTIFS('02_KICH_BAN_NODES'!$B$5:$B$204,A383,'02_KICH_BAN_NODES'!$D$5:$D$204,"choice")=0,"ChoiceNodeId không tồn tại hoặc không phải choice",IF(COUNTIFS($A$5:$A$404,A383,$B$5:$B$404,B383)&gt;1,"Trùng OptionOrder trong cùng choice",IF(OR(B383="",C383="",D383="",F383="",H383=""),"Thiếu trường bắt buộc",IF(OR(COUNTIF($A$5:$A$404,A383)&lt;2,COUNTIF($A$5:$A$404,A383)&gt;4),"Mỗi choice cần 2–4 option",IF(COUNTIFS('02_KICH_BAN_NODES'!$B$5:$B$204,A383,'02_KICH_BAN_NODES'!$E$5:$E$204,"Kiến thức")=1,IF(COUNTIFS($A$5:$A$404,A383,$D$5:$D$404,"Có")&lt;&gt;1,"Choice kiến thức cần đúng 1 đáp án đúng",""),IF(COUNTIFS('02_KICH_BAN_NODES'!$B$5:$B$204,A383,'02_KICH_BAN_NODES'!$E$5:$E$204,"Tương tác")=1,IF(COUNTIFS($A$5:$A$404,A383,$D$5:$D$404,"Có")&lt;&gt;0,"Choice tương tác không được đánh dấu đáp án đúng",""),"Choice chưa chọn loại")))))))</f>
        <v/>
      </c>
    </row>
    <row r="384" spans="1:11">
      <c r="A384" s="13"/>
      <c r="B384" s="13"/>
      <c r="C384" s="5"/>
      <c r="D384" s="13"/>
      <c r="E384" s="13"/>
      <c r="F384" s="13"/>
      <c r="G384" s="13"/>
      <c r="H384" s="5"/>
      <c r="I384" s="5"/>
      <c r="J384" s="6" t="str">
        <f t="shared" si="5"/>
        <v/>
      </c>
      <c r="K384" s="6" t="str">
        <f>IF(A384="","",IF(COUNTIFS('02_KICH_BAN_NODES'!$B$5:$B$204,A384,'02_KICH_BAN_NODES'!$D$5:$D$204,"choice")=0,"ChoiceNodeId không tồn tại hoặc không phải choice",IF(COUNTIFS($A$5:$A$404,A384,$B$5:$B$404,B384)&gt;1,"Trùng OptionOrder trong cùng choice",IF(OR(B384="",C384="",D384="",F384="",H384=""),"Thiếu trường bắt buộc",IF(OR(COUNTIF($A$5:$A$404,A384)&lt;2,COUNTIF($A$5:$A$404,A384)&gt;4),"Mỗi choice cần 2–4 option",IF(COUNTIFS('02_KICH_BAN_NODES'!$B$5:$B$204,A384,'02_KICH_BAN_NODES'!$E$5:$E$204,"Kiến thức")=1,IF(COUNTIFS($A$5:$A$404,A384,$D$5:$D$404,"Có")&lt;&gt;1,"Choice kiến thức cần đúng 1 đáp án đúng",""),IF(COUNTIFS('02_KICH_BAN_NODES'!$B$5:$B$204,A384,'02_KICH_BAN_NODES'!$E$5:$E$204,"Tương tác")=1,IF(COUNTIFS($A$5:$A$404,A384,$D$5:$D$404,"Có")&lt;&gt;0,"Choice tương tác không được đánh dấu đáp án đúng",""),"Choice chưa chọn loại")))))))</f>
        <v/>
      </c>
    </row>
    <row r="385" spans="1:11">
      <c r="A385" s="13"/>
      <c r="B385" s="13"/>
      <c r="C385" s="5"/>
      <c r="D385" s="13"/>
      <c r="E385" s="13"/>
      <c r="F385" s="13"/>
      <c r="G385" s="13"/>
      <c r="H385" s="5"/>
      <c r="I385" s="5"/>
      <c r="J385" s="6" t="str">
        <f t="shared" si="5"/>
        <v/>
      </c>
      <c r="K385" s="6" t="str">
        <f>IF(A385="","",IF(COUNTIFS('02_KICH_BAN_NODES'!$B$5:$B$204,A385,'02_KICH_BAN_NODES'!$D$5:$D$204,"choice")=0,"ChoiceNodeId không tồn tại hoặc không phải choice",IF(COUNTIFS($A$5:$A$404,A385,$B$5:$B$404,B385)&gt;1,"Trùng OptionOrder trong cùng choice",IF(OR(B385="",C385="",D385="",F385="",H385=""),"Thiếu trường bắt buộc",IF(OR(COUNTIF($A$5:$A$404,A385)&lt;2,COUNTIF($A$5:$A$404,A385)&gt;4),"Mỗi choice cần 2–4 option",IF(COUNTIFS('02_KICH_BAN_NODES'!$B$5:$B$204,A385,'02_KICH_BAN_NODES'!$E$5:$E$204,"Kiến thức")=1,IF(COUNTIFS($A$5:$A$404,A385,$D$5:$D$404,"Có")&lt;&gt;1,"Choice kiến thức cần đúng 1 đáp án đúng",""),IF(COUNTIFS('02_KICH_BAN_NODES'!$B$5:$B$204,A385,'02_KICH_BAN_NODES'!$E$5:$E$204,"Tương tác")=1,IF(COUNTIFS($A$5:$A$404,A385,$D$5:$D$404,"Có")&lt;&gt;0,"Choice tương tác không được đánh dấu đáp án đúng",""),"Choice chưa chọn loại")))))))</f>
        <v/>
      </c>
    </row>
    <row r="386" spans="1:11">
      <c r="A386" s="13"/>
      <c r="B386" s="13"/>
      <c r="C386" s="5"/>
      <c r="D386" s="13"/>
      <c r="E386" s="13"/>
      <c r="F386" s="13"/>
      <c r="G386" s="13"/>
      <c r="H386" s="5"/>
      <c r="I386" s="5"/>
      <c r="J386" s="6" t="str">
        <f t="shared" si="5"/>
        <v/>
      </c>
      <c r="K386" s="6" t="str">
        <f>IF(A386="","",IF(COUNTIFS('02_KICH_BAN_NODES'!$B$5:$B$204,A386,'02_KICH_BAN_NODES'!$D$5:$D$204,"choice")=0,"ChoiceNodeId không tồn tại hoặc không phải choice",IF(COUNTIFS($A$5:$A$404,A386,$B$5:$B$404,B386)&gt;1,"Trùng OptionOrder trong cùng choice",IF(OR(B386="",C386="",D386="",F386="",H386=""),"Thiếu trường bắt buộc",IF(OR(COUNTIF($A$5:$A$404,A386)&lt;2,COUNTIF($A$5:$A$404,A386)&gt;4),"Mỗi choice cần 2–4 option",IF(COUNTIFS('02_KICH_BAN_NODES'!$B$5:$B$204,A386,'02_KICH_BAN_NODES'!$E$5:$E$204,"Kiến thức")=1,IF(COUNTIFS($A$5:$A$404,A386,$D$5:$D$404,"Có")&lt;&gt;1,"Choice kiến thức cần đúng 1 đáp án đúng",""),IF(COUNTIFS('02_KICH_BAN_NODES'!$B$5:$B$204,A386,'02_KICH_BAN_NODES'!$E$5:$E$204,"Tương tác")=1,IF(COUNTIFS($A$5:$A$404,A386,$D$5:$D$404,"Có")&lt;&gt;0,"Choice tương tác không được đánh dấu đáp án đúng",""),"Choice chưa chọn loại")))))))</f>
        <v/>
      </c>
    </row>
    <row r="387" spans="1:11">
      <c r="A387" s="13"/>
      <c r="B387" s="13"/>
      <c r="C387" s="5"/>
      <c r="D387" s="13"/>
      <c r="E387" s="13"/>
      <c r="F387" s="13"/>
      <c r="G387" s="13"/>
      <c r="H387" s="5"/>
      <c r="I387" s="5"/>
      <c r="J387" s="6" t="str">
        <f t="shared" si="5"/>
        <v/>
      </c>
      <c r="K387" s="6" t="str">
        <f>IF(A387="","",IF(COUNTIFS('02_KICH_BAN_NODES'!$B$5:$B$204,A387,'02_KICH_BAN_NODES'!$D$5:$D$204,"choice")=0,"ChoiceNodeId không tồn tại hoặc không phải choice",IF(COUNTIFS($A$5:$A$404,A387,$B$5:$B$404,B387)&gt;1,"Trùng OptionOrder trong cùng choice",IF(OR(B387="",C387="",D387="",F387="",H387=""),"Thiếu trường bắt buộc",IF(OR(COUNTIF($A$5:$A$404,A387)&lt;2,COUNTIF($A$5:$A$404,A387)&gt;4),"Mỗi choice cần 2–4 option",IF(COUNTIFS('02_KICH_BAN_NODES'!$B$5:$B$204,A387,'02_KICH_BAN_NODES'!$E$5:$E$204,"Kiến thức")=1,IF(COUNTIFS($A$5:$A$404,A387,$D$5:$D$404,"Có")&lt;&gt;1,"Choice kiến thức cần đúng 1 đáp án đúng",""),IF(COUNTIFS('02_KICH_BAN_NODES'!$B$5:$B$204,A387,'02_KICH_BAN_NODES'!$E$5:$E$204,"Tương tác")=1,IF(COUNTIFS($A$5:$A$404,A387,$D$5:$D$404,"Có")&lt;&gt;0,"Choice tương tác không được đánh dấu đáp án đúng",""),"Choice chưa chọn loại")))))))</f>
        <v/>
      </c>
    </row>
    <row r="388" spans="1:11">
      <c r="A388" s="13"/>
      <c r="B388" s="13"/>
      <c r="C388" s="5"/>
      <c r="D388" s="13"/>
      <c r="E388" s="13"/>
      <c r="F388" s="13"/>
      <c r="G388" s="13"/>
      <c r="H388" s="5"/>
      <c r="I388" s="5"/>
      <c r="J388" s="6" t="str">
        <f t="shared" si="5"/>
        <v/>
      </c>
      <c r="K388" s="6" t="str">
        <f>IF(A388="","",IF(COUNTIFS('02_KICH_BAN_NODES'!$B$5:$B$204,A388,'02_KICH_BAN_NODES'!$D$5:$D$204,"choice")=0,"ChoiceNodeId không tồn tại hoặc không phải choice",IF(COUNTIFS($A$5:$A$404,A388,$B$5:$B$404,B388)&gt;1,"Trùng OptionOrder trong cùng choice",IF(OR(B388="",C388="",D388="",F388="",H388=""),"Thiếu trường bắt buộc",IF(OR(COUNTIF($A$5:$A$404,A388)&lt;2,COUNTIF($A$5:$A$404,A388)&gt;4),"Mỗi choice cần 2–4 option",IF(COUNTIFS('02_KICH_BAN_NODES'!$B$5:$B$204,A388,'02_KICH_BAN_NODES'!$E$5:$E$204,"Kiến thức")=1,IF(COUNTIFS($A$5:$A$404,A388,$D$5:$D$404,"Có")&lt;&gt;1,"Choice kiến thức cần đúng 1 đáp án đúng",""),IF(COUNTIFS('02_KICH_BAN_NODES'!$B$5:$B$204,A388,'02_KICH_BAN_NODES'!$E$5:$E$204,"Tương tác")=1,IF(COUNTIFS($A$5:$A$404,A388,$D$5:$D$404,"Có")&lt;&gt;0,"Choice tương tác không được đánh dấu đáp án đúng",""),"Choice chưa chọn loại")))))))</f>
        <v/>
      </c>
    </row>
    <row r="389" spans="1:11">
      <c r="A389" s="13"/>
      <c r="B389" s="13"/>
      <c r="C389" s="5"/>
      <c r="D389" s="13"/>
      <c r="E389" s="13"/>
      <c r="F389" s="13"/>
      <c r="G389" s="13"/>
      <c r="H389" s="5"/>
      <c r="I389" s="5"/>
      <c r="J389" s="6" t="str">
        <f t="shared" ref="J389:J452" si="6">IF(A389="","",IF(K389="","HỢP LỆ","CẦN SỬA"))</f>
        <v/>
      </c>
      <c r="K389" s="6" t="str">
        <f>IF(A389="","",IF(COUNTIFS('02_KICH_BAN_NODES'!$B$5:$B$204,A389,'02_KICH_BAN_NODES'!$D$5:$D$204,"choice")=0,"ChoiceNodeId không tồn tại hoặc không phải choice",IF(COUNTIFS($A$5:$A$404,A389,$B$5:$B$404,B389)&gt;1,"Trùng OptionOrder trong cùng choice",IF(OR(B389="",C389="",D389="",F389="",H389=""),"Thiếu trường bắt buộc",IF(OR(COUNTIF($A$5:$A$404,A389)&lt;2,COUNTIF($A$5:$A$404,A389)&gt;4),"Mỗi choice cần 2–4 option",IF(COUNTIFS('02_KICH_BAN_NODES'!$B$5:$B$204,A389,'02_KICH_BAN_NODES'!$E$5:$E$204,"Kiến thức")=1,IF(COUNTIFS($A$5:$A$404,A389,$D$5:$D$404,"Có")&lt;&gt;1,"Choice kiến thức cần đúng 1 đáp án đúng",""),IF(COUNTIFS('02_KICH_BAN_NODES'!$B$5:$B$204,A389,'02_KICH_BAN_NODES'!$E$5:$E$204,"Tương tác")=1,IF(COUNTIFS($A$5:$A$404,A389,$D$5:$D$404,"Có")&lt;&gt;0,"Choice tương tác không được đánh dấu đáp án đúng",""),"Choice chưa chọn loại")))))))</f>
        <v/>
      </c>
    </row>
    <row r="390" spans="1:11">
      <c r="A390" s="13"/>
      <c r="B390" s="13"/>
      <c r="C390" s="5"/>
      <c r="D390" s="13"/>
      <c r="E390" s="13"/>
      <c r="F390" s="13"/>
      <c r="G390" s="13"/>
      <c r="H390" s="5"/>
      <c r="I390" s="5"/>
      <c r="J390" s="6" t="str">
        <f t="shared" si="6"/>
        <v/>
      </c>
      <c r="K390" s="6" t="str">
        <f>IF(A390="","",IF(COUNTIFS('02_KICH_BAN_NODES'!$B$5:$B$204,A390,'02_KICH_BAN_NODES'!$D$5:$D$204,"choice")=0,"ChoiceNodeId không tồn tại hoặc không phải choice",IF(COUNTIFS($A$5:$A$404,A390,$B$5:$B$404,B390)&gt;1,"Trùng OptionOrder trong cùng choice",IF(OR(B390="",C390="",D390="",F390="",H390=""),"Thiếu trường bắt buộc",IF(OR(COUNTIF($A$5:$A$404,A390)&lt;2,COUNTIF($A$5:$A$404,A390)&gt;4),"Mỗi choice cần 2–4 option",IF(COUNTIFS('02_KICH_BAN_NODES'!$B$5:$B$204,A390,'02_KICH_BAN_NODES'!$E$5:$E$204,"Kiến thức")=1,IF(COUNTIFS($A$5:$A$404,A390,$D$5:$D$404,"Có")&lt;&gt;1,"Choice kiến thức cần đúng 1 đáp án đúng",""),IF(COUNTIFS('02_KICH_BAN_NODES'!$B$5:$B$204,A390,'02_KICH_BAN_NODES'!$E$5:$E$204,"Tương tác")=1,IF(COUNTIFS($A$5:$A$404,A390,$D$5:$D$404,"Có")&lt;&gt;0,"Choice tương tác không được đánh dấu đáp án đúng",""),"Choice chưa chọn loại")))))))</f>
        <v/>
      </c>
    </row>
    <row r="391" spans="1:11">
      <c r="A391" s="13"/>
      <c r="B391" s="13"/>
      <c r="C391" s="5"/>
      <c r="D391" s="13"/>
      <c r="E391" s="13"/>
      <c r="F391" s="13"/>
      <c r="G391" s="13"/>
      <c r="H391" s="5"/>
      <c r="I391" s="5"/>
      <c r="J391" s="6" t="str">
        <f t="shared" si="6"/>
        <v/>
      </c>
      <c r="K391" s="6" t="str">
        <f>IF(A391="","",IF(COUNTIFS('02_KICH_BAN_NODES'!$B$5:$B$204,A391,'02_KICH_BAN_NODES'!$D$5:$D$204,"choice")=0,"ChoiceNodeId không tồn tại hoặc không phải choice",IF(COUNTIFS($A$5:$A$404,A391,$B$5:$B$404,B391)&gt;1,"Trùng OptionOrder trong cùng choice",IF(OR(B391="",C391="",D391="",F391="",H391=""),"Thiếu trường bắt buộc",IF(OR(COUNTIF($A$5:$A$404,A391)&lt;2,COUNTIF($A$5:$A$404,A391)&gt;4),"Mỗi choice cần 2–4 option",IF(COUNTIFS('02_KICH_BAN_NODES'!$B$5:$B$204,A391,'02_KICH_BAN_NODES'!$E$5:$E$204,"Kiến thức")=1,IF(COUNTIFS($A$5:$A$404,A391,$D$5:$D$404,"Có")&lt;&gt;1,"Choice kiến thức cần đúng 1 đáp án đúng",""),IF(COUNTIFS('02_KICH_BAN_NODES'!$B$5:$B$204,A391,'02_KICH_BAN_NODES'!$E$5:$E$204,"Tương tác")=1,IF(COUNTIFS($A$5:$A$404,A391,$D$5:$D$404,"Có")&lt;&gt;0,"Choice tương tác không được đánh dấu đáp án đúng",""),"Choice chưa chọn loại")))))))</f>
        <v/>
      </c>
    </row>
    <row r="392" spans="1:11">
      <c r="A392" s="13"/>
      <c r="B392" s="13"/>
      <c r="C392" s="5"/>
      <c r="D392" s="13"/>
      <c r="E392" s="13"/>
      <c r="F392" s="13"/>
      <c r="G392" s="13"/>
      <c r="H392" s="5"/>
      <c r="I392" s="5"/>
      <c r="J392" s="6" t="str">
        <f t="shared" si="6"/>
        <v/>
      </c>
      <c r="K392" s="6" t="str">
        <f>IF(A392="","",IF(COUNTIFS('02_KICH_BAN_NODES'!$B$5:$B$204,A392,'02_KICH_BAN_NODES'!$D$5:$D$204,"choice")=0,"ChoiceNodeId không tồn tại hoặc không phải choice",IF(COUNTIFS($A$5:$A$404,A392,$B$5:$B$404,B392)&gt;1,"Trùng OptionOrder trong cùng choice",IF(OR(B392="",C392="",D392="",F392="",H392=""),"Thiếu trường bắt buộc",IF(OR(COUNTIF($A$5:$A$404,A392)&lt;2,COUNTIF($A$5:$A$404,A392)&gt;4),"Mỗi choice cần 2–4 option",IF(COUNTIFS('02_KICH_BAN_NODES'!$B$5:$B$204,A392,'02_KICH_BAN_NODES'!$E$5:$E$204,"Kiến thức")=1,IF(COUNTIFS($A$5:$A$404,A392,$D$5:$D$404,"Có")&lt;&gt;1,"Choice kiến thức cần đúng 1 đáp án đúng",""),IF(COUNTIFS('02_KICH_BAN_NODES'!$B$5:$B$204,A392,'02_KICH_BAN_NODES'!$E$5:$E$204,"Tương tác")=1,IF(COUNTIFS($A$5:$A$404,A392,$D$5:$D$404,"Có")&lt;&gt;0,"Choice tương tác không được đánh dấu đáp án đúng",""),"Choice chưa chọn loại")))))))</f>
        <v/>
      </c>
    </row>
    <row r="393" spans="1:11">
      <c r="A393" s="13"/>
      <c r="B393" s="13"/>
      <c r="C393" s="5"/>
      <c r="D393" s="13"/>
      <c r="E393" s="13"/>
      <c r="F393" s="13"/>
      <c r="G393" s="13"/>
      <c r="H393" s="5"/>
      <c r="I393" s="5"/>
      <c r="J393" s="6" t="str">
        <f t="shared" si="6"/>
        <v/>
      </c>
      <c r="K393" s="6" t="str">
        <f>IF(A393="","",IF(COUNTIFS('02_KICH_BAN_NODES'!$B$5:$B$204,A393,'02_KICH_BAN_NODES'!$D$5:$D$204,"choice")=0,"ChoiceNodeId không tồn tại hoặc không phải choice",IF(COUNTIFS($A$5:$A$404,A393,$B$5:$B$404,B393)&gt;1,"Trùng OptionOrder trong cùng choice",IF(OR(B393="",C393="",D393="",F393="",H393=""),"Thiếu trường bắt buộc",IF(OR(COUNTIF($A$5:$A$404,A393)&lt;2,COUNTIF($A$5:$A$404,A393)&gt;4),"Mỗi choice cần 2–4 option",IF(COUNTIFS('02_KICH_BAN_NODES'!$B$5:$B$204,A393,'02_KICH_BAN_NODES'!$E$5:$E$204,"Kiến thức")=1,IF(COUNTIFS($A$5:$A$404,A393,$D$5:$D$404,"Có")&lt;&gt;1,"Choice kiến thức cần đúng 1 đáp án đúng",""),IF(COUNTIFS('02_KICH_BAN_NODES'!$B$5:$B$204,A393,'02_KICH_BAN_NODES'!$E$5:$E$204,"Tương tác")=1,IF(COUNTIFS($A$5:$A$404,A393,$D$5:$D$404,"Có")&lt;&gt;0,"Choice tương tác không được đánh dấu đáp án đúng",""),"Choice chưa chọn loại")))))))</f>
        <v/>
      </c>
    </row>
    <row r="394" spans="1:11">
      <c r="A394" s="13"/>
      <c r="B394" s="13"/>
      <c r="C394" s="5"/>
      <c r="D394" s="13"/>
      <c r="E394" s="13"/>
      <c r="F394" s="13"/>
      <c r="G394" s="13"/>
      <c r="H394" s="5"/>
      <c r="I394" s="5"/>
      <c r="J394" s="6" t="str">
        <f t="shared" si="6"/>
        <v/>
      </c>
      <c r="K394" s="6" t="str">
        <f>IF(A394="","",IF(COUNTIFS('02_KICH_BAN_NODES'!$B$5:$B$204,A394,'02_KICH_BAN_NODES'!$D$5:$D$204,"choice")=0,"ChoiceNodeId không tồn tại hoặc không phải choice",IF(COUNTIFS($A$5:$A$404,A394,$B$5:$B$404,B394)&gt;1,"Trùng OptionOrder trong cùng choice",IF(OR(B394="",C394="",D394="",F394="",H394=""),"Thiếu trường bắt buộc",IF(OR(COUNTIF($A$5:$A$404,A394)&lt;2,COUNTIF($A$5:$A$404,A394)&gt;4),"Mỗi choice cần 2–4 option",IF(COUNTIFS('02_KICH_BAN_NODES'!$B$5:$B$204,A394,'02_KICH_BAN_NODES'!$E$5:$E$204,"Kiến thức")=1,IF(COUNTIFS($A$5:$A$404,A394,$D$5:$D$404,"Có")&lt;&gt;1,"Choice kiến thức cần đúng 1 đáp án đúng",""),IF(COUNTIFS('02_KICH_BAN_NODES'!$B$5:$B$204,A394,'02_KICH_BAN_NODES'!$E$5:$E$204,"Tương tác")=1,IF(COUNTIFS($A$5:$A$404,A394,$D$5:$D$404,"Có")&lt;&gt;0,"Choice tương tác không được đánh dấu đáp án đúng",""),"Choice chưa chọn loại")))))))</f>
        <v/>
      </c>
    </row>
    <row r="395" spans="1:11">
      <c r="A395" s="13"/>
      <c r="B395" s="13"/>
      <c r="C395" s="5"/>
      <c r="D395" s="13"/>
      <c r="E395" s="13"/>
      <c r="F395" s="13"/>
      <c r="G395" s="13"/>
      <c r="H395" s="5"/>
      <c r="I395" s="5"/>
      <c r="J395" s="6" t="str">
        <f t="shared" si="6"/>
        <v/>
      </c>
      <c r="K395" s="6" t="str">
        <f>IF(A395="","",IF(COUNTIFS('02_KICH_BAN_NODES'!$B$5:$B$204,A395,'02_KICH_BAN_NODES'!$D$5:$D$204,"choice")=0,"ChoiceNodeId không tồn tại hoặc không phải choice",IF(COUNTIFS($A$5:$A$404,A395,$B$5:$B$404,B395)&gt;1,"Trùng OptionOrder trong cùng choice",IF(OR(B395="",C395="",D395="",F395="",H395=""),"Thiếu trường bắt buộc",IF(OR(COUNTIF($A$5:$A$404,A395)&lt;2,COUNTIF($A$5:$A$404,A395)&gt;4),"Mỗi choice cần 2–4 option",IF(COUNTIFS('02_KICH_BAN_NODES'!$B$5:$B$204,A395,'02_KICH_BAN_NODES'!$E$5:$E$204,"Kiến thức")=1,IF(COUNTIFS($A$5:$A$404,A395,$D$5:$D$404,"Có")&lt;&gt;1,"Choice kiến thức cần đúng 1 đáp án đúng",""),IF(COUNTIFS('02_KICH_BAN_NODES'!$B$5:$B$204,A395,'02_KICH_BAN_NODES'!$E$5:$E$204,"Tương tác")=1,IF(COUNTIFS($A$5:$A$404,A395,$D$5:$D$404,"Có")&lt;&gt;0,"Choice tương tác không được đánh dấu đáp án đúng",""),"Choice chưa chọn loại")))))))</f>
        <v/>
      </c>
    </row>
    <row r="396" spans="1:11">
      <c r="A396" s="13"/>
      <c r="B396" s="13"/>
      <c r="C396" s="5"/>
      <c r="D396" s="13"/>
      <c r="E396" s="13"/>
      <c r="F396" s="13"/>
      <c r="G396" s="13"/>
      <c r="H396" s="5"/>
      <c r="I396" s="5"/>
      <c r="J396" s="6" t="str">
        <f t="shared" si="6"/>
        <v/>
      </c>
      <c r="K396" s="6" t="str">
        <f>IF(A396="","",IF(COUNTIFS('02_KICH_BAN_NODES'!$B$5:$B$204,A396,'02_KICH_BAN_NODES'!$D$5:$D$204,"choice")=0,"ChoiceNodeId không tồn tại hoặc không phải choice",IF(COUNTIFS($A$5:$A$404,A396,$B$5:$B$404,B396)&gt;1,"Trùng OptionOrder trong cùng choice",IF(OR(B396="",C396="",D396="",F396="",H396=""),"Thiếu trường bắt buộc",IF(OR(COUNTIF($A$5:$A$404,A396)&lt;2,COUNTIF($A$5:$A$404,A396)&gt;4),"Mỗi choice cần 2–4 option",IF(COUNTIFS('02_KICH_BAN_NODES'!$B$5:$B$204,A396,'02_KICH_BAN_NODES'!$E$5:$E$204,"Kiến thức")=1,IF(COUNTIFS($A$5:$A$404,A396,$D$5:$D$404,"Có")&lt;&gt;1,"Choice kiến thức cần đúng 1 đáp án đúng",""),IF(COUNTIFS('02_KICH_BAN_NODES'!$B$5:$B$204,A396,'02_KICH_BAN_NODES'!$E$5:$E$204,"Tương tác")=1,IF(COUNTIFS($A$5:$A$404,A396,$D$5:$D$404,"Có")&lt;&gt;0,"Choice tương tác không được đánh dấu đáp án đúng",""),"Choice chưa chọn loại")))))))</f>
        <v/>
      </c>
    </row>
    <row r="397" spans="1:11">
      <c r="A397" s="13"/>
      <c r="B397" s="13"/>
      <c r="C397" s="5"/>
      <c r="D397" s="13"/>
      <c r="E397" s="13"/>
      <c r="F397" s="13"/>
      <c r="G397" s="13"/>
      <c r="H397" s="5"/>
      <c r="I397" s="5"/>
      <c r="J397" s="6" t="str">
        <f t="shared" si="6"/>
        <v/>
      </c>
      <c r="K397" s="6" t="str">
        <f>IF(A397="","",IF(COUNTIFS('02_KICH_BAN_NODES'!$B$5:$B$204,A397,'02_KICH_BAN_NODES'!$D$5:$D$204,"choice")=0,"ChoiceNodeId không tồn tại hoặc không phải choice",IF(COUNTIFS($A$5:$A$404,A397,$B$5:$B$404,B397)&gt;1,"Trùng OptionOrder trong cùng choice",IF(OR(B397="",C397="",D397="",F397="",H397=""),"Thiếu trường bắt buộc",IF(OR(COUNTIF($A$5:$A$404,A397)&lt;2,COUNTIF($A$5:$A$404,A397)&gt;4),"Mỗi choice cần 2–4 option",IF(COUNTIFS('02_KICH_BAN_NODES'!$B$5:$B$204,A397,'02_KICH_BAN_NODES'!$E$5:$E$204,"Kiến thức")=1,IF(COUNTIFS($A$5:$A$404,A397,$D$5:$D$404,"Có")&lt;&gt;1,"Choice kiến thức cần đúng 1 đáp án đúng",""),IF(COUNTIFS('02_KICH_BAN_NODES'!$B$5:$B$204,A397,'02_KICH_BAN_NODES'!$E$5:$E$204,"Tương tác")=1,IF(COUNTIFS($A$5:$A$404,A397,$D$5:$D$404,"Có")&lt;&gt;0,"Choice tương tác không được đánh dấu đáp án đúng",""),"Choice chưa chọn loại")))))))</f>
        <v/>
      </c>
    </row>
    <row r="398" spans="1:11">
      <c r="A398" s="13"/>
      <c r="B398" s="13"/>
      <c r="C398" s="5"/>
      <c r="D398" s="13"/>
      <c r="E398" s="13"/>
      <c r="F398" s="13"/>
      <c r="G398" s="13"/>
      <c r="H398" s="5"/>
      <c r="I398" s="5"/>
      <c r="J398" s="6" t="str">
        <f t="shared" si="6"/>
        <v/>
      </c>
      <c r="K398" s="6" t="str">
        <f>IF(A398="","",IF(COUNTIFS('02_KICH_BAN_NODES'!$B$5:$B$204,A398,'02_KICH_BAN_NODES'!$D$5:$D$204,"choice")=0,"ChoiceNodeId không tồn tại hoặc không phải choice",IF(COUNTIFS($A$5:$A$404,A398,$B$5:$B$404,B398)&gt;1,"Trùng OptionOrder trong cùng choice",IF(OR(B398="",C398="",D398="",F398="",H398=""),"Thiếu trường bắt buộc",IF(OR(COUNTIF($A$5:$A$404,A398)&lt;2,COUNTIF($A$5:$A$404,A398)&gt;4),"Mỗi choice cần 2–4 option",IF(COUNTIFS('02_KICH_BAN_NODES'!$B$5:$B$204,A398,'02_KICH_BAN_NODES'!$E$5:$E$204,"Kiến thức")=1,IF(COUNTIFS($A$5:$A$404,A398,$D$5:$D$404,"Có")&lt;&gt;1,"Choice kiến thức cần đúng 1 đáp án đúng",""),IF(COUNTIFS('02_KICH_BAN_NODES'!$B$5:$B$204,A398,'02_KICH_BAN_NODES'!$E$5:$E$204,"Tương tác")=1,IF(COUNTIFS($A$5:$A$404,A398,$D$5:$D$404,"Có")&lt;&gt;0,"Choice tương tác không được đánh dấu đáp án đúng",""),"Choice chưa chọn loại")))))))</f>
        <v/>
      </c>
    </row>
    <row r="399" spans="1:11">
      <c r="A399" s="13"/>
      <c r="B399" s="13"/>
      <c r="C399" s="5"/>
      <c r="D399" s="13"/>
      <c r="E399" s="13"/>
      <c r="F399" s="13"/>
      <c r="G399" s="13"/>
      <c r="H399" s="5"/>
      <c r="I399" s="5"/>
      <c r="J399" s="6" t="str">
        <f t="shared" si="6"/>
        <v/>
      </c>
      <c r="K399" s="6" t="str">
        <f>IF(A399="","",IF(COUNTIFS('02_KICH_BAN_NODES'!$B$5:$B$204,A399,'02_KICH_BAN_NODES'!$D$5:$D$204,"choice")=0,"ChoiceNodeId không tồn tại hoặc không phải choice",IF(COUNTIFS($A$5:$A$404,A399,$B$5:$B$404,B399)&gt;1,"Trùng OptionOrder trong cùng choice",IF(OR(B399="",C399="",D399="",F399="",H399=""),"Thiếu trường bắt buộc",IF(OR(COUNTIF($A$5:$A$404,A399)&lt;2,COUNTIF($A$5:$A$404,A399)&gt;4),"Mỗi choice cần 2–4 option",IF(COUNTIFS('02_KICH_BAN_NODES'!$B$5:$B$204,A399,'02_KICH_BAN_NODES'!$E$5:$E$204,"Kiến thức")=1,IF(COUNTIFS($A$5:$A$404,A399,$D$5:$D$404,"Có")&lt;&gt;1,"Choice kiến thức cần đúng 1 đáp án đúng",""),IF(COUNTIFS('02_KICH_BAN_NODES'!$B$5:$B$204,A399,'02_KICH_BAN_NODES'!$E$5:$E$204,"Tương tác")=1,IF(COUNTIFS($A$5:$A$404,A399,$D$5:$D$404,"Có")&lt;&gt;0,"Choice tương tác không được đánh dấu đáp án đúng",""),"Choice chưa chọn loại")))))))</f>
        <v/>
      </c>
    </row>
    <row r="400" spans="1:11">
      <c r="A400" s="13"/>
      <c r="B400" s="13"/>
      <c r="C400" s="5"/>
      <c r="D400" s="13"/>
      <c r="E400" s="13"/>
      <c r="F400" s="13"/>
      <c r="G400" s="13"/>
      <c r="H400" s="5"/>
      <c r="I400" s="5"/>
      <c r="J400" s="6" t="str">
        <f t="shared" si="6"/>
        <v/>
      </c>
      <c r="K400" s="6" t="str">
        <f>IF(A400="","",IF(COUNTIFS('02_KICH_BAN_NODES'!$B$5:$B$204,A400,'02_KICH_BAN_NODES'!$D$5:$D$204,"choice")=0,"ChoiceNodeId không tồn tại hoặc không phải choice",IF(COUNTIFS($A$5:$A$404,A400,$B$5:$B$404,B400)&gt;1,"Trùng OptionOrder trong cùng choice",IF(OR(B400="",C400="",D400="",F400="",H400=""),"Thiếu trường bắt buộc",IF(OR(COUNTIF($A$5:$A$404,A400)&lt;2,COUNTIF($A$5:$A$404,A400)&gt;4),"Mỗi choice cần 2–4 option",IF(COUNTIFS('02_KICH_BAN_NODES'!$B$5:$B$204,A400,'02_KICH_BAN_NODES'!$E$5:$E$204,"Kiến thức")=1,IF(COUNTIFS($A$5:$A$404,A400,$D$5:$D$404,"Có")&lt;&gt;1,"Choice kiến thức cần đúng 1 đáp án đúng",""),IF(COUNTIFS('02_KICH_BAN_NODES'!$B$5:$B$204,A400,'02_KICH_BAN_NODES'!$E$5:$E$204,"Tương tác")=1,IF(COUNTIFS($A$5:$A$404,A400,$D$5:$D$404,"Có")&lt;&gt;0,"Choice tương tác không được đánh dấu đáp án đúng",""),"Choice chưa chọn loại")))))))</f>
        <v/>
      </c>
    </row>
    <row r="401" spans="1:11">
      <c r="A401" s="13"/>
      <c r="B401" s="13"/>
      <c r="C401" s="5"/>
      <c r="D401" s="13"/>
      <c r="E401" s="13"/>
      <c r="F401" s="13"/>
      <c r="G401" s="13"/>
      <c r="H401" s="5"/>
      <c r="I401" s="5"/>
      <c r="J401" s="6" t="str">
        <f t="shared" si="6"/>
        <v/>
      </c>
      <c r="K401" s="6" t="str">
        <f>IF(A401="","",IF(COUNTIFS('02_KICH_BAN_NODES'!$B$5:$B$204,A401,'02_KICH_BAN_NODES'!$D$5:$D$204,"choice")=0,"ChoiceNodeId không tồn tại hoặc không phải choice",IF(COUNTIFS($A$5:$A$404,A401,$B$5:$B$404,B401)&gt;1,"Trùng OptionOrder trong cùng choice",IF(OR(B401="",C401="",D401="",F401="",H401=""),"Thiếu trường bắt buộc",IF(OR(COUNTIF($A$5:$A$404,A401)&lt;2,COUNTIF($A$5:$A$404,A401)&gt;4),"Mỗi choice cần 2–4 option",IF(COUNTIFS('02_KICH_BAN_NODES'!$B$5:$B$204,A401,'02_KICH_BAN_NODES'!$E$5:$E$204,"Kiến thức")=1,IF(COUNTIFS($A$5:$A$404,A401,$D$5:$D$404,"Có")&lt;&gt;1,"Choice kiến thức cần đúng 1 đáp án đúng",""),IF(COUNTIFS('02_KICH_BAN_NODES'!$B$5:$B$204,A401,'02_KICH_BAN_NODES'!$E$5:$E$204,"Tương tác")=1,IF(COUNTIFS($A$5:$A$404,A401,$D$5:$D$404,"Có")&lt;&gt;0,"Choice tương tác không được đánh dấu đáp án đúng",""),"Choice chưa chọn loại")))))))</f>
        <v/>
      </c>
    </row>
    <row r="402" spans="1:11">
      <c r="A402" s="13"/>
      <c r="B402" s="13"/>
      <c r="C402" s="5"/>
      <c r="D402" s="13"/>
      <c r="E402" s="13"/>
      <c r="F402" s="13"/>
      <c r="G402" s="13"/>
      <c r="H402" s="5"/>
      <c r="I402" s="5"/>
      <c r="J402" s="6" t="str">
        <f t="shared" si="6"/>
        <v/>
      </c>
      <c r="K402" s="6" t="str">
        <f>IF(A402="","",IF(COUNTIFS('02_KICH_BAN_NODES'!$B$5:$B$204,A402,'02_KICH_BAN_NODES'!$D$5:$D$204,"choice")=0,"ChoiceNodeId không tồn tại hoặc không phải choice",IF(COUNTIFS($A$5:$A$404,A402,$B$5:$B$404,B402)&gt;1,"Trùng OptionOrder trong cùng choice",IF(OR(B402="",C402="",D402="",F402="",H402=""),"Thiếu trường bắt buộc",IF(OR(COUNTIF($A$5:$A$404,A402)&lt;2,COUNTIF($A$5:$A$404,A402)&gt;4),"Mỗi choice cần 2–4 option",IF(COUNTIFS('02_KICH_BAN_NODES'!$B$5:$B$204,A402,'02_KICH_BAN_NODES'!$E$5:$E$204,"Kiến thức")=1,IF(COUNTIFS($A$5:$A$404,A402,$D$5:$D$404,"Có")&lt;&gt;1,"Choice kiến thức cần đúng 1 đáp án đúng",""),IF(COUNTIFS('02_KICH_BAN_NODES'!$B$5:$B$204,A402,'02_KICH_BAN_NODES'!$E$5:$E$204,"Tương tác")=1,IF(COUNTIFS($A$5:$A$404,A402,$D$5:$D$404,"Có")&lt;&gt;0,"Choice tương tác không được đánh dấu đáp án đúng",""),"Choice chưa chọn loại")))))))</f>
        <v/>
      </c>
    </row>
    <row r="403" spans="1:11">
      <c r="A403" s="13"/>
      <c r="B403" s="13"/>
      <c r="C403" s="5"/>
      <c r="D403" s="13"/>
      <c r="E403" s="13"/>
      <c r="F403" s="13"/>
      <c r="G403" s="13"/>
      <c r="H403" s="5"/>
      <c r="I403" s="5"/>
      <c r="J403" s="6" t="str">
        <f t="shared" si="6"/>
        <v/>
      </c>
      <c r="K403" s="6" t="str">
        <f>IF(A403="","",IF(COUNTIFS('02_KICH_BAN_NODES'!$B$5:$B$204,A403,'02_KICH_BAN_NODES'!$D$5:$D$204,"choice")=0,"ChoiceNodeId không tồn tại hoặc không phải choice",IF(COUNTIFS($A$5:$A$404,A403,$B$5:$B$404,B403)&gt;1,"Trùng OptionOrder trong cùng choice",IF(OR(B403="",C403="",D403="",F403="",H403=""),"Thiếu trường bắt buộc",IF(OR(COUNTIF($A$5:$A$404,A403)&lt;2,COUNTIF($A$5:$A$404,A403)&gt;4),"Mỗi choice cần 2–4 option",IF(COUNTIFS('02_KICH_BAN_NODES'!$B$5:$B$204,A403,'02_KICH_BAN_NODES'!$E$5:$E$204,"Kiến thức")=1,IF(COUNTIFS($A$5:$A$404,A403,$D$5:$D$404,"Có")&lt;&gt;1,"Choice kiến thức cần đúng 1 đáp án đúng",""),IF(COUNTIFS('02_KICH_BAN_NODES'!$B$5:$B$204,A403,'02_KICH_BAN_NODES'!$E$5:$E$204,"Tương tác")=1,IF(COUNTIFS($A$5:$A$404,A403,$D$5:$D$404,"Có")&lt;&gt;0,"Choice tương tác không được đánh dấu đáp án đúng",""),"Choice chưa chọn loại")))))))</f>
        <v/>
      </c>
    </row>
    <row r="404" spans="1:11">
      <c r="A404" s="13"/>
      <c r="B404" s="13"/>
      <c r="C404" s="5"/>
      <c r="D404" s="13"/>
      <c r="E404" s="13"/>
      <c r="F404" s="13"/>
      <c r="G404" s="13"/>
      <c r="H404" s="5"/>
      <c r="I404" s="5"/>
      <c r="J404" s="6" t="str">
        <f t="shared" si="6"/>
        <v/>
      </c>
      <c r="K404" s="6" t="str">
        <f>IF(A404="","",IF(COUNTIFS('02_KICH_BAN_NODES'!$B$5:$B$204,A404,'02_KICH_BAN_NODES'!$D$5:$D$204,"choice")=0,"ChoiceNodeId không tồn tại hoặc không phải choice",IF(COUNTIFS($A$5:$A$404,A404,$B$5:$B$404,B404)&gt;1,"Trùng OptionOrder trong cùng choice",IF(OR(B404="",C404="",D404="",F404="",H404=""),"Thiếu trường bắt buộc",IF(OR(COUNTIF($A$5:$A$404,A404)&lt;2,COUNTIF($A$5:$A$404,A404)&gt;4),"Mỗi choice cần 2–4 option",IF(COUNTIFS('02_KICH_BAN_NODES'!$B$5:$B$204,A404,'02_KICH_BAN_NODES'!$E$5:$E$204,"Kiến thức")=1,IF(COUNTIFS($A$5:$A$404,A404,$D$5:$D$404,"Có")&lt;&gt;1,"Choice kiến thức cần đúng 1 đáp án đúng",""),IF(COUNTIFS('02_KICH_BAN_NODES'!$B$5:$B$204,A404,'02_KICH_BAN_NODES'!$E$5:$E$204,"Tương tác")=1,IF(COUNTIFS($A$5:$A$404,A404,$D$5:$D$404,"Có")&lt;&gt;0,"Choice tương tác không được đánh dấu đáp án đúng",""),"Choice chưa chọn loại")))))))</f>
        <v/>
      </c>
    </row>
  </sheetData>
  <mergeCells count="2">
    <mergeCell ref="A1:K1"/>
    <mergeCell ref="A2:K2"/>
  </mergeCells>
  <conditionalFormatting sqref="D5:D404">
    <cfRule type="expression" dxfId="12" priority="4">
      <formula>D5="Có"</formula>
    </cfRule>
    <cfRule type="expression" dxfId="11" priority="5">
      <formula>D5="Không"</formula>
    </cfRule>
  </conditionalFormatting>
  <conditionalFormatting sqref="J5:J404">
    <cfRule type="expression" dxfId="10" priority="1">
      <formula>J5="HỢP LỆ"</formula>
    </cfRule>
    <cfRule type="expression" dxfId="9" priority="2">
      <formula>J5="CẦN SỬA"</formula>
    </cfRule>
  </conditionalFormatting>
  <conditionalFormatting sqref="K5:K404">
    <cfRule type="expression" dxfId="8" priority="3">
      <formula>K5&lt;&gt;""</formula>
    </cfRule>
  </conditionalFormatting>
  <dataValidations count="1">
    <dataValidation type="list" sqref="D5:D404" xr:uid="{00000000-0002-0000-0300-000000000000}">
      <formula1>"Có,Không"</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0"/>
  <sheetViews>
    <sheetView workbookViewId="0"/>
  </sheetViews>
  <sheetFormatPr defaultRowHeight="14.25"/>
  <cols>
    <col min="1" max="1" width="16" customWidth="1"/>
    <col min="2" max="2" width="22" customWidth="1"/>
    <col min="3" max="3" width="28" customWidth="1"/>
    <col min="4" max="4" width="18" customWidth="1"/>
    <col min="5" max="5" width="40" customWidth="1"/>
    <col min="6" max="6" width="18" customWidth="1"/>
    <col min="7" max="7" width="14" customWidth="1"/>
    <col min="8" max="8" width="32" customWidth="1"/>
    <col min="9" max="9" width="3" customWidth="1"/>
    <col min="10" max="10" width="14" customWidth="1"/>
    <col min="11" max="11" width="38" customWidth="1"/>
    <col min="12" max="12" width="42" customWidth="1"/>
  </cols>
  <sheetData>
    <row r="1" spans="1:12" ht="30" customHeight="1">
      <c r="A1" s="19" t="s">
        <v>166</v>
      </c>
      <c r="B1" s="19"/>
      <c r="C1" s="19"/>
      <c r="D1" s="19"/>
      <c r="E1" s="19"/>
      <c r="F1" s="19"/>
      <c r="G1" s="19"/>
      <c r="H1" s="19"/>
      <c r="I1" s="19"/>
      <c r="J1" s="19"/>
      <c r="K1" s="19"/>
      <c r="L1" s="19"/>
    </row>
    <row r="2" spans="1:12" ht="36" customHeight="1">
      <c r="A2" s="20" t="s">
        <v>167</v>
      </c>
      <c r="B2" s="20"/>
      <c r="C2" s="20"/>
      <c r="D2" s="20"/>
      <c r="E2" s="20"/>
      <c r="F2" s="20"/>
      <c r="G2" s="20"/>
      <c r="H2" s="20"/>
      <c r="I2" s="20"/>
      <c r="J2" s="20"/>
      <c r="K2" s="20"/>
      <c r="L2" s="20"/>
    </row>
    <row r="4" spans="1:12" ht="24" customHeight="1">
      <c r="A4" s="18" t="s">
        <v>168</v>
      </c>
      <c r="B4" s="18"/>
      <c r="C4" s="18"/>
      <c r="D4" s="18" t="s">
        <v>169</v>
      </c>
      <c r="E4" s="18"/>
      <c r="F4" s="18"/>
      <c r="G4" s="18" t="s">
        <v>170</v>
      </c>
      <c r="H4" s="18"/>
      <c r="J4" s="18" t="s">
        <v>171</v>
      </c>
      <c r="K4" s="18"/>
      <c r="L4" s="18"/>
    </row>
    <row r="5" spans="1:12" ht="39.950000000000003" customHeight="1">
      <c r="A5" s="1" t="s">
        <v>150</v>
      </c>
      <c r="B5" s="1" t="s">
        <v>172</v>
      </c>
      <c r="C5" s="1" t="s">
        <v>173</v>
      </c>
      <c r="D5" s="1" t="s">
        <v>174</v>
      </c>
      <c r="E5" s="1" t="s">
        <v>175</v>
      </c>
      <c r="F5" s="1" t="s">
        <v>176</v>
      </c>
      <c r="G5" s="1" t="s">
        <v>177</v>
      </c>
      <c r="H5" s="1" t="s">
        <v>178</v>
      </c>
      <c r="J5" s="1" t="s">
        <v>179</v>
      </c>
      <c r="K5" s="1" t="s">
        <v>180</v>
      </c>
      <c r="L5" s="1" t="s">
        <v>181</v>
      </c>
    </row>
    <row r="6" spans="1:12">
      <c r="A6" s="2" t="s">
        <v>182</v>
      </c>
      <c r="B6" s="2"/>
      <c r="C6" s="2" t="s">
        <v>76</v>
      </c>
      <c r="D6" s="2" t="s">
        <v>183</v>
      </c>
      <c r="E6" s="2" t="s">
        <v>184</v>
      </c>
      <c r="F6" s="2" t="s">
        <v>185</v>
      </c>
      <c r="G6" s="2" t="s">
        <v>186</v>
      </c>
      <c r="H6" s="2" t="s">
        <v>187</v>
      </c>
      <c r="I6" s="2"/>
      <c r="J6" s="2" t="s">
        <v>188</v>
      </c>
      <c r="K6" s="2" t="s">
        <v>189</v>
      </c>
      <c r="L6" s="2" t="s">
        <v>190</v>
      </c>
    </row>
    <row r="7" spans="1:12">
      <c r="A7" s="2" t="s">
        <v>191</v>
      </c>
      <c r="B7" s="2" t="s">
        <v>192</v>
      </c>
      <c r="C7" s="2" t="s">
        <v>193</v>
      </c>
      <c r="D7" s="2" t="s">
        <v>194</v>
      </c>
      <c r="E7" s="2" t="s">
        <v>195</v>
      </c>
      <c r="F7" s="2" t="s">
        <v>185</v>
      </c>
      <c r="G7" s="2" t="s">
        <v>196</v>
      </c>
      <c r="H7" s="2" t="s">
        <v>197</v>
      </c>
      <c r="I7" s="2"/>
      <c r="J7" s="2" t="s">
        <v>198</v>
      </c>
      <c r="K7" s="2" t="s">
        <v>199</v>
      </c>
      <c r="L7" s="2" t="s">
        <v>200</v>
      </c>
    </row>
    <row r="8" spans="1:12" ht="28.5">
      <c r="A8" s="2" t="s">
        <v>201</v>
      </c>
      <c r="B8" s="2" t="s">
        <v>202</v>
      </c>
      <c r="C8" s="2" t="s">
        <v>203</v>
      </c>
      <c r="D8" s="2" t="s">
        <v>204</v>
      </c>
      <c r="E8" s="2" t="s">
        <v>205</v>
      </c>
      <c r="F8" s="2" t="s">
        <v>185</v>
      </c>
      <c r="G8" s="2" t="s">
        <v>206</v>
      </c>
      <c r="H8" s="2" t="s">
        <v>207</v>
      </c>
      <c r="I8" s="2"/>
      <c r="J8" s="2" t="s">
        <v>208</v>
      </c>
      <c r="K8" s="2" t="s">
        <v>209</v>
      </c>
      <c r="L8" s="2" t="s">
        <v>210</v>
      </c>
    </row>
    <row r="9" spans="1:12">
      <c r="A9" s="2" t="s">
        <v>211</v>
      </c>
      <c r="B9" s="2" t="s">
        <v>212</v>
      </c>
      <c r="C9" s="2" t="s">
        <v>213</v>
      </c>
      <c r="D9" s="5"/>
      <c r="E9" s="5"/>
      <c r="F9" s="5"/>
      <c r="G9" s="2" t="s">
        <v>214</v>
      </c>
      <c r="H9" s="2" t="s">
        <v>215</v>
      </c>
      <c r="I9" s="2"/>
      <c r="J9" s="2" t="s">
        <v>216</v>
      </c>
      <c r="K9" s="2" t="s">
        <v>153</v>
      </c>
      <c r="L9" s="2" t="s">
        <v>217</v>
      </c>
    </row>
    <row r="10" spans="1:12">
      <c r="A10" s="2" t="s">
        <v>218</v>
      </c>
      <c r="B10" s="2" t="s">
        <v>219</v>
      </c>
      <c r="C10" s="2" t="s">
        <v>220</v>
      </c>
      <c r="D10" s="5"/>
      <c r="E10" s="5"/>
      <c r="F10" s="5"/>
      <c r="G10" s="2"/>
      <c r="H10" s="2"/>
      <c r="I10" s="2"/>
      <c r="J10" s="2" t="s">
        <v>221</v>
      </c>
      <c r="K10" s="2" t="s">
        <v>222</v>
      </c>
      <c r="L10" s="2" t="s">
        <v>223</v>
      </c>
    </row>
    <row r="11" spans="1:12">
      <c r="A11" s="2" t="s">
        <v>224</v>
      </c>
      <c r="B11" s="2" t="s">
        <v>225</v>
      </c>
      <c r="C11" s="2" t="s">
        <v>226</v>
      </c>
      <c r="D11" s="5"/>
      <c r="E11" s="5"/>
      <c r="F11" s="5"/>
      <c r="G11" s="2"/>
      <c r="H11" s="2"/>
      <c r="I11" s="2"/>
      <c r="J11" s="2"/>
      <c r="K11" s="2"/>
      <c r="L11" s="2"/>
    </row>
    <row r="12" spans="1:12">
      <c r="A12" s="5"/>
      <c r="B12" s="5"/>
      <c r="C12" s="5"/>
      <c r="D12" s="5"/>
      <c r="E12" s="5"/>
      <c r="F12" s="5"/>
      <c r="G12" s="2"/>
      <c r="H12" s="2"/>
      <c r="I12" s="2"/>
      <c r="J12" s="2"/>
      <c r="K12" s="2"/>
      <c r="L12" s="2"/>
    </row>
    <row r="13" spans="1:12">
      <c r="A13" s="5"/>
      <c r="B13" s="5"/>
      <c r="C13" s="5"/>
      <c r="D13" s="5"/>
      <c r="E13" s="5"/>
      <c r="F13" s="5"/>
      <c r="G13" s="2"/>
      <c r="H13" s="2"/>
      <c r="I13" s="2"/>
      <c r="J13" s="2"/>
      <c r="K13" s="2"/>
      <c r="L13" s="2"/>
    </row>
    <row r="14" spans="1:12">
      <c r="A14" s="5"/>
      <c r="B14" s="5"/>
      <c r="C14" s="5"/>
      <c r="D14" s="5"/>
      <c r="E14" s="5"/>
      <c r="F14" s="5"/>
      <c r="G14" s="2"/>
      <c r="H14" s="2"/>
      <c r="I14" s="2"/>
      <c r="J14" s="2"/>
      <c r="K14" s="2"/>
      <c r="L14" s="2"/>
    </row>
    <row r="15" spans="1:12">
      <c r="A15" s="5"/>
      <c r="B15" s="5"/>
      <c r="C15" s="5"/>
      <c r="D15" s="5"/>
      <c r="E15" s="5"/>
      <c r="F15" s="5"/>
      <c r="G15" s="2"/>
      <c r="H15" s="2"/>
      <c r="I15" s="2"/>
      <c r="J15" s="2"/>
      <c r="K15" s="2"/>
      <c r="L15" s="2"/>
    </row>
    <row r="16" spans="1:12">
      <c r="A16" s="5"/>
      <c r="B16" s="5"/>
      <c r="C16" s="5"/>
      <c r="D16" s="5"/>
      <c r="E16" s="5"/>
      <c r="F16" s="5"/>
      <c r="G16" s="2"/>
      <c r="H16" s="2"/>
      <c r="I16" s="2"/>
      <c r="J16" s="2"/>
      <c r="K16" s="2"/>
      <c r="L16" s="2"/>
    </row>
    <row r="17" spans="1:12">
      <c r="A17" s="5"/>
      <c r="B17" s="5"/>
      <c r="C17" s="5"/>
      <c r="D17" s="5"/>
      <c r="E17" s="5"/>
      <c r="F17" s="5"/>
      <c r="G17" s="2"/>
      <c r="H17" s="2"/>
      <c r="I17" s="2"/>
      <c r="J17" s="2"/>
      <c r="K17" s="2"/>
      <c r="L17" s="2"/>
    </row>
    <row r="18" spans="1:12">
      <c r="A18" s="5"/>
      <c r="B18" s="5"/>
      <c r="C18" s="5"/>
      <c r="D18" s="5"/>
      <c r="E18" s="5"/>
      <c r="F18" s="5"/>
      <c r="G18" s="2"/>
      <c r="H18" s="2"/>
      <c r="I18" s="2"/>
      <c r="J18" s="2"/>
      <c r="K18" s="2"/>
      <c r="L18" s="2"/>
    </row>
    <row r="19" spans="1:12">
      <c r="A19" s="5"/>
      <c r="B19" s="5"/>
      <c r="C19" s="5"/>
      <c r="D19" s="5"/>
      <c r="E19" s="5"/>
      <c r="F19" s="5"/>
      <c r="G19" s="2"/>
      <c r="H19" s="2"/>
      <c r="I19" s="2"/>
      <c r="J19" s="2"/>
      <c r="K19" s="2"/>
      <c r="L19" s="2"/>
    </row>
    <row r="20" spans="1:12">
      <c r="A20" s="5"/>
      <c r="B20" s="5"/>
      <c r="C20" s="5"/>
      <c r="D20" s="5"/>
      <c r="E20" s="5"/>
      <c r="F20" s="5"/>
      <c r="G20" s="2"/>
      <c r="H20" s="2"/>
      <c r="I20" s="2"/>
      <c r="J20" s="2"/>
      <c r="K20" s="2"/>
      <c r="L20" s="2"/>
    </row>
  </sheetData>
  <mergeCells count="6">
    <mergeCell ref="A1:L1"/>
    <mergeCell ref="A2:L2"/>
    <mergeCell ref="A4:C4"/>
    <mergeCell ref="D4:F4"/>
    <mergeCell ref="G4:H4"/>
    <mergeCell ref="J4:L4"/>
  </mergeCells>
  <dataValidations count="1">
    <dataValidation type="list" sqref="F6:F20" xr:uid="{00000000-0002-0000-0400-000000000000}">
      <formula1>"Có sẵn,Cần dev bổ sung,Đang làm,Đã duyệt"</formula1>
    </dataValidation>
  </dataValidations>
  <pageMargins left="0.7" right="0.7" top="0.75" bottom="0.75" header="0.3" footer="0.3"/>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18"/>
  <sheetViews>
    <sheetView workbookViewId="0"/>
  </sheetViews>
  <sheetFormatPr defaultRowHeight="14.25"/>
  <cols>
    <col min="1" max="2" width="16" customWidth="1"/>
    <col min="3" max="3" width="14" customWidth="1"/>
    <col min="4" max="4" width="18" customWidth="1"/>
    <col min="5" max="5" width="16" customWidth="1"/>
    <col min="6" max="6" width="42" customWidth="1"/>
    <col min="7" max="7" width="4" customWidth="1"/>
    <col min="8" max="8" width="34" customWidth="1"/>
    <col min="9" max="9" width="20" customWidth="1"/>
  </cols>
  <sheetData>
    <row r="1" spans="1:9" ht="30" customHeight="1">
      <c r="A1" s="19" t="s">
        <v>227</v>
      </c>
      <c r="B1" s="19"/>
      <c r="C1" s="19"/>
      <c r="D1" s="19"/>
      <c r="E1" s="19"/>
      <c r="F1" s="19"/>
      <c r="G1" s="19"/>
      <c r="H1" s="19"/>
      <c r="I1" s="19"/>
    </row>
    <row r="2" spans="1:9" ht="36" customHeight="1">
      <c r="A2" s="20" t="s">
        <v>228</v>
      </c>
      <c r="B2" s="20"/>
      <c r="C2" s="20"/>
      <c r="D2" s="20"/>
      <c r="E2" s="20"/>
      <c r="F2" s="20"/>
      <c r="G2" s="20"/>
      <c r="H2" s="20"/>
      <c r="I2" s="20"/>
    </row>
    <row r="4" spans="1:9" ht="24" customHeight="1">
      <c r="A4" s="18" t="s">
        <v>229</v>
      </c>
      <c r="B4" s="18"/>
      <c r="C4" s="18"/>
      <c r="D4" s="18"/>
      <c r="E4" s="18"/>
      <c r="F4" s="18"/>
      <c r="G4" s="18"/>
      <c r="H4" s="18"/>
      <c r="I4" s="18"/>
    </row>
    <row r="5" spans="1:9" ht="39.950000000000003" customHeight="1">
      <c r="A5" s="1" t="s">
        <v>230</v>
      </c>
      <c r="B5" s="1" t="s">
        <v>231</v>
      </c>
      <c r="C5" s="1" t="s">
        <v>232</v>
      </c>
      <c r="D5" s="1" t="s">
        <v>233</v>
      </c>
      <c r="E5" s="1" t="s">
        <v>234</v>
      </c>
      <c r="F5" s="1" t="s">
        <v>235</v>
      </c>
      <c r="G5" s="1" t="s">
        <v>236</v>
      </c>
      <c r="H5" s="1" t="s">
        <v>237</v>
      </c>
    </row>
    <row r="6" spans="1:9" ht="27.95" customHeight="1">
      <c r="A6" s="14">
        <f>COUNT('02_KICH_BAN_NODES'!A5:A204)</f>
        <v>33</v>
      </c>
      <c r="B6" s="14">
        <f>COUNTIF('02_KICH_BAN_NODES'!D5:D204,"scene")</f>
        <v>3</v>
      </c>
      <c r="C6" s="14">
        <f>COUNTIF('02_KICH_BAN_NODES'!D5:D204,"say")</f>
        <v>7</v>
      </c>
      <c r="D6" s="14">
        <f>COUNTIF('02_KICH_BAN_NODES'!D5:D204,"choice")</f>
        <v>19</v>
      </c>
      <c r="E6" s="14">
        <f>COUNTIF('02_KICH_BAN_NODES'!D5:D204,"act")</f>
        <v>3</v>
      </c>
      <c r="F6" s="14">
        <f>COUNTIF('02_KICH_BAN_NODES'!D5:D204,"end")</f>
        <v>1</v>
      </c>
      <c r="G6" s="14">
        <f>COUNTIF('02_KICH_BAN_NODES'!M5:M204,"CẦN SỬA")</f>
        <v>0</v>
      </c>
      <c r="H6" s="14">
        <f>COUNTIF('03_LUA_CHON'!J5:J404,"CẦN SỬA")</f>
        <v>0</v>
      </c>
    </row>
    <row r="8" spans="1:9" ht="24" customHeight="1">
      <c r="A8" s="18" t="s">
        <v>238</v>
      </c>
      <c r="B8" s="18"/>
      <c r="C8" s="18"/>
      <c r="D8" s="18"/>
      <c r="E8" s="18"/>
      <c r="F8" s="18"/>
      <c r="G8" s="18"/>
      <c r="H8" s="18"/>
      <c r="I8" s="18"/>
    </row>
    <row r="9" spans="1:9" ht="39.950000000000003" customHeight="1">
      <c r="A9" s="1" t="s">
        <v>239</v>
      </c>
      <c r="B9" s="1" t="s">
        <v>85</v>
      </c>
      <c r="C9" s="1" t="s">
        <v>240</v>
      </c>
      <c r="D9" s="1" t="s">
        <v>75</v>
      </c>
    </row>
    <row r="10" spans="1:9" ht="29.25">
      <c r="A10" s="2" t="s">
        <v>241</v>
      </c>
      <c r="B10" s="6">
        <f>F6</f>
        <v>1</v>
      </c>
      <c r="C10" s="6" t="str">
        <f>IF(B10=1,"HỢP LỆ","CẦN SỬA")</f>
        <v>HỢP LỆ</v>
      </c>
      <c r="D10" s="2" t="s">
        <v>242</v>
      </c>
    </row>
    <row r="11" spans="1:9" ht="29.25">
      <c r="A11" s="2" t="s">
        <v>243</v>
      </c>
      <c r="B11" s="6">
        <f>G6</f>
        <v>0</v>
      </c>
      <c r="C11" s="6" t="str">
        <f>IF(B11=0,"HỢP LỆ","CẦN SỬA")</f>
        <v>HỢP LỆ</v>
      </c>
      <c r="D11" s="2" t="s">
        <v>244</v>
      </c>
    </row>
    <row r="12" spans="1:9" ht="29.25">
      <c r="A12" s="2" t="s">
        <v>245</v>
      </c>
      <c r="B12" s="6">
        <f>H6</f>
        <v>0</v>
      </c>
      <c r="C12" s="6" t="str">
        <f>IF(B12=0,"HỢP LỆ","CẦN SỬA")</f>
        <v>HỢP LỆ</v>
      </c>
      <c r="D12" s="2" t="s">
        <v>246</v>
      </c>
    </row>
    <row r="13" spans="1:9" ht="29.25">
      <c r="A13" s="2" t="s">
        <v>247</v>
      </c>
      <c r="B13" s="6">
        <f>B6</f>
        <v>3</v>
      </c>
      <c r="C13" s="6" t="str">
        <f>IF(AND(B13&gt;=2,B13&lt;=4),"HỢP LỆ","CẢNH BÁO")</f>
        <v>HỢP LỆ</v>
      </c>
      <c r="D13" s="2" t="s">
        <v>248</v>
      </c>
    </row>
    <row r="14" spans="1:9" ht="29.25">
      <c r="A14" s="2" t="s">
        <v>249</v>
      </c>
      <c r="B14" s="6" t="str">
        <f>'01_THONG_TIN_PHIM'!B22</f>
        <v>KHÔNG</v>
      </c>
      <c r="C14" s="6" t="str">
        <f>IF(B14="CÓ","HỢP LỆ","CẦN SỬA")</f>
        <v>CẦN SỬA</v>
      </c>
      <c r="D14" s="2" t="s">
        <v>250</v>
      </c>
    </row>
    <row r="15" spans="1:9" ht="30">
      <c r="A15" s="2" t="s">
        <v>251</v>
      </c>
      <c r="B15" s="6" t="str">
        <f>IF(AND(C10="HỢP LỆ",C11="HỢP LỆ",C12="HỢP LỆ",C14="HỢP LỆ"),"SẴN SÀNG","CHƯA SẴN SÀNG")</f>
        <v>CHƯA SẴN SÀNG</v>
      </c>
      <c r="C15" s="6" t="str">
        <f>B15</f>
        <v>CHƯA SẴN SÀNG</v>
      </c>
      <c r="D15" s="2" t="s">
        <v>252</v>
      </c>
    </row>
    <row r="17" spans="1:9" ht="24" customHeight="1">
      <c r="A17" s="18" t="s">
        <v>253</v>
      </c>
      <c r="B17" s="18"/>
      <c r="C17" s="18"/>
      <c r="D17" s="18"/>
      <c r="E17" s="18"/>
      <c r="F17" s="18"/>
      <c r="H17" s="18" t="s">
        <v>254</v>
      </c>
      <c r="I17" s="18"/>
    </row>
    <row r="18" spans="1:9" ht="39.950000000000003" customHeight="1">
      <c r="A18" s="1" t="s">
        <v>255</v>
      </c>
      <c r="B18" s="1" t="s">
        <v>147</v>
      </c>
      <c r="C18" s="1" t="s">
        <v>256</v>
      </c>
      <c r="D18" s="1" t="s">
        <v>257</v>
      </c>
      <c r="E18" s="1" t="s">
        <v>135</v>
      </c>
      <c r="F18" s="1" t="s">
        <v>258</v>
      </c>
      <c r="H18" s="1" t="s">
        <v>259</v>
      </c>
      <c r="I18" s="1" t="s">
        <v>260</v>
      </c>
    </row>
    <row r="19" spans="1:9">
      <c r="A19" s="2" t="str">
        <f>IF('02_KICH_BAN_NODES'!D5="choice",'02_KICH_BAN_NODES'!B5,"")</f>
        <v/>
      </c>
      <c r="B19" s="2" t="str">
        <f>IF(A19="","",'02_KICH_BAN_NODES'!E5)</f>
        <v/>
      </c>
      <c r="C19" s="2" t="str">
        <f>IF(A19="","",COUNTIF('03_LUA_CHON'!$A$5:$A$404,A19))</f>
        <v/>
      </c>
      <c r="D19" s="2" t="str">
        <f>IF(A19="","",COUNTIFS('03_LUA_CHON'!$A$5:$A$404,A19,'03_LUA_CHON'!$D$5:$D$404,"Có"))</f>
        <v/>
      </c>
      <c r="E19" s="2" t="str">
        <f t="shared" ref="E19:E50" si="0">IF(A19="","",IF(OR(C19&lt;2,C19&gt;4),"CẦN SỬA",IF(AND(B19="Kiến thức",D19=1),"HỢP LỆ",IF(AND(B19="Tương tác",D19=0),"HỢP LỆ","CẦN SỬA"))))</f>
        <v/>
      </c>
      <c r="F19" s="2" t="str">
        <f t="shared" ref="F19:F50" si="1">IF(A19="","",IF(OR(C19&lt;2,C19&gt;4),"Cần 2–4 option",IF(AND(B19="Kiến thức",D19&lt;&gt;1),"Câu kiến thức cần đúng 1 đáp án đúng",IF(AND(B19="Tương tác",D19&lt;&gt;0),"Câu tương tác không có đáp án đúng",IF(B19="","Thiếu ChoiceMode","")))))</f>
        <v/>
      </c>
      <c r="H19" s="2" t="s">
        <v>261</v>
      </c>
      <c r="I19" s="5" t="s">
        <v>262</v>
      </c>
    </row>
    <row r="20" spans="1:9">
      <c r="A20" s="2" t="str">
        <f>IF('02_KICH_BAN_NODES'!D6="choice",'02_KICH_BAN_NODES'!B6,"")</f>
        <v/>
      </c>
      <c r="B20" s="2" t="str">
        <f>IF(A20="","",'02_KICH_BAN_NODES'!E6)</f>
        <v/>
      </c>
      <c r="C20" s="2" t="str">
        <f>IF(A20="","",COUNTIF('03_LUA_CHON'!$A$5:$A$404,A20))</f>
        <v/>
      </c>
      <c r="D20" s="2" t="str">
        <f>IF(A20="","",COUNTIFS('03_LUA_CHON'!$A$5:$A$404,A20,'03_LUA_CHON'!$D$5:$D$404,"Có"))</f>
        <v/>
      </c>
      <c r="E20" s="2" t="str">
        <f t="shared" si="0"/>
        <v/>
      </c>
      <c r="F20" s="2" t="str">
        <f t="shared" si="1"/>
        <v/>
      </c>
      <c r="H20" s="2" t="s">
        <v>263</v>
      </c>
      <c r="I20" s="5" t="s">
        <v>262</v>
      </c>
    </row>
    <row r="21" spans="1:9">
      <c r="A21" s="2" t="str">
        <f>IF('02_KICH_BAN_NODES'!D7="choice",'02_KICH_BAN_NODES'!B7,"")</f>
        <v/>
      </c>
      <c r="B21" s="2" t="str">
        <f>IF(A21="","",'02_KICH_BAN_NODES'!E7)</f>
        <v/>
      </c>
      <c r="C21" s="2" t="str">
        <f>IF(A21="","",COUNTIF('03_LUA_CHON'!$A$5:$A$404,A21))</f>
        <v/>
      </c>
      <c r="D21" s="2" t="str">
        <f>IF(A21="","",COUNTIFS('03_LUA_CHON'!$A$5:$A$404,A21,'03_LUA_CHON'!$D$5:$D$404,"Có"))</f>
        <v/>
      </c>
      <c r="E21" s="2" t="str">
        <f t="shared" si="0"/>
        <v/>
      </c>
      <c r="F21" s="2" t="str">
        <f t="shared" si="1"/>
        <v/>
      </c>
      <c r="H21" s="2" t="s">
        <v>264</v>
      </c>
      <c r="I21" s="5" t="s">
        <v>262</v>
      </c>
    </row>
    <row r="22" spans="1:9" ht="15">
      <c r="A22" s="2" t="str">
        <f>IF('02_KICH_BAN_NODES'!D8="choice",'02_KICH_BAN_NODES'!B8,"")</f>
        <v>N004</v>
      </c>
      <c r="B22" s="2" t="str">
        <f>IF(A22="","",'02_KICH_BAN_NODES'!E8)</f>
        <v>Tương tác</v>
      </c>
      <c r="C22" s="2">
        <f>IF(A22="","",COUNTIF('03_LUA_CHON'!$A$5:$A$404,A22))</f>
        <v>2</v>
      </c>
      <c r="D22" s="2">
        <f>IF(A22="","",COUNTIFS('03_LUA_CHON'!$A$5:$A$404,A22,'03_LUA_CHON'!$D$5:$D$404,"Có"))</f>
        <v>0</v>
      </c>
      <c r="E22" s="2" t="str">
        <f t="shared" si="0"/>
        <v>HỢP LỆ</v>
      </c>
      <c r="F22" s="2" t="str">
        <f t="shared" si="1"/>
        <v/>
      </c>
      <c r="H22" s="2" t="s">
        <v>265</v>
      </c>
      <c r="I22" s="5" t="s">
        <v>262</v>
      </c>
    </row>
    <row r="23" spans="1:9" ht="15">
      <c r="A23" s="2" t="str">
        <f>IF('02_KICH_BAN_NODES'!D9="choice",'02_KICH_BAN_NODES'!B9,"")</f>
        <v>N005</v>
      </c>
      <c r="B23" s="2" t="str">
        <f>IF(A23="","",'02_KICH_BAN_NODES'!E9)</f>
        <v>Kiến thức</v>
      </c>
      <c r="C23" s="2">
        <f>IF(A23="","",COUNTIF('03_LUA_CHON'!$A$5:$A$404,A23))</f>
        <v>3</v>
      </c>
      <c r="D23" s="2">
        <f>IF(A23="","",COUNTIFS('03_LUA_CHON'!$A$5:$A$404,A23,'03_LUA_CHON'!$D$5:$D$404,"Có"))</f>
        <v>1</v>
      </c>
      <c r="E23" s="2" t="str">
        <f t="shared" si="0"/>
        <v>HỢP LỆ</v>
      </c>
      <c r="F23" s="2" t="str">
        <f t="shared" si="1"/>
        <v/>
      </c>
      <c r="H23" s="2" t="s">
        <v>266</v>
      </c>
      <c r="I23" s="5" t="s">
        <v>262</v>
      </c>
    </row>
    <row r="24" spans="1:9" ht="15">
      <c r="A24" s="2" t="str">
        <f>IF('02_KICH_BAN_NODES'!D10="choice",'02_KICH_BAN_NODES'!B10,"")</f>
        <v>N006</v>
      </c>
      <c r="B24" s="2" t="str">
        <f>IF(A24="","",'02_KICH_BAN_NODES'!E10)</f>
        <v>Kiến thức</v>
      </c>
      <c r="C24" s="2">
        <f>IF(A24="","",COUNTIF('03_LUA_CHON'!$A$5:$A$404,A24))</f>
        <v>3</v>
      </c>
      <c r="D24" s="2">
        <f>IF(A24="","",COUNTIFS('03_LUA_CHON'!$A$5:$A$404,A24,'03_LUA_CHON'!$D$5:$D$404,"Có"))</f>
        <v>1</v>
      </c>
      <c r="E24" s="2" t="str">
        <f t="shared" si="0"/>
        <v>HỢP LỆ</v>
      </c>
      <c r="F24" s="2" t="str">
        <f t="shared" si="1"/>
        <v/>
      </c>
      <c r="H24" s="2" t="s">
        <v>267</v>
      </c>
      <c r="I24" s="5" t="s">
        <v>262</v>
      </c>
    </row>
    <row r="25" spans="1:9" ht="15">
      <c r="A25" s="2" t="str">
        <f>IF('02_KICH_BAN_NODES'!D11="choice",'02_KICH_BAN_NODES'!B11,"")</f>
        <v>N007</v>
      </c>
      <c r="B25" s="2" t="str">
        <f>IF(A25="","",'02_KICH_BAN_NODES'!E11)</f>
        <v>Kiến thức</v>
      </c>
      <c r="C25" s="2">
        <f>IF(A25="","",COUNTIF('03_LUA_CHON'!$A$5:$A$404,A25))</f>
        <v>3</v>
      </c>
      <c r="D25" s="2">
        <f>IF(A25="","",COUNTIFS('03_LUA_CHON'!$A$5:$A$404,A25,'03_LUA_CHON'!$D$5:$D$404,"Có"))</f>
        <v>1</v>
      </c>
      <c r="E25" s="2" t="str">
        <f t="shared" si="0"/>
        <v>HỢP LỆ</v>
      </c>
      <c r="F25" s="2" t="str">
        <f t="shared" si="1"/>
        <v/>
      </c>
      <c r="H25" s="2" t="s">
        <v>268</v>
      </c>
      <c r="I25" s="5" t="s">
        <v>262</v>
      </c>
    </row>
    <row r="26" spans="1:9" ht="15">
      <c r="A26" s="2" t="str">
        <f>IF('02_KICH_BAN_NODES'!D12="choice",'02_KICH_BAN_NODES'!B12,"")</f>
        <v>N008</v>
      </c>
      <c r="B26" s="2" t="str">
        <f>IF(A26="","",'02_KICH_BAN_NODES'!E12)</f>
        <v>Kiến thức</v>
      </c>
      <c r="C26" s="2">
        <f>IF(A26="","",COUNTIF('03_LUA_CHON'!$A$5:$A$404,A26))</f>
        <v>3</v>
      </c>
      <c r="D26" s="2">
        <f>IF(A26="","",COUNTIFS('03_LUA_CHON'!$A$5:$A$404,A26,'03_LUA_CHON'!$D$5:$D$404,"Có"))</f>
        <v>1</v>
      </c>
      <c r="E26" s="2" t="str">
        <f t="shared" si="0"/>
        <v>HỢP LỆ</v>
      </c>
      <c r="F26" s="2" t="str">
        <f t="shared" si="1"/>
        <v/>
      </c>
    </row>
    <row r="27" spans="1:9" ht="15">
      <c r="A27" s="2" t="str">
        <f>IF('02_KICH_BAN_NODES'!D13="choice",'02_KICH_BAN_NODES'!B13,"")</f>
        <v>N009</v>
      </c>
      <c r="B27" s="2" t="str">
        <f>IF(A27="","",'02_KICH_BAN_NODES'!E13)</f>
        <v>Kiến thức</v>
      </c>
      <c r="C27" s="2">
        <f>IF(A27="","",COUNTIF('03_LUA_CHON'!$A$5:$A$404,A27))</f>
        <v>3</v>
      </c>
      <c r="D27" s="2">
        <f>IF(A27="","",COUNTIFS('03_LUA_CHON'!$A$5:$A$404,A27,'03_LUA_CHON'!$D$5:$D$404,"Có"))</f>
        <v>1</v>
      </c>
      <c r="E27" s="2" t="str">
        <f t="shared" si="0"/>
        <v>HỢP LỆ</v>
      </c>
      <c r="F27" s="2" t="str">
        <f t="shared" si="1"/>
        <v/>
      </c>
    </row>
    <row r="28" spans="1:9" ht="15">
      <c r="A28" s="2" t="str">
        <f>IF('02_KICH_BAN_NODES'!D14="choice",'02_KICH_BAN_NODES'!B14,"")</f>
        <v>N010</v>
      </c>
      <c r="B28" s="2" t="str">
        <f>IF(A28="","",'02_KICH_BAN_NODES'!E14)</f>
        <v>Kiến thức</v>
      </c>
      <c r="C28" s="2">
        <f>IF(A28="","",COUNTIF('03_LUA_CHON'!$A$5:$A$404,A28))</f>
        <v>3</v>
      </c>
      <c r="D28" s="2">
        <f>IF(A28="","",COUNTIFS('03_LUA_CHON'!$A$5:$A$404,A28,'03_LUA_CHON'!$D$5:$D$404,"Có"))</f>
        <v>1</v>
      </c>
      <c r="E28" s="2" t="str">
        <f t="shared" si="0"/>
        <v>HỢP LỆ</v>
      </c>
      <c r="F28" s="2" t="str">
        <f t="shared" si="1"/>
        <v/>
      </c>
    </row>
    <row r="29" spans="1:9">
      <c r="A29" s="2" t="str">
        <f>IF('02_KICH_BAN_NODES'!D15="choice",'02_KICH_BAN_NODES'!B15,"")</f>
        <v/>
      </c>
      <c r="B29" s="2" t="str">
        <f>IF(A29="","",'02_KICH_BAN_NODES'!E15)</f>
        <v/>
      </c>
      <c r="C29" s="2" t="str">
        <f>IF(A29="","",COUNTIF('03_LUA_CHON'!$A$5:$A$404,A29))</f>
        <v/>
      </c>
      <c r="D29" s="2" t="str">
        <f>IF(A29="","",COUNTIFS('03_LUA_CHON'!$A$5:$A$404,A29,'03_LUA_CHON'!$D$5:$D$404,"Có"))</f>
        <v/>
      </c>
      <c r="E29" s="2" t="str">
        <f t="shared" si="0"/>
        <v/>
      </c>
      <c r="F29" s="2" t="str">
        <f t="shared" si="1"/>
        <v/>
      </c>
    </row>
    <row r="30" spans="1:9">
      <c r="A30" s="2" t="str">
        <f>IF('02_KICH_BAN_NODES'!D16="choice",'02_KICH_BAN_NODES'!B16,"")</f>
        <v/>
      </c>
      <c r="B30" s="2" t="str">
        <f>IF(A30="","",'02_KICH_BAN_NODES'!E16)</f>
        <v/>
      </c>
      <c r="C30" s="2" t="str">
        <f>IF(A30="","",COUNTIF('03_LUA_CHON'!$A$5:$A$404,A30))</f>
        <v/>
      </c>
      <c r="D30" s="2" t="str">
        <f>IF(A30="","",COUNTIFS('03_LUA_CHON'!$A$5:$A$404,A30,'03_LUA_CHON'!$D$5:$D$404,"Có"))</f>
        <v/>
      </c>
      <c r="E30" s="2" t="str">
        <f t="shared" si="0"/>
        <v/>
      </c>
      <c r="F30" s="2" t="str">
        <f t="shared" si="1"/>
        <v/>
      </c>
    </row>
    <row r="31" spans="1:9">
      <c r="A31" s="2" t="str">
        <f>IF('02_KICH_BAN_NODES'!D17="choice",'02_KICH_BAN_NODES'!B17,"")</f>
        <v/>
      </c>
      <c r="B31" s="2" t="str">
        <f>IF(A31="","",'02_KICH_BAN_NODES'!E17)</f>
        <v/>
      </c>
      <c r="C31" s="2" t="str">
        <f>IF(A31="","",COUNTIF('03_LUA_CHON'!$A$5:$A$404,A31))</f>
        <v/>
      </c>
      <c r="D31" s="2" t="str">
        <f>IF(A31="","",COUNTIFS('03_LUA_CHON'!$A$5:$A$404,A31,'03_LUA_CHON'!$D$5:$D$404,"Có"))</f>
        <v/>
      </c>
      <c r="E31" s="2" t="str">
        <f t="shared" si="0"/>
        <v/>
      </c>
      <c r="F31" s="2" t="str">
        <f t="shared" si="1"/>
        <v/>
      </c>
    </row>
    <row r="32" spans="1:9">
      <c r="A32" s="2" t="str">
        <f>IF('02_KICH_BAN_NODES'!D18="choice",'02_KICH_BAN_NODES'!B18,"")</f>
        <v/>
      </c>
      <c r="B32" s="2" t="str">
        <f>IF(A32="","",'02_KICH_BAN_NODES'!E18)</f>
        <v/>
      </c>
      <c r="C32" s="2" t="str">
        <f>IF(A32="","",COUNTIF('03_LUA_CHON'!$A$5:$A$404,A32))</f>
        <v/>
      </c>
      <c r="D32" s="2" t="str">
        <f>IF(A32="","",COUNTIFS('03_LUA_CHON'!$A$5:$A$404,A32,'03_LUA_CHON'!$D$5:$D$404,"Có"))</f>
        <v/>
      </c>
      <c r="E32" s="2" t="str">
        <f t="shared" si="0"/>
        <v/>
      </c>
      <c r="F32" s="2" t="str">
        <f t="shared" si="1"/>
        <v/>
      </c>
    </row>
    <row r="33" spans="1:6" ht="15">
      <c r="A33" s="2" t="str">
        <f>IF('02_KICH_BAN_NODES'!D19="choice",'02_KICH_BAN_NODES'!B19,"")</f>
        <v>N015</v>
      </c>
      <c r="B33" s="2" t="str">
        <f>IF(A33="","",'02_KICH_BAN_NODES'!E19)</f>
        <v>Kiến thức</v>
      </c>
      <c r="C33" s="2">
        <f>IF(A33="","",COUNTIF('03_LUA_CHON'!$A$5:$A$404,A33))</f>
        <v>3</v>
      </c>
      <c r="D33" s="2">
        <f>IF(A33="","",COUNTIFS('03_LUA_CHON'!$A$5:$A$404,A33,'03_LUA_CHON'!$D$5:$D$404,"Có"))</f>
        <v>1</v>
      </c>
      <c r="E33" s="2" t="str">
        <f t="shared" si="0"/>
        <v>HỢP LỆ</v>
      </c>
      <c r="F33" s="2" t="str">
        <f t="shared" si="1"/>
        <v/>
      </c>
    </row>
    <row r="34" spans="1:6" ht="15">
      <c r="A34" s="2" t="str">
        <f>IF('02_KICH_BAN_NODES'!D20="choice",'02_KICH_BAN_NODES'!B20,"")</f>
        <v>N016</v>
      </c>
      <c r="B34" s="2" t="str">
        <f>IF(A34="","",'02_KICH_BAN_NODES'!E20)</f>
        <v>Kiến thức</v>
      </c>
      <c r="C34" s="2">
        <f>IF(A34="","",COUNTIF('03_LUA_CHON'!$A$5:$A$404,A34))</f>
        <v>3</v>
      </c>
      <c r="D34" s="2">
        <f>IF(A34="","",COUNTIFS('03_LUA_CHON'!$A$5:$A$404,A34,'03_LUA_CHON'!$D$5:$D$404,"Có"))</f>
        <v>1</v>
      </c>
      <c r="E34" s="2" t="str">
        <f t="shared" si="0"/>
        <v>HỢP LỆ</v>
      </c>
      <c r="F34" s="2" t="str">
        <f t="shared" si="1"/>
        <v/>
      </c>
    </row>
    <row r="35" spans="1:6" ht="15">
      <c r="A35" s="2" t="str">
        <f>IF('02_KICH_BAN_NODES'!D21="choice",'02_KICH_BAN_NODES'!B21,"")</f>
        <v>N017</v>
      </c>
      <c r="B35" s="2" t="str">
        <f>IF(A35="","",'02_KICH_BAN_NODES'!E21)</f>
        <v>Kiến thức</v>
      </c>
      <c r="C35" s="2">
        <f>IF(A35="","",COUNTIF('03_LUA_CHON'!$A$5:$A$404,A35))</f>
        <v>3</v>
      </c>
      <c r="D35" s="2">
        <f>IF(A35="","",COUNTIFS('03_LUA_CHON'!$A$5:$A$404,A35,'03_LUA_CHON'!$D$5:$D$404,"Có"))</f>
        <v>1</v>
      </c>
      <c r="E35" s="2" t="str">
        <f t="shared" si="0"/>
        <v>HỢP LỆ</v>
      </c>
      <c r="F35" s="2" t="str">
        <f t="shared" si="1"/>
        <v/>
      </c>
    </row>
    <row r="36" spans="1:6" ht="15">
      <c r="A36" s="2" t="str">
        <f>IF('02_KICH_BAN_NODES'!D22="choice",'02_KICH_BAN_NODES'!B22,"")</f>
        <v>N018</v>
      </c>
      <c r="B36" s="2" t="str">
        <f>IF(A36="","",'02_KICH_BAN_NODES'!E22)</f>
        <v>Kiến thức</v>
      </c>
      <c r="C36" s="2">
        <f>IF(A36="","",COUNTIF('03_LUA_CHON'!$A$5:$A$404,A36))</f>
        <v>3</v>
      </c>
      <c r="D36" s="2">
        <f>IF(A36="","",COUNTIFS('03_LUA_CHON'!$A$5:$A$404,A36,'03_LUA_CHON'!$D$5:$D$404,"Có"))</f>
        <v>1</v>
      </c>
      <c r="E36" s="2" t="str">
        <f t="shared" si="0"/>
        <v>HỢP LỆ</v>
      </c>
      <c r="F36" s="2" t="str">
        <f t="shared" si="1"/>
        <v/>
      </c>
    </row>
    <row r="37" spans="1:6" ht="15">
      <c r="A37" s="2" t="str">
        <f>IF('02_KICH_BAN_NODES'!D23="choice",'02_KICH_BAN_NODES'!B23,"")</f>
        <v>N019</v>
      </c>
      <c r="B37" s="2" t="str">
        <f>IF(A37="","",'02_KICH_BAN_NODES'!E23)</f>
        <v>Kiến thức</v>
      </c>
      <c r="C37" s="2">
        <f>IF(A37="","",COUNTIF('03_LUA_CHON'!$A$5:$A$404,A37))</f>
        <v>3</v>
      </c>
      <c r="D37" s="2">
        <f>IF(A37="","",COUNTIFS('03_LUA_CHON'!$A$5:$A$404,A37,'03_LUA_CHON'!$D$5:$D$404,"Có"))</f>
        <v>1</v>
      </c>
      <c r="E37" s="2" t="str">
        <f t="shared" si="0"/>
        <v>HỢP LỆ</v>
      </c>
      <c r="F37" s="2" t="str">
        <f t="shared" si="1"/>
        <v/>
      </c>
    </row>
    <row r="38" spans="1:6" ht="15">
      <c r="A38" s="2" t="str">
        <f>IF('02_KICH_BAN_NODES'!D24="choice",'02_KICH_BAN_NODES'!B24,"")</f>
        <v>N020</v>
      </c>
      <c r="B38" s="2" t="str">
        <f>IF(A38="","",'02_KICH_BAN_NODES'!E24)</f>
        <v>Kiến thức</v>
      </c>
      <c r="C38" s="2">
        <f>IF(A38="","",COUNTIF('03_LUA_CHON'!$A$5:$A$404,A38))</f>
        <v>3</v>
      </c>
      <c r="D38" s="2">
        <f>IF(A38="","",COUNTIFS('03_LUA_CHON'!$A$5:$A$404,A38,'03_LUA_CHON'!$D$5:$D$404,"Có"))</f>
        <v>1</v>
      </c>
      <c r="E38" s="2" t="str">
        <f t="shared" si="0"/>
        <v>HỢP LỆ</v>
      </c>
      <c r="F38" s="2" t="str">
        <f t="shared" si="1"/>
        <v/>
      </c>
    </row>
    <row r="39" spans="1:6">
      <c r="A39" s="2" t="str">
        <f>IF('02_KICH_BAN_NODES'!D25="choice",'02_KICH_BAN_NODES'!B25,"")</f>
        <v/>
      </c>
      <c r="B39" s="2" t="str">
        <f>IF(A39="","",'02_KICH_BAN_NODES'!E25)</f>
        <v/>
      </c>
      <c r="C39" s="2" t="str">
        <f>IF(A39="","",COUNTIF('03_LUA_CHON'!$A$5:$A$404,A39))</f>
        <v/>
      </c>
      <c r="D39" s="2" t="str">
        <f>IF(A39="","",COUNTIFS('03_LUA_CHON'!$A$5:$A$404,A39,'03_LUA_CHON'!$D$5:$D$404,"Có"))</f>
        <v/>
      </c>
      <c r="E39" s="2" t="str">
        <f t="shared" si="0"/>
        <v/>
      </c>
      <c r="F39" s="2" t="str">
        <f t="shared" si="1"/>
        <v/>
      </c>
    </row>
    <row r="40" spans="1:6">
      <c r="A40" s="2" t="str">
        <f>IF('02_KICH_BAN_NODES'!D26="choice",'02_KICH_BAN_NODES'!B26,"")</f>
        <v/>
      </c>
      <c r="B40" s="2" t="str">
        <f>IF(A40="","",'02_KICH_BAN_NODES'!E26)</f>
        <v/>
      </c>
      <c r="C40" s="2" t="str">
        <f>IF(A40="","",COUNTIF('03_LUA_CHON'!$A$5:$A$404,A40))</f>
        <v/>
      </c>
      <c r="D40" s="2" t="str">
        <f>IF(A40="","",COUNTIFS('03_LUA_CHON'!$A$5:$A$404,A40,'03_LUA_CHON'!$D$5:$D$404,"Có"))</f>
        <v/>
      </c>
      <c r="E40" s="2" t="str">
        <f t="shared" si="0"/>
        <v/>
      </c>
      <c r="F40" s="2" t="str">
        <f t="shared" si="1"/>
        <v/>
      </c>
    </row>
    <row r="41" spans="1:6">
      <c r="A41" s="2" t="str">
        <f>IF('02_KICH_BAN_NODES'!D27="choice",'02_KICH_BAN_NODES'!B27,"")</f>
        <v/>
      </c>
      <c r="B41" s="2" t="str">
        <f>IF(A41="","",'02_KICH_BAN_NODES'!E27)</f>
        <v/>
      </c>
      <c r="C41" s="2" t="str">
        <f>IF(A41="","",COUNTIF('03_LUA_CHON'!$A$5:$A$404,A41))</f>
        <v/>
      </c>
      <c r="D41" s="2" t="str">
        <f>IF(A41="","",COUNTIFS('03_LUA_CHON'!$A$5:$A$404,A41,'03_LUA_CHON'!$D$5:$D$404,"Có"))</f>
        <v/>
      </c>
      <c r="E41" s="2" t="str">
        <f t="shared" si="0"/>
        <v/>
      </c>
      <c r="F41" s="2" t="str">
        <f t="shared" si="1"/>
        <v/>
      </c>
    </row>
    <row r="42" spans="1:6">
      <c r="A42" s="2" t="str">
        <f>IF('02_KICH_BAN_NODES'!D28="choice",'02_KICH_BAN_NODES'!B28,"")</f>
        <v/>
      </c>
      <c r="B42" s="2" t="str">
        <f>IF(A42="","",'02_KICH_BAN_NODES'!E28)</f>
        <v/>
      </c>
      <c r="C42" s="2" t="str">
        <f>IF(A42="","",COUNTIF('03_LUA_CHON'!$A$5:$A$404,A42))</f>
        <v/>
      </c>
      <c r="D42" s="2" t="str">
        <f>IF(A42="","",COUNTIFS('03_LUA_CHON'!$A$5:$A$404,A42,'03_LUA_CHON'!$D$5:$D$404,"Có"))</f>
        <v/>
      </c>
      <c r="E42" s="2" t="str">
        <f t="shared" si="0"/>
        <v/>
      </c>
      <c r="F42" s="2" t="str">
        <f t="shared" si="1"/>
        <v/>
      </c>
    </row>
    <row r="43" spans="1:6" ht="15">
      <c r="A43" s="2" t="str">
        <f>IF('02_KICH_BAN_NODES'!D29="choice",'02_KICH_BAN_NODES'!B29,"")</f>
        <v>N025</v>
      </c>
      <c r="B43" s="2" t="str">
        <f>IF(A43="","",'02_KICH_BAN_NODES'!E29)</f>
        <v>Kiến thức</v>
      </c>
      <c r="C43" s="2">
        <f>IF(A43="","",COUNTIF('03_LUA_CHON'!$A$5:$A$404,A43))</f>
        <v>3</v>
      </c>
      <c r="D43" s="2">
        <f>IF(A43="","",COUNTIFS('03_LUA_CHON'!$A$5:$A$404,A43,'03_LUA_CHON'!$D$5:$D$404,"Có"))</f>
        <v>1</v>
      </c>
      <c r="E43" s="2" t="str">
        <f t="shared" si="0"/>
        <v>HỢP LỆ</v>
      </c>
      <c r="F43" s="2" t="str">
        <f t="shared" si="1"/>
        <v/>
      </c>
    </row>
    <row r="44" spans="1:6" ht="15">
      <c r="A44" s="2" t="str">
        <f>IF('02_KICH_BAN_NODES'!D30="choice",'02_KICH_BAN_NODES'!B30,"")</f>
        <v>N026</v>
      </c>
      <c r="B44" s="2" t="str">
        <f>IF(A44="","",'02_KICH_BAN_NODES'!E30)</f>
        <v>Kiến thức</v>
      </c>
      <c r="C44" s="2">
        <f>IF(A44="","",COUNTIF('03_LUA_CHON'!$A$5:$A$404,A44))</f>
        <v>3</v>
      </c>
      <c r="D44" s="2">
        <f>IF(A44="","",COUNTIFS('03_LUA_CHON'!$A$5:$A$404,A44,'03_LUA_CHON'!$D$5:$D$404,"Có"))</f>
        <v>1</v>
      </c>
      <c r="E44" s="2" t="str">
        <f t="shared" si="0"/>
        <v>HỢP LỆ</v>
      </c>
      <c r="F44" s="2" t="str">
        <f t="shared" si="1"/>
        <v/>
      </c>
    </row>
    <row r="45" spans="1:6" ht="15">
      <c r="A45" s="2" t="str">
        <f>IF('02_KICH_BAN_NODES'!D31="choice",'02_KICH_BAN_NODES'!B31,"")</f>
        <v>N027</v>
      </c>
      <c r="B45" s="2" t="str">
        <f>IF(A45="","",'02_KICH_BAN_NODES'!E31)</f>
        <v>Kiến thức</v>
      </c>
      <c r="C45" s="2">
        <f>IF(A45="","",COUNTIF('03_LUA_CHON'!$A$5:$A$404,A45))</f>
        <v>3</v>
      </c>
      <c r="D45" s="2">
        <f>IF(A45="","",COUNTIFS('03_LUA_CHON'!$A$5:$A$404,A45,'03_LUA_CHON'!$D$5:$D$404,"Có"))</f>
        <v>1</v>
      </c>
      <c r="E45" s="2" t="str">
        <f t="shared" si="0"/>
        <v>HỢP LỆ</v>
      </c>
      <c r="F45" s="2" t="str">
        <f t="shared" si="1"/>
        <v/>
      </c>
    </row>
    <row r="46" spans="1:6" ht="15">
      <c r="A46" s="2" t="str">
        <f>IF('02_KICH_BAN_NODES'!D32="choice",'02_KICH_BAN_NODES'!B32,"")</f>
        <v>N028</v>
      </c>
      <c r="B46" s="2" t="str">
        <f>IF(A46="","",'02_KICH_BAN_NODES'!E32)</f>
        <v>Kiến thức</v>
      </c>
      <c r="C46" s="2">
        <f>IF(A46="","",COUNTIF('03_LUA_CHON'!$A$5:$A$404,A46))</f>
        <v>3</v>
      </c>
      <c r="D46" s="2">
        <f>IF(A46="","",COUNTIFS('03_LUA_CHON'!$A$5:$A$404,A46,'03_LUA_CHON'!$D$5:$D$404,"Có"))</f>
        <v>1</v>
      </c>
      <c r="E46" s="2" t="str">
        <f t="shared" si="0"/>
        <v>HỢP LỆ</v>
      </c>
      <c r="F46" s="2" t="str">
        <f t="shared" si="1"/>
        <v/>
      </c>
    </row>
    <row r="47" spans="1:6" ht="15">
      <c r="A47" s="2" t="str">
        <f>IF('02_KICH_BAN_NODES'!D33="choice",'02_KICH_BAN_NODES'!B33,"")</f>
        <v>N029</v>
      </c>
      <c r="B47" s="2" t="str">
        <f>IF(A47="","",'02_KICH_BAN_NODES'!E33)</f>
        <v>Kiến thức</v>
      </c>
      <c r="C47" s="2">
        <f>IF(A47="","",COUNTIF('03_LUA_CHON'!$A$5:$A$404,A47))</f>
        <v>3</v>
      </c>
      <c r="D47" s="2">
        <f>IF(A47="","",COUNTIFS('03_LUA_CHON'!$A$5:$A$404,A47,'03_LUA_CHON'!$D$5:$D$404,"Có"))</f>
        <v>1</v>
      </c>
      <c r="E47" s="2" t="str">
        <f t="shared" si="0"/>
        <v>HỢP LỆ</v>
      </c>
      <c r="F47" s="2" t="str">
        <f t="shared" si="1"/>
        <v/>
      </c>
    </row>
    <row r="48" spans="1:6" ht="15">
      <c r="A48" s="2" t="str">
        <f>IF('02_KICH_BAN_NODES'!D34="choice",'02_KICH_BAN_NODES'!B34,"")</f>
        <v>N030</v>
      </c>
      <c r="B48" s="2" t="str">
        <f>IF(A48="","",'02_KICH_BAN_NODES'!E34)</f>
        <v>Kiến thức</v>
      </c>
      <c r="C48" s="2">
        <f>IF(A48="","",COUNTIF('03_LUA_CHON'!$A$5:$A$404,A48))</f>
        <v>3</v>
      </c>
      <c r="D48" s="2">
        <f>IF(A48="","",COUNTIFS('03_LUA_CHON'!$A$5:$A$404,A48,'03_LUA_CHON'!$D$5:$D$404,"Có"))</f>
        <v>1</v>
      </c>
      <c r="E48" s="2" t="str">
        <f t="shared" si="0"/>
        <v>HỢP LỆ</v>
      </c>
      <c r="F48" s="2" t="str">
        <f t="shared" si="1"/>
        <v/>
      </c>
    </row>
    <row r="49" spans="1:6">
      <c r="A49" s="2" t="str">
        <f>IF('02_KICH_BAN_NODES'!D35="choice",'02_KICH_BAN_NODES'!B35,"")</f>
        <v/>
      </c>
      <c r="B49" s="2" t="str">
        <f>IF(A49="","",'02_KICH_BAN_NODES'!E35)</f>
        <v/>
      </c>
      <c r="C49" s="2" t="str">
        <f>IF(A49="","",COUNTIF('03_LUA_CHON'!$A$5:$A$404,A49))</f>
        <v/>
      </c>
      <c r="D49" s="2" t="str">
        <f>IF(A49="","",COUNTIFS('03_LUA_CHON'!$A$5:$A$404,A49,'03_LUA_CHON'!$D$5:$D$404,"Có"))</f>
        <v/>
      </c>
      <c r="E49" s="2" t="str">
        <f t="shared" si="0"/>
        <v/>
      </c>
      <c r="F49" s="2" t="str">
        <f t="shared" si="1"/>
        <v/>
      </c>
    </row>
    <row r="50" spans="1:6">
      <c r="A50" s="2" t="str">
        <f>IF('02_KICH_BAN_NODES'!D36="choice",'02_KICH_BAN_NODES'!B36,"")</f>
        <v/>
      </c>
      <c r="B50" s="2" t="str">
        <f>IF(A50="","",'02_KICH_BAN_NODES'!E36)</f>
        <v/>
      </c>
      <c r="C50" s="2" t="str">
        <f>IF(A50="","",COUNTIF('03_LUA_CHON'!$A$5:$A$404,A50))</f>
        <v/>
      </c>
      <c r="D50" s="2" t="str">
        <f>IF(A50="","",COUNTIFS('03_LUA_CHON'!$A$5:$A$404,A50,'03_LUA_CHON'!$D$5:$D$404,"Có"))</f>
        <v/>
      </c>
      <c r="E50" s="2" t="str">
        <f t="shared" si="0"/>
        <v/>
      </c>
      <c r="F50" s="2" t="str">
        <f t="shared" si="1"/>
        <v/>
      </c>
    </row>
    <row r="51" spans="1:6">
      <c r="A51" s="2" t="str">
        <f>IF('02_KICH_BAN_NODES'!D37="choice",'02_KICH_BAN_NODES'!B37,"")</f>
        <v/>
      </c>
      <c r="B51" s="2" t="str">
        <f>IF(A51="","",'02_KICH_BAN_NODES'!E37)</f>
        <v/>
      </c>
      <c r="C51" s="2" t="str">
        <f>IF(A51="","",COUNTIF('03_LUA_CHON'!$A$5:$A$404,A51))</f>
        <v/>
      </c>
      <c r="D51" s="2" t="str">
        <f>IF(A51="","",COUNTIFS('03_LUA_CHON'!$A$5:$A$404,A51,'03_LUA_CHON'!$D$5:$D$404,"Có"))</f>
        <v/>
      </c>
      <c r="E51" s="2" t="str">
        <f t="shared" ref="E51:E82" si="2">IF(A51="","",IF(OR(C51&lt;2,C51&gt;4),"CẦN SỬA",IF(AND(B51="Kiến thức",D51=1),"HỢP LỆ",IF(AND(B51="Tương tác",D51=0),"HỢP LỆ","CẦN SỬA"))))</f>
        <v/>
      </c>
      <c r="F51" s="2" t="str">
        <f t="shared" ref="F51:F82" si="3">IF(A51="","",IF(OR(C51&lt;2,C51&gt;4),"Cần 2–4 option",IF(AND(B51="Kiến thức",D51&lt;&gt;1),"Câu kiến thức cần đúng 1 đáp án đúng",IF(AND(B51="Tương tác",D51&lt;&gt;0),"Câu tương tác không có đáp án đúng",IF(B51="","Thiếu ChoiceMode","")))))</f>
        <v/>
      </c>
    </row>
    <row r="52" spans="1:6">
      <c r="A52" s="2" t="str">
        <f>IF('02_KICH_BAN_NODES'!D38="choice",'02_KICH_BAN_NODES'!B38,"")</f>
        <v/>
      </c>
      <c r="B52" s="2" t="str">
        <f>IF(A52="","",'02_KICH_BAN_NODES'!E38)</f>
        <v/>
      </c>
      <c r="C52" s="2" t="str">
        <f>IF(A52="","",COUNTIF('03_LUA_CHON'!$A$5:$A$404,A52))</f>
        <v/>
      </c>
      <c r="D52" s="2" t="str">
        <f>IF(A52="","",COUNTIFS('03_LUA_CHON'!$A$5:$A$404,A52,'03_LUA_CHON'!$D$5:$D$404,"Có"))</f>
        <v/>
      </c>
      <c r="E52" s="2" t="str">
        <f t="shared" si="2"/>
        <v/>
      </c>
      <c r="F52" s="2" t="str">
        <f t="shared" si="3"/>
        <v/>
      </c>
    </row>
    <row r="53" spans="1:6">
      <c r="A53" s="2" t="str">
        <f>IF('02_KICH_BAN_NODES'!D39="choice",'02_KICH_BAN_NODES'!B39,"")</f>
        <v/>
      </c>
      <c r="B53" s="2" t="str">
        <f>IF(A53="","",'02_KICH_BAN_NODES'!E39)</f>
        <v/>
      </c>
      <c r="C53" s="2" t="str">
        <f>IF(A53="","",COUNTIF('03_LUA_CHON'!$A$5:$A$404,A53))</f>
        <v/>
      </c>
      <c r="D53" s="2" t="str">
        <f>IF(A53="","",COUNTIFS('03_LUA_CHON'!$A$5:$A$404,A53,'03_LUA_CHON'!$D$5:$D$404,"Có"))</f>
        <v/>
      </c>
      <c r="E53" s="2" t="str">
        <f t="shared" si="2"/>
        <v/>
      </c>
      <c r="F53" s="2" t="str">
        <f t="shared" si="3"/>
        <v/>
      </c>
    </row>
    <row r="54" spans="1:6">
      <c r="A54" s="2" t="str">
        <f>IF('02_KICH_BAN_NODES'!D40="choice",'02_KICH_BAN_NODES'!B40,"")</f>
        <v/>
      </c>
      <c r="B54" s="2" t="str">
        <f>IF(A54="","",'02_KICH_BAN_NODES'!E40)</f>
        <v/>
      </c>
      <c r="C54" s="2" t="str">
        <f>IF(A54="","",COUNTIF('03_LUA_CHON'!$A$5:$A$404,A54))</f>
        <v/>
      </c>
      <c r="D54" s="2" t="str">
        <f>IF(A54="","",COUNTIFS('03_LUA_CHON'!$A$5:$A$404,A54,'03_LUA_CHON'!$D$5:$D$404,"Có"))</f>
        <v/>
      </c>
      <c r="E54" s="2" t="str">
        <f t="shared" si="2"/>
        <v/>
      </c>
      <c r="F54" s="2" t="str">
        <f t="shared" si="3"/>
        <v/>
      </c>
    </row>
    <row r="55" spans="1:6">
      <c r="A55" s="2" t="str">
        <f>IF('02_KICH_BAN_NODES'!D41="choice",'02_KICH_BAN_NODES'!B41,"")</f>
        <v/>
      </c>
      <c r="B55" s="2" t="str">
        <f>IF(A55="","",'02_KICH_BAN_NODES'!E41)</f>
        <v/>
      </c>
      <c r="C55" s="2" t="str">
        <f>IF(A55="","",COUNTIF('03_LUA_CHON'!$A$5:$A$404,A55))</f>
        <v/>
      </c>
      <c r="D55" s="2" t="str">
        <f>IF(A55="","",COUNTIFS('03_LUA_CHON'!$A$5:$A$404,A55,'03_LUA_CHON'!$D$5:$D$404,"Có"))</f>
        <v/>
      </c>
      <c r="E55" s="2" t="str">
        <f t="shared" si="2"/>
        <v/>
      </c>
      <c r="F55" s="2" t="str">
        <f t="shared" si="3"/>
        <v/>
      </c>
    </row>
    <row r="56" spans="1:6">
      <c r="A56" s="2" t="str">
        <f>IF('02_KICH_BAN_NODES'!D42="choice",'02_KICH_BAN_NODES'!B42,"")</f>
        <v/>
      </c>
      <c r="B56" s="2" t="str">
        <f>IF(A56="","",'02_KICH_BAN_NODES'!E42)</f>
        <v/>
      </c>
      <c r="C56" s="2" t="str">
        <f>IF(A56="","",COUNTIF('03_LUA_CHON'!$A$5:$A$404,A56))</f>
        <v/>
      </c>
      <c r="D56" s="2" t="str">
        <f>IF(A56="","",COUNTIFS('03_LUA_CHON'!$A$5:$A$404,A56,'03_LUA_CHON'!$D$5:$D$404,"Có"))</f>
        <v/>
      </c>
      <c r="E56" s="2" t="str">
        <f t="shared" si="2"/>
        <v/>
      </c>
      <c r="F56" s="2" t="str">
        <f t="shared" si="3"/>
        <v/>
      </c>
    </row>
    <row r="57" spans="1:6">
      <c r="A57" s="2" t="str">
        <f>IF('02_KICH_BAN_NODES'!D43="choice",'02_KICH_BAN_NODES'!B43,"")</f>
        <v/>
      </c>
      <c r="B57" s="2" t="str">
        <f>IF(A57="","",'02_KICH_BAN_NODES'!E43)</f>
        <v/>
      </c>
      <c r="C57" s="2" t="str">
        <f>IF(A57="","",COUNTIF('03_LUA_CHON'!$A$5:$A$404,A57))</f>
        <v/>
      </c>
      <c r="D57" s="2" t="str">
        <f>IF(A57="","",COUNTIFS('03_LUA_CHON'!$A$5:$A$404,A57,'03_LUA_CHON'!$D$5:$D$404,"Có"))</f>
        <v/>
      </c>
      <c r="E57" s="2" t="str">
        <f t="shared" si="2"/>
        <v/>
      </c>
      <c r="F57" s="2" t="str">
        <f t="shared" si="3"/>
        <v/>
      </c>
    </row>
    <row r="58" spans="1:6">
      <c r="A58" s="2" t="str">
        <f>IF('02_KICH_BAN_NODES'!D44="choice",'02_KICH_BAN_NODES'!B44,"")</f>
        <v/>
      </c>
      <c r="B58" s="2" t="str">
        <f>IF(A58="","",'02_KICH_BAN_NODES'!E44)</f>
        <v/>
      </c>
      <c r="C58" s="2" t="str">
        <f>IF(A58="","",COUNTIF('03_LUA_CHON'!$A$5:$A$404,A58))</f>
        <v/>
      </c>
      <c r="D58" s="2" t="str">
        <f>IF(A58="","",COUNTIFS('03_LUA_CHON'!$A$5:$A$404,A58,'03_LUA_CHON'!$D$5:$D$404,"Có"))</f>
        <v/>
      </c>
      <c r="E58" s="2" t="str">
        <f t="shared" si="2"/>
        <v/>
      </c>
      <c r="F58" s="2" t="str">
        <f t="shared" si="3"/>
        <v/>
      </c>
    </row>
    <row r="59" spans="1:6">
      <c r="A59" s="2" t="str">
        <f>IF('02_KICH_BAN_NODES'!D45="choice",'02_KICH_BAN_NODES'!B45,"")</f>
        <v/>
      </c>
      <c r="B59" s="2" t="str">
        <f>IF(A59="","",'02_KICH_BAN_NODES'!E45)</f>
        <v/>
      </c>
      <c r="C59" s="2" t="str">
        <f>IF(A59="","",COUNTIF('03_LUA_CHON'!$A$5:$A$404,A59))</f>
        <v/>
      </c>
      <c r="D59" s="2" t="str">
        <f>IF(A59="","",COUNTIFS('03_LUA_CHON'!$A$5:$A$404,A59,'03_LUA_CHON'!$D$5:$D$404,"Có"))</f>
        <v/>
      </c>
      <c r="E59" s="2" t="str">
        <f t="shared" si="2"/>
        <v/>
      </c>
      <c r="F59" s="2" t="str">
        <f t="shared" si="3"/>
        <v/>
      </c>
    </row>
    <row r="60" spans="1:6">
      <c r="A60" s="2" t="str">
        <f>IF('02_KICH_BAN_NODES'!D46="choice",'02_KICH_BAN_NODES'!B46,"")</f>
        <v/>
      </c>
      <c r="B60" s="2" t="str">
        <f>IF(A60="","",'02_KICH_BAN_NODES'!E46)</f>
        <v/>
      </c>
      <c r="C60" s="2" t="str">
        <f>IF(A60="","",COUNTIF('03_LUA_CHON'!$A$5:$A$404,A60))</f>
        <v/>
      </c>
      <c r="D60" s="2" t="str">
        <f>IF(A60="","",COUNTIFS('03_LUA_CHON'!$A$5:$A$404,A60,'03_LUA_CHON'!$D$5:$D$404,"Có"))</f>
        <v/>
      </c>
      <c r="E60" s="2" t="str">
        <f t="shared" si="2"/>
        <v/>
      </c>
      <c r="F60" s="2" t="str">
        <f t="shared" si="3"/>
        <v/>
      </c>
    </row>
    <row r="61" spans="1:6">
      <c r="A61" s="2" t="str">
        <f>IF('02_KICH_BAN_NODES'!D47="choice",'02_KICH_BAN_NODES'!B47,"")</f>
        <v/>
      </c>
      <c r="B61" s="2" t="str">
        <f>IF(A61="","",'02_KICH_BAN_NODES'!E47)</f>
        <v/>
      </c>
      <c r="C61" s="2" t="str">
        <f>IF(A61="","",COUNTIF('03_LUA_CHON'!$A$5:$A$404,A61))</f>
        <v/>
      </c>
      <c r="D61" s="2" t="str">
        <f>IF(A61="","",COUNTIFS('03_LUA_CHON'!$A$5:$A$404,A61,'03_LUA_CHON'!$D$5:$D$404,"Có"))</f>
        <v/>
      </c>
      <c r="E61" s="2" t="str">
        <f t="shared" si="2"/>
        <v/>
      </c>
      <c r="F61" s="2" t="str">
        <f t="shared" si="3"/>
        <v/>
      </c>
    </row>
    <row r="62" spans="1:6">
      <c r="A62" s="2" t="str">
        <f>IF('02_KICH_BAN_NODES'!D48="choice",'02_KICH_BAN_NODES'!B48,"")</f>
        <v/>
      </c>
      <c r="B62" s="2" t="str">
        <f>IF(A62="","",'02_KICH_BAN_NODES'!E48)</f>
        <v/>
      </c>
      <c r="C62" s="2" t="str">
        <f>IF(A62="","",COUNTIF('03_LUA_CHON'!$A$5:$A$404,A62))</f>
        <v/>
      </c>
      <c r="D62" s="2" t="str">
        <f>IF(A62="","",COUNTIFS('03_LUA_CHON'!$A$5:$A$404,A62,'03_LUA_CHON'!$D$5:$D$404,"Có"))</f>
        <v/>
      </c>
      <c r="E62" s="2" t="str">
        <f t="shared" si="2"/>
        <v/>
      </c>
      <c r="F62" s="2" t="str">
        <f t="shared" si="3"/>
        <v/>
      </c>
    </row>
    <row r="63" spans="1:6">
      <c r="A63" s="2" t="str">
        <f>IF('02_KICH_BAN_NODES'!D49="choice",'02_KICH_BAN_NODES'!B49,"")</f>
        <v/>
      </c>
      <c r="B63" s="2" t="str">
        <f>IF(A63="","",'02_KICH_BAN_NODES'!E49)</f>
        <v/>
      </c>
      <c r="C63" s="2" t="str">
        <f>IF(A63="","",COUNTIF('03_LUA_CHON'!$A$5:$A$404,A63))</f>
        <v/>
      </c>
      <c r="D63" s="2" t="str">
        <f>IF(A63="","",COUNTIFS('03_LUA_CHON'!$A$5:$A$404,A63,'03_LUA_CHON'!$D$5:$D$404,"Có"))</f>
        <v/>
      </c>
      <c r="E63" s="2" t="str">
        <f t="shared" si="2"/>
        <v/>
      </c>
      <c r="F63" s="2" t="str">
        <f t="shared" si="3"/>
        <v/>
      </c>
    </row>
    <row r="64" spans="1:6">
      <c r="A64" s="2" t="str">
        <f>IF('02_KICH_BAN_NODES'!D50="choice",'02_KICH_BAN_NODES'!B50,"")</f>
        <v/>
      </c>
      <c r="B64" s="2" t="str">
        <f>IF(A64="","",'02_KICH_BAN_NODES'!E50)</f>
        <v/>
      </c>
      <c r="C64" s="2" t="str">
        <f>IF(A64="","",COUNTIF('03_LUA_CHON'!$A$5:$A$404,A64))</f>
        <v/>
      </c>
      <c r="D64" s="2" t="str">
        <f>IF(A64="","",COUNTIFS('03_LUA_CHON'!$A$5:$A$404,A64,'03_LUA_CHON'!$D$5:$D$404,"Có"))</f>
        <v/>
      </c>
      <c r="E64" s="2" t="str">
        <f t="shared" si="2"/>
        <v/>
      </c>
      <c r="F64" s="2" t="str">
        <f t="shared" si="3"/>
        <v/>
      </c>
    </row>
    <row r="65" spans="1:6">
      <c r="A65" s="2" t="str">
        <f>IF('02_KICH_BAN_NODES'!D51="choice",'02_KICH_BAN_NODES'!B51,"")</f>
        <v/>
      </c>
      <c r="B65" s="2" t="str">
        <f>IF(A65="","",'02_KICH_BAN_NODES'!E51)</f>
        <v/>
      </c>
      <c r="C65" s="2" t="str">
        <f>IF(A65="","",COUNTIF('03_LUA_CHON'!$A$5:$A$404,A65))</f>
        <v/>
      </c>
      <c r="D65" s="2" t="str">
        <f>IF(A65="","",COUNTIFS('03_LUA_CHON'!$A$5:$A$404,A65,'03_LUA_CHON'!$D$5:$D$404,"Có"))</f>
        <v/>
      </c>
      <c r="E65" s="2" t="str">
        <f t="shared" si="2"/>
        <v/>
      </c>
      <c r="F65" s="2" t="str">
        <f t="shared" si="3"/>
        <v/>
      </c>
    </row>
    <row r="66" spans="1:6">
      <c r="A66" s="2" t="str">
        <f>IF('02_KICH_BAN_NODES'!D52="choice",'02_KICH_BAN_NODES'!B52,"")</f>
        <v/>
      </c>
      <c r="B66" s="2" t="str">
        <f>IF(A66="","",'02_KICH_BAN_NODES'!E52)</f>
        <v/>
      </c>
      <c r="C66" s="2" t="str">
        <f>IF(A66="","",COUNTIF('03_LUA_CHON'!$A$5:$A$404,A66))</f>
        <v/>
      </c>
      <c r="D66" s="2" t="str">
        <f>IF(A66="","",COUNTIFS('03_LUA_CHON'!$A$5:$A$404,A66,'03_LUA_CHON'!$D$5:$D$404,"Có"))</f>
        <v/>
      </c>
      <c r="E66" s="2" t="str">
        <f t="shared" si="2"/>
        <v/>
      </c>
      <c r="F66" s="2" t="str">
        <f t="shared" si="3"/>
        <v/>
      </c>
    </row>
    <row r="67" spans="1:6">
      <c r="A67" s="2" t="str">
        <f>IF('02_KICH_BAN_NODES'!D53="choice",'02_KICH_BAN_NODES'!B53,"")</f>
        <v/>
      </c>
      <c r="B67" s="2" t="str">
        <f>IF(A67="","",'02_KICH_BAN_NODES'!E53)</f>
        <v/>
      </c>
      <c r="C67" s="2" t="str">
        <f>IF(A67="","",COUNTIF('03_LUA_CHON'!$A$5:$A$404,A67))</f>
        <v/>
      </c>
      <c r="D67" s="2" t="str">
        <f>IF(A67="","",COUNTIFS('03_LUA_CHON'!$A$5:$A$404,A67,'03_LUA_CHON'!$D$5:$D$404,"Có"))</f>
        <v/>
      </c>
      <c r="E67" s="2" t="str">
        <f t="shared" si="2"/>
        <v/>
      </c>
      <c r="F67" s="2" t="str">
        <f t="shared" si="3"/>
        <v/>
      </c>
    </row>
    <row r="68" spans="1:6">
      <c r="A68" s="2" t="str">
        <f>IF('02_KICH_BAN_NODES'!D54="choice",'02_KICH_BAN_NODES'!B54,"")</f>
        <v/>
      </c>
      <c r="B68" s="2" t="str">
        <f>IF(A68="","",'02_KICH_BAN_NODES'!E54)</f>
        <v/>
      </c>
      <c r="C68" s="2" t="str">
        <f>IF(A68="","",COUNTIF('03_LUA_CHON'!$A$5:$A$404,A68))</f>
        <v/>
      </c>
      <c r="D68" s="2" t="str">
        <f>IF(A68="","",COUNTIFS('03_LUA_CHON'!$A$5:$A$404,A68,'03_LUA_CHON'!$D$5:$D$404,"Có"))</f>
        <v/>
      </c>
      <c r="E68" s="2" t="str">
        <f t="shared" si="2"/>
        <v/>
      </c>
      <c r="F68" s="2" t="str">
        <f t="shared" si="3"/>
        <v/>
      </c>
    </row>
    <row r="69" spans="1:6">
      <c r="A69" s="2" t="str">
        <f>IF('02_KICH_BAN_NODES'!D55="choice",'02_KICH_BAN_NODES'!B55,"")</f>
        <v/>
      </c>
      <c r="B69" s="2" t="str">
        <f>IF(A69="","",'02_KICH_BAN_NODES'!E55)</f>
        <v/>
      </c>
      <c r="C69" s="2" t="str">
        <f>IF(A69="","",COUNTIF('03_LUA_CHON'!$A$5:$A$404,A69))</f>
        <v/>
      </c>
      <c r="D69" s="2" t="str">
        <f>IF(A69="","",COUNTIFS('03_LUA_CHON'!$A$5:$A$404,A69,'03_LUA_CHON'!$D$5:$D$404,"Có"))</f>
        <v/>
      </c>
      <c r="E69" s="2" t="str">
        <f t="shared" si="2"/>
        <v/>
      </c>
      <c r="F69" s="2" t="str">
        <f t="shared" si="3"/>
        <v/>
      </c>
    </row>
    <row r="70" spans="1:6">
      <c r="A70" s="2" t="str">
        <f>IF('02_KICH_BAN_NODES'!D56="choice",'02_KICH_BAN_NODES'!B56,"")</f>
        <v/>
      </c>
      <c r="B70" s="2" t="str">
        <f>IF(A70="","",'02_KICH_BAN_NODES'!E56)</f>
        <v/>
      </c>
      <c r="C70" s="2" t="str">
        <f>IF(A70="","",COUNTIF('03_LUA_CHON'!$A$5:$A$404,A70))</f>
        <v/>
      </c>
      <c r="D70" s="2" t="str">
        <f>IF(A70="","",COUNTIFS('03_LUA_CHON'!$A$5:$A$404,A70,'03_LUA_CHON'!$D$5:$D$404,"Có"))</f>
        <v/>
      </c>
      <c r="E70" s="2" t="str">
        <f t="shared" si="2"/>
        <v/>
      </c>
      <c r="F70" s="2" t="str">
        <f t="shared" si="3"/>
        <v/>
      </c>
    </row>
    <row r="71" spans="1:6">
      <c r="A71" s="2" t="str">
        <f>IF('02_KICH_BAN_NODES'!D57="choice",'02_KICH_BAN_NODES'!B57,"")</f>
        <v/>
      </c>
      <c r="B71" s="2" t="str">
        <f>IF(A71="","",'02_KICH_BAN_NODES'!E57)</f>
        <v/>
      </c>
      <c r="C71" s="2" t="str">
        <f>IF(A71="","",COUNTIF('03_LUA_CHON'!$A$5:$A$404,A71))</f>
        <v/>
      </c>
      <c r="D71" s="2" t="str">
        <f>IF(A71="","",COUNTIFS('03_LUA_CHON'!$A$5:$A$404,A71,'03_LUA_CHON'!$D$5:$D$404,"Có"))</f>
        <v/>
      </c>
      <c r="E71" s="2" t="str">
        <f t="shared" si="2"/>
        <v/>
      </c>
      <c r="F71" s="2" t="str">
        <f t="shared" si="3"/>
        <v/>
      </c>
    </row>
    <row r="72" spans="1:6">
      <c r="A72" s="2" t="str">
        <f>IF('02_KICH_BAN_NODES'!D58="choice",'02_KICH_BAN_NODES'!B58,"")</f>
        <v/>
      </c>
      <c r="B72" s="2" t="str">
        <f>IF(A72="","",'02_KICH_BAN_NODES'!E58)</f>
        <v/>
      </c>
      <c r="C72" s="2" t="str">
        <f>IF(A72="","",COUNTIF('03_LUA_CHON'!$A$5:$A$404,A72))</f>
        <v/>
      </c>
      <c r="D72" s="2" t="str">
        <f>IF(A72="","",COUNTIFS('03_LUA_CHON'!$A$5:$A$404,A72,'03_LUA_CHON'!$D$5:$D$404,"Có"))</f>
        <v/>
      </c>
      <c r="E72" s="2" t="str">
        <f t="shared" si="2"/>
        <v/>
      </c>
      <c r="F72" s="2" t="str">
        <f t="shared" si="3"/>
        <v/>
      </c>
    </row>
    <row r="73" spans="1:6">
      <c r="A73" s="2" t="str">
        <f>IF('02_KICH_BAN_NODES'!D59="choice",'02_KICH_BAN_NODES'!B59,"")</f>
        <v/>
      </c>
      <c r="B73" s="2" t="str">
        <f>IF(A73="","",'02_KICH_BAN_NODES'!E59)</f>
        <v/>
      </c>
      <c r="C73" s="2" t="str">
        <f>IF(A73="","",COUNTIF('03_LUA_CHON'!$A$5:$A$404,A73))</f>
        <v/>
      </c>
      <c r="D73" s="2" t="str">
        <f>IF(A73="","",COUNTIFS('03_LUA_CHON'!$A$5:$A$404,A73,'03_LUA_CHON'!$D$5:$D$404,"Có"))</f>
        <v/>
      </c>
      <c r="E73" s="2" t="str">
        <f t="shared" si="2"/>
        <v/>
      </c>
      <c r="F73" s="2" t="str">
        <f t="shared" si="3"/>
        <v/>
      </c>
    </row>
    <row r="74" spans="1:6">
      <c r="A74" s="2" t="str">
        <f>IF('02_KICH_BAN_NODES'!D60="choice",'02_KICH_BAN_NODES'!B60,"")</f>
        <v/>
      </c>
      <c r="B74" s="2" t="str">
        <f>IF(A74="","",'02_KICH_BAN_NODES'!E60)</f>
        <v/>
      </c>
      <c r="C74" s="2" t="str">
        <f>IF(A74="","",COUNTIF('03_LUA_CHON'!$A$5:$A$404,A74))</f>
        <v/>
      </c>
      <c r="D74" s="2" t="str">
        <f>IF(A74="","",COUNTIFS('03_LUA_CHON'!$A$5:$A$404,A74,'03_LUA_CHON'!$D$5:$D$404,"Có"))</f>
        <v/>
      </c>
      <c r="E74" s="2" t="str">
        <f t="shared" si="2"/>
        <v/>
      </c>
      <c r="F74" s="2" t="str">
        <f t="shared" si="3"/>
        <v/>
      </c>
    </row>
    <row r="75" spans="1:6">
      <c r="A75" s="2" t="str">
        <f>IF('02_KICH_BAN_NODES'!D61="choice",'02_KICH_BAN_NODES'!B61,"")</f>
        <v/>
      </c>
      <c r="B75" s="2" t="str">
        <f>IF(A75="","",'02_KICH_BAN_NODES'!E61)</f>
        <v/>
      </c>
      <c r="C75" s="2" t="str">
        <f>IF(A75="","",COUNTIF('03_LUA_CHON'!$A$5:$A$404,A75))</f>
        <v/>
      </c>
      <c r="D75" s="2" t="str">
        <f>IF(A75="","",COUNTIFS('03_LUA_CHON'!$A$5:$A$404,A75,'03_LUA_CHON'!$D$5:$D$404,"Có"))</f>
        <v/>
      </c>
      <c r="E75" s="2" t="str">
        <f t="shared" si="2"/>
        <v/>
      </c>
      <c r="F75" s="2" t="str">
        <f t="shared" si="3"/>
        <v/>
      </c>
    </row>
    <row r="76" spans="1:6">
      <c r="A76" s="2" t="str">
        <f>IF('02_KICH_BAN_NODES'!D62="choice",'02_KICH_BAN_NODES'!B62,"")</f>
        <v/>
      </c>
      <c r="B76" s="2" t="str">
        <f>IF(A76="","",'02_KICH_BAN_NODES'!E62)</f>
        <v/>
      </c>
      <c r="C76" s="2" t="str">
        <f>IF(A76="","",COUNTIF('03_LUA_CHON'!$A$5:$A$404,A76))</f>
        <v/>
      </c>
      <c r="D76" s="2" t="str">
        <f>IF(A76="","",COUNTIFS('03_LUA_CHON'!$A$5:$A$404,A76,'03_LUA_CHON'!$D$5:$D$404,"Có"))</f>
        <v/>
      </c>
      <c r="E76" s="2" t="str">
        <f t="shared" si="2"/>
        <v/>
      </c>
      <c r="F76" s="2" t="str">
        <f t="shared" si="3"/>
        <v/>
      </c>
    </row>
    <row r="77" spans="1:6">
      <c r="A77" s="2" t="str">
        <f>IF('02_KICH_BAN_NODES'!D63="choice",'02_KICH_BAN_NODES'!B63,"")</f>
        <v/>
      </c>
      <c r="B77" s="2" t="str">
        <f>IF(A77="","",'02_KICH_BAN_NODES'!E63)</f>
        <v/>
      </c>
      <c r="C77" s="2" t="str">
        <f>IF(A77="","",COUNTIF('03_LUA_CHON'!$A$5:$A$404,A77))</f>
        <v/>
      </c>
      <c r="D77" s="2" t="str">
        <f>IF(A77="","",COUNTIFS('03_LUA_CHON'!$A$5:$A$404,A77,'03_LUA_CHON'!$D$5:$D$404,"Có"))</f>
        <v/>
      </c>
      <c r="E77" s="2" t="str">
        <f t="shared" si="2"/>
        <v/>
      </c>
      <c r="F77" s="2" t="str">
        <f t="shared" si="3"/>
        <v/>
      </c>
    </row>
    <row r="78" spans="1:6">
      <c r="A78" s="2" t="str">
        <f>IF('02_KICH_BAN_NODES'!D64="choice",'02_KICH_BAN_NODES'!B64,"")</f>
        <v/>
      </c>
      <c r="B78" s="2" t="str">
        <f>IF(A78="","",'02_KICH_BAN_NODES'!E64)</f>
        <v/>
      </c>
      <c r="C78" s="2" t="str">
        <f>IF(A78="","",COUNTIF('03_LUA_CHON'!$A$5:$A$404,A78))</f>
        <v/>
      </c>
      <c r="D78" s="2" t="str">
        <f>IF(A78="","",COUNTIFS('03_LUA_CHON'!$A$5:$A$404,A78,'03_LUA_CHON'!$D$5:$D$404,"Có"))</f>
        <v/>
      </c>
      <c r="E78" s="2" t="str">
        <f t="shared" si="2"/>
        <v/>
      </c>
      <c r="F78" s="2" t="str">
        <f t="shared" si="3"/>
        <v/>
      </c>
    </row>
    <row r="79" spans="1:6">
      <c r="A79" s="2" t="str">
        <f>IF('02_KICH_BAN_NODES'!D65="choice",'02_KICH_BAN_NODES'!B65,"")</f>
        <v/>
      </c>
      <c r="B79" s="2" t="str">
        <f>IF(A79="","",'02_KICH_BAN_NODES'!E65)</f>
        <v/>
      </c>
      <c r="C79" s="2" t="str">
        <f>IF(A79="","",COUNTIF('03_LUA_CHON'!$A$5:$A$404,A79))</f>
        <v/>
      </c>
      <c r="D79" s="2" t="str">
        <f>IF(A79="","",COUNTIFS('03_LUA_CHON'!$A$5:$A$404,A79,'03_LUA_CHON'!$D$5:$D$404,"Có"))</f>
        <v/>
      </c>
      <c r="E79" s="2" t="str">
        <f t="shared" si="2"/>
        <v/>
      </c>
      <c r="F79" s="2" t="str">
        <f t="shared" si="3"/>
        <v/>
      </c>
    </row>
    <row r="80" spans="1:6">
      <c r="A80" s="2" t="str">
        <f>IF('02_KICH_BAN_NODES'!D66="choice",'02_KICH_BAN_NODES'!B66,"")</f>
        <v/>
      </c>
      <c r="B80" s="2" t="str">
        <f>IF(A80="","",'02_KICH_BAN_NODES'!E66)</f>
        <v/>
      </c>
      <c r="C80" s="2" t="str">
        <f>IF(A80="","",COUNTIF('03_LUA_CHON'!$A$5:$A$404,A80))</f>
        <v/>
      </c>
      <c r="D80" s="2" t="str">
        <f>IF(A80="","",COUNTIFS('03_LUA_CHON'!$A$5:$A$404,A80,'03_LUA_CHON'!$D$5:$D$404,"Có"))</f>
        <v/>
      </c>
      <c r="E80" s="2" t="str">
        <f t="shared" si="2"/>
        <v/>
      </c>
      <c r="F80" s="2" t="str">
        <f t="shared" si="3"/>
        <v/>
      </c>
    </row>
    <row r="81" spans="1:6">
      <c r="A81" s="2" t="str">
        <f>IF('02_KICH_BAN_NODES'!D67="choice",'02_KICH_BAN_NODES'!B67,"")</f>
        <v/>
      </c>
      <c r="B81" s="2" t="str">
        <f>IF(A81="","",'02_KICH_BAN_NODES'!E67)</f>
        <v/>
      </c>
      <c r="C81" s="2" t="str">
        <f>IF(A81="","",COUNTIF('03_LUA_CHON'!$A$5:$A$404,A81))</f>
        <v/>
      </c>
      <c r="D81" s="2" t="str">
        <f>IF(A81="","",COUNTIFS('03_LUA_CHON'!$A$5:$A$404,A81,'03_LUA_CHON'!$D$5:$D$404,"Có"))</f>
        <v/>
      </c>
      <c r="E81" s="2" t="str">
        <f t="shared" si="2"/>
        <v/>
      </c>
      <c r="F81" s="2" t="str">
        <f t="shared" si="3"/>
        <v/>
      </c>
    </row>
    <row r="82" spans="1:6">
      <c r="A82" s="2" t="str">
        <f>IF('02_KICH_BAN_NODES'!D68="choice",'02_KICH_BAN_NODES'!B68,"")</f>
        <v/>
      </c>
      <c r="B82" s="2" t="str">
        <f>IF(A82="","",'02_KICH_BAN_NODES'!E68)</f>
        <v/>
      </c>
      <c r="C82" s="2" t="str">
        <f>IF(A82="","",COUNTIF('03_LUA_CHON'!$A$5:$A$404,A82))</f>
        <v/>
      </c>
      <c r="D82" s="2" t="str">
        <f>IF(A82="","",COUNTIFS('03_LUA_CHON'!$A$5:$A$404,A82,'03_LUA_CHON'!$D$5:$D$404,"Có"))</f>
        <v/>
      </c>
      <c r="E82" s="2" t="str">
        <f t="shared" si="2"/>
        <v/>
      </c>
      <c r="F82" s="2" t="str">
        <f t="shared" si="3"/>
        <v/>
      </c>
    </row>
    <row r="83" spans="1:6">
      <c r="A83" s="2" t="str">
        <f>IF('02_KICH_BAN_NODES'!D69="choice",'02_KICH_BAN_NODES'!B69,"")</f>
        <v/>
      </c>
      <c r="B83" s="2" t="str">
        <f>IF(A83="","",'02_KICH_BAN_NODES'!E69)</f>
        <v/>
      </c>
      <c r="C83" s="2" t="str">
        <f>IF(A83="","",COUNTIF('03_LUA_CHON'!$A$5:$A$404,A83))</f>
        <v/>
      </c>
      <c r="D83" s="2" t="str">
        <f>IF(A83="","",COUNTIFS('03_LUA_CHON'!$A$5:$A$404,A83,'03_LUA_CHON'!$D$5:$D$404,"Có"))</f>
        <v/>
      </c>
      <c r="E83" s="2" t="str">
        <f t="shared" ref="E83:E114" si="4">IF(A83="","",IF(OR(C83&lt;2,C83&gt;4),"CẦN SỬA",IF(AND(B83="Kiến thức",D83=1),"HỢP LỆ",IF(AND(B83="Tương tác",D83=0),"HỢP LỆ","CẦN SỬA"))))</f>
        <v/>
      </c>
      <c r="F83" s="2" t="str">
        <f t="shared" ref="F83:F114" si="5">IF(A83="","",IF(OR(C83&lt;2,C83&gt;4),"Cần 2–4 option",IF(AND(B83="Kiến thức",D83&lt;&gt;1),"Câu kiến thức cần đúng 1 đáp án đúng",IF(AND(B83="Tương tác",D83&lt;&gt;0),"Câu tương tác không có đáp án đúng",IF(B83="","Thiếu ChoiceMode","")))))</f>
        <v/>
      </c>
    </row>
    <row r="84" spans="1:6">
      <c r="A84" s="2" t="str">
        <f>IF('02_KICH_BAN_NODES'!D70="choice",'02_KICH_BAN_NODES'!B70,"")</f>
        <v/>
      </c>
      <c r="B84" s="2" t="str">
        <f>IF(A84="","",'02_KICH_BAN_NODES'!E70)</f>
        <v/>
      </c>
      <c r="C84" s="2" t="str">
        <f>IF(A84="","",COUNTIF('03_LUA_CHON'!$A$5:$A$404,A84))</f>
        <v/>
      </c>
      <c r="D84" s="2" t="str">
        <f>IF(A84="","",COUNTIFS('03_LUA_CHON'!$A$5:$A$404,A84,'03_LUA_CHON'!$D$5:$D$404,"Có"))</f>
        <v/>
      </c>
      <c r="E84" s="2" t="str">
        <f t="shared" si="4"/>
        <v/>
      </c>
      <c r="F84" s="2" t="str">
        <f t="shared" si="5"/>
        <v/>
      </c>
    </row>
    <row r="85" spans="1:6">
      <c r="A85" s="2" t="str">
        <f>IF('02_KICH_BAN_NODES'!D71="choice",'02_KICH_BAN_NODES'!B71,"")</f>
        <v/>
      </c>
      <c r="B85" s="2" t="str">
        <f>IF(A85="","",'02_KICH_BAN_NODES'!E71)</f>
        <v/>
      </c>
      <c r="C85" s="2" t="str">
        <f>IF(A85="","",COUNTIF('03_LUA_CHON'!$A$5:$A$404,A85))</f>
        <v/>
      </c>
      <c r="D85" s="2" t="str">
        <f>IF(A85="","",COUNTIFS('03_LUA_CHON'!$A$5:$A$404,A85,'03_LUA_CHON'!$D$5:$D$404,"Có"))</f>
        <v/>
      </c>
      <c r="E85" s="2" t="str">
        <f t="shared" si="4"/>
        <v/>
      </c>
      <c r="F85" s="2" t="str">
        <f t="shared" si="5"/>
        <v/>
      </c>
    </row>
    <row r="86" spans="1:6">
      <c r="A86" s="2" t="str">
        <f>IF('02_KICH_BAN_NODES'!D72="choice",'02_KICH_BAN_NODES'!B72,"")</f>
        <v/>
      </c>
      <c r="B86" s="2" t="str">
        <f>IF(A86="","",'02_KICH_BAN_NODES'!E72)</f>
        <v/>
      </c>
      <c r="C86" s="2" t="str">
        <f>IF(A86="","",COUNTIF('03_LUA_CHON'!$A$5:$A$404,A86))</f>
        <v/>
      </c>
      <c r="D86" s="2" t="str">
        <f>IF(A86="","",COUNTIFS('03_LUA_CHON'!$A$5:$A$404,A86,'03_LUA_CHON'!$D$5:$D$404,"Có"))</f>
        <v/>
      </c>
      <c r="E86" s="2" t="str">
        <f t="shared" si="4"/>
        <v/>
      </c>
      <c r="F86" s="2" t="str">
        <f t="shared" si="5"/>
        <v/>
      </c>
    </row>
    <row r="87" spans="1:6">
      <c r="A87" s="2" t="str">
        <f>IF('02_KICH_BAN_NODES'!D73="choice",'02_KICH_BAN_NODES'!B73,"")</f>
        <v/>
      </c>
      <c r="B87" s="2" t="str">
        <f>IF(A87="","",'02_KICH_BAN_NODES'!E73)</f>
        <v/>
      </c>
      <c r="C87" s="2" t="str">
        <f>IF(A87="","",COUNTIF('03_LUA_CHON'!$A$5:$A$404,A87))</f>
        <v/>
      </c>
      <c r="D87" s="2" t="str">
        <f>IF(A87="","",COUNTIFS('03_LUA_CHON'!$A$5:$A$404,A87,'03_LUA_CHON'!$D$5:$D$404,"Có"))</f>
        <v/>
      </c>
      <c r="E87" s="2" t="str">
        <f t="shared" si="4"/>
        <v/>
      </c>
      <c r="F87" s="2" t="str">
        <f t="shared" si="5"/>
        <v/>
      </c>
    </row>
    <row r="88" spans="1:6">
      <c r="A88" s="2" t="str">
        <f>IF('02_KICH_BAN_NODES'!D74="choice",'02_KICH_BAN_NODES'!B74,"")</f>
        <v/>
      </c>
      <c r="B88" s="2" t="str">
        <f>IF(A88="","",'02_KICH_BAN_NODES'!E74)</f>
        <v/>
      </c>
      <c r="C88" s="2" t="str">
        <f>IF(A88="","",COUNTIF('03_LUA_CHON'!$A$5:$A$404,A88))</f>
        <v/>
      </c>
      <c r="D88" s="2" t="str">
        <f>IF(A88="","",COUNTIFS('03_LUA_CHON'!$A$5:$A$404,A88,'03_LUA_CHON'!$D$5:$D$404,"Có"))</f>
        <v/>
      </c>
      <c r="E88" s="2" t="str">
        <f t="shared" si="4"/>
        <v/>
      </c>
      <c r="F88" s="2" t="str">
        <f t="shared" si="5"/>
        <v/>
      </c>
    </row>
    <row r="89" spans="1:6">
      <c r="A89" s="2" t="str">
        <f>IF('02_KICH_BAN_NODES'!D75="choice",'02_KICH_BAN_NODES'!B75,"")</f>
        <v/>
      </c>
      <c r="B89" s="2" t="str">
        <f>IF(A89="","",'02_KICH_BAN_NODES'!E75)</f>
        <v/>
      </c>
      <c r="C89" s="2" t="str">
        <f>IF(A89="","",COUNTIF('03_LUA_CHON'!$A$5:$A$404,A89))</f>
        <v/>
      </c>
      <c r="D89" s="2" t="str">
        <f>IF(A89="","",COUNTIFS('03_LUA_CHON'!$A$5:$A$404,A89,'03_LUA_CHON'!$D$5:$D$404,"Có"))</f>
        <v/>
      </c>
      <c r="E89" s="2" t="str">
        <f t="shared" si="4"/>
        <v/>
      </c>
      <c r="F89" s="2" t="str">
        <f t="shared" si="5"/>
        <v/>
      </c>
    </row>
    <row r="90" spans="1:6">
      <c r="A90" s="2" t="str">
        <f>IF('02_KICH_BAN_NODES'!D76="choice",'02_KICH_BAN_NODES'!B76,"")</f>
        <v/>
      </c>
      <c r="B90" s="2" t="str">
        <f>IF(A90="","",'02_KICH_BAN_NODES'!E76)</f>
        <v/>
      </c>
      <c r="C90" s="2" t="str">
        <f>IF(A90="","",COUNTIF('03_LUA_CHON'!$A$5:$A$404,A90))</f>
        <v/>
      </c>
      <c r="D90" s="2" t="str">
        <f>IF(A90="","",COUNTIFS('03_LUA_CHON'!$A$5:$A$404,A90,'03_LUA_CHON'!$D$5:$D$404,"Có"))</f>
        <v/>
      </c>
      <c r="E90" s="2" t="str">
        <f t="shared" si="4"/>
        <v/>
      </c>
      <c r="F90" s="2" t="str">
        <f t="shared" si="5"/>
        <v/>
      </c>
    </row>
    <row r="91" spans="1:6">
      <c r="A91" s="2" t="str">
        <f>IF('02_KICH_BAN_NODES'!D77="choice",'02_KICH_BAN_NODES'!B77,"")</f>
        <v/>
      </c>
      <c r="B91" s="2" t="str">
        <f>IF(A91="","",'02_KICH_BAN_NODES'!E77)</f>
        <v/>
      </c>
      <c r="C91" s="2" t="str">
        <f>IF(A91="","",COUNTIF('03_LUA_CHON'!$A$5:$A$404,A91))</f>
        <v/>
      </c>
      <c r="D91" s="2" t="str">
        <f>IF(A91="","",COUNTIFS('03_LUA_CHON'!$A$5:$A$404,A91,'03_LUA_CHON'!$D$5:$D$404,"Có"))</f>
        <v/>
      </c>
      <c r="E91" s="2" t="str">
        <f t="shared" si="4"/>
        <v/>
      </c>
      <c r="F91" s="2" t="str">
        <f t="shared" si="5"/>
        <v/>
      </c>
    </row>
    <row r="92" spans="1:6">
      <c r="A92" s="2" t="str">
        <f>IF('02_KICH_BAN_NODES'!D78="choice",'02_KICH_BAN_NODES'!B78,"")</f>
        <v/>
      </c>
      <c r="B92" s="2" t="str">
        <f>IF(A92="","",'02_KICH_BAN_NODES'!E78)</f>
        <v/>
      </c>
      <c r="C92" s="2" t="str">
        <f>IF(A92="","",COUNTIF('03_LUA_CHON'!$A$5:$A$404,A92))</f>
        <v/>
      </c>
      <c r="D92" s="2" t="str">
        <f>IF(A92="","",COUNTIFS('03_LUA_CHON'!$A$5:$A$404,A92,'03_LUA_CHON'!$D$5:$D$404,"Có"))</f>
        <v/>
      </c>
      <c r="E92" s="2" t="str">
        <f t="shared" si="4"/>
        <v/>
      </c>
      <c r="F92" s="2" t="str">
        <f t="shared" si="5"/>
        <v/>
      </c>
    </row>
    <row r="93" spans="1:6">
      <c r="A93" s="2" t="str">
        <f>IF('02_KICH_BAN_NODES'!D79="choice",'02_KICH_BAN_NODES'!B79,"")</f>
        <v/>
      </c>
      <c r="B93" s="2" t="str">
        <f>IF(A93="","",'02_KICH_BAN_NODES'!E79)</f>
        <v/>
      </c>
      <c r="C93" s="2" t="str">
        <f>IF(A93="","",COUNTIF('03_LUA_CHON'!$A$5:$A$404,A93))</f>
        <v/>
      </c>
      <c r="D93" s="2" t="str">
        <f>IF(A93="","",COUNTIFS('03_LUA_CHON'!$A$5:$A$404,A93,'03_LUA_CHON'!$D$5:$D$404,"Có"))</f>
        <v/>
      </c>
      <c r="E93" s="2" t="str">
        <f t="shared" si="4"/>
        <v/>
      </c>
      <c r="F93" s="2" t="str">
        <f t="shared" si="5"/>
        <v/>
      </c>
    </row>
    <row r="94" spans="1:6">
      <c r="A94" s="2" t="str">
        <f>IF('02_KICH_BAN_NODES'!D80="choice",'02_KICH_BAN_NODES'!B80,"")</f>
        <v/>
      </c>
      <c r="B94" s="2" t="str">
        <f>IF(A94="","",'02_KICH_BAN_NODES'!E80)</f>
        <v/>
      </c>
      <c r="C94" s="2" t="str">
        <f>IF(A94="","",COUNTIF('03_LUA_CHON'!$A$5:$A$404,A94))</f>
        <v/>
      </c>
      <c r="D94" s="2" t="str">
        <f>IF(A94="","",COUNTIFS('03_LUA_CHON'!$A$5:$A$404,A94,'03_LUA_CHON'!$D$5:$D$404,"Có"))</f>
        <v/>
      </c>
      <c r="E94" s="2" t="str">
        <f t="shared" si="4"/>
        <v/>
      </c>
      <c r="F94" s="2" t="str">
        <f t="shared" si="5"/>
        <v/>
      </c>
    </row>
    <row r="95" spans="1:6">
      <c r="A95" s="2" t="str">
        <f>IF('02_KICH_BAN_NODES'!D81="choice",'02_KICH_BAN_NODES'!B81,"")</f>
        <v/>
      </c>
      <c r="B95" s="2" t="str">
        <f>IF(A95="","",'02_KICH_BAN_NODES'!E81)</f>
        <v/>
      </c>
      <c r="C95" s="2" t="str">
        <f>IF(A95="","",COUNTIF('03_LUA_CHON'!$A$5:$A$404,A95))</f>
        <v/>
      </c>
      <c r="D95" s="2" t="str">
        <f>IF(A95="","",COUNTIFS('03_LUA_CHON'!$A$5:$A$404,A95,'03_LUA_CHON'!$D$5:$D$404,"Có"))</f>
        <v/>
      </c>
      <c r="E95" s="2" t="str">
        <f t="shared" si="4"/>
        <v/>
      </c>
      <c r="F95" s="2" t="str">
        <f t="shared" si="5"/>
        <v/>
      </c>
    </row>
    <row r="96" spans="1:6">
      <c r="A96" s="2" t="str">
        <f>IF('02_KICH_BAN_NODES'!D82="choice",'02_KICH_BAN_NODES'!B82,"")</f>
        <v/>
      </c>
      <c r="B96" s="2" t="str">
        <f>IF(A96="","",'02_KICH_BAN_NODES'!E82)</f>
        <v/>
      </c>
      <c r="C96" s="2" t="str">
        <f>IF(A96="","",COUNTIF('03_LUA_CHON'!$A$5:$A$404,A96))</f>
        <v/>
      </c>
      <c r="D96" s="2" t="str">
        <f>IF(A96="","",COUNTIFS('03_LUA_CHON'!$A$5:$A$404,A96,'03_LUA_CHON'!$D$5:$D$404,"Có"))</f>
        <v/>
      </c>
      <c r="E96" s="2" t="str">
        <f t="shared" si="4"/>
        <v/>
      </c>
      <c r="F96" s="2" t="str">
        <f t="shared" si="5"/>
        <v/>
      </c>
    </row>
    <row r="97" spans="1:6">
      <c r="A97" s="2" t="str">
        <f>IF('02_KICH_BAN_NODES'!D83="choice",'02_KICH_BAN_NODES'!B83,"")</f>
        <v/>
      </c>
      <c r="B97" s="2" t="str">
        <f>IF(A97="","",'02_KICH_BAN_NODES'!E83)</f>
        <v/>
      </c>
      <c r="C97" s="2" t="str">
        <f>IF(A97="","",COUNTIF('03_LUA_CHON'!$A$5:$A$404,A97))</f>
        <v/>
      </c>
      <c r="D97" s="2" t="str">
        <f>IF(A97="","",COUNTIFS('03_LUA_CHON'!$A$5:$A$404,A97,'03_LUA_CHON'!$D$5:$D$404,"Có"))</f>
        <v/>
      </c>
      <c r="E97" s="2" t="str">
        <f t="shared" si="4"/>
        <v/>
      </c>
      <c r="F97" s="2" t="str">
        <f t="shared" si="5"/>
        <v/>
      </c>
    </row>
    <row r="98" spans="1:6">
      <c r="A98" s="2" t="str">
        <f>IF('02_KICH_BAN_NODES'!D84="choice",'02_KICH_BAN_NODES'!B84,"")</f>
        <v/>
      </c>
      <c r="B98" s="2" t="str">
        <f>IF(A98="","",'02_KICH_BAN_NODES'!E84)</f>
        <v/>
      </c>
      <c r="C98" s="2" t="str">
        <f>IF(A98="","",COUNTIF('03_LUA_CHON'!$A$5:$A$404,A98))</f>
        <v/>
      </c>
      <c r="D98" s="2" t="str">
        <f>IF(A98="","",COUNTIFS('03_LUA_CHON'!$A$5:$A$404,A98,'03_LUA_CHON'!$D$5:$D$404,"Có"))</f>
        <v/>
      </c>
      <c r="E98" s="2" t="str">
        <f t="shared" si="4"/>
        <v/>
      </c>
      <c r="F98" s="2" t="str">
        <f t="shared" si="5"/>
        <v/>
      </c>
    </row>
    <row r="99" spans="1:6">
      <c r="A99" s="2" t="str">
        <f>IF('02_KICH_BAN_NODES'!D85="choice",'02_KICH_BAN_NODES'!B85,"")</f>
        <v/>
      </c>
      <c r="B99" s="2" t="str">
        <f>IF(A99="","",'02_KICH_BAN_NODES'!E85)</f>
        <v/>
      </c>
      <c r="C99" s="2" t="str">
        <f>IF(A99="","",COUNTIF('03_LUA_CHON'!$A$5:$A$404,A99))</f>
        <v/>
      </c>
      <c r="D99" s="2" t="str">
        <f>IF(A99="","",COUNTIFS('03_LUA_CHON'!$A$5:$A$404,A99,'03_LUA_CHON'!$D$5:$D$404,"Có"))</f>
        <v/>
      </c>
      <c r="E99" s="2" t="str">
        <f t="shared" si="4"/>
        <v/>
      </c>
      <c r="F99" s="2" t="str">
        <f t="shared" si="5"/>
        <v/>
      </c>
    </row>
    <row r="100" spans="1:6">
      <c r="A100" s="2" t="str">
        <f>IF('02_KICH_BAN_NODES'!D86="choice",'02_KICH_BAN_NODES'!B86,"")</f>
        <v/>
      </c>
      <c r="B100" s="2" t="str">
        <f>IF(A100="","",'02_KICH_BAN_NODES'!E86)</f>
        <v/>
      </c>
      <c r="C100" s="2" t="str">
        <f>IF(A100="","",COUNTIF('03_LUA_CHON'!$A$5:$A$404,A100))</f>
        <v/>
      </c>
      <c r="D100" s="2" t="str">
        <f>IF(A100="","",COUNTIFS('03_LUA_CHON'!$A$5:$A$404,A100,'03_LUA_CHON'!$D$5:$D$404,"Có"))</f>
        <v/>
      </c>
      <c r="E100" s="2" t="str">
        <f t="shared" si="4"/>
        <v/>
      </c>
      <c r="F100" s="2" t="str">
        <f t="shared" si="5"/>
        <v/>
      </c>
    </row>
    <row r="101" spans="1:6">
      <c r="A101" s="2" t="str">
        <f>IF('02_KICH_BAN_NODES'!D87="choice",'02_KICH_BAN_NODES'!B87,"")</f>
        <v/>
      </c>
      <c r="B101" s="2" t="str">
        <f>IF(A101="","",'02_KICH_BAN_NODES'!E87)</f>
        <v/>
      </c>
      <c r="C101" s="2" t="str">
        <f>IF(A101="","",COUNTIF('03_LUA_CHON'!$A$5:$A$404,A101))</f>
        <v/>
      </c>
      <c r="D101" s="2" t="str">
        <f>IF(A101="","",COUNTIFS('03_LUA_CHON'!$A$5:$A$404,A101,'03_LUA_CHON'!$D$5:$D$404,"Có"))</f>
        <v/>
      </c>
      <c r="E101" s="2" t="str">
        <f t="shared" si="4"/>
        <v/>
      </c>
      <c r="F101" s="2" t="str">
        <f t="shared" si="5"/>
        <v/>
      </c>
    </row>
    <row r="102" spans="1:6">
      <c r="A102" s="2" t="str">
        <f>IF('02_KICH_BAN_NODES'!D88="choice",'02_KICH_BAN_NODES'!B88,"")</f>
        <v/>
      </c>
      <c r="B102" s="2" t="str">
        <f>IF(A102="","",'02_KICH_BAN_NODES'!E88)</f>
        <v/>
      </c>
      <c r="C102" s="2" t="str">
        <f>IF(A102="","",COUNTIF('03_LUA_CHON'!$A$5:$A$404,A102))</f>
        <v/>
      </c>
      <c r="D102" s="2" t="str">
        <f>IF(A102="","",COUNTIFS('03_LUA_CHON'!$A$5:$A$404,A102,'03_LUA_CHON'!$D$5:$D$404,"Có"))</f>
        <v/>
      </c>
      <c r="E102" s="2" t="str">
        <f t="shared" si="4"/>
        <v/>
      </c>
      <c r="F102" s="2" t="str">
        <f t="shared" si="5"/>
        <v/>
      </c>
    </row>
    <row r="103" spans="1:6">
      <c r="A103" s="2" t="str">
        <f>IF('02_KICH_BAN_NODES'!D89="choice",'02_KICH_BAN_NODES'!B89,"")</f>
        <v/>
      </c>
      <c r="B103" s="2" t="str">
        <f>IF(A103="","",'02_KICH_BAN_NODES'!E89)</f>
        <v/>
      </c>
      <c r="C103" s="2" t="str">
        <f>IF(A103="","",COUNTIF('03_LUA_CHON'!$A$5:$A$404,A103))</f>
        <v/>
      </c>
      <c r="D103" s="2" t="str">
        <f>IF(A103="","",COUNTIFS('03_LUA_CHON'!$A$5:$A$404,A103,'03_LUA_CHON'!$D$5:$D$404,"Có"))</f>
        <v/>
      </c>
      <c r="E103" s="2" t="str">
        <f t="shared" si="4"/>
        <v/>
      </c>
      <c r="F103" s="2" t="str">
        <f t="shared" si="5"/>
        <v/>
      </c>
    </row>
    <row r="104" spans="1:6">
      <c r="A104" s="2" t="str">
        <f>IF('02_KICH_BAN_NODES'!D90="choice",'02_KICH_BAN_NODES'!B90,"")</f>
        <v/>
      </c>
      <c r="B104" s="2" t="str">
        <f>IF(A104="","",'02_KICH_BAN_NODES'!E90)</f>
        <v/>
      </c>
      <c r="C104" s="2" t="str">
        <f>IF(A104="","",COUNTIF('03_LUA_CHON'!$A$5:$A$404,A104))</f>
        <v/>
      </c>
      <c r="D104" s="2" t="str">
        <f>IF(A104="","",COUNTIFS('03_LUA_CHON'!$A$5:$A$404,A104,'03_LUA_CHON'!$D$5:$D$404,"Có"))</f>
        <v/>
      </c>
      <c r="E104" s="2" t="str">
        <f t="shared" si="4"/>
        <v/>
      </c>
      <c r="F104" s="2" t="str">
        <f t="shared" si="5"/>
        <v/>
      </c>
    </row>
    <row r="105" spans="1:6">
      <c r="A105" s="2" t="str">
        <f>IF('02_KICH_BAN_NODES'!D91="choice",'02_KICH_BAN_NODES'!B91,"")</f>
        <v/>
      </c>
      <c r="B105" s="2" t="str">
        <f>IF(A105="","",'02_KICH_BAN_NODES'!E91)</f>
        <v/>
      </c>
      <c r="C105" s="2" t="str">
        <f>IF(A105="","",COUNTIF('03_LUA_CHON'!$A$5:$A$404,A105))</f>
        <v/>
      </c>
      <c r="D105" s="2" t="str">
        <f>IF(A105="","",COUNTIFS('03_LUA_CHON'!$A$5:$A$404,A105,'03_LUA_CHON'!$D$5:$D$404,"Có"))</f>
        <v/>
      </c>
      <c r="E105" s="2" t="str">
        <f t="shared" si="4"/>
        <v/>
      </c>
      <c r="F105" s="2" t="str">
        <f t="shared" si="5"/>
        <v/>
      </c>
    </row>
    <row r="106" spans="1:6">
      <c r="A106" s="2" t="str">
        <f>IF('02_KICH_BAN_NODES'!D92="choice",'02_KICH_BAN_NODES'!B92,"")</f>
        <v/>
      </c>
      <c r="B106" s="2" t="str">
        <f>IF(A106="","",'02_KICH_BAN_NODES'!E92)</f>
        <v/>
      </c>
      <c r="C106" s="2" t="str">
        <f>IF(A106="","",COUNTIF('03_LUA_CHON'!$A$5:$A$404,A106))</f>
        <v/>
      </c>
      <c r="D106" s="2" t="str">
        <f>IF(A106="","",COUNTIFS('03_LUA_CHON'!$A$5:$A$404,A106,'03_LUA_CHON'!$D$5:$D$404,"Có"))</f>
        <v/>
      </c>
      <c r="E106" s="2" t="str">
        <f t="shared" si="4"/>
        <v/>
      </c>
      <c r="F106" s="2" t="str">
        <f t="shared" si="5"/>
        <v/>
      </c>
    </row>
    <row r="107" spans="1:6">
      <c r="A107" s="2" t="str">
        <f>IF('02_KICH_BAN_NODES'!D93="choice",'02_KICH_BAN_NODES'!B93,"")</f>
        <v/>
      </c>
      <c r="B107" s="2" t="str">
        <f>IF(A107="","",'02_KICH_BAN_NODES'!E93)</f>
        <v/>
      </c>
      <c r="C107" s="2" t="str">
        <f>IF(A107="","",COUNTIF('03_LUA_CHON'!$A$5:$A$404,A107))</f>
        <v/>
      </c>
      <c r="D107" s="2" t="str">
        <f>IF(A107="","",COUNTIFS('03_LUA_CHON'!$A$5:$A$404,A107,'03_LUA_CHON'!$D$5:$D$404,"Có"))</f>
        <v/>
      </c>
      <c r="E107" s="2" t="str">
        <f t="shared" si="4"/>
        <v/>
      </c>
      <c r="F107" s="2" t="str">
        <f t="shared" si="5"/>
        <v/>
      </c>
    </row>
    <row r="108" spans="1:6">
      <c r="A108" s="2" t="str">
        <f>IF('02_KICH_BAN_NODES'!D94="choice",'02_KICH_BAN_NODES'!B94,"")</f>
        <v/>
      </c>
      <c r="B108" s="2" t="str">
        <f>IF(A108="","",'02_KICH_BAN_NODES'!E94)</f>
        <v/>
      </c>
      <c r="C108" s="2" t="str">
        <f>IF(A108="","",COUNTIF('03_LUA_CHON'!$A$5:$A$404,A108))</f>
        <v/>
      </c>
      <c r="D108" s="2" t="str">
        <f>IF(A108="","",COUNTIFS('03_LUA_CHON'!$A$5:$A$404,A108,'03_LUA_CHON'!$D$5:$D$404,"Có"))</f>
        <v/>
      </c>
      <c r="E108" s="2" t="str">
        <f t="shared" si="4"/>
        <v/>
      </c>
      <c r="F108" s="2" t="str">
        <f t="shared" si="5"/>
        <v/>
      </c>
    </row>
    <row r="109" spans="1:6">
      <c r="A109" s="2" t="str">
        <f>IF('02_KICH_BAN_NODES'!D95="choice",'02_KICH_BAN_NODES'!B95,"")</f>
        <v/>
      </c>
      <c r="B109" s="2" t="str">
        <f>IF(A109="","",'02_KICH_BAN_NODES'!E95)</f>
        <v/>
      </c>
      <c r="C109" s="2" t="str">
        <f>IF(A109="","",COUNTIF('03_LUA_CHON'!$A$5:$A$404,A109))</f>
        <v/>
      </c>
      <c r="D109" s="2" t="str">
        <f>IF(A109="","",COUNTIFS('03_LUA_CHON'!$A$5:$A$404,A109,'03_LUA_CHON'!$D$5:$D$404,"Có"))</f>
        <v/>
      </c>
      <c r="E109" s="2" t="str">
        <f t="shared" si="4"/>
        <v/>
      </c>
      <c r="F109" s="2" t="str">
        <f t="shared" si="5"/>
        <v/>
      </c>
    </row>
    <row r="110" spans="1:6">
      <c r="A110" s="2" t="str">
        <f>IF('02_KICH_BAN_NODES'!D96="choice",'02_KICH_BAN_NODES'!B96,"")</f>
        <v/>
      </c>
      <c r="B110" s="2" t="str">
        <f>IF(A110="","",'02_KICH_BAN_NODES'!E96)</f>
        <v/>
      </c>
      <c r="C110" s="2" t="str">
        <f>IF(A110="","",COUNTIF('03_LUA_CHON'!$A$5:$A$404,A110))</f>
        <v/>
      </c>
      <c r="D110" s="2" t="str">
        <f>IF(A110="","",COUNTIFS('03_LUA_CHON'!$A$5:$A$404,A110,'03_LUA_CHON'!$D$5:$D$404,"Có"))</f>
        <v/>
      </c>
      <c r="E110" s="2" t="str">
        <f t="shared" si="4"/>
        <v/>
      </c>
      <c r="F110" s="2" t="str">
        <f t="shared" si="5"/>
        <v/>
      </c>
    </row>
    <row r="111" spans="1:6">
      <c r="A111" s="2" t="str">
        <f>IF('02_KICH_BAN_NODES'!D97="choice",'02_KICH_BAN_NODES'!B97,"")</f>
        <v/>
      </c>
      <c r="B111" s="2" t="str">
        <f>IF(A111="","",'02_KICH_BAN_NODES'!E97)</f>
        <v/>
      </c>
      <c r="C111" s="2" t="str">
        <f>IF(A111="","",COUNTIF('03_LUA_CHON'!$A$5:$A$404,A111))</f>
        <v/>
      </c>
      <c r="D111" s="2" t="str">
        <f>IF(A111="","",COUNTIFS('03_LUA_CHON'!$A$5:$A$404,A111,'03_LUA_CHON'!$D$5:$D$404,"Có"))</f>
        <v/>
      </c>
      <c r="E111" s="2" t="str">
        <f t="shared" si="4"/>
        <v/>
      </c>
      <c r="F111" s="2" t="str">
        <f t="shared" si="5"/>
        <v/>
      </c>
    </row>
    <row r="112" spans="1:6">
      <c r="A112" s="2" t="str">
        <f>IF('02_KICH_BAN_NODES'!D98="choice",'02_KICH_BAN_NODES'!B98,"")</f>
        <v/>
      </c>
      <c r="B112" s="2" t="str">
        <f>IF(A112="","",'02_KICH_BAN_NODES'!E98)</f>
        <v/>
      </c>
      <c r="C112" s="2" t="str">
        <f>IF(A112="","",COUNTIF('03_LUA_CHON'!$A$5:$A$404,A112))</f>
        <v/>
      </c>
      <c r="D112" s="2" t="str">
        <f>IF(A112="","",COUNTIFS('03_LUA_CHON'!$A$5:$A$404,A112,'03_LUA_CHON'!$D$5:$D$404,"Có"))</f>
        <v/>
      </c>
      <c r="E112" s="2" t="str">
        <f t="shared" si="4"/>
        <v/>
      </c>
      <c r="F112" s="2" t="str">
        <f t="shared" si="5"/>
        <v/>
      </c>
    </row>
    <row r="113" spans="1:6">
      <c r="A113" s="2" t="str">
        <f>IF('02_KICH_BAN_NODES'!D99="choice",'02_KICH_BAN_NODES'!B99,"")</f>
        <v/>
      </c>
      <c r="B113" s="2" t="str">
        <f>IF(A113="","",'02_KICH_BAN_NODES'!E99)</f>
        <v/>
      </c>
      <c r="C113" s="2" t="str">
        <f>IF(A113="","",COUNTIF('03_LUA_CHON'!$A$5:$A$404,A113))</f>
        <v/>
      </c>
      <c r="D113" s="2" t="str">
        <f>IF(A113="","",COUNTIFS('03_LUA_CHON'!$A$5:$A$404,A113,'03_LUA_CHON'!$D$5:$D$404,"Có"))</f>
        <v/>
      </c>
      <c r="E113" s="2" t="str">
        <f t="shared" si="4"/>
        <v/>
      </c>
      <c r="F113" s="2" t="str">
        <f t="shared" si="5"/>
        <v/>
      </c>
    </row>
    <row r="114" spans="1:6">
      <c r="A114" s="2" t="str">
        <f>IF('02_KICH_BAN_NODES'!D100="choice",'02_KICH_BAN_NODES'!B100,"")</f>
        <v/>
      </c>
      <c r="B114" s="2" t="str">
        <f>IF(A114="","",'02_KICH_BAN_NODES'!E100)</f>
        <v/>
      </c>
      <c r="C114" s="2" t="str">
        <f>IF(A114="","",COUNTIF('03_LUA_CHON'!$A$5:$A$404,A114))</f>
        <v/>
      </c>
      <c r="D114" s="2" t="str">
        <f>IF(A114="","",COUNTIFS('03_LUA_CHON'!$A$5:$A$404,A114,'03_LUA_CHON'!$D$5:$D$404,"Có"))</f>
        <v/>
      </c>
      <c r="E114" s="2" t="str">
        <f t="shared" si="4"/>
        <v/>
      </c>
      <c r="F114" s="2" t="str">
        <f t="shared" si="5"/>
        <v/>
      </c>
    </row>
    <row r="115" spans="1:6">
      <c r="A115" s="2" t="str">
        <f>IF('02_KICH_BAN_NODES'!D101="choice",'02_KICH_BAN_NODES'!B101,"")</f>
        <v/>
      </c>
      <c r="B115" s="2" t="str">
        <f>IF(A115="","",'02_KICH_BAN_NODES'!E101)</f>
        <v/>
      </c>
      <c r="C115" s="2" t="str">
        <f>IF(A115="","",COUNTIF('03_LUA_CHON'!$A$5:$A$404,A115))</f>
        <v/>
      </c>
      <c r="D115" s="2" t="str">
        <f>IF(A115="","",COUNTIFS('03_LUA_CHON'!$A$5:$A$404,A115,'03_LUA_CHON'!$D$5:$D$404,"Có"))</f>
        <v/>
      </c>
      <c r="E115" s="2" t="str">
        <f t="shared" ref="E115:E146" si="6">IF(A115="","",IF(OR(C115&lt;2,C115&gt;4),"CẦN SỬA",IF(AND(B115="Kiến thức",D115=1),"HỢP LỆ",IF(AND(B115="Tương tác",D115=0),"HỢP LỆ","CẦN SỬA"))))</f>
        <v/>
      </c>
      <c r="F115" s="2" t="str">
        <f t="shared" ref="F115:F146" si="7">IF(A115="","",IF(OR(C115&lt;2,C115&gt;4),"Cần 2–4 option",IF(AND(B115="Kiến thức",D115&lt;&gt;1),"Câu kiến thức cần đúng 1 đáp án đúng",IF(AND(B115="Tương tác",D115&lt;&gt;0),"Câu tương tác không có đáp án đúng",IF(B115="","Thiếu ChoiceMode","")))))</f>
        <v/>
      </c>
    </row>
    <row r="116" spans="1:6">
      <c r="A116" s="2" t="str">
        <f>IF('02_KICH_BAN_NODES'!D102="choice",'02_KICH_BAN_NODES'!B102,"")</f>
        <v/>
      </c>
      <c r="B116" s="2" t="str">
        <f>IF(A116="","",'02_KICH_BAN_NODES'!E102)</f>
        <v/>
      </c>
      <c r="C116" s="2" t="str">
        <f>IF(A116="","",COUNTIF('03_LUA_CHON'!$A$5:$A$404,A116))</f>
        <v/>
      </c>
      <c r="D116" s="2" t="str">
        <f>IF(A116="","",COUNTIFS('03_LUA_CHON'!$A$5:$A$404,A116,'03_LUA_CHON'!$D$5:$D$404,"Có"))</f>
        <v/>
      </c>
      <c r="E116" s="2" t="str">
        <f t="shared" si="6"/>
        <v/>
      </c>
      <c r="F116" s="2" t="str">
        <f t="shared" si="7"/>
        <v/>
      </c>
    </row>
    <row r="117" spans="1:6">
      <c r="A117" s="2" t="str">
        <f>IF('02_KICH_BAN_NODES'!D103="choice",'02_KICH_BAN_NODES'!B103,"")</f>
        <v/>
      </c>
      <c r="B117" s="2" t="str">
        <f>IF(A117="","",'02_KICH_BAN_NODES'!E103)</f>
        <v/>
      </c>
      <c r="C117" s="2" t="str">
        <f>IF(A117="","",COUNTIF('03_LUA_CHON'!$A$5:$A$404,A117))</f>
        <v/>
      </c>
      <c r="D117" s="2" t="str">
        <f>IF(A117="","",COUNTIFS('03_LUA_CHON'!$A$5:$A$404,A117,'03_LUA_CHON'!$D$5:$D$404,"Có"))</f>
        <v/>
      </c>
      <c r="E117" s="2" t="str">
        <f t="shared" si="6"/>
        <v/>
      </c>
      <c r="F117" s="2" t="str">
        <f t="shared" si="7"/>
        <v/>
      </c>
    </row>
    <row r="118" spans="1:6">
      <c r="A118" s="2" t="str">
        <f>IF('02_KICH_BAN_NODES'!D104="choice",'02_KICH_BAN_NODES'!B104,"")</f>
        <v/>
      </c>
      <c r="B118" s="2" t="str">
        <f>IF(A118="","",'02_KICH_BAN_NODES'!E104)</f>
        <v/>
      </c>
      <c r="C118" s="2" t="str">
        <f>IF(A118="","",COUNTIF('03_LUA_CHON'!$A$5:$A$404,A118))</f>
        <v/>
      </c>
      <c r="D118" s="2" t="str">
        <f>IF(A118="","",COUNTIFS('03_LUA_CHON'!$A$5:$A$404,A118,'03_LUA_CHON'!$D$5:$D$404,"Có"))</f>
        <v/>
      </c>
      <c r="E118" s="2" t="str">
        <f t="shared" si="6"/>
        <v/>
      </c>
      <c r="F118" s="2" t="str">
        <f t="shared" si="7"/>
        <v/>
      </c>
    </row>
    <row r="119" spans="1:6">
      <c r="A119" s="2" t="str">
        <f>IF('02_KICH_BAN_NODES'!D105="choice",'02_KICH_BAN_NODES'!B105,"")</f>
        <v/>
      </c>
      <c r="B119" s="2" t="str">
        <f>IF(A119="","",'02_KICH_BAN_NODES'!E105)</f>
        <v/>
      </c>
      <c r="C119" s="2" t="str">
        <f>IF(A119="","",COUNTIF('03_LUA_CHON'!$A$5:$A$404,A119))</f>
        <v/>
      </c>
      <c r="D119" s="2" t="str">
        <f>IF(A119="","",COUNTIFS('03_LUA_CHON'!$A$5:$A$404,A119,'03_LUA_CHON'!$D$5:$D$404,"Có"))</f>
        <v/>
      </c>
      <c r="E119" s="2" t="str">
        <f t="shared" si="6"/>
        <v/>
      </c>
      <c r="F119" s="2" t="str">
        <f t="shared" si="7"/>
        <v/>
      </c>
    </row>
    <row r="120" spans="1:6">
      <c r="A120" s="2" t="str">
        <f>IF('02_KICH_BAN_NODES'!D106="choice",'02_KICH_BAN_NODES'!B106,"")</f>
        <v/>
      </c>
      <c r="B120" s="2" t="str">
        <f>IF(A120="","",'02_KICH_BAN_NODES'!E106)</f>
        <v/>
      </c>
      <c r="C120" s="2" t="str">
        <f>IF(A120="","",COUNTIF('03_LUA_CHON'!$A$5:$A$404,A120))</f>
        <v/>
      </c>
      <c r="D120" s="2" t="str">
        <f>IF(A120="","",COUNTIFS('03_LUA_CHON'!$A$5:$A$404,A120,'03_LUA_CHON'!$D$5:$D$404,"Có"))</f>
        <v/>
      </c>
      <c r="E120" s="2" t="str">
        <f t="shared" si="6"/>
        <v/>
      </c>
      <c r="F120" s="2" t="str">
        <f t="shared" si="7"/>
        <v/>
      </c>
    </row>
    <row r="121" spans="1:6">
      <c r="A121" s="2" t="str">
        <f>IF('02_KICH_BAN_NODES'!D107="choice",'02_KICH_BAN_NODES'!B107,"")</f>
        <v/>
      </c>
      <c r="B121" s="2" t="str">
        <f>IF(A121="","",'02_KICH_BAN_NODES'!E107)</f>
        <v/>
      </c>
      <c r="C121" s="2" t="str">
        <f>IF(A121="","",COUNTIF('03_LUA_CHON'!$A$5:$A$404,A121))</f>
        <v/>
      </c>
      <c r="D121" s="2" t="str">
        <f>IF(A121="","",COUNTIFS('03_LUA_CHON'!$A$5:$A$404,A121,'03_LUA_CHON'!$D$5:$D$404,"Có"))</f>
        <v/>
      </c>
      <c r="E121" s="2" t="str">
        <f t="shared" si="6"/>
        <v/>
      </c>
      <c r="F121" s="2" t="str">
        <f t="shared" si="7"/>
        <v/>
      </c>
    </row>
    <row r="122" spans="1:6">
      <c r="A122" s="2" t="str">
        <f>IF('02_KICH_BAN_NODES'!D108="choice",'02_KICH_BAN_NODES'!B108,"")</f>
        <v/>
      </c>
      <c r="B122" s="2" t="str">
        <f>IF(A122="","",'02_KICH_BAN_NODES'!E108)</f>
        <v/>
      </c>
      <c r="C122" s="2" t="str">
        <f>IF(A122="","",COUNTIF('03_LUA_CHON'!$A$5:$A$404,A122))</f>
        <v/>
      </c>
      <c r="D122" s="2" t="str">
        <f>IF(A122="","",COUNTIFS('03_LUA_CHON'!$A$5:$A$404,A122,'03_LUA_CHON'!$D$5:$D$404,"Có"))</f>
        <v/>
      </c>
      <c r="E122" s="2" t="str">
        <f t="shared" si="6"/>
        <v/>
      </c>
      <c r="F122" s="2" t="str">
        <f t="shared" si="7"/>
        <v/>
      </c>
    </row>
    <row r="123" spans="1:6">
      <c r="A123" s="2" t="str">
        <f>IF('02_KICH_BAN_NODES'!D109="choice",'02_KICH_BAN_NODES'!B109,"")</f>
        <v/>
      </c>
      <c r="B123" s="2" t="str">
        <f>IF(A123="","",'02_KICH_BAN_NODES'!E109)</f>
        <v/>
      </c>
      <c r="C123" s="2" t="str">
        <f>IF(A123="","",COUNTIF('03_LUA_CHON'!$A$5:$A$404,A123))</f>
        <v/>
      </c>
      <c r="D123" s="2" t="str">
        <f>IF(A123="","",COUNTIFS('03_LUA_CHON'!$A$5:$A$404,A123,'03_LUA_CHON'!$D$5:$D$404,"Có"))</f>
        <v/>
      </c>
      <c r="E123" s="2" t="str">
        <f t="shared" si="6"/>
        <v/>
      </c>
      <c r="F123" s="2" t="str">
        <f t="shared" si="7"/>
        <v/>
      </c>
    </row>
    <row r="124" spans="1:6">
      <c r="A124" s="2" t="str">
        <f>IF('02_KICH_BAN_NODES'!D110="choice",'02_KICH_BAN_NODES'!B110,"")</f>
        <v/>
      </c>
      <c r="B124" s="2" t="str">
        <f>IF(A124="","",'02_KICH_BAN_NODES'!E110)</f>
        <v/>
      </c>
      <c r="C124" s="2" t="str">
        <f>IF(A124="","",COUNTIF('03_LUA_CHON'!$A$5:$A$404,A124))</f>
        <v/>
      </c>
      <c r="D124" s="2" t="str">
        <f>IF(A124="","",COUNTIFS('03_LUA_CHON'!$A$5:$A$404,A124,'03_LUA_CHON'!$D$5:$D$404,"Có"))</f>
        <v/>
      </c>
      <c r="E124" s="2" t="str">
        <f t="shared" si="6"/>
        <v/>
      </c>
      <c r="F124" s="2" t="str">
        <f t="shared" si="7"/>
        <v/>
      </c>
    </row>
    <row r="125" spans="1:6">
      <c r="A125" s="2" t="str">
        <f>IF('02_KICH_BAN_NODES'!D111="choice",'02_KICH_BAN_NODES'!B111,"")</f>
        <v/>
      </c>
      <c r="B125" s="2" t="str">
        <f>IF(A125="","",'02_KICH_BAN_NODES'!E111)</f>
        <v/>
      </c>
      <c r="C125" s="2" t="str">
        <f>IF(A125="","",COUNTIF('03_LUA_CHON'!$A$5:$A$404,A125))</f>
        <v/>
      </c>
      <c r="D125" s="2" t="str">
        <f>IF(A125="","",COUNTIFS('03_LUA_CHON'!$A$5:$A$404,A125,'03_LUA_CHON'!$D$5:$D$404,"Có"))</f>
        <v/>
      </c>
      <c r="E125" s="2" t="str">
        <f t="shared" si="6"/>
        <v/>
      </c>
      <c r="F125" s="2" t="str">
        <f t="shared" si="7"/>
        <v/>
      </c>
    </row>
    <row r="126" spans="1:6">
      <c r="A126" s="2" t="str">
        <f>IF('02_KICH_BAN_NODES'!D112="choice",'02_KICH_BAN_NODES'!B112,"")</f>
        <v/>
      </c>
      <c r="B126" s="2" t="str">
        <f>IF(A126="","",'02_KICH_BAN_NODES'!E112)</f>
        <v/>
      </c>
      <c r="C126" s="2" t="str">
        <f>IF(A126="","",COUNTIF('03_LUA_CHON'!$A$5:$A$404,A126))</f>
        <v/>
      </c>
      <c r="D126" s="2" t="str">
        <f>IF(A126="","",COUNTIFS('03_LUA_CHON'!$A$5:$A$404,A126,'03_LUA_CHON'!$D$5:$D$404,"Có"))</f>
        <v/>
      </c>
      <c r="E126" s="2" t="str">
        <f t="shared" si="6"/>
        <v/>
      </c>
      <c r="F126" s="2" t="str">
        <f t="shared" si="7"/>
        <v/>
      </c>
    </row>
    <row r="127" spans="1:6">
      <c r="A127" s="2" t="str">
        <f>IF('02_KICH_BAN_NODES'!D113="choice",'02_KICH_BAN_NODES'!B113,"")</f>
        <v/>
      </c>
      <c r="B127" s="2" t="str">
        <f>IF(A127="","",'02_KICH_BAN_NODES'!E113)</f>
        <v/>
      </c>
      <c r="C127" s="2" t="str">
        <f>IF(A127="","",COUNTIF('03_LUA_CHON'!$A$5:$A$404,A127))</f>
        <v/>
      </c>
      <c r="D127" s="2" t="str">
        <f>IF(A127="","",COUNTIFS('03_LUA_CHON'!$A$5:$A$404,A127,'03_LUA_CHON'!$D$5:$D$404,"Có"))</f>
        <v/>
      </c>
      <c r="E127" s="2" t="str">
        <f t="shared" si="6"/>
        <v/>
      </c>
      <c r="F127" s="2" t="str">
        <f t="shared" si="7"/>
        <v/>
      </c>
    </row>
    <row r="128" spans="1:6">
      <c r="A128" s="2" t="str">
        <f>IF('02_KICH_BAN_NODES'!D114="choice",'02_KICH_BAN_NODES'!B114,"")</f>
        <v/>
      </c>
      <c r="B128" s="2" t="str">
        <f>IF(A128="","",'02_KICH_BAN_NODES'!E114)</f>
        <v/>
      </c>
      <c r="C128" s="2" t="str">
        <f>IF(A128="","",COUNTIF('03_LUA_CHON'!$A$5:$A$404,A128))</f>
        <v/>
      </c>
      <c r="D128" s="2" t="str">
        <f>IF(A128="","",COUNTIFS('03_LUA_CHON'!$A$5:$A$404,A128,'03_LUA_CHON'!$D$5:$D$404,"Có"))</f>
        <v/>
      </c>
      <c r="E128" s="2" t="str">
        <f t="shared" si="6"/>
        <v/>
      </c>
      <c r="F128" s="2" t="str">
        <f t="shared" si="7"/>
        <v/>
      </c>
    </row>
    <row r="129" spans="1:6">
      <c r="A129" s="2" t="str">
        <f>IF('02_KICH_BAN_NODES'!D115="choice",'02_KICH_BAN_NODES'!B115,"")</f>
        <v/>
      </c>
      <c r="B129" s="2" t="str">
        <f>IF(A129="","",'02_KICH_BAN_NODES'!E115)</f>
        <v/>
      </c>
      <c r="C129" s="2" t="str">
        <f>IF(A129="","",COUNTIF('03_LUA_CHON'!$A$5:$A$404,A129))</f>
        <v/>
      </c>
      <c r="D129" s="2" t="str">
        <f>IF(A129="","",COUNTIFS('03_LUA_CHON'!$A$5:$A$404,A129,'03_LUA_CHON'!$D$5:$D$404,"Có"))</f>
        <v/>
      </c>
      <c r="E129" s="2" t="str">
        <f t="shared" si="6"/>
        <v/>
      </c>
      <c r="F129" s="2" t="str">
        <f t="shared" si="7"/>
        <v/>
      </c>
    </row>
    <row r="130" spans="1:6">
      <c r="A130" s="2" t="str">
        <f>IF('02_KICH_BAN_NODES'!D116="choice",'02_KICH_BAN_NODES'!B116,"")</f>
        <v/>
      </c>
      <c r="B130" s="2" t="str">
        <f>IF(A130="","",'02_KICH_BAN_NODES'!E116)</f>
        <v/>
      </c>
      <c r="C130" s="2" t="str">
        <f>IF(A130="","",COUNTIF('03_LUA_CHON'!$A$5:$A$404,A130))</f>
        <v/>
      </c>
      <c r="D130" s="2" t="str">
        <f>IF(A130="","",COUNTIFS('03_LUA_CHON'!$A$5:$A$404,A130,'03_LUA_CHON'!$D$5:$D$404,"Có"))</f>
        <v/>
      </c>
      <c r="E130" s="2" t="str">
        <f t="shared" si="6"/>
        <v/>
      </c>
      <c r="F130" s="2" t="str">
        <f t="shared" si="7"/>
        <v/>
      </c>
    </row>
    <row r="131" spans="1:6">
      <c r="A131" s="2" t="str">
        <f>IF('02_KICH_BAN_NODES'!D117="choice",'02_KICH_BAN_NODES'!B117,"")</f>
        <v/>
      </c>
      <c r="B131" s="2" t="str">
        <f>IF(A131="","",'02_KICH_BAN_NODES'!E117)</f>
        <v/>
      </c>
      <c r="C131" s="2" t="str">
        <f>IF(A131="","",COUNTIF('03_LUA_CHON'!$A$5:$A$404,A131))</f>
        <v/>
      </c>
      <c r="D131" s="2" t="str">
        <f>IF(A131="","",COUNTIFS('03_LUA_CHON'!$A$5:$A$404,A131,'03_LUA_CHON'!$D$5:$D$404,"Có"))</f>
        <v/>
      </c>
      <c r="E131" s="2" t="str">
        <f t="shared" si="6"/>
        <v/>
      </c>
      <c r="F131" s="2" t="str">
        <f t="shared" si="7"/>
        <v/>
      </c>
    </row>
    <row r="132" spans="1:6">
      <c r="A132" s="2" t="str">
        <f>IF('02_KICH_BAN_NODES'!D118="choice",'02_KICH_BAN_NODES'!B118,"")</f>
        <v/>
      </c>
      <c r="B132" s="2" t="str">
        <f>IF(A132="","",'02_KICH_BAN_NODES'!E118)</f>
        <v/>
      </c>
      <c r="C132" s="2" t="str">
        <f>IF(A132="","",COUNTIF('03_LUA_CHON'!$A$5:$A$404,A132))</f>
        <v/>
      </c>
      <c r="D132" s="2" t="str">
        <f>IF(A132="","",COUNTIFS('03_LUA_CHON'!$A$5:$A$404,A132,'03_LUA_CHON'!$D$5:$D$404,"Có"))</f>
        <v/>
      </c>
      <c r="E132" s="2" t="str">
        <f t="shared" si="6"/>
        <v/>
      </c>
      <c r="F132" s="2" t="str">
        <f t="shared" si="7"/>
        <v/>
      </c>
    </row>
    <row r="133" spans="1:6">
      <c r="A133" s="2" t="str">
        <f>IF('02_KICH_BAN_NODES'!D119="choice",'02_KICH_BAN_NODES'!B119,"")</f>
        <v/>
      </c>
      <c r="B133" s="2" t="str">
        <f>IF(A133="","",'02_KICH_BAN_NODES'!E119)</f>
        <v/>
      </c>
      <c r="C133" s="2" t="str">
        <f>IF(A133="","",COUNTIF('03_LUA_CHON'!$A$5:$A$404,A133))</f>
        <v/>
      </c>
      <c r="D133" s="2" t="str">
        <f>IF(A133="","",COUNTIFS('03_LUA_CHON'!$A$5:$A$404,A133,'03_LUA_CHON'!$D$5:$D$404,"Có"))</f>
        <v/>
      </c>
      <c r="E133" s="2" t="str">
        <f t="shared" si="6"/>
        <v/>
      </c>
      <c r="F133" s="2" t="str">
        <f t="shared" si="7"/>
        <v/>
      </c>
    </row>
    <row r="134" spans="1:6">
      <c r="A134" s="2" t="str">
        <f>IF('02_KICH_BAN_NODES'!D120="choice",'02_KICH_BAN_NODES'!B120,"")</f>
        <v/>
      </c>
      <c r="B134" s="2" t="str">
        <f>IF(A134="","",'02_KICH_BAN_NODES'!E120)</f>
        <v/>
      </c>
      <c r="C134" s="2" t="str">
        <f>IF(A134="","",COUNTIF('03_LUA_CHON'!$A$5:$A$404,A134))</f>
        <v/>
      </c>
      <c r="D134" s="2" t="str">
        <f>IF(A134="","",COUNTIFS('03_LUA_CHON'!$A$5:$A$404,A134,'03_LUA_CHON'!$D$5:$D$404,"Có"))</f>
        <v/>
      </c>
      <c r="E134" s="2" t="str">
        <f t="shared" si="6"/>
        <v/>
      </c>
      <c r="F134" s="2" t="str">
        <f t="shared" si="7"/>
        <v/>
      </c>
    </row>
    <row r="135" spans="1:6">
      <c r="A135" s="2" t="str">
        <f>IF('02_KICH_BAN_NODES'!D121="choice",'02_KICH_BAN_NODES'!B121,"")</f>
        <v/>
      </c>
      <c r="B135" s="2" t="str">
        <f>IF(A135="","",'02_KICH_BAN_NODES'!E121)</f>
        <v/>
      </c>
      <c r="C135" s="2" t="str">
        <f>IF(A135="","",COUNTIF('03_LUA_CHON'!$A$5:$A$404,A135))</f>
        <v/>
      </c>
      <c r="D135" s="2" t="str">
        <f>IF(A135="","",COUNTIFS('03_LUA_CHON'!$A$5:$A$404,A135,'03_LUA_CHON'!$D$5:$D$404,"Có"))</f>
        <v/>
      </c>
      <c r="E135" s="2" t="str">
        <f t="shared" si="6"/>
        <v/>
      </c>
      <c r="F135" s="2" t="str">
        <f t="shared" si="7"/>
        <v/>
      </c>
    </row>
    <row r="136" spans="1:6">
      <c r="A136" s="2" t="str">
        <f>IF('02_KICH_BAN_NODES'!D122="choice",'02_KICH_BAN_NODES'!B122,"")</f>
        <v/>
      </c>
      <c r="B136" s="2" t="str">
        <f>IF(A136="","",'02_KICH_BAN_NODES'!E122)</f>
        <v/>
      </c>
      <c r="C136" s="2" t="str">
        <f>IF(A136="","",COUNTIF('03_LUA_CHON'!$A$5:$A$404,A136))</f>
        <v/>
      </c>
      <c r="D136" s="2" t="str">
        <f>IF(A136="","",COUNTIFS('03_LUA_CHON'!$A$5:$A$404,A136,'03_LUA_CHON'!$D$5:$D$404,"Có"))</f>
        <v/>
      </c>
      <c r="E136" s="2" t="str">
        <f t="shared" si="6"/>
        <v/>
      </c>
      <c r="F136" s="2" t="str">
        <f t="shared" si="7"/>
        <v/>
      </c>
    </row>
    <row r="137" spans="1:6">
      <c r="A137" s="2" t="str">
        <f>IF('02_KICH_BAN_NODES'!D123="choice",'02_KICH_BAN_NODES'!B123,"")</f>
        <v/>
      </c>
      <c r="B137" s="2" t="str">
        <f>IF(A137="","",'02_KICH_BAN_NODES'!E123)</f>
        <v/>
      </c>
      <c r="C137" s="2" t="str">
        <f>IF(A137="","",COUNTIF('03_LUA_CHON'!$A$5:$A$404,A137))</f>
        <v/>
      </c>
      <c r="D137" s="2" t="str">
        <f>IF(A137="","",COUNTIFS('03_LUA_CHON'!$A$5:$A$404,A137,'03_LUA_CHON'!$D$5:$D$404,"Có"))</f>
        <v/>
      </c>
      <c r="E137" s="2" t="str">
        <f t="shared" si="6"/>
        <v/>
      </c>
      <c r="F137" s="2" t="str">
        <f t="shared" si="7"/>
        <v/>
      </c>
    </row>
    <row r="138" spans="1:6">
      <c r="A138" s="2" t="str">
        <f>IF('02_KICH_BAN_NODES'!D124="choice",'02_KICH_BAN_NODES'!B124,"")</f>
        <v/>
      </c>
      <c r="B138" s="2" t="str">
        <f>IF(A138="","",'02_KICH_BAN_NODES'!E124)</f>
        <v/>
      </c>
      <c r="C138" s="2" t="str">
        <f>IF(A138="","",COUNTIF('03_LUA_CHON'!$A$5:$A$404,A138))</f>
        <v/>
      </c>
      <c r="D138" s="2" t="str">
        <f>IF(A138="","",COUNTIFS('03_LUA_CHON'!$A$5:$A$404,A138,'03_LUA_CHON'!$D$5:$D$404,"Có"))</f>
        <v/>
      </c>
      <c r="E138" s="2" t="str">
        <f t="shared" si="6"/>
        <v/>
      </c>
      <c r="F138" s="2" t="str">
        <f t="shared" si="7"/>
        <v/>
      </c>
    </row>
    <row r="139" spans="1:6">
      <c r="A139" s="2" t="str">
        <f>IF('02_KICH_BAN_NODES'!D125="choice",'02_KICH_BAN_NODES'!B125,"")</f>
        <v/>
      </c>
      <c r="B139" s="2" t="str">
        <f>IF(A139="","",'02_KICH_BAN_NODES'!E125)</f>
        <v/>
      </c>
      <c r="C139" s="2" t="str">
        <f>IF(A139="","",COUNTIF('03_LUA_CHON'!$A$5:$A$404,A139))</f>
        <v/>
      </c>
      <c r="D139" s="2" t="str">
        <f>IF(A139="","",COUNTIFS('03_LUA_CHON'!$A$5:$A$404,A139,'03_LUA_CHON'!$D$5:$D$404,"Có"))</f>
        <v/>
      </c>
      <c r="E139" s="2" t="str">
        <f t="shared" si="6"/>
        <v/>
      </c>
      <c r="F139" s="2" t="str">
        <f t="shared" si="7"/>
        <v/>
      </c>
    </row>
    <row r="140" spans="1:6">
      <c r="A140" s="2" t="str">
        <f>IF('02_KICH_BAN_NODES'!D126="choice",'02_KICH_BAN_NODES'!B126,"")</f>
        <v/>
      </c>
      <c r="B140" s="2" t="str">
        <f>IF(A140="","",'02_KICH_BAN_NODES'!E126)</f>
        <v/>
      </c>
      <c r="C140" s="2" t="str">
        <f>IF(A140="","",COUNTIF('03_LUA_CHON'!$A$5:$A$404,A140))</f>
        <v/>
      </c>
      <c r="D140" s="2" t="str">
        <f>IF(A140="","",COUNTIFS('03_LUA_CHON'!$A$5:$A$404,A140,'03_LUA_CHON'!$D$5:$D$404,"Có"))</f>
        <v/>
      </c>
      <c r="E140" s="2" t="str">
        <f t="shared" si="6"/>
        <v/>
      </c>
      <c r="F140" s="2" t="str">
        <f t="shared" si="7"/>
        <v/>
      </c>
    </row>
    <row r="141" spans="1:6">
      <c r="A141" s="2" t="str">
        <f>IF('02_KICH_BAN_NODES'!D127="choice",'02_KICH_BAN_NODES'!B127,"")</f>
        <v/>
      </c>
      <c r="B141" s="2" t="str">
        <f>IF(A141="","",'02_KICH_BAN_NODES'!E127)</f>
        <v/>
      </c>
      <c r="C141" s="2" t="str">
        <f>IF(A141="","",COUNTIF('03_LUA_CHON'!$A$5:$A$404,A141))</f>
        <v/>
      </c>
      <c r="D141" s="2" t="str">
        <f>IF(A141="","",COUNTIFS('03_LUA_CHON'!$A$5:$A$404,A141,'03_LUA_CHON'!$D$5:$D$404,"Có"))</f>
        <v/>
      </c>
      <c r="E141" s="2" t="str">
        <f t="shared" si="6"/>
        <v/>
      </c>
      <c r="F141" s="2" t="str">
        <f t="shared" si="7"/>
        <v/>
      </c>
    </row>
    <row r="142" spans="1:6">
      <c r="A142" s="2" t="str">
        <f>IF('02_KICH_BAN_NODES'!D128="choice",'02_KICH_BAN_NODES'!B128,"")</f>
        <v/>
      </c>
      <c r="B142" s="2" t="str">
        <f>IF(A142="","",'02_KICH_BAN_NODES'!E128)</f>
        <v/>
      </c>
      <c r="C142" s="2" t="str">
        <f>IF(A142="","",COUNTIF('03_LUA_CHON'!$A$5:$A$404,A142))</f>
        <v/>
      </c>
      <c r="D142" s="2" t="str">
        <f>IF(A142="","",COUNTIFS('03_LUA_CHON'!$A$5:$A$404,A142,'03_LUA_CHON'!$D$5:$D$404,"Có"))</f>
        <v/>
      </c>
      <c r="E142" s="2" t="str">
        <f t="shared" si="6"/>
        <v/>
      </c>
      <c r="F142" s="2" t="str">
        <f t="shared" si="7"/>
        <v/>
      </c>
    </row>
    <row r="143" spans="1:6">
      <c r="A143" s="2" t="str">
        <f>IF('02_KICH_BAN_NODES'!D129="choice",'02_KICH_BAN_NODES'!B129,"")</f>
        <v/>
      </c>
      <c r="B143" s="2" t="str">
        <f>IF(A143="","",'02_KICH_BAN_NODES'!E129)</f>
        <v/>
      </c>
      <c r="C143" s="2" t="str">
        <f>IF(A143="","",COUNTIF('03_LUA_CHON'!$A$5:$A$404,A143))</f>
        <v/>
      </c>
      <c r="D143" s="2" t="str">
        <f>IF(A143="","",COUNTIFS('03_LUA_CHON'!$A$5:$A$404,A143,'03_LUA_CHON'!$D$5:$D$404,"Có"))</f>
        <v/>
      </c>
      <c r="E143" s="2" t="str">
        <f t="shared" si="6"/>
        <v/>
      </c>
      <c r="F143" s="2" t="str">
        <f t="shared" si="7"/>
        <v/>
      </c>
    </row>
    <row r="144" spans="1:6">
      <c r="A144" s="2" t="str">
        <f>IF('02_KICH_BAN_NODES'!D130="choice",'02_KICH_BAN_NODES'!B130,"")</f>
        <v/>
      </c>
      <c r="B144" s="2" t="str">
        <f>IF(A144="","",'02_KICH_BAN_NODES'!E130)</f>
        <v/>
      </c>
      <c r="C144" s="2" t="str">
        <f>IF(A144="","",COUNTIF('03_LUA_CHON'!$A$5:$A$404,A144))</f>
        <v/>
      </c>
      <c r="D144" s="2" t="str">
        <f>IF(A144="","",COUNTIFS('03_LUA_CHON'!$A$5:$A$404,A144,'03_LUA_CHON'!$D$5:$D$404,"Có"))</f>
        <v/>
      </c>
      <c r="E144" s="2" t="str">
        <f t="shared" si="6"/>
        <v/>
      </c>
      <c r="F144" s="2" t="str">
        <f t="shared" si="7"/>
        <v/>
      </c>
    </row>
    <row r="145" spans="1:6">
      <c r="A145" s="2" t="str">
        <f>IF('02_KICH_BAN_NODES'!D131="choice",'02_KICH_BAN_NODES'!B131,"")</f>
        <v/>
      </c>
      <c r="B145" s="2" t="str">
        <f>IF(A145="","",'02_KICH_BAN_NODES'!E131)</f>
        <v/>
      </c>
      <c r="C145" s="2" t="str">
        <f>IF(A145="","",COUNTIF('03_LUA_CHON'!$A$5:$A$404,A145))</f>
        <v/>
      </c>
      <c r="D145" s="2" t="str">
        <f>IF(A145="","",COUNTIFS('03_LUA_CHON'!$A$5:$A$404,A145,'03_LUA_CHON'!$D$5:$D$404,"Có"))</f>
        <v/>
      </c>
      <c r="E145" s="2" t="str">
        <f t="shared" si="6"/>
        <v/>
      </c>
      <c r="F145" s="2" t="str">
        <f t="shared" si="7"/>
        <v/>
      </c>
    </row>
    <row r="146" spans="1:6">
      <c r="A146" s="2" t="str">
        <f>IF('02_KICH_BAN_NODES'!D132="choice",'02_KICH_BAN_NODES'!B132,"")</f>
        <v/>
      </c>
      <c r="B146" s="2" t="str">
        <f>IF(A146="","",'02_KICH_BAN_NODES'!E132)</f>
        <v/>
      </c>
      <c r="C146" s="2" t="str">
        <f>IF(A146="","",COUNTIF('03_LUA_CHON'!$A$5:$A$404,A146))</f>
        <v/>
      </c>
      <c r="D146" s="2" t="str">
        <f>IF(A146="","",COUNTIFS('03_LUA_CHON'!$A$5:$A$404,A146,'03_LUA_CHON'!$D$5:$D$404,"Có"))</f>
        <v/>
      </c>
      <c r="E146" s="2" t="str">
        <f t="shared" si="6"/>
        <v/>
      </c>
      <c r="F146" s="2" t="str">
        <f t="shared" si="7"/>
        <v/>
      </c>
    </row>
    <row r="147" spans="1:6">
      <c r="A147" s="2" t="str">
        <f>IF('02_KICH_BAN_NODES'!D133="choice",'02_KICH_BAN_NODES'!B133,"")</f>
        <v/>
      </c>
      <c r="B147" s="2" t="str">
        <f>IF(A147="","",'02_KICH_BAN_NODES'!E133)</f>
        <v/>
      </c>
      <c r="C147" s="2" t="str">
        <f>IF(A147="","",COUNTIF('03_LUA_CHON'!$A$5:$A$404,A147))</f>
        <v/>
      </c>
      <c r="D147" s="2" t="str">
        <f>IF(A147="","",COUNTIFS('03_LUA_CHON'!$A$5:$A$404,A147,'03_LUA_CHON'!$D$5:$D$404,"Có"))</f>
        <v/>
      </c>
      <c r="E147" s="2" t="str">
        <f t="shared" ref="E147:E178" si="8">IF(A147="","",IF(OR(C147&lt;2,C147&gt;4),"CẦN SỬA",IF(AND(B147="Kiến thức",D147=1),"HỢP LỆ",IF(AND(B147="Tương tác",D147=0),"HỢP LỆ","CẦN SỬA"))))</f>
        <v/>
      </c>
      <c r="F147" s="2" t="str">
        <f t="shared" ref="F147:F178" si="9">IF(A147="","",IF(OR(C147&lt;2,C147&gt;4),"Cần 2–4 option",IF(AND(B147="Kiến thức",D147&lt;&gt;1),"Câu kiến thức cần đúng 1 đáp án đúng",IF(AND(B147="Tương tác",D147&lt;&gt;0),"Câu tương tác không có đáp án đúng",IF(B147="","Thiếu ChoiceMode","")))))</f>
        <v/>
      </c>
    </row>
    <row r="148" spans="1:6">
      <c r="A148" s="2" t="str">
        <f>IF('02_KICH_BAN_NODES'!D134="choice",'02_KICH_BAN_NODES'!B134,"")</f>
        <v/>
      </c>
      <c r="B148" s="2" t="str">
        <f>IF(A148="","",'02_KICH_BAN_NODES'!E134)</f>
        <v/>
      </c>
      <c r="C148" s="2" t="str">
        <f>IF(A148="","",COUNTIF('03_LUA_CHON'!$A$5:$A$404,A148))</f>
        <v/>
      </c>
      <c r="D148" s="2" t="str">
        <f>IF(A148="","",COUNTIFS('03_LUA_CHON'!$A$5:$A$404,A148,'03_LUA_CHON'!$D$5:$D$404,"Có"))</f>
        <v/>
      </c>
      <c r="E148" s="2" t="str">
        <f t="shared" si="8"/>
        <v/>
      </c>
      <c r="F148" s="2" t="str">
        <f t="shared" si="9"/>
        <v/>
      </c>
    </row>
    <row r="149" spans="1:6">
      <c r="A149" s="2" t="str">
        <f>IF('02_KICH_BAN_NODES'!D135="choice",'02_KICH_BAN_NODES'!B135,"")</f>
        <v/>
      </c>
      <c r="B149" s="2" t="str">
        <f>IF(A149="","",'02_KICH_BAN_NODES'!E135)</f>
        <v/>
      </c>
      <c r="C149" s="2" t="str">
        <f>IF(A149="","",COUNTIF('03_LUA_CHON'!$A$5:$A$404,A149))</f>
        <v/>
      </c>
      <c r="D149" s="2" t="str">
        <f>IF(A149="","",COUNTIFS('03_LUA_CHON'!$A$5:$A$404,A149,'03_LUA_CHON'!$D$5:$D$404,"Có"))</f>
        <v/>
      </c>
      <c r="E149" s="2" t="str">
        <f t="shared" si="8"/>
        <v/>
      </c>
      <c r="F149" s="2" t="str">
        <f t="shared" si="9"/>
        <v/>
      </c>
    </row>
    <row r="150" spans="1:6">
      <c r="A150" s="2" t="str">
        <f>IF('02_KICH_BAN_NODES'!D136="choice",'02_KICH_BAN_NODES'!B136,"")</f>
        <v/>
      </c>
      <c r="B150" s="2" t="str">
        <f>IF(A150="","",'02_KICH_BAN_NODES'!E136)</f>
        <v/>
      </c>
      <c r="C150" s="2" t="str">
        <f>IF(A150="","",COUNTIF('03_LUA_CHON'!$A$5:$A$404,A150))</f>
        <v/>
      </c>
      <c r="D150" s="2" t="str">
        <f>IF(A150="","",COUNTIFS('03_LUA_CHON'!$A$5:$A$404,A150,'03_LUA_CHON'!$D$5:$D$404,"Có"))</f>
        <v/>
      </c>
      <c r="E150" s="2" t="str">
        <f t="shared" si="8"/>
        <v/>
      </c>
      <c r="F150" s="2" t="str">
        <f t="shared" si="9"/>
        <v/>
      </c>
    </row>
    <row r="151" spans="1:6">
      <c r="A151" s="2" t="str">
        <f>IF('02_KICH_BAN_NODES'!D137="choice",'02_KICH_BAN_NODES'!B137,"")</f>
        <v/>
      </c>
      <c r="B151" s="2" t="str">
        <f>IF(A151="","",'02_KICH_BAN_NODES'!E137)</f>
        <v/>
      </c>
      <c r="C151" s="2" t="str">
        <f>IF(A151="","",COUNTIF('03_LUA_CHON'!$A$5:$A$404,A151))</f>
        <v/>
      </c>
      <c r="D151" s="2" t="str">
        <f>IF(A151="","",COUNTIFS('03_LUA_CHON'!$A$5:$A$404,A151,'03_LUA_CHON'!$D$5:$D$404,"Có"))</f>
        <v/>
      </c>
      <c r="E151" s="2" t="str">
        <f t="shared" si="8"/>
        <v/>
      </c>
      <c r="F151" s="2" t="str">
        <f t="shared" si="9"/>
        <v/>
      </c>
    </row>
    <row r="152" spans="1:6">
      <c r="A152" s="2" t="str">
        <f>IF('02_KICH_BAN_NODES'!D138="choice",'02_KICH_BAN_NODES'!B138,"")</f>
        <v/>
      </c>
      <c r="B152" s="2" t="str">
        <f>IF(A152="","",'02_KICH_BAN_NODES'!E138)</f>
        <v/>
      </c>
      <c r="C152" s="2" t="str">
        <f>IF(A152="","",COUNTIF('03_LUA_CHON'!$A$5:$A$404,A152))</f>
        <v/>
      </c>
      <c r="D152" s="2" t="str">
        <f>IF(A152="","",COUNTIFS('03_LUA_CHON'!$A$5:$A$404,A152,'03_LUA_CHON'!$D$5:$D$404,"Có"))</f>
        <v/>
      </c>
      <c r="E152" s="2" t="str">
        <f t="shared" si="8"/>
        <v/>
      </c>
      <c r="F152" s="2" t="str">
        <f t="shared" si="9"/>
        <v/>
      </c>
    </row>
    <row r="153" spans="1:6">
      <c r="A153" s="2" t="str">
        <f>IF('02_KICH_BAN_NODES'!D139="choice",'02_KICH_BAN_NODES'!B139,"")</f>
        <v/>
      </c>
      <c r="B153" s="2" t="str">
        <f>IF(A153="","",'02_KICH_BAN_NODES'!E139)</f>
        <v/>
      </c>
      <c r="C153" s="2" t="str">
        <f>IF(A153="","",COUNTIF('03_LUA_CHON'!$A$5:$A$404,A153))</f>
        <v/>
      </c>
      <c r="D153" s="2" t="str">
        <f>IF(A153="","",COUNTIFS('03_LUA_CHON'!$A$5:$A$404,A153,'03_LUA_CHON'!$D$5:$D$404,"Có"))</f>
        <v/>
      </c>
      <c r="E153" s="2" t="str">
        <f t="shared" si="8"/>
        <v/>
      </c>
      <c r="F153" s="2" t="str">
        <f t="shared" si="9"/>
        <v/>
      </c>
    </row>
    <row r="154" spans="1:6">
      <c r="A154" s="2" t="str">
        <f>IF('02_KICH_BAN_NODES'!D140="choice",'02_KICH_BAN_NODES'!B140,"")</f>
        <v/>
      </c>
      <c r="B154" s="2" t="str">
        <f>IF(A154="","",'02_KICH_BAN_NODES'!E140)</f>
        <v/>
      </c>
      <c r="C154" s="2" t="str">
        <f>IF(A154="","",COUNTIF('03_LUA_CHON'!$A$5:$A$404,A154))</f>
        <v/>
      </c>
      <c r="D154" s="2" t="str">
        <f>IF(A154="","",COUNTIFS('03_LUA_CHON'!$A$5:$A$404,A154,'03_LUA_CHON'!$D$5:$D$404,"Có"))</f>
        <v/>
      </c>
      <c r="E154" s="2" t="str">
        <f t="shared" si="8"/>
        <v/>
      </c>
      <c r="F154" s="2" t="str">
        <f t="shared" si="9"/>
        <v/>
      </c>
    </row>
    <row r="155" spans="1:6">
      <c r="A155" s="2" t="str">
        <f>IF('02_KICH_BAN_NODES'!D141="choice",'02_KICH_BAN_NODES'!B141,"")</f>
        <v/>
      </c>
      <c r="B155" s="2" t="str">
        <f>IF(A155="","",'02_KICH_BAN_NODES'!E141)</f>
        <v/>
      </c>
      <c r="C155" s="2" t="str">
        <f>IF(A155="","",COUNTIF('03_LUA_CHON'!$A$5:$A$404,A155))</f>
        <v/>
      </c>
      <c r="D155" s="2" t="str">
        <f>IF(A155="","",COUNTIFS('03_LUA_CHON'!$A$5:$A$404,A155,'03_LUA_CHON'!$D$5:$D$404,"Có"))</f>
        <v/>
      </c>
      <c r="E155" s="2" t="str">
        <f t="shared" si="8"/>
        <v/>
      </c>
      <c r="F155" s="2" t="str">
        <f t="shared" si="9"/>
        <v/>
      </c>
    </row>
    <row r="156" spans="1:6">
      <c r="A156" s="2" t="str">
        <f>IF('02_KICH_BAN_NODES'!D142="choice",'02_KICH_BAN_NODES'!B142,"")</f>
        <v/>
      </c>
      <c r="B156" s="2" t="str">
        <f>IF(A156="","",'02_KICH_BAN_NODES'!E142)</f>
        <v/>
      </c>
      <c r="C156" s="2" t="str">
        <f>IF(A156="","",COUNTIF('03_LUA_CHON'!$A$5:$A$404,A156))</f>
        <v/>
      </c>
      <c r="D156" s="2" t="str">
        <f>IF(A156="","",COUNTIFS('03_LUA_CHON'!$A$5:$A$404,A156,'03_LUA_CHON'!$D$5:$D$404,"Có"))</f>
        <v/>
      </c>
      <c r="E156" s="2" t="str">
        <f t="shared" si="8"/>
        <v/>
      </c>
      <c r="F156" s="2" t="str">
        <f t="shared" si="9"/>
        <v/>
      </c>
    </row>
    <row r="157" spans="1:6">
      <c r="A157" s="2" t="str">
        <f>IF('02_KICH_BAN_NODES'!D143="choice",'02_KICH_BAN_NODES'!B143,"")</f>
        <v/>
      </c>
      <c r="B157" s="2" t="str">
        <f>IF(A157="","",'02_KICH_BAN_NODES'!E143)</f>
        <v/>
      </c>
      <c r="C157" s="2" t="str">
        <f>IF(A157="","",COUNTIF('03_LUA_CHON'!$A$5:$A$404,A157))</f>
        <v/>
      </c>
      <c r="D157" s="2" t="str">
        <f>IF(A157="","",COUNTIFS('03_LUA_CHON'!$A$5:$A$404,A157,'03_LUA_CHON'!$D$5:$D$404,"Có"))</f>
        <v/>
      </c>
      <c r="E157" s="2" t="str">
        <f t="shared" si="8"/>
        <v/>
      </c>
      <c r="F157" s="2" t="str">
        <f t="shared" si="9"/>
        <v/>
      </c>
    </row>
    <row r="158" spans="1:6">
      <c r="A158" s="2" t="str">
        <f>IF('02_KICH_BAN_NODES'!D144="choice",'02_KICH_BAN_NODES'!B144,"")</f>
        <v/>
      </c>
      <c r="B158" s="2" t="str">
        <f>IF(A158="","",'02_KICH_BAN_NODES'!E144)</f>
        <v/>
      </c>
      <c r="C158" s="2" t="str">
        <f>IF(A158="","",COUNTIF('03_LUA_CHON'!$A$5:$A$404,A158))</f>
        <v/>
      </c>
      <c r="D158" s="2" t="str">
        <f>IF(A158="","",COUNTIFS('03_LUA_CHON'!$A$5:$A$404,A158,'03_LUA_CHON'!$D$5:$D$404,"Có"))</f>
        <v/>
      </c>
      <c r="E158" s="2" t="str">
        <f t="shared" si="8"/>
        <v/>
      </c>
      <c r="F158" s="2" t="str">
        <f t="shared" si="9"/>
        <v/>
      </c>
    </row>
    <row r="159" spans="1:6">
      <c r="A159" s="2" t="str">
        <f>IF('02_KICH_BAN_NODES'!D145="choice",'02_KICH_BAN_NODES'!B145,"")</f>
        <v/>
      </c>
      <c r="B159" s="2" t="str">
        <f>IF(A159="","",'02_KICH_BAN_NODES'!E145)</f>
        <v/>
      </c>
      <c r="C159" s="2" t="str">
        <f>IF(A159="","",COUNTIF('03_LUA_CHON'!$A$5:$A$404,A159))</f>
        <v/>
      </c>
      <c r="D159" s="2" t="str">
        <f>IF(A159="","",COUNTIFS('03_LUA_CHON'!$A$5:$A$404,A159,'03_LUA_CHON'!$D$5:$D$404,"Có"))</f>
        <v/>
      </c>
      <c r="E159" s="2" t="str">
        <f t="shared" si="8"/>
        <v/>
      </c>
      <c r="F159" s="2" t="str">
        <f t="shared" si="9"/>
        <v/>
      </c>
    </row>
    <row r="160" spans="1:6">
      <c r="A160" s="2" t="str">
        <f>IF('02_KICH_BAN_NODES'!D146="choice",'02_KICH_BAN_NODES'!B146,"")</f>
        <v/>
      </c>
      <c r="B160" s="2" t="str">
        <f>IF(A160="","",'02_KICH_BAN_NODES'!E146)</f>
        <v/>
      </c>
      <c r="C160" s="2" t="str">
        <f>IF(A160="","",COUNTIF('03_LUA_CHON'!$A$5:$A$404,A160))</f>
        <v/>
      </c>
      <c r="D160" s="2" t="str">
        <f>IF(A160="","",COUNTIFS('03_LUA_CHON'!$A$5:$A$404,A160,'03_LUA_CHON'!$D$5:$D$404,"Có"))</f>
        <v/>
      </c>
      <c r="E160" s="2" t="str">
        <f t="shared" si="8"/>
        <v/>
      </c>
      <c r="F160" s="2" t="str">
        <f t="shared" si="9"/>
        <v/>
      </c>
    </row>
    <row r="161" spans="1:6">
      <c r="A161" s="2" t="str">
        <f>IF('02_KICH_BAN_NODES'!D147="choice",'02_KICH_BAN_NODES'!B147,"")</f>
        <v/>
      </c>
      <c r="B161" s="2" t="str">
        <f>IF(A161="","",'02_KICH_BAN_NODES'!E147)</f>
        <v/>
      </c>
      <c r="C161" s="2" t="str">
        <f>IF(A161="","",COUNTIF('03_LUA_CHON'!$A$5:$A$404,A161))</f>
        <v/>
      </c>
      <c r="D161" s="2" t="str">
        <f>IF(A161="","",COUNTIFS('03_LUA_CHON'!$A$5:$A$404,A161,'03_LUA_CHON'!$D$5:$D$404,"Có"))</f>
        <v/>
      </c>
      <c r="E161" s="2" t="str">
        <f t="shared" si="8"/>
        <v/>
      </c>
      <c r="F161" s="2" t="str">
        <f t="shared" si="9"/>
        <v/>
      </c>
    </row>
    <row r="162" spans="1:6">
      <c r="A162" s="2" t="str">
        <f>IF('02_KICH_BAN_NODES'!D148="choice",'02_KICH_BAN_NODES'!B148,"")</f>
        <v/>
      </c>
      <c r="B162" s="2" t="str">
        <f>IF(A162="","",'02_KICH_BAN_NODES'!E148)</f>
        <v/>
      </c>
      <c r="C162" s="2" t="str">
        <f>IF(A162="","",COUNTIF('03_LUA_CHON'!$A$5:$A$404,A162))</f>
        <v/>
      </c>
      <c r="D162" s="2" t="str">
        <f>IF(A162="","",COUNTIFS('03_LUA_CHON'!$A$5:$A$404,A162,'03_LUA_CHON'!$D$5:$D$404,"Có"))</f>
        <v/>
      </c>
      <c r="E162" s="2" t="str">
        <f t="shared" si="8"/>
        <v/>
      </c>
      <c r="F162" s="2" t="str">
        <f t="shared" si="9"/>
        <v/>
      </c>
    </row>
    <row r="163" spans="1:6">
      <c r="A163" s="2" t="str">
        <f>IF('02_KICH_BAN_NODES'!D149="choice",'02_KICH_BAN_NODES'!B149,"")</f>
        <v/>
      </c>
      <c r="B163" s="2" t="str">
        <f>IF(A163="","",'02_KICH_BAN_NODES'!E149)</f>
        <v/>
      </c>
      <c r="C163" s="2" t="str">
        <f>IF(A163="","",COUNTIF('03_LUA_CHON'!$A$5:$A$404,A163))</f>
        <v/>
      </c>
      <c r="D163" s="2" t="str">
        <f>IF(A163="","",COUNTIFS('03_LUA_CHON'!$A$5:$A$404,A163,'03_LUA_CHON'!$D$5:$D$404,"Có"))</f>
        <v/>
      </c>
      <c r="E163" s="2" t="str">
        <f t="shared" si="8"/>
        <v/>
      </c>
      <c r="F163" s="2" t="str">
        <f t="shared" si="9"/>
        <v/>
      </c>
    </row>
    <row r="164" spans="1:6">
      <c r="A164" s="2" t="str">
        <f>IF('02_KICH_BAN_NODES'!D150="choice",'02_KICH_BAN_NODES'!B150,"")</f>
        <v/>
      </c>
      <c r="B164" s="2" t="str">
        <f>IF(A164="","",'02_KICH_BAN_NODES'!E150)</f>
        <v/>
      </c>
      <c r="C164" s="2" t="str">
        <f>IF(A164="","",COUNTIF('03_LUA_CHON'!$A$5:$A$404,A164))</f>
        <v/>
      </c>
      <c r="D164" s="2" t="str">
        <f>IF(A164="","",COUNTIFS('03_LUA_CHON'!$A$5:$A$404,A164,'03_LUA_CHON'!$D$5:$D$404,"Có"))</f>
        <v/>
      </c>
      <c r="E164" s="2" t="str">
        <f t="shared" si="8"/>
        <v/>
      </c>
      <c r="F164" s="2" t="str">
        <f t="shared" si="9"/>
        <v/>
      </c>
    </row>
    <row r="165" spans="1:6">
      <c r="A165" s="2" t="str">
        <f>IF('02_KICH_BAN_NODES'!D151="choice",'02_KICH_BAN_NODES'!B151,"")</f>
        <v/>
      </c>
      <c r="B165" s="2" t="str">
        <f>IF(A165="","",'02_KICH_BAN_NODES'!E151)</f>
        <v/>
      </c>
      <c r="C165" s="2" t="str">
        <f>IF(A165="","",COUNTIF('03_LUA_CHON'!$A$5:$A$404,A165))</f>
        <v/>
      </c>
      <c r="D165" s="2" t="str">
        <f>IF(A165="","",COUNTIFS('03_LUA_CHON'!$A$5:$A$404,A165,'03_LUA_CHON'!$D$5:$D$404,"Có"))</f>
        <v/>
      </c>
      <c r="E165" s="2" t="str">
        <f t="shared" si="8"/>
        <v/>
      </c>
      <c r="F165" s="2" t="str">
        <f t="shared" si="9"/>
        <v/>
      </c>
    </row>
    <row r="166" spans="1:6">
      <c r="A166" s="2" t="str">
        <f>IF('02_KICH_BAN_NODES'!D152="choice",'02_KICH_BAN_NODES'!B152,"")</f>
        <v/>
      </c>
      <c r="B166" s="2" t="str">
        <f>IF(A166="","",'02_KICH_BAN_NODES'!E152)</f>
        <v/>
      </c>
      <c r="C166" s="2" t="str">
        <f>IF(A166="","",COUNTIF('03_LUA_CHON'!$A$5:$A$404,A166))</f>
        <v/>
      </c>
      <c r="D166" s="2" t="str">
        <f>IF(A166="","",COUNTIFS('03_LUA_CHON'!$A$5:$A$404,A166,'03_LUA_CHON'!$D$5:$D$404,"Có"))</f>
        <v/>
      </c>
      <c r="E166" s="2" t="str">
        <f t="shared" si="8"/>
        <v/>
      </c>
      <c r="F166" s="2" t="str">
        <f t="shared" si="9"/>
        <v/>
      </c>
    </row>
    <row r="167" spans="1:6">
      <c r="A167" s="2" t="str">
        <f>IF('02_KICH_BAN_NODES'!D153="choice",'02_KICH_BAN_NODES'!B153,"")</f>
        <v/>
      </c>
      <c r="B167" s="2" t="str">
        <f>IF(A167="","",'02_KICH_BAN_NODES'!E153)</f>
        <v/>
      </c>
      <c r="C167" s="2" t="str">
        <f>IF(A167="","",COUNTIF('03_LUA_CHON'!$A$5:$A$404,A167))</f>
        <v/>
      </c>
      <c r="D167" s="2" t="str">
        <f>IF(A167="","",COUNTIFS('03_LUA_CHON'!$A$5:$A$404,A167,'03_LUA_CHON'!$D$5:$D$404,"Có"))</f>
        <v/>
      </c>
      <c r="E167" s="2" t="str">
        <f t="shared" si="8"/>
        <v/>
      </c>
      <c r="F167" s="2" t="str">
        <f t="shared" si="9"/>
        <v/>
      </c>
    </row>
    <row r="168" spans="1:6">
      <c r="A168" s="2" t="str">
        <f>IF('02_KICH_BAN_NODES'!D154="choice",'02_KICH_BAN_NODES'!B154,"")</f>
        <v/>
      </c>
      <c r="B168" s="2" t="str">
        <f>IF(A168="","",'02_KICH_BAN_NODES'!E154)</f>
        <v/>
      </c>
      <c r="C168" s="2" t="str">
        <f>IF(A168="","",COUNTIF('03_LUA_CHON'!$A$5:$A$404,A168))</f>
        <v/>
      </c>
      <c r="D168" s="2" t="str">
        <f>IF(A168="","",COUNTIFS('03_LUA_CHON'!$A$5:$A$404,A168,'03_LUA_CHON'!$D$5:$D$404,"Có"))</f>
        <v/>
      </c>
      <c r="E168" s="2" t="str">
        <f t="shared" si="8"/>
        <v/>
      </c>
      <c r="F168" s="2" t="str">
        <f t="shared" si="9"/>
        <v/>
      </c>
    </row>
    <row r="169" spans="1:6">
      <c r="A169" s="2" t="str">
        <f>IF('02_KICH_BAN_NODES'!D155="choice",'02_KICH_BAN_NODES'!B155,"")</f>
        <v/>
      </c>
      <c r="B169" s="2" t="str">
        <f>IF(A169="","",'02_KICH_BAN_NODES'!E155)</f>
        <v/>
      </c>
      <c r="C169" s="2" t="str">
        <f>IF(A169="","",COUNTIF('03_LUA_CHON'!$A$5:$A$404,A169))</f>
        <v/>
      </c>
      <c r="D169" s="2" t="str">
        <f>IF(A169="","",COUNTIFS('03_LUA_CHON'!$A$5:$A$404,A169,'03_LUA_CHON'!$D$5:$D$404,"Có"))</f>
        <v/>
      </c>
      <c r="E169" s="2" t="str">
        <f t="shared" si="8"/>
        <v/>
      </c>
      <c r="F169" s="2" t="str">
        <f t="shared" si="9"/>
        <v/>
      </c>
    </row>
    <row r="170" spans="1:6">
      <c r="A170" s="2" t="str">
        <f>IF('02_KICH_BAN_NODES'!D156="choice",'02_KICH_BAN_NODES'!B156,"")</f>
        <v/>
      </c>
      <c r="B170" s="2" t="str">
        <f>IF(A170="","",'02_KICH_BAN_NODES'!E156)</f>
        <v/>
      </c>
      <c r="C170" s="2" t="str">
        <f>IF(A170="","",COUNTIF('03_LUA_CHON'!$A$5:$A$404,A170))</f>
        <v/>
      </c>
      <c r="D170" s="2" t="str">
        <f>IF(A170="","",COUNTIFS('03_LUA_CHON'!$A$5:$A$404,A170,'03_LUA_CHON'!$D$5:$D$404,"Có"))</f>
        <v/>
      </c>
      <c r="E170" s="2" t="str">
        <f t="shared" si="8"/>
        <v/>
      </c>
      <c r="F170" s="2" t="str">
        <f t="shared" si="9"/>
        <v/>
      </c>
    </row>
    <row r="171" spans="1:6">
      <c r="A171" s="2" t="str">
        <f>IF('02_KICH_BAN_NODES'!D157="choice",'02_KICH_BAN_NODES'!B157,"")</f>
        <v/>
      </c>
      <c r="B171" s="2" t="str">
        <f>IF(A171="","",'02_KICH_BAN_NODES'!E157)</f>
        <v/>
      </c>
      <c r="C171" s="2" t="str">
        <f>IF(A171="","",COUNTIF('03_LUA_CHON'!$A$5:$A$404,A171))</f>
        <v/>
      </c>
      <c r="D171" s="2" t="str">
        <f>IF(A171="","",COUNTIFS('03_LUA_CHON'!$A$5:$A$404,A171,'03_LUA_CHON'!$D$5:$D$404,"Có"))</f>
        <v/>
      </c>
      <c r="E171" s="2" t="str">
        <f t="shared" si="8"/>
        <v/>
      </c>
      <c r="F171" s="2" t="str">
        <f t="shared" si="9"/>
        <v/>
      </c>
    </row>
    <row r="172" spans="1:6">
      <c r="A172" s="2" t="str">
        <f>IF('02_KICH_BAN_NODES'!D158="choice",'02_KICH_BAN_NODES'!B158,"")</f>
        <v/>
      </c>
      <c r="B172" s="2" t="str">
        <f>IF(A172="","",'02_KICH_BAN_NODES'!E158)</f>
        <v/>
      </c>
      <c r="C172" s="2" t="str">
        <f>IF(A172="","",COUNTIF('03_LUA_CHON'!$A$5:$A$404,A172))</f>
        <v/>
      </c>
      <c r="D172" s="2" t="str">
        <f>IF(A172="","",COUNTIFS('03_LUA_CHON'!$A$5:$A$404,A172,'03_LUA_CHON'!$D$5:$D$404,"Có"))</f>
        <v/>
      </c>
      <c r="E172" s="2" t="str">
        <f t="shared" si="8"/>
        <v/>
      </c>
      <c r="F172" s="2" t="str">
        <f t="shared" si="9"/>
        <v/>
      </c>
    </row>
    <row r="173" spans="1:6">
      <c r="A173" s="2" t="str">
        <f>IF('02_KICH_BAN_NODES'!D159="choice",'02_KICH_BAN_NODES'!B159,"")</f>
        <v/>
      </c>
      <c r="B173" s="2" t="str">
        <f>IF(A173="","",'02_KICH_BAN_NODES'!E159)</f>
        <v/>
      </c>
      <c r="C173" s="2" t="str">
        <f>IF(A173="","",COUNTIF('03_LUA_CHON'!$A$5:$A$404,A173))</f>
        <v/>
      </c>
      <c r="D173" s="2" t="str">
        <f>IF(A173="","",COUNTIFS('03_LUA_CHON'!$A$5:$A$404,A173,'03_LUA_CHON'!$D$5:$D$404,"Có"))</f>
        <v/>
      </c>
      <c r="E173" s="2" t="str">
        <f t="shared" si="8"/>
        <v/>
      </c>
      <c r="F173" s="2" t="str">
        <f t="shared" si="9"/>
        <v/>
      </c>
    </row>
    <row r="174" spans="1:6">
      <c r="A174" s="2" t="str">
        <f>IF('02_KICH_BAN_NODES'!D160="choice",'02_KICH_BAN_NODES'!B160,"")</f>
        <v/>
      </c>
      <c r="B174" s="2" t="str">
        <f>IF(A174="","",'02_KICH_BAN_NODES'!E160)</f>
        <v/>
      </c>
      <c r="C174" s="2" t="str">
        <f>IF(A174="","",COUNTIF('03_LUA_CHON'!$A$5:$A$404,A174))</f>
        <v/>
      </c>
      <c r="D174" s="2" t="str">
        <f>IF(A174="","",COUNTIFS('03_LUA_CHON'!$A$5:$A$404,A174,'03_LUA_CHON'!$D$5:$D$404,"Có"))</f>
        <v/>
      </c>
      <c r="E174" s="2" t="str">
        <f t="shared" si="8"/>
        <v/>
      </c>
      <c r="F174" s="2" t="str">
        <f t="shared" si="9"/>
        <v/>
      </c>
    </row>
    <row r="175" spans="1:6">
      <c r="A175" s="2" t="str">
        <f>IF('02_KICH_BAN_NODES'!D161="choice",'02_KICH_BAN_NODES'!B161,"")</f>
        <v/>
      </c>
      <c r="B175" s="2" t="str">
        <f>IF(A175="","",'02_KICH_BAN_NODES'!E161)</f>
        <v/>
      </c>
      <c r="C175" s="2" t="str">
        <f>IF(A175="","",COUNTIF('03_LUA_CHON'!$A$5:$A$404,A175))</f>
        <v/>
      </c>
      <c r="D175" s="2" t="str">
        <f>IF(A175="","",COUNTIFS('03_LUA_CHON'!$A$5:$A$404,A175,'03_LUA_CHON'!$D$5:$D$404,"Có"))</f>
        <v/>
      </c>
      <c r="E175" s="2" t="str">
        <f t="shared" si="8"/>
        <v/>
      </c>
      <c r="F175" s="2" t="str">
        <f t="shared" si="9"/>
        <v/>
      </c>
    </row>
    <row r="176" spans="1:6">
      <c r="A176" s="2" t="str">
        <f>IF('02_KICH_BAN_NODES'!D162="choice",'02_KICH_BAN_NODES'!B162,"")</f>
        <v/>
      </c>
      <c r="B176" s="2" t="str">
        <f>IF(A176="","",'02_KICH_BAN_NODES'!E162)</f>
        <v/>
      </c>
      <c r="C176" s="2" t="str">
        <f>IF(A176="","",COUNTIF('03_LUA_CHON'!$A$5:$A$404,A176))</f>
        <v/>
      </c>
      <c r="D176" s="2" t="str">
        <f>IF(A176="","",COUNTIFS('03_LUA_CHON'!$A$5:$A$404,A176,'03_LUA_CHON'!$D$5:$D$404,"Có"))</f>
        <v/>
      </c>
      <c r="E176" s="2" t="str">
        <f t="shared" si="8"/>
        <v/>
      </c>
      <c r="F176" s="2" t="str">
        <f t="shared" si="9"/>
        <v/>
      </c>
    </row>
    <row r="177" spans="1:6">
      <c r="A177" s="2" t="str">
        <f>IF('02_KICH_BAN_NODES'!D163="choice",'02_KICH_BAN_NODES'!B163,"")</f>
        <v/>
      </c>
      <c r="B177" s="2" t="str">
        <f>IF(A177="","",'02_KICH_BAN_NODES'!E163)</f>
        <v/>
      </c>
      <c r="C177" s="2" t="str">
        <f>IF(A177="","",COUNTIF('03_LUA_CHON'!$A$5:$A$404,A177))</f>
        <v/>
      </c>
      <c r="D177" s="2" t="str">
        <f>IF(A177="","",COUNTIFS('03_LUA_CHON'!$A$5:$A$404,A177,'03_LUA_CHON'!$D$5:$D$404,"Có"))</f>
        <v/>
      </c>
      <c r="E177" s="2" t="str">
        <f t="shared" si="8"/>
        <v/>
      </c>
      <c r="F177" s="2" t="str">
        <f t="shared" si="9"/>
        <v/>
      </c>
    </row>
    <row r="178" spans="1:6">
      <c r="A178" s="2" t="str">
        <f>IF('02_KICH_BAN_NODES'!D164="choice",'02_KICH_BAN_NODES'!B164,"")</f>
        <v/>
      </c>
      <c r="B178" s="2" t="str">
        <f>IF(A178="","",'02_KICH_BAN_NODES'!E164)</f>
        <v/>
      </c>
      <c r="C178" s="2" t="str">
        <f>IF(A178="","",COUNTIF('03_LUA_CHON'!$A$5:$A$404,A178))</f>
        <v/>
      </c>
      <c r="D178" s="2" t="str">
        <f>IF(A178="","",COUNTIFS('03_LUA_CHON'!$A$5:$A$404,A178,'03_LUA_CHON'!$D$5:$D$404,"Có"))</f>
        <v/>
      </c>
      <c r="E178" s="2" t="str">
        <f t="shared" si="8"/>
        <v/>
      </c>
      <c r="F178" s="2" t="str">
        <f t="shared" si="9"/>
        <v/>
      </c>
    </row>
    <row r="179" spans="1:6">
      <c r="A179" s="2" t="str">
        <f>IF('02_KICH_BAN_NODES'!D165="choice",'02_KICH_BAN_NODES'!B165,"")</f>
        <v/>
      </c>
      <c r="B179" s="2" t="str">
        <f>IF(A179="","",'02_KICH_BAN_NODES'!E165)</f>
        <v/>
      </c>
      <c r="C179" s="2" t="str">
        <f>IF(A179="","",COUNTIF('03_LUA_CHON'!$A$5:$A$404,A179))</f>
        <v/>
      </c>
      <c r="D179" s="2" t="str">
        <f>IF(A179="","",COUNTIFS('03_LUA_CHON'!$A$5:$A$404,A179,'03_LUA_CHON'!$D$5:$D$404,"Có"))</f>
        <v/>
      </c>
      <c r="E179" s="2" t="str">
        <f t="shared" ref="E179:E210" si="10">IF(A179="","",IF(OR(C179&lt;2,C179&gt;4),"CẦN SỬA",IF(AND(B179="Kiến thức",D179=1),"HỢP LỆ",IF(AND(B179="Tương tác",D179=0),"HỢP LỆ","CẦN SỬA"))))</f>
        <v/>
      </c>
      <c r="F179" s="2" t="str">
        <f t="shared" ref="F179:F210" si="11">IF(A179="","",IF(OR(C179&lt;2,C179&gt;4),"Cần 2–4 option",IF(AND(B179="Kiến thức",D179&lt;&gt;1),"Câu kiến thức cần đúng 1 đáp án đúng",IF(AND(B179="Tương tác",D179&lt;&gt;0),"Câu tương tác không có đáp án đúng",IF(B179="","Thiếu ChoiceMode","")))))</f>
        <v/>
      </c>
    </row>
    <row r="180" spans="1:6">
      <c r="A180" s="2" t="str">
        <f>IF('02_KICH_BAN_NODES'!D166="choice",'02_KICH_BAN_NODES'!B166,"")</f>
        <v/>
      </c>
      <c r="B180" s="2" t="str">
        <f>IF(A180="","",'02_KICH_BAN_NODES'!E166)</f>
        <v/>
      </c>
      <c r="C180" s="2" t="str">
        <f>IF(A180="","",COUNTIF('03_LUA_CHON'!$A$5:$A$404,A180))</f>
        <v/>
      </c>
      <c r="D180" s="2" t="str">
        <f>IF(A180="","",COUNTIFS('03_LUA_CHON'!$A$5:$A$404,A180,'03_LUA_CHON'!$D$5:$D$404,"Có"))</f>
        <v/>
      </c>
      <c r="E180" s="2" t="str">
        <f t="shared" si="10"/>
        <v/>
      </c>
      <c r="F180" s="2" t="str">
        <f t="shared" si="11"/>
        <v/>
      </c>
    </row>
    <row r="181" spans="1:6">
      <c r="A181" s="2" t="str">
        <f>IF('02_KICH_BAN_NODES'!D167="choice",'02_KICH_BAN_NODES'!B167,"")</f>
        <v/>
      </c>
      <c r="B181" s="2" t="str">
        <f>IF(A181="","",'02_KICH_BAN_NODES'!E167)</f>
        <v/>
      </c>
      <c r="C181" s="2" t="str">
        <f>IF(A181="","",COUNTIF('03_LUA_CHON'!$A$5:$A$404,A181))</f>
        <v/>
      </c>
      <c r="D181" s="2" t="str">
        <f>IF(A181="","",COUNTIFS('03_LUA_CHON'!$A$5:$A$404,A181,'03_LUA_CHON'!$D$5:$D$404,"Có"))</f>
        <v/>
      </c>
      <c r="E181" s="2" t="str">
        <f t="shared" si="10"/>
        <v/>
      </c>
      <c r="F181" s="2" t="str">
        <f t="shared" si="11"/>
        <v/>
      </c>
    </row>
    <row r="182" spans="1:6">
      <c r="A182" s="2" t="str">
        <f>IF('02_KICH_BAN_NODES'!D168="choice",'02_KICH_BAN_NODES'!B168,"")</f>
        <v/>
      </c>
      <c r="B182" s="2" t="str">
        <f>IF(A182="","",'02_KICH_BAN_NODES'!E168)</f>
        <v/>
      </c>
      <c r="C182" s="2" t="str">
        <f>IF(A182="","",COUNTIF('03_LUA_CHON'!$A$5:$A$404,A182))</f>
        <v/>
      </c>
      <c r="D182" s="2" t="str">
        <f>IF(A182="","",COUNTIFS('03_LUA_CHON'!$A$5:$A$404,A182,'03_LUA_CHON'!$D$5:$D$404,"Có"))</f>
        <v/>
      </c>
      <c r="E182" s="2" t="str">
        <f t="shared" si="10"/>
        <v/>
      </c>
      <c r="F182" s="2" t="str">
        <f t="shared" si="11"/>
        <v/>
      </c>
    </row>
    <row r="183" spans="1:6">
      <c r="A183" s="2" t="str">
        <f>IF('02_KICH_BAN_NODES'!D169="choice",'02_KICH_BAN_NODES'!B169,"")</f>
        <v/>
      </c>
      <c r="B183" s="2" t="str">
        <f>IF(A183="","",'02_KICH_BAN_NODES'!E169)</f>
        <v/>
      </c>
      <c r="C183" s="2" t="str">
        <f>IF(A183="","",COUNTIF('03_LUA_CHON'!$A$5:$A$404,A183))</f>
        <v/>
      </c>
      <c r="D183" s="2" t="str">
        <f>IF(A183="","",COUNTIFS('03_LUA_CHON'!$A$5:$A$404,A183,'03_LUA_CHON'!$D$5:$D$404,"Có"))</f>
        <v/>
      </c>
      <c r="E183" s="2" t="str">
        <f t="shared" si="10"/>
        <v/>
      </c>
      <c r="F183" s="2" t="str">
        <f t="shared" si="11"/>
        <v/>
      </c>
    </row>
    <row r="184" spans="1:6">
      <c r="A184" s="2" t="str">
        <f>IF('02_KICH_BAN_NODES'!D170="choice",'02_KICH_BAN_NODES'!B170,"")</f>
        <v/>
      </c>
      <c r="B184" s="2" t="str">
        <f>IF(A184="","",'02_KICH_BAN_NODES'!E170)</f>
        <v/>
      </c>
      <c r="C184" s="2" t="str">
        <f>IF(A184="","",COUNTIF('03_LUA_CHON'!$A$5:$A$404,A184))</f>
        <v/>
      </c>
      <c r="D184" s="2" t="str">
        <f>IF(A184="","",COUNTIFS('03_LUA_CHON'!$A$5:$A$404,A184,'03_LUA_CHON'!$D$5:$D$404,"Có"))</f>
        <v/>
      </c>
      <c r="E184" s="2" t="str">
        <f t="shared" si="10"/>
        <v/>
      </c>
      <c r="F184" s="2" t="str">
        <f t="shared" si="11"/>
        <v/>
      </c>
    </row>
    <row r="185" spans="1:6">
      <c r="A185" s="2" t="str">
        <f>IF('02_KICH_BAN_NODES'!D171="choice",'02_KICH_BAN_NODES'!B171,"")</f>
        <v/>
      </c>
      <c r="B185" s="2" t="str">
        <f>IF(A185="","",'02_KICH_BAN_NODES'!E171)</f>
        <v/>
      </c>
      <c r="C185" s="2" t="str">
        <f>IF(A185="","",COUNTIF('03_LUA_CHON'!$A$5:$A$404,A185))</f>
        <v/>
      </c>
      <c r="D185" s="2" t="str">
        <f>IF(A185="","",COUNTIFS('03_LUA_CHON'!$A$5:$A$404,A185,'03_LUA_CHON'!$D$5:$D$404,"Có"))</f>
        <v/>
      </c>
      <c r="E185" s="2" t="str">
        <f t="shared" si="10"/>
        <v/>
      </c>
      <c r="F185" s="2" t="str">
        <f t="shared" si="11"/>
        <v/>
      </c>
    </row>
    <row r="186" spans="1:6">
      <c r="A186" s="2" t="str">
        <f>IF('02_KICH_BAN_NODES'!D172="choice",'02_KICH_BAN_NODES'!B172,"")</f>
        <v/>
      </c>
      <c r="B186" s="2" t="str">
        <f>IF(A186="","",'02_KICH_BAN_NODES'!E172)</f>
        <v/>
      </c>
      <c r="C186" s="2" t="str">
        <f>IF(A186="","",COUNTIF('03_LUA_CHON'!$A$5:$A$404,A186))</f>
        <v/>
      </c>
      <c r="D186" s="2" t="str">
        <f>IF(A186="","",COUNTIFS('03_LUA_CHON'!$A$5:$A$404,A186,'03_LUA_CHON'!$D$5:$D$404,"Có"))</f>
        <v/>
      </c>
      <c r="E186" s="2" t="str">
        <f t="shared" si="10"/>
        <v/>
      </c>
      <c r="F186" s="2" t="str">
        <f t="shared" si="11"/>
        <v/>
      </c>
    </row>
    <row r="187" spans="1:6">
      <c r="A187" s="2" t="str">
        <f>IF('02_KICH_BAN_NODES'!D173="choice",'02_KICH_BAN_NODES'!B173,"")</f>
        <v/>
      </c>
      <c r="B187" s="2" t="str">
        <f>IF(A187="","",'02_KICH_BAN_NODES'!E173)</f>
        <v/>
      </c>
      <c r="C187" s="2" t="str">
        <f>IF(A187="","",COUNTIF('03_LUA_CHON'!$A$5:$A$404,A187))</f>
        <v/>
      </c>
      <c r="D187" s="2" t="str">
        <f>IF(A187="","",COUNTIFS('03_LUA_CHON'!$A$5:$A$404,A187,'03_LUA_CHON'!$D$5:$D$404,"Có"))</f>
        <v/>
      </c>
      <c r="E187" s="2" t="str">
        <f t="shared" si="10"/>
        <v/>
      </c>
      <c r="F187" s="2" t="str">
        <f t="shared" si="11"/>
        <v/>
      </c>
    </row>
    <row r="188" spans="1:6">
      <c r="A188" s="2" t="str">
        <f>IF('02_KICH_BAN_NODES'!D174="choice",'02_KICH_BAN_NODES'!B174,"")</f>
        <v/>
      </c>
      <c r="B188" s="2" t="str">
        <f>IF(A188="","",'02_KICH_BAN_NODES'!E174)</f>
        <v/>
      </c>
      <c r="C188" s="2" t="str">
        <f>IF(A188="","",COUNTIF('03_LUA_CHON'!$A$5:$A$404,A188))</f>
        <v/>
      </c>
      <c r="D188" s="2" t="str">
        <f>IF(A188="","",COUNTIFS('03_LUA_CHON'!$A$5:$A$404,A188,'03_LUA_CHON'!$D$5:$D$404,"Có"))</f>
        <v/>
      </c>
      <c r="E188" s="2" t="str">
        <f t="shared" si="10"/>
        <v/>
      </c>
      <c r="F188" s="2" t="str">
        <f t="shared" si="11"/>
        <v/>
      </c>
    </row>
    <row r="189" spans="1:6">
      <c r="A189" s="2" t="str">
        <f>IF('02_KICH_BAN_NODES'!D175="choice",'02_KICH_BAN_NODES'!B175,"")</f>
        <v/>
      </c>
      <c r="B189" s="2" t="str">
        <f>IF(A189="","",'02_KICH_BAN_NODES'!E175)</f>
        <v/>
      </c>
      <c r="C189" s="2" t="str">
        <f>IF(A189="","",COUNTIF('03_LUA_CHON'!$A$5:$A$404,A189))</f>
        <v/>
      </c>
      <c r="D189" s="2" t="str">
        <f>IF(A189="","",COUNTIFS('03_LUA_CHON'!$A$5:$A$404,A189,'03_LUA_CHON'!$D$5:$D$404,"Có"))</f>
        <v/>
      </c>
      <c r="E189" s="2" t="str">
        <f t="shared" si="10"/>
        <v/>
      </c>
      <c r="F189" s="2" t="str">
        <f t="shared" si="11"/>
        <v/>
      </c>
    </row>
    <row r="190" spans="1:6">
      <c r="A190" s="2" t="str">
        <f>IF('02_KICH_BAN_NODES'!D176="choice",'02_KICH_BAN_NODES'!B176,"")</f>
        <v/>
      </c>
      <c r="B190" s="2" t="str">
        <f>IF(A190="","",'02_KICH_BAN_NODES'!E176)</f>
        <v/>
      </c>
      <c r="C190" s="2" t="str">
        <f>IF(A190="","",COUNTIF('03_LUA_CHON'!$A$5:$A$404,A190))</f>
        <v/>
      </c>
      <c r="D190" s="2" t="str">
        <f>IF(A190="","",COUNTIFS('03_LUA_CHON'!$A$5:$A$404,A190,'03_LUA_CHON'!$D$5:$D$404,"Có"))</f>
        <v/>
      </c>
      <c r="E190" s="2" t="str">
        <f t="shared" si="10"/>
        <v/>
      </c>
      <c r="F190" s="2" t="str">
        <f t="shared" si="11"/>
        <v/>
      </c>
    </row>
    <row r="191" spans="1:6">
      <c r="A191" s="2" t="str">
        <f>IF('02_KICH_BAN_NODES'!D177="choice",'02_KICH_BAN_NODES'!B177,"")</f>
        <v/>
      </c>
      <c r="B191" s="2" t="str">
        <f>IF(A191="","",'02_KICH_BAN_NODES'!E177)</f>
        <v/>
      </c>
      <c r="C191" s="2" t="str">
        <f>IF(A191="","",COUNTIF('03_LUA_CHON'!$A$5:$A$404,A191))</f>
        <v/>
      </c>
      <c r="D191" s="2" t="str">
        <f>IF(A191="","",COUNTIFS('03_LUA_CHON'!$A$5:$A$404,A191,'03_LUA_CHON'!$D$5:$D$404,"Có"))</f>
        <v/>
      </c>
      <c r="E191" s="2" t="str">
        <f t="shared" si="10"/>
        <v/>
      </c>
      <c r="F191" s="2" t="str">
        <f t="shared" si="11"/>
        <v/>
      </c>
    </row>
    <row r="192" spans="1:6">
      <c r="A192" s="2" t="str">
        <f>IF('02_KICH_BAN_NODES'!D178="choice",'02_KICH_BAN_NODES'!B178,"")</f>
        <v/>
      </c>
      <c r="B192" s="2" t="str">
        <f>IF(A192="","",'02_KICH_BAN_NODES'!E178)</f>
        <v/>
      </c>
      <c r="C192" s="2" t="str">
        <f>IF(A192="","",COUNTIF('03_LUA_CHON'!$A$5:$A$404,A192))</f>
        <v/>
      </c>
      <c r="D192" s="2" t="str">
        <f>IF(A192="","",COUNTIFS('03_LUA_CHON'!$A$5:$A$404,A192,'03_LUA_CHON'!$D$5:$D$404,"Có"))</f>
        <v/>
      </c>
      <c r="E192" s="2" t="str">
        <f t="shared" si="10"/>
        <v/>
      </c>
      <c r="F192" s="2" t="str">
        <f t="shared" si="11"/>
        <v/>
      </c>
    </row>
    <row r="193" spans="1:6">
      <c r="A193" s="2" t="str">
        <f>IF('02_KICH_BAN_NODES'!D179="choice",'02_KICH_BAN_NODES'!B179,"")</f>
        <v/>
      </c>
      <c r="B193" s="2" t="str">
        <f>IF(A193="","",'02_KICH_BAN_NODES'!E179)</f>
        <v/>
      </c>
      <c r="C193" s="2" t="str">
        <f>IF(A193="","",COUNTIF('03_LUA_CHON'!$A$5:$A$404,A193))</f>
        <v/>
      </c>
      <c r="D193" s="2" t="str">
        <f>IF(A193="","",COUNTIFS('03_LUA_CHON'!$A$5:$A$404,A193,'03_LUA_CHON'!$D$5:$D$404,"Có"))</f>
        <v/>
      </c>
      <c r="E193" s="2" t="str">
        <f t="shared" si="10"/>
        <v/>
      </c>
      <c r="F193" s="2" t="str">
        <f t="shared" si="11"/>
        <v/>
      </c>
    </row>
    <row r="194" spans="1:6">
      <c r="A194" s="2" t="str">
        <f>IF('02_KICH_BAN_NODES'!D180="choice",'02_KICH_BAN_NODES'!B180,"")</f>
        <v/>
      </c>
      <c r="B194" s="2" t="str">
        <f>IF(A194="","",'02_KICH_BAN_NODES'!E180)</f>
        <v/>
      </c>
      <c r="C194" s="2" t="str">
        <f>IF(A194="","",COUNTIF('03_LUA_CHON'!$A$5:$A$404,A194))</f>
        <v/>
      </c>
      <c r="D194" s="2" t="str">
        <f>IF(A194="","",COUNTIFS('03_LUA_CHON'!$A$5:$A$404,A194,'03_LUA_CHON'!$D$5:$D$404,"Có"))</f>
        <v/>
      </c>
      <c r="E194" s="2" t="str">
        <f t="shared" si="10"/>
        <v/>
      </c>
      <c r="F194" s="2" t="str">
        <f t="shared" si="11"/>
        <v/>
      </c>
    </row>
    <row r="195" spans="1:6">
      <c r="A195" s="2" t="str">
        <f>IF('02_KICH_BAN_NODES'!D181="choice",'02_KICH_BAN_NODES'!B181,"")</f>
        <v/>
      </c>
      <c r="B195" s="2" t="str">
        <f>IF(A195="","",'02_KICH_BAN_NODES'!E181)</f>
        <v/>
      </c>
      <c r="C195" s="2" t="str">
        <f>IF(A195="","",COUNTIF('03_LUA_CHON'!$A$5:$A$404,A195))</f>
        <v/>
      </c>
      <c r="D195" s="2" t="str">
        <f>IF(A195="","",COUNTIFS('03_LUA_CHON'!$A$5:$A$404,A195,'03_LUA_CHON'!$D$5:$D$404,"Có"))</f>
        <v/>
      </c>
      <c r="E195" s="2" t="str">
        <f t="shared" si="10"/>
        <v/>
      </c>
      <c r="F195" s="2" t="str">
        <f t="shared" si="11"/>
        <v/>
      </c>
    </row>
    <row r="196" spans="1:6">
      <c r="A196" s="2" t="str">
        <f>IF('02_KICH_BAN_NODES'!D182="choice",'02_KICH_BAN_NODES'!B182,"")</f>
        <v/>
      </c>
      <c r="B196" s="2" t="str">
        <f>IF(A196="","",'02_KICH_BAN_NODES'!E182)</f>
        <v/>
      </c>
      <c r="C196" s="2" t="str">
        <f>IF(A196="","",COUNTIF('03_LUA_CHON'!$A$5:$A$404,A196))</f>
        <v/>
      </c>
      <c r="D196" s="2" t="str">
        <f>IF(A196="","",COUNTIFS('03_LUA_CHON'!$A$5:$A$404,A196,'03_LUA_CHON'!$D$5:$D$404,"Có"))</f>
        <v/>
      </c>
      <c r="E196" s="2" t="str">
        <f t="shared" si="10"/>
        <v/>
      </c>
      <c r="F196" s="2" t="str">
        <f t="shared" si="11"/>
        <v/>
      </c>
    </row>
    <row r="197" spans="1:6">
      <c r="A197" s="2" t="str">
        <f>IF('02_KICH_BAN_NODES'!D183="choice",'02_KICH_BAN_NODES'!B183,"")</f>
        <v/>
      </c>
      <c r="B197" s="2" t="str">
        <f>IF(A197="","",'02_KICH_BAN_NODES'!E183)</f>
        <v/>
      </c>
      <c r="C197" s="2" t="str">
        <f>IF(A197="","",COUNTIF('03_LUA_CHON'!$A$5:$A$404,A197))</f>
        <v/>
      </c>
      <c r="D197" s="2" t="str">
        <f>IF(A197="","",COUNTIFS('03_LUA_CHON'!$A$5:$A$404,A197,'03_LUA_CHON'!$D$5:$D$404,"Có"))</f>
        <v/>
      </c>
      <c r="E197" s="2" t="str">
        <f t="shared" si="10"/>
        <v/>
      </c>
      <c r="F197" s="2" t="str">
        <f t="shared" si="11"/>
        <v/>
      </c>
    </row>
    <row r="198" spans="1:6">
      <c r="A198" s="2" t="str">
        <f>IF('02_KICH_BAN_NODES'!D184="choice",'02_KICH_BAN_NODES'!B184,"")</f>
        <v/>
      </c>
      <c r="B198" s="2" t="str">
        <f>IF(A198="","",'02_KICH_BAN_NODES'!E184)</f>
        <v/>
      </c>
      <c r="C198" s="2" t="str">
        <f>IF(A198="","",COUNTIF('03_LUA_CHON'!$A$5:$A$404,A198))</f>
        <v/>
      </c>
      <c r="D198" s="2" t="str">
        <f>IF(A198="","",COUNTIFS('03_LUA_CHON'!$A$5:$A$404,A198,'03_LUA_CHON'!$D$5:$D$404,"Có"))</f>
        <v/>
      </c>
      <c r="E198" s="2" t="str">
        <f t="shared" si="10"/>
        <v/>
      </c>
      <c r="F198" s="2" t="str">
        <f t="shared" si="11"/>
        <v/>
      </c>
    </row>
    <row r="199" spans="1:6">
      <c r="A199" s="2" t="str">
        <f>IF('02_KICH_BAN_NODES'!D185="choice",'02_KICH_BAN_NODES'!B185,"")</f>
        <v/>
      </c>
      <c r="B199" s="2" t="str">
        <f>IF(A199="","",'02_KICH_BAN_NODES'!E185)</f>
        <v/>
      </c>
      <c r="C199" s="2" t="str">
        <f>IF(A199="","",COUNTIF('03_LUA_CHON'!$A$5:$A$404,A199))</f>
        <v/>
      </c>
      <c r="D199" s="2" t="str">
        <f>IF(A199="","",COUNTIFS('03_LUA_CHON'!$A$5:$A$404,A199,'03_LUA_CHON'!$D$5:$D$404,"Có"))</f>
        <v/>
      </c>
      <c r="E199" s="2" t="str">
        <f t="shared" si="10"/>
        <v/>
      </c>
      <c r="F199" s="2" t="str">
        <f t="shared" si="11"/>
        <v/>
      </c>
    </row>
    <row r="200" spans="1:6">
      <c r="A200" s="2" t="str">
        <f>IF('02_KICH_BAN_NODES'!D186="choice",'02_KICH_BAN_NODES'!B186,"")</f>
        <v/>
      </c>
      <c r="B200" s="2" t="str">
        <f>IF(A200="","",'02_KICH_BAN_NODES'!E186)</f>
        <v/>
      </c>
      <c r="C200" s="2" t="str">
        <f>IF(A200="","",COUNTIF('03_LUA_CHON'!$A$5:$A$404,A200))</f>
        <v/>
      </c>
      <c r="D200" s="2" t="str">
        <f>IF(A200="","",COUNTIFS('03_LUA_CHON'!$A$5:$A$404,A200,'03_LUA_CHON'!$D$5:$D$404,"Có"))</f>
        <v/>
      </c>
      <c r="E200" s="2" t="str">
        <f t="shared" si="10"/>
        <v/>
      </c>
      <c r="F200" s="2" t="str">
        <f t="shared" si="11"/>
        <v/>
      </c>
    </row>
    <row r="201" spans="1:6">
      <c r="A201" s="2" t="str">
        <f>IF('02_KICH_BAN_NODES'!D187="choice",'02_KICH_BAN_NODES'!B187,"")</f>
        <v/>
      </c>
      <c r="B201" s="2" t="str">
        <f>IF(A201="","",'02_KICH_BAN_NODES'!E187)</f>
        <v/>
      </c>
      <c r="C201" s="2" t="str">
        <f>IF(A201="","",COUNTIF('03_LUA_CHON'!$A$5:$A$404,A201))</f>
        <v/>
      </c>
      <c r="D201" s="2" t="str">
        <f>IF(A201="","",COUNTIFS('03_LUA_CHON'!$A$5:$A$404,A201,'03_LUA_CHON'!$D$5:$D$404,"Có"))</f>
        <v/>
      </c>
      <c r="E201" s="2" t="str">
        <f t="shared" si="10"/>
        <v/>
      </c>
      <c r="F201" s="2" t="str">
        <f t="shared" si="11"/>
        <v/>
      </c>
    </row>
    <row r="202" spans="1:6">
      <c r="A202" s="2" t="str">
        <f>IF('02_KICH_BAN_NODES'!D188="choice",'02_KICH_BAN_NODES'!B188,"")</f>
        <v/>
      </c>
      <c r="B202" s="2" t="str">
        <f>IF(A202="","",'02_KICH_BAN_NODES'!E188)</f>
        <v/>
      </c>
      <c r="C202" s="2" t="str">
        <f>IF(A202="","",COUNTIF('03_LUA_CHON'!$A$5:$A$404,A202))</f>
        <v/>
      </c>
      <c r="D202" s="2" t="str">
        <f>IF(A202="","",COUNTIFS('03_LUA_CHON'!$A$5:$A$404,A202,'03_LUA_CHON'!$D$5:$D$404,"Có"))</f>
        <v/>
      </c>
      <c r="E202" s="2" t="str">
        <f t="shared" si="10"/>
        <v/>
      </c>
      <c r="F202" s="2" t="str">
        <f t="shared" si="11"/>
        <v/>
      </c>
    </row>
    <row r="203" spans="1:6">
      <c r="A203" s="2" t="str">
        <f>IF('02_KICH_BAN_NODES'!D189="choice",'02_KICH_BAN_NODES'!B189,"")</f>
        <v/>
      </c>
      <c r="B203" s="2" t="str">
        <f>IF(A203="","",'02_KICH_BAN_NODES'!E189)</f>
        <v/>
      </c>
      <c r="C203" s="2" t="str">
        <f>IF(A203="","",COUNTIF('03_LUA_CHON'!$A$5:$A$404,A203))</f>
        <v/>
      </c>
      <c r="D203" s="2" t="str">
        <f>IF(A203="","",COUNTIFS('03_LUA_CHON'!$A$5:$A$404,A203,'03_LUA_CHON'!$D$5:$D$404,"Có"))</f>
        <v/>
      </c>
      <c r="E203" s="2" t="str">
        <f t="shared" si="10"/>
        <v/>
      </c>
      <c r="F203" s="2" t="str">
        <f t="shared" si="11"/>
        <v/>
      </c>
    </row>
    <row r="204" spans="1:6">
      <c r="A204" s="2" t="str">
        <f>IF('02_KICH_BAN_NODES'!D190="choice",'02_KICH_BAN_NODES'!B190,"")</f>
        <v/>
      </c>
      <c r="B204" s="2" t="str">
        <f>IF(A204="","",'02_KICH_BAN_NODES'!E190)</f>
        <v/>
      </c>
      <c r="C204" s="2" t="str">
        <f>IF(A204="","",COUNTIF('03_LUA_CHON'!$A$5:$A$404,A204))</f>
        <v/>
      </c>
      <c r="D204" s="2" t="str">
        <f>IF(A204="","",COUNTIFS('03_LUA_CHON'!$A$5:$A$404,A204,'03_LUA_CHON'!$D$5:$D$404,"Có"))</f>
        <v/>
      </c>
      <c r="E204" s="2" t="str">
        <f t="shared" si="10"/>
        <v/>
      </c>
      <c r="F204" s="2" t="str">
        <f t="shared" si="11"/>
        <v/>
      </c>
    </row>
    <row r="205" spans="1:6">
      <c r="A205" s="2" t="str">
        <f>IF('02_KICH_BAN_NODES'!D191="choice",'02_KICH_BAN_NODES'!B191,"")</f>
        <v/>
      </c>
      <c r="B205" s="2" t="str">
        <f>IF(A205="","",'02_KICH_BAN_NODES'!E191)</f>
        <v/>
      </c>
      <c r="C205" s="2" t="str">
        <f>IF(A205="","",COUNTIF('03_LUA_CHON'!$A$5:$A$404,A205))</f>
        <v/>
      </c>
      <c r="D205" s="2" t="str">
        <f>IF(A205="","",COUNTIFS('03_LUA_CHON'!$A$5:$A$404,A205,'03_LUA_CHON'!$D$5:$D$404,"Có"))</f>
        <v/>
      </c>
      <c r="E205" s="2" t="str">
        <f t="shared" si="10"/>
        <v/>
      </c>
      <c r="F205" s="2" t="str">
        <f t="shared" si="11"/>
        <v/>
      </c>
    </row>
    <row r="206" spans="1:6">
      <c r="A206" s="2" t="str">
        <f>IF('02_KICH_BAN_NODES'!D192="choice",'02_KICH_BAN_NODES'!B192,"")</f>
        <v/>
      </c>
      <c r="B206" s="2" t="str">
        <f>IF(A206="","",'02_KICH_BAN_NODES'!E192)</f>
        <v/>
      </c>
      <c r="C206" s="2" t="str">
        <f>IF(A206="","",COUNTIF('03_LUA_CHON'!$A$5:$A$404,A206))</f>
        <v/>
      </c>
      <c r="D206" s="2" t="str">
        <f>IF(A206="","",COUNTIFS('03_LUA_CHON'!$A$5:$A$404,A206,'03_LUA_CHON'!$D$5:$D$404,"Có"))</f>
        <v/>
      </c>
      <c r="E206" s="2" t="str">
        <f t="shared" si="10"/>
        <v/>
      </c>
      <c r="F206" s="2" t="str">
        <f t="shared" si="11"/>
        <v/>
      </c>
    </row>
    <row r="207" spans="1:6">
      <c r="A207" s="2" t="str">
        <f>IF('02_KICH_BAN_NODES'!D193="choice",'02_KICH_BAN_NODES'!B193,"")</f>
        <v/>
      </c>
      <c r="B207" s="2" t="str">
        <f>IF(A207="","",'02_KICH_BAN_NODES'!E193)</f>
        <v/>
      </c>
      <c r="C207" s="2" t="str">
        <f>IF(A207="","",COUNTIF('03_LUA_CHON'!$A$5:$A$404,A207))</f>
        <v/>
      </c>
      <c r="D207" s="2" t="str">
        <f>IF(A207="","",COUNTIFS('03_LUA_CHON'!$A$5:$A$404,A207,'03_LUA_CHON'!$D$5:$D$404,"Có"))</f>
        <v/>
      </c>
      <c r="E207" s="2" t="str">
        <f t="shared" si="10"/>
        <v/>
      </c>
      <c r="F207" s="2" t="str">
        <f t="shared" si="11"/>
        <v/>
      </c>
    </row>
    <row r="208" spans="1:6">
      <c r="A208" s="2" t="str">
        <f>IF('02_KICH_BAN_NODES'!D194="choice",'02_KICH_BAN_NODES'!B194,"")</f>
        <v/>
      </c>
      <c r="B208" s="2" t="str">
        <f>IF(A208="","",'02_KICH_BAN_NODES'!E194)</f>
        <v/>
      </c>
      <c r="C208" s="2" t="str">
        <f>IF(A208="","",COUNTIF('03_LUA_CHON'!$A$5:$A$404,A208))</f>
        <v/>
      </c>
      <c r="D208" s="2" t="str">
        <f>IF(A208="","",COUNTIFS('03_LUA_CHON'!$A$5:$A$404,A208,'03_LUA_CHON'!$D$5:$D$404,"Có"))</f>
        <v/>
      </c>
      <c r="E208" s="2" t="str">
        <f t="shared" si="10"/>
        <v/>
      </c>
      <c r="F208" s="2" t="str">
        <f t="shared" si="11"/>
        <v/>
      </c>
    </row>
    <row r="209" spans="1:6">
      <c r="A209" s="2" t="str">
        <f>IF('02_KICH_BAN_NODES'!D195="choice",'02_KICH_BAN_NODES'!B195,"")</f>
        <v/>
      </c>
      <c r="B209" s="2" t="str">
        <f>IF(A209="","",'02_KICH_BAN_NODES'!E195)</f>
        <v/>
      </c>
      <c r="C209" s="2" t="str">
        <f>IF(A209="","",COUNTIF('03_LUA_CHON'!$A$5:$A$404,A209))</f>
        <v/>
      </c>
      <c r="D209" s="2" t="str">
        <f>IF(A209="","",COUNTIFS('03_LUA_CHON'!$A$5:$A$404,A209,'03_LUA_CHON'!$D$5:$D$404,"Có"))</f>
        <v/>
      </c>
      <c r="E209" s="2" t="str">
        <f t="shared" si="10"/>
        <v/>
      </c>
      <c r="F209" s="2" t="str">
        <f t="shared" si="11"/>
        <v/>
      </c>
    </row>
    <row r="210" spans="1:6">
      <c r="A210" s="2" t="str">
        <f>IF('02_KICH_BAN_NODES'!D196="choice",'02_KICH_BAN_NODES'!B196,"")</f>
        <v/>
      </c>
      <c r="B210" s="2" t="str">
        <f>IF(A210="","",'02_KICH_BAN_NODES'!E196)</f>
        <v/>
      </c>
      <c r="C210" s="2" t="str">
        <f>IF(A210="","",COUNTIF('03_LUA_CHON'!$A$5:$A$404,A210))</f>
        <v/>
      </c>
      <c r="D210" s="2" t="str">
        <f>IF(A210="","",COUNTIFS('03_LUA_CHON'!$A$5:$A$404,A210,'03_LUA_CHON'!$D$5:$D$404,"Có"))</f>
        <v/>
      </c>
      <c r="E210" s="2" t="str">
        <f t="shared" si="10"/>
        <v/>
      </c>
      <c r="F210" s="2" t="str">
        <f t="shared" si="11"/>
        <v/>
      </c>
    </row>
    <row r="211" spans="1:6">
      <c r="A211" s="2" t="str">
        <f>IF('02_KICH_BAN_NODES'!D197="choice",'02_KICH_BAN_NODES'!B197,"")</f>
        <v/>
      </c>
      <c r="B211" s="2" t="str">
        <f>IF(A211="","",'02_KICH_BAN_NODES'!E197)</f>
        <v/>
      </c>
      <c r="C211" s="2" t="str">
        <f>IF(A211="","",COUNTIF('03_LUA_CHON'!$A$5:$A$404,A211))</f>
        <v/>
      </c>
      <c r="D211" s="2" t="str">
        <f>IF(A211="","",COUNTIFS('03_LUA_CHON'!$A$5:$A$404,A211,'03_LUA_CHON'!$D$5:$D$404,"Có"))</f>
        <v/>
      </c>
      <c r="E211" s="2" t="str">
        <f t="shared" ref="E211:E242" si="12">IF(A211="","",IF(OR(C211&lt;2,C211&gt;4),"CẦN SỬA",IF(AND(B211="Kiến thức",D211=1),"HỢP LỆ",IF(AND(B211="Tương tác",D211=0),"HỢP LỆ","CẦN SỬA"))))</f>
        <v/>
      </c>
      <c r="F211" s="2" t="str">
        <f t="shared" ref="F211:F218" si="13">IF(A211="","",IF(OR(C211&lt;2,C211&gt;4),"Cần 2–4 option",IF(AND(B211="Kiến thức",D211&lt;&gt;1),"Câu kiến thức cần đúng 1 đáp án đúng",IF(AND(B211="Tương tác",D211&lt;&gt;0),"Câu tương tác không có đáp án đúng",IF(B211="","Thiếu ChoiceMode","")))))</f>
        <v/>
      </c>
    </row>
    <row r="212" spans="1:6">
      <c r="A212" s="2" t="str">
        <f>IF('02_KICH_BAN_NODES'!D198="choice",'02_KICH_BAN_NODES'!B198,"")</f>
        <v/>
      </c>
      <c r="B212" s="2" t="str">
        <f>IF(A212="","",'02_KICH_BAN_NODES'!E198)</f>
        <v/>
      </c>
      <c r="C212" s="2" t="str">
        <f>IF(A212="","",COUNTIF('03_LUA_CHON'!$A$5:$A$404,A212))</f>
        <v/>
      </c>
      <c r="D212" s="2" t="str">
        <f>IF(A212="","",COUNTIFS('03_LUA_CHON'!$A$5:$A$404,A212,'03_LUA_CHON'!$D$5:$D$404,"Có"))</f>
        <v/>
      </c>
      <c r="E212" s="2" t="str">
        <f t="shared" si="12"/>
        <v/>
      </c>
      <c r="F212" s="2" t="str">
        <f t="shared" si="13"/>
        <v/>
      </c>
    </row>
    <row r="213" spans="1:6">
      <c r="A213" s="2" t="str">
        <f>IF('02_KICH_BAN_NODES'!D199="choice",'02_KICH_BAN_NODES'!B199,"")</f>
        <v/>
      </c>
      <c r="B213" s="2" t="str">
        <f>IF(A213="","",'02_KICH_BAN_NODES'!E199)</f>
        <v/>
      </c>
      <c r="C213" s="2" t="str">
        <f>IF(A213="","",COUNTIF('03_LUA_CHON'!$A$5:$A$404,A213))</f>
        <v/>
      </c>
      <c r="D213" s="2" t="str">
        <f>IF(A213="","",COUNTIFS('03_LUA_CHON'!$A$5:$A$404,A213,'03_LUA_CHON'!$D$5:$D$404,"Có"))</f>
        <v/>
      </c>
      <c r="E213" s="2" t="str">
        <f t="shared" si="12"/>
        <v/>
      </c>
      <c r="F213" s="2" t="str">
        <f t="shared" si="13"/>
        <v/>
      </c>
    </row>
    <row r="214" spans="1:6">
      <c r="A214" s="2" t="str">
        <f>IF('02_KICH_BAN_NODES'!D200="choice",'02_KICH_BAN_NODES'!B200,"")</f>
        <v/>
      </c>
      <c r="B214" s="2" t="str">
        <f>IF(A214="","",'02_KICH_BAN_NODES'!E200)</f>
        <v/>
      </c>
      <c r="C214" s="2" t="str">
        <f>IF(A214="","",COUNTIF('03_LUA_CHON'!$A$5:$A$404,A214))</f>
        <v/>
      </c>
      <c r="D214" s="2" t="str">
        <f>IF(A214="","",COUNTIFS('03_LUA_CHON'!$A$5:$A$404,A214,'03_LUA_CHON'!$D$5:$D$404,"Có"))</f>
        <v/>
      </c>
      <c r="E214" s="2" t="str">
        <f t="shared" si="12"/>
        <v/>
      </c>
      <c r="F214" s="2" t="str">
        <f t="shared" si="13"/>
        <v/>
      </c>
    </row>
    <row r="215" spans="1:6">
      <c r="A215" s="2" t="str">
        <f>IF('02_KICH_BAN_NODES'!D201="choice",'02_KICH_BAN_NODES'!B201,"")</f>
        <v/>
      </c>
      <c r="B215" s="2" t="str">
        <f>IF(A215="","",'02_KICH_BAN_NODES'!E201)</f>
        <v/>
      </c>
      <c r="C215" s="2" t="str">
        <f>IF(A215="","",COUNTIF('03_LUA_CHON'!$A$5:$A$404,A215))</f>
        <v/>
      </c>
      <c r="D215" s="2" t="str">
        <f>IF(A215="","",COUNTIFS('03_LUA_CHON'!$A$5:$A$404,A215,'03_LUA_CHON'!$D$5:$D$404,"Có"))</f>
        <v/>
      </c>
      <c r="E215" s="2" t="str">
        <f t="shared" si="12"/>
        <v/>
      </c>
      <c r="F215" s="2" t="str">
        <f t="shared" si="13"/>
        <v/>
      </c>
    </row>
    <row r="216" spans="1:6">
      <c r="A216" s="2" t="str">
        <f>IF('02_KICH_BAN_NODES'!D202="choice",'02_KICH_BAN_NODES'!B202,"")</f>
        <v/>
      </c>
      <c r="B216" s="2" t="str">
        <f>IF(A216="","",'02_KICH_BAN_NODES'!E202)</f>
        <v/>
      </c>
      <c r="C216" s="2" t="str">
        <f>IF(A216="","",COUNTIF('03_LUA_CHON'!$A$5:$A$404,A216))</f>
        <v/>
      </c>
      <c r="D216" s="2" t="str">
        <f>IF(A216="","",COUNTIFS('03_LUA_CHON'!$A$5:$A$404,A216,'03_LUA_CHON'!$D$5:$D$404,"Có"))</f>
        <v/>
      </c>
      <c r="E216" s="2" t="str">
        <f t="shared" si="12"/>
        <v/>
      </c>
      <c r="F216" s="2" t="str">
        <f t="shared" si="13"/>
        <v/>
      </c>
    </row>
    <row r="217" spans="1:6">
      <c r="A217" s="2" t="str">
        <f>IF('02_KICH_BAN_NODES'!D203="choice",'02_KICH_BAN_NODES'!B203,"")</f>
        <v/>
      </c>
      <c r="B217" s="2" t="str">
        <f>IF(A217="","",'02_KICH_BAN_NODES'!E203)</f>
        <v/>
      </c>
      <c r="C217" s="2" t="str">
        <f>IF(A217="","",COUNTIF('03_LUA_CHON'!$A$5:$A$404,A217))</f>
        <v/>
      </c>
      <c r="D217" s="2" t="str">
        <f>IF(A217="","",COUNTIFS('03_LUA_CHON'!$A$5:$A$404,A217,'03_LUA_CHON'!$D$5:$D$404,"Có"))</f>
        <v/>
      </c>
      <c r="E217" s="2" t="str">
        <f t="shared" si="12"/>
        <v/>
      </c>
      <c r="F217" s="2" t="str">
        <f t="shared" si="13"/>
        <v/>
      </c>
    </row>
    <row r="218" spans="1:6">
      <c r="A218" s="2" t="str">
        <f>IF('02_KICH_BAN_NODES'!D204="choice",'02_KICH_BAN_NODES'!B204,"")</f>
        <v/>
      </c>
      <c r="B218" s="2" t="str">
        <f>IF(A218="","",'02_KICH_BAN_NODES'!E204)</f>
        <v/>
      </c>
      <c r="C218" s="2" t="str">
        <f>IF(A218="","",COUNTIF('03_LUA_CHON'!$A$5:$A$404,A218))</f>
        <v/>
      </c>
      <c r="D218" s="2" t="str">
        <f>IF(A218="","",COUNTIFS('03_LUA_CHON'!$A$5:$A$404,A218,'03_LUA_CHON'!$D$5:$D$404,"Có"))</f>
        <v/>
      </c>
      <c r="E218" s="2" t="str">
        <f t="shared" si="12"/>
        <v/>
      </c>
      <c r="F218" s="2" t="str">
        <f t="shared" si="13"/>
        <v/>
      </c>
    </row>
  </sheetData>
  <mergeCells count="6">
    <mergeCell ref="A1:I1"/>
    <mergeCell ref="A2:I2"/>
    <mergeCell ref="A4:I4"/>
    <mergeCell ref="A8:I8"/>
    <mergeCell ref="A17:F17"/>
    <mergeCell ref="H17:I17"/>
  </mergeCells>
  <conditionalFormatting sqref="B15:C15">
    <cfRule type="expression" dxfId="7" priority="4">
      <formula>B15="SẴN SÀNG"</formula>
    </cfRule>
  </conditionalFormatting>
  <conditionalFormatting sqref="C10:C15">
    <cfRule type="expression" dxfId="6" priority="1">
      <formula>C10="HỢP LỆ"</formula>
    </cfRule>
    <cfRule type="expression" dxfId="5" priority="2">
      <formula>OR(C10="CẦN SỬA",C10="CHƯA SẴN SÀNG")</formula>
    </cfRule>
    <cfRule type="expression" dxfId="4" priority="3">
      <formula>C10="CẢNH BÁO"</formula>
    </cfRule>
  </conditionalFormatting>
  <conditionalFormatting sqref="E19:E218">
    <cfRule type="expression" dxfId="3" priority="5">
      <formula>E19="HỢP LỆ"</formula>
    </cfRule>
    <cfRule type="expression" dxfId="2" priority="6">
      <formula>E19="CẦN SỬA"</formula>
    </cfRule>
  </conditionalFormatting>
  <conditionalFormatting sqref="I19:I25">
    <cfRule type="expression" dxfId="1" priority="7">
      <formula>I19="Đạt"</formula>
    </cfRule>
    <cfRule type="expression" dxfId="0" priority="8">
      <formula>I19="Cần sửa"</formula>
    </cfRule>
  </conditionalFormatting>
  <dataValidations count="1">
    <dataValidation type="list" sqref="I19:I25" xr:uid="{00000000-0002-0000-0500-000000000000}">
      <formula1>"Chưa kiểm tra,Đạt,Cần sửa,Không áp dụng"</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5"/>
  <sheetViews>
    <sheetView workbookViewId="0"/>
  </sheetViews>
  <sheetFormatPr defaultRowHeight="14.25"/>
  <cols>
    <col min="1" max="1" width="18" customWidth="1"/>
    <col min="2" max="2" width="48" customWidth="1"/>
    <col min="3" max="3" width="46" customWidth="1"/>
    <col min="4" max="4" width="24" customWidth="1"/>
    <col min="5" max="5" width="28" customWidth="1"/>
    <col min="6" max="6" width="18" customWidth="1"/>
    <col min="7" max="8" width="30" customWidth="1"/>
  </cols>
  <sheetData>
    <row r="1" spans="1:8" ht="30" customHeight="1">
      <c r="A1" s="19" t="s">
        <v>269</v>
      </c>
      <c r="B1" s="19"/>
      <c r="C1" s="19"/>
      <c r="D1" s="19"/>
      <c r="E1" s="19"/>
      <c r="F1" s="19"/>
      <c r="G1" s="19"/>
      <c r="H1" s="19"/>
    </row>
    <row r="2" spans="1:8" ht="36" customHeight="1">
      <c r="A2" s="20" t="s">
        <v>270</v>
      </c>
      <c r="B2" s="20"/>
      <c r="C2" s="20"/>
      <c r="D2" s="20"/>
      <c r="E2" s="20"/>
      <c r="F2" s="20"/>
      <c r="G2" s="20"/>
      <c r="H2" s="20"/>
    </row>
    <row r="4" spans="1:8" ht="24" customHeight="1">
      <c r="A4" s="18" t="s">
        <v>271</v>
      </c>
      <c r="B4" s="18"/>
      <c r="C4" s="18"/>
      <c r="D4" s="18"/>
      <c r="E4" s="18"/>
      <c r="F4" s="18"/>
      <c r="G4" s="18"/>
      <c r="H4" s="18"/>
    </row>
    <row r="5" spans="1:8" ht="39.950000000000003" customHeight="1">
      <c r="A5" s="1" t="s">
        <v>272</v>
      </c>
      <c r="B5" s="1" t="s">
        <v>273</v>
      </c>
      <c r="C5" s="1" t="s">
        <v>274</v>
      </c>
      <c r="D5" s="1" t="s">
        <v>49</v>
      </c>
      <c r="E5" s="1" t="s">
        <v>139</v>
      </c>
    </row>
    <row r="6" spans="1:8" ht="28.5">
      <c r="A6" s="2" t="s">
        <v>275</v>
      </c>
      <c r="B6" s="2" t="s">
        <v>95</v>
      </c>
      <c r="C6" s="2" t="s">
        <v>276</v>
      </c>
      <c r="D6" s="2" t="s">
        <v>96</v>
      </c>
      <c r="E6" s="2" t="s">
        <v>277</v>
      </c>
    </row>
    <row r="7" spans="1:8">
      <c r="A7" s="2" t="s">
        <v>278</v>
      </c>
      <c r="B7" s="2" t="s">
        <v>99</v>
      </c>
      <c r="C7" s="2" t="s">
        <v>279</v>
      </c>
      <c r="D7" s="2" t="s">
        <v>96</v>
      </c>
      <c r="E7" s="2" t="s">
        <v>280</v>
      </c>
    </row>
    <row r="8" spans="1:8">
      <c r="A8" s="2" t="s">
        <v>281</v>
      </c>
      <c r="B8" s="2" t="s">
        <v>102</v>
      </c>
      <c r="C8" s="2" t="s">
        <v>282</v>
      </c>
      <c r="D8" s="2" t="s">
        <v>96</v>
      </c>
      <c r="E8" s="2" t="s">
        <v>283</v>
      </c>
    </row>
    <row r="9" spans="1:8" ht="28.5">
      <c r="A9" s="2" t="s">
        <v>284</v>
      </c>
      <c r="B9" s="2" t="s">
        <v>285</v>
      </c>
      <c r="C9" s="2" t="s">
        <v>286</v>
      </c>
      <c r="D9" s="2" t="s">
        <v>96</v>
      </c>
      <c r="E9" s="2" t="s">
        <v>287</v>
      </c>
    </row>
    <row r="10" spans="1:8">
      <c r="A10" s="2" t="s">
        <v>288</v>
      </c>
      <c r="B10" s="2" t="s">
        <v>289</v>
      </c>
      <c r="C10" s="2" t="s">
        <v>290</v>
      </c>
      <c r="D10" s="2" t="s">
        <v>96</v>
      </c>
      <c r="E10" s="2" t="s">
        <v>291</v>
      </c>
    </row>
    <row r="12" spans="1:8" ht="24" customHeight="1">
      <c r="A12" s="18" t="s">
        <v>292</v>
      </c>
      <c r="B12" s="18"/>
      <c r="C12" s="18"/>
      <c r="D12" s="18"/>
      <c r="E12" s="18"/>
      <c r="F12" s="18"/>
      <c r="G12" s="18"/>
      <c r="H12" s="18"/>
    </row>
    <row r="13" spans="1:8" ht="39.950000000000003" customHeight="1">
      <c r="A13" s="1" t="s">
        <v>179</v>
      </c>
      <c r="B13" s="1" t="s">
        <v>293</v>
      </c>
      <c r="C13" s="1" t="s">
        <v>181</v>
      </c>
      <c r="D13" s="1" t="s">
        <v>294</v>
      </c>
      <c r="E13" s="1" t="s">
        <v>295</v>
      </c>
      <c r="F13" s="1" t="s">
        <v>70</v>
      </c>
      <c r="G13" s="1" t="s">
        <v>239</v>
      </c>
      <c r="H13" s="1" t="s">
        <v>139</v>
      </c>
    </row>
    <row r="14" spans="1:8">
      <c r="A14" s="2" t="s">
        <v>188</v>
      </c>
      <c r="B14" s="2" t="s">
        <v>296</v>
      </c>
      <c r="C14" s="2" t="s">
        <v>297</v>
      </c>
      <c r="D14" s="2" t="s">
        <v>127</v>
      </c>
      <c r="E14" s="2" t="s">
        <v>127</v>
      </c>
      <c r="F14" s="2" t="s">
        <v>298</v>
      </c>
      <c r="G14" s="2" t="s">
        <v>299</v>
      </c>
      <c r="H14" s="2" t="s">
        <v>300</v>
      </c>
    </row>
    <row r="15" spans="1:8">
      <c r="A15" s="2" t="s">
        <v>198</v>
      </c>
      <c r="B15" s="2" t="s">
        <v>301</v>
      </c>
      <c r="C15" s="2" t="s">
        <v>302</v>
      </c>
      <c r="D15" s="2" t="s">
        <v>303</v>
      </c>
      <c r="E15" s="2" t="s">
        <v>127</v>
      </c>
      <c r="F15" s="2" t="s">
        <v>298</v>
      </c>
      <c r="G15" s="2" t="s">
        <v>304</v>
      </c>
      <c r="H15" s="2" t="s">
        <v>305</v>
      </c>
    </row>
    <row r="16" spans="1:8" ht="28.5">
      <c r="A16" s="2" t="s">
        <v>208</v>
      </c>
      <c r="B16" s="2" t="s">
        <v>306</v>
      </c>
      <c r="C16" s="2" t="s">
        <v>307</v>
      </c>
      <c r="D16" s="2" t="s">
        <v>127</v>
      </c>
      <c r="E16" s="2" t="s">
        <v>308</v>
      </c>
      <c r="F16" s="2" t="s">
        <v>309</v>
      </c>
      <c r="G16" s="2" t="s">
        <v>310</v>
      </c>
      <c r="H16" s="2" t="s">
        <v>311</v>
      </c>
    </row>
    <row r="17" spans="1:8">
      <c r="A17" s="2" t="s">
        <v>216</v>
      </c>
      <c r="B17" s="2" t="s">
        <v>153</v>
      </c>
      <c r="C17" s="2" t="s">
        <v>312</v>
      </c>
      <c r="D17" s="2" t="s">
        <v>127</v>
      </c>
      <c r="E17" s="2" t="s">
        <v>127</v>
      </c>
      <c r="F17" s="2" t="s">
        <v>298</v>
      </c>
      <c r="G17" s="2" t="s">
        <v>313</v>
      </c>
      <c r="H17" s="2" t="s">
        <v>314</v>
      </c>
    </row>
    <row r="18" spans="1:8">
      <c r="A18" s="2" t="s">
        <v>221</v>
      </c>
      <c r="B18" s="2" t="s">
        <v>127</v>
      </c>
      <c r="C18" s="2" t="s">
        <v>315</v>
      </c>
      <c r="D18" s="2" t="s">
        <v>316</v>
      </c>
      <c r="E18" s="2" t="s">
        <v>127</v>
      </c>
      <c r="F18" s="2" t="s">
        <v>298</v>
      </c>
      <c r="G18" s="2" t="s">
        <v>317</v>
      </c>
      <c r="H18" s="2" t="s">
        <v>318</v>
      </c>
    </row>
    <row r="20" spans="1:8" ht="24" customHeight="1">
      <c r="A20" s="18" t="s">
        <v>319</v>
      </c>
      <c r="B20" s="18"/>
      <c r="C20" s="18"/>
      <c r="D20" s="18"/>
      <c r="E20" s="18"/>
      <c r="F20" s="18"/>
      <c r="G20" s="18"/>
      <c r="H20" s="18"/>
    </row>
    <row r="21" spans="1:8" ht="39.950000000000003" customHeight="1">
      <c r="A21" s="1" t="s">
        <v>320</v>
      </c>
      <c r="B21" s="1" t="s">
        <v>321</v>
      </c>
      <c r="C21" s="1" t="s">
        <v>44</v>
      </c>
      <c r="D21" s="1" t="s">
        <v>93</v>
      </c>
      <c r="E21" s="1" t="s">
        <v>49</v>
      </c>
      <c r="F21" s="1" t="s">
        <v>322</v>
      </c>
    </row>
    <row r="22" spans="1:8" ht="42.75">
      <c r="A22" s="2" t="s">
        <v>323</v>
      </c>
      <c r="B22" s="2" t="s">
        <v>324</v>
      </c>
      <c r="C22" s="2" t="s">
        <v>325</v>
      </c>
      <c r="D22" s="2" t="s">
        <v>326</v>
      </c>
      <c r="E22" s="2" t="s">
        <v>96</v>
      </c>
      <c r="F22" s="2" t="s">
        <v>327</v>
      </c>
    </row>
    <row r="23" spans="1:8" ht="42.75">
      <c r="A23" s="2" t="s">
        <v>328</v>
      </c>
      <c r="B23" s="2" t="s">
        <v>329</v>
      </c>
      <c r="C23" s="2" t="s">
        <v>330</v>
      </c>
      <c r="D23" s="2" t="s">
        <v>331</v>
      </c>
      <c r="E23" s="2" t="s">
        <v>96</v>
      </c>
      <c r="F23" s="2" t="s">
        <v>332</v>
      </c>
    </row>
    <row r="24" spans="1:8">
      <c r="A24" s="2" t="s">
        <v>162</v>
      </c>
      <c r="B24" s="2" t="s">
        <v>162</v>
      </c>
      <c r="C24" s="2" t="s">
        <v>333</v>
      </c>
      <c r="D24" s="2" t="s">
        <v>334</v>
      </c>
      <c r="E24" s="2" t="s">
        <v>127</v>
      </c>
      <c r="F24" s="2" t="s">
        <v>335</v>
      </c>
    </row>
    <row r="25" spans="1:8">
      <c r="A25" s="2" t="s">
        <v>336</v>
      </c>
      <c r="B25" s="2" t="s">
        <v>337</v>
      </c>
      <c r="C25" s="2" t="s">
        <v>338</v>
      </c>
      <c r="D25" s="2" t="s">
        <v>201</v>
      </c>
      <c r="E25" s="2" t="s">
        <v>96</v>
      </c>
      <c r="F25" s="2" t="s">
        <v>339</v>
      </c>
    </row>
    <row r="26" spans="1:8">
      <c r="A26" s="2" t="s">
        <v>164</v>
      </c>
      <c r="B26" s="2" t="s">
        <v>340</v>
      </c>
      <c r="C26" s="2" t="s">
        <v>341</v>
      </c>
      <c r="D26" s="2" t="s">
        <v>196</v>
      </c>
      <c r="E26" s="2" t="s">
        <v>127</v>
      </c>
      <c r="F26" s="2" t="s">
        <v>342</v>
      </c>
    </row>
    <row r="27" spans="1:8" ht="28.5">
      <c r="A27" s="2" t="s">
        <v>343</v>
      </c>
      <c r="B27" s="2" t="s">
        <v>344</v>
      </c>
      <c r="C27" s="2" t="s">
        <v>345</v>
      </c>
      <c r="D27" s="2" t="s">
        <v>346</v>
      </c>
      <c r="E27" s="2" t="s">
        <v>96</v>
      </c>
      <c r="F27" s="2" t="s">
        <v>347</v>
      </c>
    </row>
    <row r="29" spans="1:8" ht="24" customHeight="1">
      <c r="A29" s="18" t="s">
        <v>348</v>
      </c>
      <c r="B29" s="18"/>
      <c r="C29" s="18"/>
      <c r="D29" s="18"/>
      <c r="E29" s="18"/>
      <c r="F29" s="18"/>
      <c r="G29" s="18"/>
      <c r="H29" s="18"/>
    </row>
    <row r="30" spans="1:8" ht="39.950000000000003" customHeight="1">
      <c r="A30" s="1" t="s">
        <v>3</v>
      </c>
      <c r="B30" s="1" t="s">
        <v>349</v>
      </c>
      <c r="C30" s="1" t="s">
        <v>350</v>
      </c>
      <c r="D30" s="1"/>
      <c r="E30" s="1"/>
      <c r="F30" s="1"/>
      <c r="G30" s="1"/>
      <c r="H30" s="1"/>
    </row>
    <row r="31" spans="1:8">
      <c r="A31" s="9">
        <v>1</v>
      </c>
      <c r="B31" s="2" t="s">
        <v>351</v>
      </c>
      <c r="C31" s="2" t="s">
        <v>352</v>
      </c>
      <c r="D31" s="2"/>
      <c r="E31" s="2"/>
      <c r="F31" s="2"/>
      <c r="G31" s="2"/>
      <c r="H31" s="2"/>
    </row>
    <row r="32" spans="1:8" ht="28.5">
      <c r="A32" s="9">
        <v>2</v>
      </c>
      <c r="B32" s="2" t="s">
        <v>353</v>
      </c>
      <c r="C32" s="2" t="s">
        <v>354</v>
      </c>
      <c r="D32" s="2"/>
      <c r="E32" s="2"/>
      <c r="F32" s="2"/>
      <c r="G32" s="2"/>
      <c r="H32" s="2"/>
    </row>
    <row r="33" spans="1:8" ht="28.5">
      <c r="A33" s="9">
        <v>3</v>
      </c>
      <c r="B33" s="2" t="s">
        <v>355</v>
      </c>
      <c r="C33" s="2" t="s">
        <v>356</v>
      </c>
      <c r="D33" s="2"/>
      <c r="E33" s="2"/>
      <c r="F33" s="2"/>
      <c r="G33" s="2"/>
      <c r="H33" s="2"/>
    </row>
    <row r="34" spans="1:8" ht="28.5">
      <c r="A34" s="9">
        <v>4</v>
      </c>
      <c r="B34" s="2" t="s">
        <v>357</v>
      </c>
      <c r="C34" s="2" t="s">
        <v>358</v>
      </c>
      <c r="D34" s="2"/>
      <c r="E34" s="2"/>
      <c r="F34" s="2"/>
      <c r="G34" s="2"/>
      <c r="H34" s="2"/>
    </row>
    <row r="35" spans="1:8" ht="28.5">
      <c r="A35" s="9">
        <v>5</v>
      </c>
      <c r="B35" s="2" t="s">
        <v>359</v>
      </c>
      <c r="C35" s="2" t="s">
        <v>360</v>
      </c>
      <c r="D35" s="2"/>
      <c r="E35" s="2"/>
      <c r="F35" s="2"/>
      <c r="G35" s="2"/>
      <c r="H35" s="2"/>
    </row>
    <row r="36" spans="1:8">
      <c r="A36" s="9">
        <v>6</v>
      </c>
      <c r="B36" s="2" t="s">
        <v>361</v>
      </c>
      <c r="C36" s="2" t="s">
        <v>362</v>
      </c>
      <c r="D36" s="2"/>
      <c r="E36" s="2"/>
      <c r="F36" s="2"/>
      <c r="G36" s="2"/>
      <c r="H36" s="2"/>
    </row>
    <row r="37" spans="1:8">
      <c r="A37" s="9">
        <v>7</v>
      </c>
      <c r="B37" s="2" t="s">
        <v>363</v>
      </c>
      <c r="C37" s="2" t="s">
        <v>364</v>
      </c>
      <c r="D37" s="2"/>
      <c r="E37" s="2"/>
      <c r="F37" s="2"/>
      <c r="G37" s="2"/>
      <c r="H37" s="2"/>
    </row>
    <row r="39" spans="1:8" ht="24" customHeight="1">
      <c r="A39" s="18" t="s">
        <v>365</v>
      </c>
      <c r="B39" s="18"/>
      <c r="C39" s="18"/>
      <c r="D39" s="18"/>
      <c r="E39" s="18"/>
      <c r="F39" s="18"/>
      <c r="G39" s="18"/>
      <c r="H39" s="18"/>
    </row>
    <row r="40" spans="1:8" ht="39.950000000000003" customHeight="1">
      <c r="A40" s="1" t="s">
        <v>366</v>
      </c>
      <c r="B40" s="1" t="s">
        <v>367</v>
      </c>
      <c r="C40" s="1"/>
      <c r="D40" s="1"/>
      <c r="E40" s="1"/>
      <c r="F40" s="1"/>
      <c r="G40" s="1"/>
      <c r="H40" s="1"/>
    </row>
    <row r="41" spans="1:8" ht="28.5">
      <c r="A41" s="2" t="s">
        <v>188</v>
      </c>
      <c r="B41" s="6" t="s">
        <v>368</v>
      </c>
      <c r="C41" s="2"/>
      <c r="D41" s="2"/>
      <c r="E41" s="2"/>
      <c r="F41" s="2"/>
      <c r="G41" s="2"/>
      <c r="H41" s="2"/>
    </row>
    <row r="42" spans="1:8" ht="28.5">
      <c r="A42" s="2" t="s">
        <v>198</v>
      </c>
      <c r="B42" s="6" t="s">
        <v>369</v>
      </c>
      <c r="C42" s="2"/>
      <c r="D42" s="2"/>
      <c r="E42" s="2"/>
      <c r="F42" s="2"/>
      <c r="G42" s="2"/>
      <c r="H42" s="2"/>
    </row>
    <row r="43" spans="1:8" ht="28.5">
      <c r="A43" s="2" t="s">
        <v>208</v>
      </c>
      <c r="B43" s="6" t="s">
        <v>370</v>
      </c>
      <c r="C43" s="2"/>
      <c r="D43" s="2"/>
      <c r="E43" s="2"/>
      <c r="F43" s="2"/>
      <c r="G43" s="2"/>
      <c r="H43" s="2"/>
    </row>
    <row r="44" spans="1:8">
      <c r="A44" s="2" t="s">
        <v>216</v>
      </c>
      <c r="B44" s="6" t="s">
        <v>371</v>
      </c>
      <c r="C44" s="2"/>
      <c r="D44" s="2"/>
      <c r="E44" s="2"/>
      <c r="F44" s="2"/>
      <c r="G44" s="2"/>
      <c r="H44" s="2"/>
    </row>
    <row r="45" spans="1:8">
      <c r="A45" s="2" t="s">
        <v>221</v>
      </c>
      <c r="B45" s="6" t="s">
        <v>223</v>
      </c>
      <c r="C45" s="2"/>
      <c r="D45" s="2"/>
      <c r="E45" s="2"/>
      <c r="F45" s="2"/>
      <c r="G45" s="2"/>
      <c r="H45" s="2"/>
    </row>
  </sheetData>
  <mergeCells count="7">
    <mergeCell ref="A29:H29"/>
    <mergeCell ref="A39:H39"/>
    <mergeCell ref="A1:H1"/>
    <mergeCell ref="A2:H2"/>
    <mergeCell ref="A4:H4"/>
    <mergeCell ref="A12:H12"/>
    <mergeCell ref="A20:H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00_HUONG_DAN</vt:lpstr>
      <vt:lpstr>01_THONG_TIN_PHIM</vt:lpstr>
      <vt:lpstr>02_KICH_BAN_NODES</vt:lpstr>
      <vt:lpstr>03_LUA_CHON</vt:lpstr>
      <vt:lpstr>04_DANH_MUC</vt:lpstr>
      <vt:lpstr>05_KIEM_TRA_QA</vt:lpstr>
      <vt:lpstr>06_DEV_MAPPING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Minh Hoàng Lê Vũ</cp:lastModifiedBy>
  <dcterms:modified xsi:type="dcterms:W3CDTF">2026-07-14T14:49:38Z</dcterms:modified>
</cp:coreProperties>
</file>