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HUONG_DAN" sheetId="1" state="visible" r:id="rId3"/>
    <sheet name="01_THONG_TIN_Game" sheetId="2" state="visible" r:id="rId4"/>
    <sheet name="02_KICH_BAN_NODES" sheetId="3" state="visible" r:id="rId5"/>
    <sheet name="03_LUA_CHON" sheetId="4" state="visible" r:id="rId6"/>
    <sheet name="04_DANH_MUC" sheetId="5" state="visible" r:id="rId7"/>
    <sheet name="05_KIEM_TRA_QA" sheetId="6" state="visible" r:id="rId8"/>
    <sheet name="06_DEV_MAPP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<sst xmlns="http://schemas.openxmlformats.org/spreadsheetml/2006/main" count="653" uniqueCount="455">
  <si>
    <t xml:space="preserve">MẪU NHẬP KỊCH BẢN GAME TƯƠNG TÁC</t>
  </si>
  <si>
    <t xml:space="preserve">Workbook chuẩn hóa cấu trúc từ 15-movie-template.ts. Team tài liệu nhập ô màu vàng; team dev dùng các bảng dữ liệu đã chuẩn hóa để dựng mảng script JSON/TypeScript và upsert movie.</t>
  </si>
  <si>
    <t xml:space="preserve">1. QUY TRÌNH SỬ DỤNG</t>
  </si>
  <si>
    <t xml:space="preserve">Bước</t>
  </si>
  <si>
    <t xml:space="preserve">Người thực hiện</t>
  </si>
  <si>
    <t xml:space="preserve">Thao tác</t>
  </si>
  <si>
    <t xml:space="preserve">Kết quả cần đạt</t>
  </si>
  <si>
    <t xml:space="preserve">Không được làm</t>
  </si>
  <si>
    <t xml:space="preserve">Team tài liệu</t>
  </si>
  <si>
    <t xml:space="preserve">Điền 01_THONG_TIN_Game</t>
  </si>
  <si>
    <t xml:space="preserve">Đủ mã chương, mục, tiêu đề và thông tin seed</t>
  </si>
  <si>
    <t xml:space="preserve">Không đổi tên trường kỹ thuật</t>
  </si>
  <si>
    <t xml:space="preserve">Điền 02_KICH_BAN_NODES theo NodeOrder</t>
  </si>
  <si>
    <t xml:space="preserve">Mỗi dòng là 1 scene/say/choice/act/end</t>
  </si>
  <si>
    <t xml:space="preserve">Không gộp nhiều node trong một dòng</t>
  </si>
  <si>
    <t xml:space="preserve">Điền 03_LUA_CHON theo ChoiceNodeId</t>
  </si>
  <si>
    <t xml:space="preserve">Mỗi choice có 2-4 phương án và đúng quy tắc ChoiceMode</t>
  </si>
  <si>
    <t xml:space="preserve">Không bỏ phản hồi phương án</t>
  </si>
  <si>
    <t xml:space="preserve">Reviewer</t>
  </si>
  <si>
    <t xml:space="preserve">Kiểm tra 05_KIEM_TRA_QA</t>
  </si>
  <si>
    <t xml:space="preserve">Không còn lỗi cấu trúc; checklist chuyên môn đạt</t>
  </si>
  <si>
    <t xml:space="preserve">Không bàn giao khi còn CẦN SỬA</t>
  </si>
  <si>
    <t xml:space="preserve">Team dev</t>
  </si>
  <si>
    <t xml:space="preserve">Chuyển đổi theo 06_DEV_MAPPING</t>
  </si>
  <si>
    <t xml:space="preserve">Seed chạy được và upsert theo muc</t>
  </si>
  <si>
    <t xml:space="preserve">Không tự thay đổi nội dung chuyên môn</t>
  </si>
  <si>
    <t xml:space="preserve">2. QUY ƯỚC MÀU VÀ TRẠNG THÁI</t>
  </si>
  <si>
    <t xml:space="preserve">Màu/Trạng thái</t>
  </si>
  <si>
    <t xml:space="preserve">Ý nghĩa</t>
  </si>
  <si>
    <t xml:space="preserve">Hành động</t>
  </si>
  <si>
    <t xml:space="preserve">Ô màu vàng</t>
  </si>
  <si>
    <t xml:space="preserve">Dữ liệu team tài liệu được phép nhập/sửa</t>
  </si>
  <si>
    <t xml:space="preserve">Điền nội dung, không xóa tiêu đề cột</t>
  </si>
  <si>
    <t xml:space="preserve">Ô màu xám</t>
  </si>
  <si>
    <t xml:space="preserve">Công thức hoặc thông tin kỹ thuật</t>
  </si>
  <si>
    <t xml:space="preserve">Không sửa</t>
  </si>
  <si>
    <t xml:space="preserve">HỢP LỆ</t>
  </si>
  <si>
    <t xml:space="preserve">Dòng đạt kiểm tra cấu trúc cơ bản</t>
  </si>
  <si>
    <t xml:space="preserve">Chuyển sang review chuyên môn</t>
  </si>
  <si>
    <t xml:space="preserve">CẦN SỬA</t>
  </si>
  <si>
    <t xml:space="preserve">Thiếu dữ liệu, sai liên kết hoặc sai quy tắc</t>
  </si>
  <si>
    <t xml:space="preserve">Đọc cột Lỗi cấu trúc và chỉnh lại</t>
  </si>
  <si>
    <t xml:space="preserve">3. QUY TẮC NỘI DUNG BẮT BUỘC</t>
  </si>
  <si>
    <t xml:space="preserve">Nhóm</t>
  </si>
  <si>
    <t xml:space="preserve">Quy tắc</t>
  </si>
  <si>
    <t xml:space="preserve">Mức độ</t>
  </si>
  <si>
    <t xml:space="preserve">Lý do</t>
  </si>
  <si>
    <t xml:space="preserve">Cấu trúc game</t>
  </si>
  <si>
    <t xml:space="preserve">Thông thường 2-4 màn; mỗi màn bắt đầu bằng scene, kết thúc bằng act; toàn game có đúng 1 end.</t>
  </si>
  <si>
    <t xml:space="preserve">Bắt buộc</t>
  </si>
  <si>
    <t xml:space="preserve">Khớp ScriptNode trong template.</t>
  </si>
  <si>
    <t xml:space="preserve">Choice kiến thức</t>
  </si>
  <si>
    <t xml:space="preserve">ChoiceMode = Kiến thức: 2-4 phương án và đúng 1 IsCorrect = Có.</t>
  </si>
  <si>
    <t xml:space="preserve">Dùng để kiểm tra và chấm đúng/sai.</t>
  </si>
  <si>
    <t xml:space="preserve">Choice tương tác</t>
  </si>
  <si>
    <t xml:space="preserve">ChoiceMode = Tương tác: 2-4 phương án và không đánh dấu đáp án đúng; có thể dùng dc.</t>
  </si>
  <si>
    <t xml:space="preserve">Khớp các lựa chọn thái độ/thiện cảm trong kịch bản mẫu.</t>
  </si>
  <si>
    <t xml:space="preserve">Phản hồi</t>
  </si>
  <si>
    <t xml:space="preserve">Mọi phương án phải có ReplyText; phương án sai của câu kiến thức phải giải thích vì sao sai.</t>
  </si>
  <si>
    <t xml:space="preserve">Bảo đảm giá trị học tập.</t>
  </si>
  <si>
    <t xml:space="preserve">Nhân vật</t>
  </si>
  <si>
    <t xml:space="preserve">Chỉ dùng SpeakerKey trong danh mục; nhân vật mới phải được dev bổ sung vào CHARACTERS.</t>
  </si>
  <si>
    <t xml:space="preserve">Tránh key không tồn tại.</t>
  </si>
  <si>
    <t xml:space="preserve">Cảnh nền</t>
  </si>
  <si>
    <t xml:space="preserve">Chỉ dùng Background trong danh mục; cảnh mới cần asset/SVG được dev xác nhận.</t>
  </si>
  <si>
    <t xml:space="preserve">Tránh thiếu tài nguyên giao diện.</t>
  </si>
  <si>
    <t xml:space="preserve">Văn bản</t>
  </si>
  <si>
    <t xml:space="preserve">Không dùng HTML; câu hỏi không đánh đố; lời thoại tự nhiên, phù hợp vai trò.</t>
  </si>
  <si>
    <t xml:space="preserve">Khuyến nghị cao</t>
  </si>
  <si>
    <t xml:space="preserve">Theo nguyên tắc biên soạn của template.</t>
  </si>
  <si>
    <t xml:space="preserve">Thứ tự</t>
  </si>
  <si>
    <t xml:space="preserve">NodeOrder và NodeId phải duy nhất; option sắp xếp bằng OptionOrder.</t>
  </si>
  <si>
    <t xml:space="preserve">Bảo toàn thứ tự mảng script/opts.</t>
  </si>
  <si>
    <t xml:space="preserve">4. TRƯỜNG HỢP ĐẶC BIỆT</t>
  </si>
  <si>
    <t xml:space="preserve">Tình huống</t>
  </si>
  <si>
    <t xml:space="preserve">Cách xử lý</t>
  </si>
  <si>
    <t xml:space="preserve">Lời dẫn chuyện</t>
  </si>
  <si>
    <t xml:space="preserve">NodeType = say, SpeakerKey = narr, Mood để trống.</t>
  </si>
  <si>
    <t xml:space="preserve">Choice mở đầu kiểu “Bạn sẵn sàng chứ?”</t>
  </si>
  <si>
    <t xml:space="preserve">Chọn ChoiceMode = Tương tác; IsCorrect của mọi option = Không; dùng dc nếu cần.</t>
  </si>
  <si>
    <t xml:space="preserve">Thêm nhân vật/cảnh nền</t>
  </si>
  <si>
    <t xml:space="preserve">Bổ sung tại 04_DANH_MUC, ghi rõ cần dev bổ sung và chỉ dùng sau khi được duyệt.</t>
  </si>
  <si>
    <t xml:space="preserve">Điểm thiện cảm dc</t>
  </si>
  <si>
    <t xml:space="preserve">Nhập số nguyên dương/âm khi cần; để trống để dùng cơ chế mặc định.</t>
  </si>
  <si>
    <t xml:space="preserve">Thông tin mẫu</t>
  </si>
  <si>
    <t xml:space="preserve">Giá trị</t>
  </si>
  <si>
    <t xml:space="preserve">Nguồn cấu trúc</t>
  </si>
  <si>
    <t xml:space="preserve">15-movie-template.ts</t>
  </si>
  <si>
    <t xml:space="preserve">Phiên bản workbook</t>
  </si>
  <si>
    <t xml:space="preserve">1.1.0 -- 2026-07-12</t>
  </si>
  <si>
    <t xml:space="preserve">01 -- THÔNG TIN game / THÔNG SỐ SEED</t>
  </si>
  <si>
    <t xml:space="preserve">Điền cột Giá trị. Trường có Bắt buộc = Có phải hoàn thành trước khi bàn giao.</t>
  </si>
  <si>
    <t xml:space="preserve">Trường kỹ thuật</t>
  </si>
  <si>
    <t xml:space="preserve">Ví dụ</t>
  </si>
  <si>
    <t xml:space="preserve">Quy tắc / Ghi chú</t>
  </si>
  <si>
    <t xml:space="preserve">chapterCode</t>
  </si>
  <si>
    <t xml:space="preserve">Có</t>
  </si>
  <si>
    <t xml:space="preserve">2</t>
  </si>
  <si>
    <t xml:space="preserve">1  /  2</t>
  </si>
  <si>
    <t xml:space="preserve">Phải tồn tại trong bảng chapter trước khi seed.</t>
  </si>
  <si>
    <t xml:space="preserve">muc</t>
  </si>
  <si>
    <t xml:space="preserve">2.3</t>
  </si>
  <si>
    <t xml:space="preserve">1.1  /  2.1</t>
  </si>
  <si>
    <t xml:space="preserve">Khóa nghiệp vụ dùng tìm movie hiện có để update/create.</t>
  </si>
  <si>
    <t xml:space="preserve">movieTitle</t>
  </si>
  <si>
    <t xml:space="preserve">game tương tác: Vai trò của các chủ thể tham gia thị trường</t>
  </si>
  <si>
    <t xml:space="preserve">game tương tác: Hàng hóa và tiền tệ</t>
  </si>
  <si>
    <t xml:space="preserve">Tên hiển thị của game.</t>
  </si>
  <si>
    <t xml:space="preserve">seedFunctionName</t>
  </si>
  <si>
    <t xml:space="preserve">seedMovieChuong2Muc23</t>
  </si>
  <si>
    <t xml:space="preserve">seedMovieChuong2</t>
  </si>
  <si>
    <t xml:space="preserve">camelCase, không dấu, duy nhất.</t>
  </si>
  <si>
    <t xml:space="preserve">outputFileName</t>
  </si>
  <si>
    <t xml:space="preserve">movie-chuong2-muc2-3.ts</t>
  </si>
  <si>
    <t xml:space="preserve">16-movie-chuong-2.ts</t>
  </si>
  <si>
    <t xml:space="preserve">Tên file TypeScript sau chuyển đổi.</t>
  </si>
  <si>
    <t xml:space="preserve">seedLogLabel</t>
  </si>
  <si>
    <t xml:space="preserve">Interactive Movies (Chương 2 - Mục 2.3)</t>
  </si>
  <si>
    <t xml:space="preserve">Interactive Movies (Chương 2)</t>
  </si>
  <si>
    <t xml:space="preserve">Nhãn dùng trong seedLog().</t>
  </si>
  <si>
    <t xml:space="preserve">author</t>
  </si>
  <si>
    <t xml:space="preserve">Nguyễn Quyền Linh</t>
  </si>
  <si>
    <t xml:space="preserve">Nguyễn Văn A</t>
  </si>
  <si>
    <t xml:space="preserve">Người biên soạn.</t>
  </si>
  <si>
    <t xml:space="preserve">reviewer</t>
  </si>
  <si>
    <t xml:space="preserve">[Điền tên reviewer]</t>
  </si>
  <si>
    <t xml:space="preserve">Trần Thị B</t>
  </si>
  <si>
    <t xml:space="preserve">Người duyệt nội dung.</t>
  </si>
  <si>
    <t xml:space="preserve">version</t>
  </si>
  <si>
    <t xml:space="preserve">1.0</t>
  </si>
  <si>
    <t xml:space="preserve">1.1</t>
  </si>
  <si>
    <t xml:space="preserve">Tăng version khi chỉnh sau bàn giao.</t>
  </si>
  <si>
    <t xml:space="preserve">documentStatus</t>
  </si>
  <si>
    <t xml:space="preserve">Đang soạn</t>
  </si>
  <si>
    <t xml:space="preserve">Đã duyệt</t>
  </si>
  <si>
    <t xml:space="preserve">Chỉ bàn giao khi Đã duyệt.</t>
  </si>
  <si>
    <t xml:space="preserve">sourceReference</t>
  </si>
  <si>
    <t xml:space="preserve">Không</t>
  </si>
  <si>
    <t xml:space="preserve">Giáo trình KTCT Mác - Lênin, NXB CTQG Sự thật 2021, Chương 2 mục 2.3, tr.46-50</t>
  </si>
  <si>
    <t xml:space="preserve">Giáo trình Chương 2, trang 30-45</t>
  </si>
  <si>
    <t xml:space="preserve">Nguồn chuyên môn.</t>
  </si>
  <si>
    <t xml:space="preserve">changeSummary</t>
  </si>
  <si>
    <t xml:space="preserve">Tạo mới kịch bản mục 2.3 - Vai trò của các chủ thể tham gia thị trường</t>
  </si>
  <si>
    <t xml:space="preserve">Tạo mới kịch bản Chương 2</t>
  </si>
  <si>
    <t xml:space="preserve">Tóm tắt thay đổi.</t>
  </si>
  <si>
    <t xml:space="preserve">KIỂM TRA NHANH</t>
  </si>
  <si>
    <t xml:space="preserve">Chỉ số</t>
  </si>
  <si>
    <t xml:space="preserve">Trạng thái</t>
  </si>
  <si>
    <t xml:space="preserve">Ghi chú</t>
  </si>
  <si>
    <t xml:space="preserve">Trường bắt buộc còn trống</t>
  </si>
  <si>
    <t xml:space="preserve">Trạng thái tài liệu</t>
  </si>
  <si>
    <t xml:space="preserve">Sẵn sàng bàn giao dev</t>
  </si>
  <si>
    <t xml:space="preserve">Công thức chỉ kiểm tra cấu trúc; reviewer vẫn phải kiểm tra kiến thức.</t>
  </si>
  <si>
    <t xml:space="preserve">02 -- KỊCH BẢN: DANH SÁCH SCRIPT NODE</t>
  </si>
  <si>
    <t xml:space="preserve">Mỗi dòng là một ScriptNode. ChoiceMode chỉ dùng để QA/biên soạn và không cần ghi vào object TypeScript.</t>
  </si>
  <si>
    <t xml:space="preserve">NodeOrder*</t>
  </si>
  <si>
    <t xml:space="preserve">NodeId*</t>
  </si>
  <si>
    <t xml:space="preserve">ActNo</t>
  </si>
  <si>
    <t xml:space="preserve">NodeType*</t>
  </si>
  <si>
    <t xml:space="preserve">ChoiceMode</t>
  </si>
  <si>
    <t xml:space="preserve">Background</t>
  </si>
  <si>
    <t xml:space="preserve">SceneName</t>
  </si>
  <si>
    <t xml:space="preserve">SpeakerKey</t>
  </si>
  <si>
    <t xml:space="preserve">Mood</t>
  </si>
  <si>
    <t xml:space="preserve">Text / Question</t>
  </si>
  <si>
    <t xml:space="preserve">ActRoman</t>
  </si>
  <si>
    <t xml:space="preserve">Ghi chú biên soạn</t>
  </si>
  <si>
    <t xml:space="preserve">Trạng thái Lỗi cấu trúc</t>
  </si>
  <si>
    <t xml:space="preserve">N001</t>
  </si>
  <si>
    <t xml:space="preserve">scene</t>
  </si>
  <si>
    <t xml:space="preserve">thukho</t>
  </si>
  <si>
    <t xml:space="preserve">Màn I · Người sản xuất và người tiêu dùng</t>
  </si>
  <si>
    <t xml:space="preserve">Đầu màn</t>
  </si>
  <si>
    <t xml:space="preserve">N002</t>
  </si>
  <si>
    <t xml:space="preserve">say</t>
  </si>
  <si>
    <t xml:space="preserve">narr</t>
  </si>
  <si>
    <t xml:space="preserve">Bạn cùng GS. Lâm bước vào phần cuối cùng của chương: ai là những chủ thể thực sự làm nên một thị trường sống động?</t>
  </si>
  <si>
    <t xml:space="preserve">N003</t>
  </si>
  <si>
    <t xml:space="preserve">lam</t>
  </si>
  <si>
    <t xml:space="preserve">neutral</t>
  </si>
  <si>
    <t xml:space="preserve">Người sản xuất là những người trực tiếp tạo ra hàng hóa, dịch vụ, với mục tiêu lợi nhuận tối đa. Nhưng bên cạnh mục tiêu đó, họ còn phải gánh một trách nhiệm khác.</t>
  </si>
  <si>
    <t xml:space="preserve">N004</t>
  </si>
  <si>
    <t xml:space="preserve">choice</t>
  </si>
  <si>
    <t xml:space="preserve">Kiến thức</t>
  </si>
  <si>
    <t xml:space="preserve">Ngoài mục tiêu tìm kiếm lợi nhuận, người sản xuất còn cần có trách nhiệm gì?</t>
  </si>
  <si>
    <t xml:space="preserve">Nhập option ở sheet 03</t>
  </si>
  <si>
    <t xml:space="preserve">N005</t>
  </si>
  <si>
    <t xml:space="preserve">Còn người tiêu dùng — chính sức mua và nhu cầu đa dạng của họ lại trở thành động lực định hướng cho toàn bộ sản xuất.</t>
  </si>
  <si>
    <t xml:space="preserve">N006</t>
  </si>
  <si>
    <t xml:space="preserve">Vì sao nói người tiêu dùng có vai trò định hướng sản xuất?</t>
  </si>
  <si>
    <t xml:space="preserve">N007</t>
  </si>
  <si>
    <t xml:space="preserve">act</t>
  </si>
  <si>
    <t xml:space="preserve">I</t>
  </si>
  <si>
    <t xml:space="preserve">Kết thúc màn I</t>
  </si>
  <si>
    <t xml:space="preserve">N008</t>
  </si>
  <si>
    <t xml:space="preserve">hoithao</t>
  </si>
  <si>
    <t xml:space="preserve">Màn II · Các chủ thể trung gian trong thị trường</t>
  </si>
  <si>
    <t xml:space="preserve">Bắt đầu màn II</t>
  </si>
  <si>
    <t xml:space="preserve">N009</t>
  </si>
  <si>
    <t xml:space="preserve">Ở hội trường, TS. Khoa đặt câu hỏi về một nhóm chủ thể ít được nhắc tới nhưng lại không thể thiếu.</t>
  </si>
  <si>
    <t xml:space="preserve">N010</t>
  </si>
  <si>
    <t xml:space="preserve">khoa</t>
  </si>
  <si>
    <t xml:space="preserve">stern</t>
  </si>
  <si>
    <t xml:space="preserve">Chủ thể trung gian là cầu nối giữa người sản xuất và người tiêu dùng — từ trung gian thương nhân truyền thống đến môi giới chứng khoán, môi giới bất động sản, môi giới công nghệ ngày nay.</t>
  </si>
  <si>
    <t xml:space="preserve">N011</t>
  </si>
  <si>
    <t xml:space="preserve">Vai trò chính của các chủ thể trung gian trong thị trường là gì?</t>
  </si>
  <si>
    <t xml:space="preserve">N012</t>
  </si>
  <si>
    <t xml:space="preserve">II</t>
  </si>
  <si>
    <t xml:space="preserve">Kết thúc màn II</t>
  </si>
  <si>
    <t xml:space="preserve">N013</t>
  </si>
  <si>
    <t xml:space="preserve">buctham</t>
  </si>
  <si>
    <t xml:space="preserve">Màn III · Vai trò kinh tế của nhà nước</t>
  </si>
  <si>
    <t xml:space="preserve">Bắt đầu màn III</t>
  </si>
  <si>
    <t xml:space="preserve">N014</t>
  </si>
  <si>
    <t xml:space="preserve">Tại bục thẩm, SV. Minh nêu một băn khoăn: nếu kinh tế thị trường có nhiều khuyết tật, vậy nhà nước đóng vai trò gì?</t>
  </si>
  <si>
    <t xml:space="preserve">N015</t>
  </si>
  <si>
    <t xml:space="preserve">minh</t>
  </si>
  <si>
    <t xml:space="preserve">Nếu để thị trường tự vận hành hoàn toàn, chẳng phải sẽ dẫn tới khủng hoảng và bất bình đẳng như đã học ở phần trước sao?</t>
  </si>
  <si>
    <t xml:space="preserve">N016</t>
  </si>
  <si>
    <t xml:space="preserve">Trong nền kinh tế thị trường, nhà nước thực hiện những vai trò kinh tế chủ yếu nào?</t>
  </si>
  <si>
    <t xml:space="preserve">N017</t>
  </si>
  <si>
    <t xml:space="preserve">III</t>
  </si>
  <si>
    <t xml:space="preserve">Kết thúc màn III</t>
  </si>
  <si>
    <t xml:space="preserve">N018</t>
  </si>
  <si>
    <t xml:space="preserve">end</t>
  </si>
  <si>
    <t xml:space="preserve">Kết thúc toàn bộ game</t>
  </si>
  <si>
    <t xml:space="preserve">03 -- PHƯƠNG ÁN CHO CÁC NODE CHOICE</t>
  </si>
  <si>
    <t xml:space="preserve">Choice kiến thức: đúng 1 đáp án. Choice tương tác: không có đáp án đúng, có thể nhập dc để thay đổi thiện cảm.</t>
  </si>
  <si>
    <t xml:space="preserve">ChoiceNodeId*</t>
  </si>
  <si>
    <t xml:space="preserve">OptionOrder*</t>
  </si>
  <si>
    <t xml:space="preserve">OptionText*</t>
  </si>
  <si>
    <t xml:space="preserve">IsCorrect*</t>
  </si>
  <si>
    <t xml:space="preserve">dc</t>
  </si>
  <si>
    <t xml:space="preserve">ReplySpeaker*</t>
  </si>
  <si>
    <t xml:space="preserve">ReplyMood</t>
  </si>
  <si>
    <t xml:space="preserve">ReplyText*</t>
  </si>
  <si>
    <t xml:space="preserve">Trách nhiệm đối với con người — cung cấp hàng hóa, dịch vụ không làm tổn hại đến sức khỏe và lợi ích của người tiêu dùng, của xã hội.</t>
  </si>
  <si>
    <t xml:space="preserve">happy</t>
  </si>
  <si>
    <t xml:space="preserve">Chính xác! Lợi nhuận không thể tách rời trách nhiệm xã hội.</t>
  </si>
  <si>
    <t xml:space="preserve">Đáp án đúng</t>
  </si>
  <si>
    <t xml:space="preserve">Trách nhiệm phải bán hàng hóa với giá thấp nhất có thể, kể cả chịu lỗ.</t>
  </si>
  <si>
    <t xml:space="preserve">concern</t>
  </si>
  <si>
    <t xml:space="preserve">Chưa đúng — người sản xuất vẫn hướng tới lợi nhuận tối đa; trách nhiệm ở đây là về sức khỏe, lợi ích cộng đồng, không phải về mức giá bán.</t>
  </si>
  <si>
    <t xml:space="preserve">Đáp án nhiễu hợp lý</t>
  </si>
  <si>
    <t xml:space="preserve">Trách nhiệm phải sản xuất đúng số lượng nhà nước yêu cầu.</t>
  </si>
  <si>
    <t xml:space="preserve">Không đúng — trong kinh tế thị trường, người sản xuất tự quyết định sản xuất gì, số lượng bao nhiêu sao cho có lợi nhất, không phải theo chỉ tiêu áp đặt.</t>
  </si>
  <si>
    <t xml:space="preserve">Vì sức mua và sự phát triển đa dạng về nhu cầu của người tiêu dùng ảnh hưởng trực tiếp, là động lực quan trọng thúc đẩy sự phát triển của sản xuất.</t>
  </si>
  <si>
    <t xml:space="preserve">Đúng! Người sản xuất luôn phải theo sát nhu cầu người tiêu dùng để tồn tại.</t>
  </si>
  <si>
    <t xml:space="preserve">Vì người tiêu dùng có quyền quyết định giá cả của mọi hàng hóa.</t>
  </si>
  <si>
    <t xml:space="preserve">Chưa đúng — giá cả hình thành từ quan hệ cung - cầu trên thị trường, không phải do người tiêu dùng đơn phương quyết định.</t>
  </si>
  <si>
    <t xml:space="preserve">Vì người tiêu dùng luôn tách biệt hoàn toàn với vai trò người sản xuất.</t>
  </si>
  <si>
    <t xml:space="preserve">Không đúng — giáo trình lưu ý việc phân chia người sản xuất, người tiêu dùng chỉ có tính tương đối; một doanh nghiệp có thể vừa mua vừa bán.</t>
  </si>
  <si>
    <t xml:space="preserve">Làm cầu nối, tăng sự kết nối giữa sản xuất và tiêu dùng, giúp nền kinh tế thị trường trở nên sống động, linh hoạt hơn.</t>
  </si>
  <si>
    <t xml:space="preserve">Đúng. Nhờ trung gian mà sản xuất và tiêu dùng trở nên ăn khớp với nhau hơn.</t>
  </si>
  <si>
    <t xml:space="preserve">Trực tiếp sản xuất ra phần lớn hàng hóa cho xã hội.</t>
  </si>
  <si>
    <t xml:space="preserve">Chưa đúng — sản xuất trực tiếp là vai trò của người sản xuất, không phải chủ thể trung gian.</t>
  </si>
  <si>
    <t xml:space="preserve">Thay thế hoàn toàn vai trò quản lý của nhà nước.</t>
  </si>
  <si>
    <t xml:space="preserve">Không đúng — chủ thể trung gian không thay thế vai trò quản lý nhà nước, mà chỉ kết nối giữa sản xuất và tiêu dùng.</t>
  </si>
  <si>
    <t xml:space="preserve">Quản lý nhà nước về kinh tế, tạo lập môi trường tốt cho các chủ thể phát huy sáng tạo, đồng thời dùng các công cụ kinh tế để khắc phục những khuyết tật của thị trường.</t>
  </si>
  <si>
    <t xml:space="preserve">Ra vậy — nhà nước không thay thế thị trường mà bổ khuyết cho nó!</t>
  </si>
  <si>
    <t xml:space="preserve">Trực tiếp quyết định giá cả và sản lượng của mọi loại hàng hóa.</t>
  </si>
  <si>
    <t xml:space="preserve">Chưa đúng — đó là đặc trưng của kinh tế kế hoạch hóa tập trung, không phải vai trò của nhà nước trong kinh tế thị trường có điều tiết.</t>
  </si>
  <si>
    <t xml:space="preserve">Chỉ đóng vai trò thu thuế, không cần can thiệp vào các khuyết tật của thị trường.</t>
  </si>
  <si>
    <t xml:space="preserve">Không đúng — nhà nước cần chủ động dùng công cụ kinh tế để khắc phục các khuyết tật như khủng hoảng, suy thoái môi trường, phân hóa giàu nghèo.</t>
  </si>
  <si>
    <t xml:space="preserve">04 -- DANH MỤC KỸ THUẬT DÙNG CHUNG</t>
  </si>
  <si>
    <t xml:space="preserve">Các vùng danh mục là nguồn dropdown. Dòng trống phía dưới dành cho tài nguyên mới đã được dev xác nhận.</t>
  </si>
  <si>
    <t xml:space="preserve">NHÂN VẬT</t>
  </si>
  <si>
    <t xml:space="preserve">Tên hiển thị</t>
  </si>
  <si>
    <t xml:space="preserve">Vai trò</t>
  </si>
  <si>
    <t xml:space="preserve">you</t>
  </si>
  <si>
    <t xml:space="preserve">Bạn</t>
  </si>
  <si>
    <t xml:space="preserve">Trợ lý nghiên cứu</t>
  </si>
  <si>
    <t xml:space="preserve">GS. Lâm</t>
  </si>
  <si>
    <t xml:space="preserve">Người hướng dẫn</t>
  </si>
  <si>
    <t xml:space="preserve">an</t>
  </si>
  <si>
    <t xml:space="preserve">Thủ thư An</t>
  </si>
  <si>
    <t xml:space="preserve">Thủ thư lưu trữ</t>
  </si>
  <si>
    <t xml:space="preserve">TS. Khoa</t>
  </si>
  <si>
    <t xml:space="preserve">Phản biện viên</t>
  </si>
  <si>
    <t xml:space="preserve">SV. Minh</t>
  </si>
  <si>
    <t xml:space="preserve">Sinh viên</t>
  </si>
  <si>
    <t xml:space="preserve">CẢNH NỀN</t>
  </si>
  <si>
    <t xml:space="preserve">BackgroundKey</t>
  </si>
  <si>
    <t xml:space="preserve">Mô tả</t>
  </si>
  <si>
    <t xml:space="preserve">Tình trạng asset</t>
  </si>
  <si>
    <t xml:space="preserve">Thư khố / tầng hầm lưu trữ, tông nâu ấm</t>
  </si>
  <si>
    <t xml:space="preserve">Có sẵn</t>
  </si>
  <si>
    <t xml:space="preserve">Hội trường / hội thảo, tông tím xanh</t>
  </si>
  <si>
    <t xml:space="preserve">Bục thẩm / khán phòng, tông đỏ trầm</t>
  </si>
  <si>
    <t xml:space="preserve">MOOD</t>
  </si>
  <si>
    <t xml:space="preserve">MoodKey</t>
  </si>
  <si>
    <t xml:space="preserve">Ý nghĩa gợi ý</t>
  </si>
  <si>
    <t xml:space="preserve">Bình thường / trung lập</t>
  </si>
  <si>
    <t xml:space="preserve">Vui / khích lệ</t>
  </si>
  <si>
    <t xml:space="preserve">Quan ngại / sửa sai nhẹ nhàng</t>
  </si>
  <si>
    <t xml:space="preserve">Nghiêm khắc / phản biện</t>
  </si>
  <si>
    <t xml:space="preserve">NODE TYPE</t>
  </si>
  <si>
    <t xml:space="preserve">NodeType</t>
  </si>
  <si>
    <t xml:space="preserve">Trường bắt buộc</t>
  </si>
  <si>
    <t xml:space="preserve">Object đầu ra</t>
  </si>
  <si>
    <t xml:space="preserve">ActNo, Background, SceneName</t>
  </si>
  <si>
    <t xml:space="preserve">{ t: "scene", bg, act, name }</t>
  </si>
  <si>
    <t xml:space="preserve">SpeakerKey, Text; Mood trừ narr</t>
  </si>
  <si>
    <t xml:space="preserve">{ t: "say", who, mood?, text }</t>
  </si>
  <si>
    <t xml:space="preserve">ChoiceMode, SpeakerKey, Mood, Question + options</t>
  </si>
  <si>
    <t xml:space="preserve">{ t: "choice", who, mood, q, opts }</t>
  </si>
  <si>
    <t xml:space="preserve">{ t: "act", n }</t>
  </si>
  <si>
    <t xml:space="preserve">Không có trường phụ</t>
  </si>
  <si>
    <t xml:space="preserve">{ t: "end" }</t>
  </si>
  <si>
    <t xml:space="preserve">05 -- KIỂM TRA CHẤT LƯỢNG TRƯỚC KHI BÀN GIAO</t>
  </si>
  <si>
    <t xml:space="preserve">QA tự động kiểm tra cấu trúc; reviewer vẫn cần duyệt kiến thức, chính tả và tính tự nhiên.</t>
  </si>
  <si>
    <t xml:space="preserve">TỔNG QUAN</t>
  </si>
  <si>
    <t xml:space="preserve">Tổng node</t>
  </si>
  <si>
    <t xml:space="preserve">Scene</t>
  </si>
  <si>
    <t xml:space="preserve">Say</t>
  </si>
  <si>
    <t xml:space="preserve">Choice</t>
  </si>
  <si>
    <t xml:space="preserve">Act</t>
  </si>
  <si>
    <t xml:space="preserve">End</t>
  </si>
  <si>
    <t xml:space="preserve">Lỗi node</t>
  </si>
  <si>
    <t xml:space="preserve">Lỗi option</t>
  </si>
  <si>
    <t xml:space="preserve">CÁC ĐIỀU KIỆN BẮT BUỘC</t>
  </si>
  <si>
    <t xml:space="preserve">Kiểm tra</t>
  </si>
  <si>
    <t xml:space="preserve">Kết quả</t>
  </si>
  <si>
    <t xml:space="preserve">Có đúng 1 node end</t>
  </si>
  <si>
    <t xml:space="preserve">Giữ đúng một end ở cuối phim.</t>
  </si>
  <si>
    <t xml:space="preserve">Không có lỗi node</t>
  </si>
  <si>
    <t xml:space="preserve">Xem cột Lỗi cấu trúc sheet 02.</t>
  </si>
  <si>
    <t xml:space="preserve">Không có lỗi option</t>
  </si>
  <si>
    <t xml:space="preserve">Xem cột Lỗi cấu trúc sheet 03.</t>
  </si>
  <si>
    <t xml:space="preserve">Số scene thông thường 2-4</t>
  </si>
  <si>
    <t xml:space="preserve">Ngoài khoảng cần reviewer xác nhận.</t>
  </si>
  <si>
    <t xml:space="preserve">Metadata sẵn sàng</t>
  </si>
  <si>
    <t xml:space="preserve">Hoàn tất sheet 01 và Đã duyệt.</t>
  </si>
  <si>
    <t xml:space="preserve">KẾT LUẬN BÀN GIAO</t>
  </si>
  <si>
    <t xml:space="preserve">Chỉ bàn giao khi SẴN SÀNG.</t>
  </si>
  <si>
    <t xml:space="preserve">KIỂM TRA TỪNG CHOICE NODE</t>
  </si>
  <si>
    <t xml:space="preserve">ChoiceNodeId</t>
  </si>
  <si>
    <t xml:space="preserve">Số option</t>
  </si>
  <si>
    <t xml:space="preserve">Số đáp án đúng</t>
  </si>
  <si>
    <t xml:space="preserve">Lỗi</t>
  </si>
  <si>
    <t xml:space="preserve">CHECKLIST REVIEWER</t>
  </si>
  <si>
    <t xml:space="preserve">Mục review</t>
  </si>
  <si>
    <t xml:space="preserve">Xác nhận</t>
  </si>
  <si>
    <t xml:space="preserve">Kiến thức đúng nguồn</t>
  </si>
  <si>
    <t xml:space="preserve">Chưa kiểm tra</t>
  </si>
  <si>
    <t xml:space="preserve">Câu hỏi không đánh đố</t>
  </si>
  <si>
    <t xml:space="preserve">Phản hồi sai có giải thích</t>
  </si>
  <si>
    <t xml:space="preserve">Tên màn và chuyển cảnh hợp lý</t>
  </si>
  <si>
    <t xml:space="preserve">Lời thoại tự nhiên, đúng vai</t>
  </si>
  <si>
    <t xml:space="preserve">Không có HTML / lỗi chính tả</t>
  </si>
  <si>
    <t xml:space="preserve">Đã chạy thử seed ở môi trường dev</t>
  </si>
  <si>
    <t xml:space="preserve">06 -- MAPPING EXCEL -&gt; TYPESCRIPT / PRISMA SEED</t>
  </si>
  <si>
    <t xml:space="preserve">Dành cho dev. ChoiceMode là metadata biên soạn, chỉ dùng để validate và không xuất vào ScriptNode.</t>
  </si>
  <si>
    <t xml:space="preserve">1. MAPPING THÔNG TIN MOVIE</t>
  </si>
  <si>
    <t xml:space="preserve">Excel</t>
  </si>
  <si>
    <t xml:space="preserve">Biến seed / Prisma</t>
  </si>
  <si>
    <t xml:space="preserve">Mục đích</t>
  </si>
  <si>
    <t xml:space="preserve">01!chapterCode</t>
  </si>
  <si>
    <t xml:space="preserve">chapter.findUnique({ where: { code } })</t>
  </si>
  <si>
    <t xml:space="preserve">Không tìm thấy chapter thì cảnh báo và return.</t>
  </si>
  <si>
    <t xml:space="preserve">01!muc</t>
  </si>
  <si>
    <t xml:space="preserve">movie.findFirst({ where: { muc } })</t>
  </si>
  <si>
    <t xml:space="preserve">Khóa xác định update/create.</t>
  </si>
  <si>
    <t xml:space="preserve">01!movieTitle</t>
  </si>
  <si>
    <t xml:space="preserve">movie.title</t>
  </si>
  <si>
    <t xml:space="preserve">Tên hiển thị.</t>
  </si>
  <si>
    <t xml:space="preserve">01!seedFunctionName</t>
  </si>
  <si>
    <t xml:space="preserve">Tên export function</t>
  </si>
  <si>
    <t xml:space="preserve">Đăng ký vào seed/index.ts</t>
  </si>
  <si>
    <t xml:space="preserve">Phải duy nhất.</t>
  </si>
  <si>
    <t xml:space="preserve">01!seedLogLabel</t>
  </si>
  <si>
    <t xml:space="preserve">seedLog(label, 1)</t>
  </si>
  <si>
    <t xml:space="preserve">Log seed</t>
  </si>
  <si>
    <t xml:space="preserve">Đổi theo chương.</t>
  </si>
  <si>
    <t xml:space="preserve">2. MAPPING SCRIPT NODE</t>
  </si>
  <si>
    <t xml:space="preserve">Excel fields</t>
  </si>
  <si>
    <t xml:space="preserve">Bỏ qua khi rỗng</t>
  </si>
  <si>
    <t xml:space="preserve">Liên kết option</t>
  </si>
  <si>
    <t xml:space="preserve">Background, ActNo, SceneName</t>
  </si>
  <si>
    <t xml:space="preserve">{ t:"scene", bg, act, name }</t>
  </si>
  <si>
    <t xml:space="preserve">NodeOrder</t>
  </si>
  <si>
    <t xml:space="preserve">Đủ 3 trường</t>
  </si>
  <si>
    <t xml:space="preserve">Đầu màn.</t>
  </si>
  <si>
    <t xml:space="preserve">SpeakerKey, Mood, Text</t>
  </si>
  <si>
    <t xml:space="preserve">{ t:"say", who, mood?, text }</t>
  </si>
  <si>
    <t xml:space="preserve">mood</t>
  </si>
  <si>
    <t xml:space="preserve">who/text bắt buộc</t>
  </si>
  <si>
    <t xml:space="preserve">narr thường không có mood.</t>
  </si>
  <si>
    <t xml:space="preserve">SpeakerKey, Mood, Question</t>
  </si>
  <si>
    <t xml:space="preserve">{ t:"choice", who, mood, q, opts }</t>
  </si>
  <si>
    <t xml:space="preserve">Join 03 theo ChoiceNodeId</t>
  </si>
  <si>
    <t xml:space="preserve">NodeOrder + OptionOrder</t>
  </si>
  <si>
    <t xml:space="preserve">2-4 opts, theo ChoiceMode</t>
  </si>
  <si>
    <t xml:space="preserve">Không xuất ChoiceMode.</t>
  </si>
  <si>
    <t xml:space="preserve">{ t:"act", n }</t>
  </si>
  <si>
    <t xml:space="preserve">n bắt buộc</t>
  </si>
  <si>
    <t xml:space="preserve">Cuối màn.</t>
  </si>
  <si>
    <t xml:space="preserve">--</t>
  </si>
  <si>
    <t xml:space="preserve">{ t:"end" }</t>
  </si>
  <si>
    <t xml:space="preserve">Tất cả</t>
  </si>
  <si>
    <t xml:space="preserve">Đúng 1 node</t>
  </si>
  <si>
    <t xml:space="preserve">Cuối phim.</t>
  </si>
  <si>
    <t xml:space="preserve">3. MAPPING CHOICE OPTION</t>
  </si>
  <si>
    <t xml:space="preserve">Excel field</t>
  </si>
  <si>
    <t xml:space="preserve">Output field</t>
  </si>
  <si>
    <t xml:space="preserve">Lưu ý</t>
  </si>
  <si>
    <t xml:space="preserve">OptionText</t>
  </si>
  <si>
    <t xml:space="preserve">text</t>
  </si>
  <si>
    <t xml:space="preserve">Giữ nguyên chuỗi</t>
  </si>
  <si>
    <t xml:space="preserve">Em sẵn sàng.</t>
  </si>
  <si>
    <t xml:space="preserve">Không tự thêm A/B/C nếu UI không yêu cầu.</t>
  </si>
  <si>
    <t xml:space="preserve">IsCorrect</t>
  </si>
  <si>
    <t xml:space="preserve">correct</t>
  </si>
  <si>
    <t xml:space="preserve">Chỉ xuất correct:true khi "Có"</t>
  </si>
  <si>
    <t xml:space="preserve">true</t>
  </si>
  <si>
    <t xml:space="preserve">Tương tác: tất cả = Không; không xuất false.</t>
  </si>
  <si>
    <t xml:space="preserve">Chỉ xuất khi có số</t>
  </si>
  <si>
    <t xml:space="preserve">8 hoặc -2</t>
  </si>
  <si>
    <t xml:space="preserve">Dùng cho thiện cảm.</t>
  </si>
  <si>
    <t xml:space="preserve">ReplySpeaker</t>
  </si>
  <si>
    <t xml:space="preserve">reply.who</t>
  </si>
  <si>
    <t xml:space="preserve">Key hợp lệ</t>
  </si>
  <si>
    <t xml:space="preserve">reply.t luôn là say.</t>
  </si>
  <si>
    <t xml:space="preserve">reply.mood</t>
  </si>
  <si>
    <t xml:space="preserve">Bỏ qua nếu trống</t>
  </si>
  <si>
    <t xml:space="preserve">narr thường trống.</t>
  </si>
  <si>
    <t xml:space="preserve">ReplyText</t>
  </si>
  <si>
    <t xml:space="preserve">reply.text</t>
  </si>
  <si>
    <t xml:space="preserve">Giữ nguyên</t>
  </si>
  <si>
    <t xml:space="preserve">Tinh thần tốt.</t>
  </si>
  <si>
    <t xml:space="preserve">Sai kiến thức cần giải thích.</t>
  </si>
  <si>
    <t xml:space="preserve">4. THUẬT TOÁN CHUYỂN ĐỔI ĐỀ XUẤT</t>
  </si>
  <si>
    <t xml:space="preserve">Xử lý</t>
  </si>
  <si>
    <t xml:space="preserve">Chi tiết</t>
  </si>
  <si>
    <t xml:space="preserve">Đọc metadata</t>
  </si>
  <si>
    <t xml:space="preserve">Lấy chapterCode, muc, movieTitle, tên hàm/file.</t>
  </si>
  <si>
    <t xml:space="preserve">Đọc node</t>
  </si>
  <si>
    <t xml:space="preserve">Bỏ NodeOrder trống; sort tăng dần; kiểm tra NodeId duy nhất.</t>
  </si>
  <si>
    <t xml:space="preserve">Đọc option</t>
  </si>
  <si>
    <t xml:space="preserve">Bỏ ChoiceNodeId trống; group theo ID; sort OptionOrder.</t>
  </si>
  <si>
    <t xml:space="preserve">Dựng script</t>
  </si>
  <si>
    <t xml:space="preserve">Switch NodeType; choice gắn opts đã group; bỏ ChoiceMode.</t>
  </si>
  <si>
    <t xml:space="preserve">Tạo option</t>
  </si>
  <si>
    <t xml:space="preserve">correct chỉ khi Có; dc/mood chỉ khi có giá trị; reply luôn t=say.</t>
  </si>
  <si>
    <t xml:space="preserve">Upsert movie</t>
  </si>
  <si>
    <t xml:space="preserve">Tìm chapter; tìm movie theo muc; update hoặc create.</t>
  </si>
  <si>
    <t xml:space="preserve">Đăng ký seed</t>
  </si>
  <si>
    <t xml:space="preserve">Import và gọi hàm trong services/src/seed/index.ts.</t>
  </si>
  <si>
    <t xml:space="preserve">5. MẪU OBJECT ĐẦU RA</t>
  </si>
  <si>
    <t xml:space="preserve">Loại</t>
  </si>
  <si>
    <t xml:space="preserve">Ví dụ TypeScript / JSON tương ứng</t>
  </si>
  <si>
    <t xml:space="preserve">{ t: "scene", bg: "thukho", act: 1, name: "Màn I . Nguồn gốc" }</t>
  </si>
  <si>
    <t xml:space="preserve">{ t: "say", who: "lam", mood: "neutral", text: "Chào trợ lý mới." }</t>
  </si>
  <si>
    <t xml:space="preserve">{ t: "choice", who: "lam", mood: "neutral", q: "...", opts: [ /* từ sheet 03 */ ] }</t>
  </si>
  <si>
    <t xml:space="preserve">{ t: "act", n: "I"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</si>
</sst>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name val="Times New Roman"/>
      <family val="0"/>
      <charset val="1"/>
    </font>
    <font>
      <i val="true"/>
      <sz val="9"/>
      <color rgb="FF555555"/>
      <name val="Times New Roman"/>
      <family val="0"/>
      <charset val="1"/>
    </font>
    <font>
      <b val="true"/>
      <sz val="12"/>
      <name val="Times New Roman"/>
      <family val="0"/>
      <charset val="1"/>
    </font>
    <font>
      <b val="true"/>
      <sz val="10"/>
      <name val="Times New Roman"/>
      <family val="0"/>
      <charset val="1"/>
    </font>
    <font>
      <sz val="10"/>
      <name val="Times New Roman"/>
      <family val="0"/>
      <charset val="1"/>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4" min="3" style="0" width="34"/>
    <col collapsed="false" customWidth="true" hidden="false" outlineLevel="0" max="5" min="5" style="0" width="30"/>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15" hidden="false" customHeight="false" outlineLevel="0" collapsed="false">
      <c r="A6" s="5" t="n">
        <v>1</v>
      </c>
      <c r="B6" s="5" t="s">
        <v>8</v>
      </c>
      <c r="C6" s="5" t="s">
        <v>9</v>
      </c>
      <c r="D6" s="5" t="s">
        <v>10</v>
      </c>
      <c r="E6" s="5" t="s">
        <v>11</v>
      </c>
    </row>
    <row r="7" customFormat="false" ht="23.85" hidden="false" customHeight="false" outlineLevel="0" collapsed="false">
      <c r="A7" s="5" t="n">
        <v>2</v>
      </c>
      <c r="B7" s="5" t="s">
        <v>8</v>
      </c>
      <c r="C7" s="5" t="s">
        <v>12</v>
      </c>
      <c r="D7" s="5" t="s">
        <v>13</v>
      </c>
      <c r="E7" s="5" t="s">
        <v>14</v>
      </c>
    </row>
    <row r="8" customFormat="false" ht="23.85" hidden="false" customHeight="false" outlineLevel="0" collapsed="false">
      <c r="A8" s="5" t="n">
        <v>3</v>
      </c>
      <c r="B8" s="5" t="s">
        <v>8</v>
      </c>
      <c r="C8" s="5" t="s">
        <v>15</v>
      </c>
      <c r="D8" s="5" t="s">
        <v>16</v>
      </c>
      <c r="E8" s="5" t="s">
        <v>17</v>
      </c>
    </row>
    <row r="9" customFormat="false" ht="23.85" hidden="false" customHeight="false" outlineLevel="0" collapsed="false">
      <c r="A9" s="5" t="n">
        <v>4</v>
      </c>
      <c r="B9" s="5" t="s">
        <v>18</v>
      </c>
      <c r="C9" s="5" t="s">
        <v>19</v>
      </c>
      <c r="D9" s="5" t="s">
        <v>20</v>
      </c>
      <c r="E9" s="5" t="s">
        <v>21</v>
      </c>
    </row>
    <row r="10" customFormat="false" ht="15" hidden="false" customHeight="false" outlineLevel="0" collapsed="false">
      <c r="A10" s="5" t="n">
        <v>5</v>
      </c>
      <c r="B10" s="5" t="s">
        <v>22</v>
      </c>
      <c r="C10" s="5" t="s">
        <v>23</v>
      </c>
      <c r="D10" s="5" t="s">
        <v>24</v>
      </c>
      <c r="E10" s="5" t="s">
        <v>25</v>
      </c>
    </row>
    <row r="12" customFormat="false" ht="15" hidden="false" customHeight="false" outlineLevel="0" collapsed="false">
      <c r="A12" s="3" t="s">
        <v>26</v>
      </c>
    </row>
    <row r="13" customFormat="false" ht="15" hidden="false" customHeight="false" outlineLevel="0" collapsed="false">
      <c r="A13" s="4" t="s">
        <v>27</v>
      </c>
      <c r="B13" s="4" t="s">
        <v>28</v>
      </c>
      <c r="C13" s="4" t="s">
        <v>29</v>
      </c>
    </row>
    <row r="14" customFormat="false" ht="23.85" hidden="false" customHeight="false" outlineLevel="0" collapsed="false">
      <c r="A14" s="6" t="s">
        <v>30</v>
      </c>
      <c r="B14" s="5" t="s">
        <v>31</v>
      </c>
      <c r="C14" s="5" t="s">
        <v>32</v>
      </c>
    </row>
    <row r="15" customFormat="false" ht="23.85" hidden="false" customHeight="false" outlineLevel="0" collapsed="false">
      <c r="A15" s="7" t="s">
        <v>33</v>
      </c>
      <c r="B15" s="5" t="s">
        <v>34</v>
      </c>
      <c r="C15" s="5" t="s">
        <v>35</v>
      </c>
    </row>
    <row r="16" customFormat="false" ht="23.85" hidden="false" customHeight="false" outlineLevel="0" collapsed="false">
      <c r="A16" s="5" t="s">
        <v>36</v>
      </c>
      <c r="B16" s="5" t="s">
        <v>37</v>
      </c>
      <c r="C16" s="5" t="s">
        <v>38</v>
      </c>
    </row>
    <row r="17" customFormat="false" ht="23.85" hidden="false" customHeight="false" outlineLevel="0" collapsed="false">
      <c r="A17" s="5" t="s">
        <v>39</v>
      </c>
      <c r="B17" s="5" t="s">
        <v>40</v>
      </c>
      <c r="C17" s="5" t="s">
        <v>41</v>
      </c>
    </row>
    <row r="19" customFormat="false" ht="15" hidden="false" customHeight="false" outlineLevel="0" collapsed="false">
      <c r="A19" s="3" t="s">
        <v>42</v>
      </c>
    </row>
    <row r="20" customFormat="false" ht="15" hidden="false" customHeight="false" outlineLevel="0" collapsed="false">
      <c r="A20" s="4" t="s">
        <v>43</v>
      </c>
      <c r="B20" s="4" t="s">
        <v>44</v>
      </c>
      <c r="C20" s="4" t="s">
        <v>45</v>
      </c>
      <c r="D20" s="4" t="s">
        <v>46</v>
      </c>
    </row>
    <row r="21" customFormat="false" ht="46.25" hidden="false" customHeight="false" outlineLevel="0" collapsed="false">
      <c r="A21" s="5" t="s">
        <v>47</v>
      </c>
      <c r="B21" s="5" t="s">
        <v>48</v>
      </c>
      <c r="C21" s="5" t="s">
        <v>49</v>
      </c>
      <c r="D21" s="5" t="s">
        <v>50</v>
      </c>
    </row>
    <row r="22" customFormat="false" ht="35.05" hidden="false" customHeight="false" outlineLevel="0" collapsed="false">
      <c r="A22" s="5" t="s">
        <v>51</v>
      </c>
      <c r="B22" s="5" t="s">
        <v>52</v>
      </c>
      <c r="C22" s="5" t="s">
        <v>49</v>
      </c>
      <c r="D22" s="5" t="s">
        <v>53</v>
      </c>
    </row>
    <row r="23" customFormat="false" ht="35.05" hidden="false" customHeight="false" outlineLevel="0" collapsed="false">
      <c r="A23" s="5" t="s">
        <v>54</v>
      </c>
      <c r="B23" s="5" t="s">
        <v>55</v>
      </c>
      <c r="C23" s="5" t="s">
        <v>49</v>
      </c>
      <c r="D23" s="5" t="s">
        <v>56</v>
      </c>
    </row>
    <row r="24" customFormat="false" ht="46.25" hidden="false" customHeight="false" outlineLevel="0" collapsed="false">
      <c r="A24" s="5" t="s">
        <v>57</v>
      </c>
      <c r="B24" s="5" t="s">
        <v>58</v>
      </c>
      <c r="C24" s="5" t="s">
        <v>49</v>
      </c>
      <c r="D24" s="5" t="s">
        <v>59</v>
      </c>
    </row>
    <row r="25" customFormat="false" ht="46.25" hidden="false" customHeight="false" outlineLevel="0" collapsed="false">
      <c r="A25" s="5" t="s">
        <v>60</v>
      </c>
      <c r="B25" s="5" t="s">
        <v>61</v>
      </c>
      <c r="C25" s="5" t="s">
        <v>49</v>
      </c>
      <c r="D25" s="5" t="s">
        <v>62</v>
      </c>
    </row>
    <row r="26" customFormat="false" ht="35.05" hidden="false" customHeight="false" outlineLevel="0" collapsed="false">
      <c r="A26" s="5" t="s">
        <v>63</v>
      </c>
      <c r="B26" s="5" t="s">
        <v>64</v>
      </c>
      <c r="C26" s="5" t="s">
        <v>49</v>
      </c>
      <c r="D26" s="5" t="s">
        <v>65</v>
      </c>
    </row>
    <row r="27" customFormat="false" ht="35.05" hidden="false" customHeight="false" outlineLevel="0" collapsed="false">
      <c r="A27" s="5" t="s">
        <v>66</v>
      </c>
      <c r="B27" s="5" t="s">
        <v>67</v>
      </c>
      <c r="C27" s="5" t="s">
        <v>68</v>
      </c>
      <c r="D27" s="5" t="s">
        <v>69</v>
      </c>
    </row>
    <row r="28" customFormat="false" ht="35.05" hidden="false" customHeight="false" outlineLevel="0" collapsed="false">
      <c r="A28" s="5" t="s">
        <v>70</v>
      </c>
      <c r="B28" s="5" t="s">
        <v>71</v>
      </c>
      <c r="C28" s="5" t="s">
        <v>49</v>
      </c>
      <c r="D28" s="5" t="s">
        <v>72</v>
      </c>
    </row>
    <row r="30" customFormat="false" ht="15" hidden="false" customHeight="false" outlineLevel="0" collapsed="false">
      <c r="A30" s="3" t="s">
        <v>73</v>
      </c>
    </row>
    <row r="31" customFormat="false" ht="15" hidden="false" customHeight="false" outlineLevel="0" collapsed="false">
      <c r="A31" s="4" t="s">
        <v>74</v>
      </c>
      <c r="B31" s="4" t="s">
        <v>75</v>
      </c>
    </row>
    <row r="32" customFormat="false" ht="23.85" hidden="false" customHeight="false" outlineLevel="0" collapsed="false">
      <c r="A32" s="5" t="s">
        <v>76</v>
      </c>
      <c r="B32" s="5" t="s">
        <v>77</v>
      </c>
    </row>
    <row r="33" customFormat="false" ht="35.05" hidden="false" customHeight="false" outlineLevel="0" collapsed="false">
      <c r="A33" s="5" t="s">
        <v>78</v>
      </c>
      <c r="B33" s="5" t="s">
        <v>79</v>
      </c>
    </row>
    <row r="34" customFormat="false" ht="35.05" hidden="false" customHeight="false" outlineLevel="0" collapsed="false">
      <c r="A34" s="5" t="s">
        <v>80</v>
      </c>
      <c r="B34" s="5" t="s">
        <v>81</v>
      </c>
    </row>
    <row r="35" customFormat="false" ht="35.05" hidden="false" customHeight="false" outlineLevel="0" collapsed="false">
      <c r="A35" s="5" t="s">
        <v>82</v>
      </c>
      <c r="B35" s="5" t="s">
        <v>83</v>
      </c>
    </row>
    <row r="37" customFormat="false" ht="15" hidden="false" customHeight="false" outlineLevel="0" collapsed="false">
      <c r="A37" s="4" t="s">
        <v>84</v>
      </c>
      <c r="B37" s="4" t="s">
        <v>85</v>
      </c>
    </row>
    <row r="38" customFormat="false" ht="15" hidden="false" customHeight="false" outlineLevel="0" collapsed="false">
      <c r="A38" s="5" t="s">
        <v>86</v>
      </c>
      <c r="B38" s="5" t="s">
        <v>87</v>
      </c>
    </row>
    <row r="39" customFormat="false" ht="15" hidden="false" customHeight="false" outlineLevel="0" collapsed="false">
      <c r="A39" s="5" t="s">
        <v>88</v>
      </c>
      <c r="B39" s="5" t="s">
        <v>89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46"/>
    <col collapsed="false" customWidth="true" hidden="false" outlineLevel="0" max="4" min="4" style="0" width="30"/>
    <col collapsed="false" customWidth="true" hidden="false" outlineLevel="0" max="5" min="5" style="0" width="40"/>
  </cols>
  <sheetData>
    <row r="1" customFormat="false" ht="19.7" hidden="false" customHeight="false" outlineLevel="0" collapsed="false">
      <c r="A1" s="1" t="s">
        <v>90</v>
      </c>
    </row>
    <row r="2" customFormat="false" ht="15" hidden="false" customHeight="false" outlineLevel="0" collapsed="false">
      <c r="A2" s="8" t="s">
        <v>91</v>
      </c>
      <c r="B2" s="8"/>
      <c r="C2" s="8"/>
      <c r="D2" s="8"/>
      <c r="E2" s="8"/>
    </row>
    <row r="4" customFormat="false" ht="15" hidden="false" customHeight="false" outlineLevel="0" collapsed="false">
      <c r="A4" s="4" t="s">
        <v>92</v>
      </c>
      <c r="B4" s="4" t="s">
        <v>49</v>
      </c>
      <c r="C4" s="4" t="s">
        <v>85</v>
      </c>
      <c r="D4" s="4" t="s">
        <v>93</v>
      </c>
      <c r="E4" s="4" t="s">
        <v>94</v>
      </c>
    </row>
    <row r="5" customFormat="false" ht="15" hidden="false" customHeight="false" outlineLevel="0" collapsed="false">
      <c r="A5" s="5" t="s">
        <v>95</v>
      </c>
      <c r="B5" s="5" t="s">
        <v>96</v>
      </c>
      <c r="C5" s="6" t="s">
        <v>97</v>
      </c>
      <c r="D5" s="5" t="s">
        <v>98</v>
      </c>
      <c r="E5" s="5" t="s">
        <v>99</v>
      </c>
    </row>
    <row r="6" customFormat="false" ht="23.85" hidden="false" customHeight="false" outlineLevel="0" collapsed="false">
      <c r="A6" s="5" t="s">
        <v>100</v>
      </c>
      <c r="B6" s="5" t="s">
        <v>96</v>
      </c>
      <c r="C6" s="6" t="s">
        <v>101</v>
      </c>
      <c r="D6" s="5" t="s">
        <v>102</v>
      </c>
      <c r="E6" s="5" t="s">
        <v>103</v>
      </c>
    </row>
    <row r="7" customFormat="false" ht="15" hidden="false" customHeight="false" outlineLevel="0" collapsed="false">
      <c r="A7" s="5" t="s">
        <v>104</v>
      </c>
      <c r="B7" s="5" t="s">
        <v>96</v>
      </c>
      <c r="C7" s="6" t="s">
        <v>105</v>
      </c>
      <c r="D7" s="5" t="s">
        <v>106</v>
      </c>
      <c r="E7" s="5" t="s">
        <v>107</v>
      </c>
    </row>
    <row r="8" customFormat="false" ht="15" hidden="false" customHeight="false" outlineLevel="0" collapsed="false">
      <c r="A8" s="5" t="s">
        <v>108</v>
      </c>
      <c r="B8" s="5" t="s">
        <v>96</v>
      </c>
      <c r="C8" s="6" t="s">
        <v>109</v>
      </c>
      <c r="D8" s="5" t="s">
        <v>110</v>
      </c>
      <c r="E8" s="5" t="s">
        <v>111</v>
      </c>
    </row>
    <row r="9" customFormat="false" ht="15" hidden="false" customHeight="false" outlineLevel="0" collapsed="false">
      <c r="A9" s="5" t="s">
        <v>112</v>
      </c>
      <c r="B9" s="5" t="s">
        <v>96</v>
      </c>
      <c r="C9" s="6" t="s">
        <v>113</v>
      </c>
      <c r="D9" s="5" t="s">
        <v>114</v>
      </c>
      <c r="E9" s="5" t="s">
        <v>115</v>
      </c>
    </row>
    <row r="10" customFormat="false" ht="15" hidden="false" customHeight="false" outlineLevel="0" collapsed="false">
      <c r="A10" s="5" t="s">
        <v>116</v>
      </c>
      <c r="B10" s="5" t="s">
        <v>96</v>
      </c>
      <c r="C10" s="6" t="s">
        <v>117</v>
      </c>
      <c r="D10" s="5" t="s">
        <v>118</v>
      </c>
      <c r="E10" s="5" t="s">
        <v>119</v>
      </c>
    </row>
    <row r="11" customFormat="false" ht="15" hidden="false" customHeight="false" outlineLevel="0" collapsed="false">
      <c r="A11" s="5" t="s">
        <v>120</v>
      </c>
      <c r="B11" s="5" t="s">
        <v>96</v>
      </c>
      <c r="C11" s="6" t="s">
        <v>121</v>
      </c>
      <c r="D11" s="5" t="s">
        <v>122</v>
      </c>
      <c r="E11" s="5" t="s">
        <v>123</v>
      </c>
    </row>
    <row r="12" customFormat="false" ht="15" hidden="false" customHeight="false" outlineLevel="0" collapsed="false">
      <c r="A12" s="5" t="s">
        <v>124</v>
      </c>
      <c r="B12" s="5" t="s">
        <v>96</v>
      </c>
      <c r="C12" s="6" t="s">
        <v>125</v>
      </c>
      <c r="D12" s="5" t="s">
        <v>126</v>
      </c>
      <c r="E12" s="5" t="s">
        <v>127</v>
      </c>
    </row>
    <row r="13" customFormat="false" ht="15" hidden="false" customHeight="false" outlineLevel="0" collapsed="false">
      <c r="A13" s="5" t="s">
        <v>128</v>
      </c>
      <c r="B13" s="5" t="s">
        <v>96</v>
      </c>
      <c r="C13" s="6" t="s">
        <v>129</v>
      </c>
      <c r="D13" s="5" t="s">
        <v>130</v>
      </c>
      <c r="E13" s="5" t="s">
        <v>131</v>
      </c>
    </row>
    <row r="14" customFormat="false" ht="15" hidden="false" customHeight="false" outlineLevel="0" collapsed="false">
      <c r="A14" s="5" t="s">
        <v>132</v>
      </c>
      <c r="B14" s="5" t="s">
        <v>96</v>
      </c>
      <c r="C14" s="6" t="s">
        <v>133</v>
      </c>
      <c r="D14" s="5" t="s">
        <v>134</v>
      </c>
      <c r="E14" s="5" t="s">
        <v>135</v>
      </c>
    </row>
    <row r="15" customFormat="false" ht="23.85" hidden="false" customHeight="false" outlineLevel="0" collapsed="false">
      <c r="A15" s="5" t="s">
        <v>136</v>
      </c>
      <c r="B15" s="5" t="s">
        <v>137</v>
      </c>
      <c r="C15" s="6" t="s">
        <v>138</v>
      </c>
      <c r="D15" s="5" t="s">
        <v>139</v>
      </c>
      <c r="E15" s="5" t="s">
        <v>140</v>
      </c>
    </row>
    <row r="16" customFormat="false" ht="23.85" hidden="false" customHeight="false" outlineLevel="0" collapsed="false">
      <c r="A16" s="5" t="s">
        <v>141</v>
      </c>
      <c r="B16" s="5" t="s">
        <v>137</v>
      </c>
      <c r="C16" s="6" t="s">
        <v>142</v>
      </c>
      <c r="D16" s="5" t="s">
        <v>143</v>
      </c>
      <c r="E16" s="5" t="s">
        <v>144</v>
      </c>
    </row>
    <row r="18" customFormat="false" ht="15" hidden="false" customHeight="false" outlineLevel="0" collapsed="false">
      <c r="A18" s="3" t="s">
        <v>145</v>
      </c>
    </row>
    <row r="19" customFormat="false" ht="15" hidden="false" customHeight="false" outlineLevel="0" collapsed="false">
      <c r="A19" s="4" t="s">
        <v>146</v>
      </c>
      <c r="B19" s="4" t="s">
        <v>85</v>
      </c>
      <c r="C19" s="4" t="s">
        <v>147</v>
      </c>
      <c r="D19" s="4" t="s">
        <v>148</v>
      </c>
    </row>
    <row r="20" customFormat="false" ht="15" hidden="false" customHeight="false" outlineLevel="0" collapsed="false">
      <c r="A20" s="5" t="s">
        <v>149</v>
      </c>
      <c r="B20" s="7" t="n">
        <f aca="false">COUNTIFS(B5:B16,"Có",C5:C16,"")</f>
        <v>0</v>
      </c>
      <c r="C20" s="7" t="str">
        <f aca="false">IF(B20=0,"ĐỦ","CẦN SỬA")</f>
        <v>ĐỦ</v>
      </c>
      <c r="D20" s="5"/>
    </row>
    <row r="21" customFormat="false" ht="15" hidden="false" customHeight="false" outlineLevel="0" collapsed="false">
      <c r="A21" s="5" t="s">
        <v>150</v>
      </c>
      <c r="B21" s="7" t="str">
        <f aca="false">C14</f>
        <v>Đang soạn</v>
      </c>
      <c r="C21" s="7" t="str">
        <f aca="false">IF(B21="Đã duyệt","ĐÃ DUYỆT","CHƯA DUYỆT")</f>
        <v>CHƯA DUYỆT</v>
      </c>
      <c r="D21" s="5"/>
    </row>
    <row r="22" customFormat="false" ht="23.85" hidden="false" customHeight="false" outlineLevel="0" collapsed="false">
      <c r="A22" s="5" t="s">
        <v>151</v>
      </c>
      <c r="B22" s="7"/>
      <c r="C22" s="7" t="str">
        <f aca="false">IF(AND(C20="ĐỦ",C21="ĐÃ DUYỆT"),"SẴN SÀNG","CHƯA SẴN SÀNG")</f>
        <v>CHƯA SẴN SÀNG</v>
      </c>
      <c r="D22" s="5" t="s">
        <v>152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7"/>
    <col collapsed="false" customWidth="true" hidden="false" outlineLevel="0" max="4" min="4" style="0" width="10"/>
    <col collapsed="false" customWidth="true" hidden="false" outlineLevel="0" max="6" min="5" style="0" width="12"/>
    <col collapsed="false" customWidth="true" hidden="false" outlineLevel="0" max="7" min="7" style="0" width="30"/>
    <col collapsed="false" customWidth="true" hidden="false" outlineLevel="0" max="8" min="8" style="0" width="11"/>
    <col collapsed="false" customWidth="true" hidden="false" outlineLevel="0" max="9" min="9" style="0" width="10"/>
    <col collapsed="false" customWidth="true" hidden="false" outlineLevel="0" max="10" min="10" style="0" width="46"/>
    <col collapsed="false" customWidth="true" hidden="false" outlineLevel="0" max="11" min="11" style="0" width="9"/>
    <col collapsed="false" customWidth="true" hidden="false" outlineLevel="0" max="12" min="12" style="0" width="24"/>
    <col collapsed="false" customWidth="true" hidden="false" outlineLevel="0" max="13" min="13" style="0" width="14"/>
  </cols>
  <sheetData>
    <row r="1" customFormat="false" ht="19.7" hidden="false" customHeight="false" outlineLevel="0" collapsed="false">
      <c r="A1" s="1" t="s">
        <v>153</v>
      </c>
    </row>
    <row r="2" customFormat="false" ht="15" hidden="false" customHeight="false" outlineLevel="0" collapsed="false">
      <c r="A2" s="8" t="s">
        <v>154</v>
      </c>
      <c r="B2" s="8"/>
      <c r="C2" s="8"/>
      <c r="D2" s="8"/>
      <c r="E2" s="8"/>
      <c r="F2" s="8"/>
      <c r="G2" s="8"/>
      <c r="H2" s="8"/>
      <c r="I2" s="8"/>
      <c r="J2" s="8"/>
      <c r="K2" s="8"/>
      <c r="L2" s="8"/>
      <c r="M2" s="8"/>
    </row>
    <row r="4" customFormat="false" ht="23.85" hidden="false" customHeight="false" outlineLevel="0" collapsed="false">
      <c r="A4" s="4" t="s">
        <v>155</v>
      </c>
      <c r="B4" s="4" t="s">
        <v>156</v>
      </c>
      <c r="C4" s="4" t="s">
        <v>157</v>
      </c>
      <c r="D4" s="4" t="s">
        <v>158</v>
      </c>
      <c r="E4" s="4" t="s">
        <v>159</v>
      </c>
      <c r="F4" s="4" t="s">
        <v>160</v>
      </c>
      <c r="G4" s="4" t="s">
        <v>161</v>
      </c>
      <c r="H4" s="4" t="s">
        <v>162</v>
      </c>
      <c r="I4" s="4" t="s">
        <v>163</v>
      </c>
      <c r="J4" s="4" t="s">
        <v>164</v>
      </c>
      <c r="K4" s="4" t="s">
        <v>165</v>
      </c>
      <c r="L4" s="4" t="s">
        <v>166</v>
      </c>
      <c r="M4" s="4" t="s">
        <v>167</v>
      </c>
    </row>
    <row r="5" customFormat="false" ht="42" hidden="false" customHeight="true" outlineLevel="0" collapsed="false">
      <c r="A5" s="6" t="n">
        <v>1</v>
      </c>
      <c r="B5" s="6" t="s">
        <v>168</v>
      </c>
      <c r="C5" s="6" t="n">
        <v>1</v>
      </c>
      <c r="D5" s="6" t="s">
        <v>169</v>
      </c>
      <c r="E5" s="6"/>
      <c r="F5" s="6" t="s">
        <v>170</v>
      </c>
      <c r="G5" s="6" t="s">
        <v>171</v>
      </c>
      <c r="H5" s="6"/>
      <c r="I5" s="6"/>
      <c r="J5" s="6"/>
      <c r="K5" s="6"/>
      <c r="L5" s="6" t="s">
        <v>172</v>
      </c>
      <c r="M5" s="7" t="str">
        <f aca="false">IF(D5="scene",IF(AND(F5&lt;&gt;"",C5&lt;&gt;"",G5&lt;&gt;""),"HỢP LỆ","CẦN SỬA"),IF(D5="say",IF(AND(H5&lt;&gt;"",J5&lt;&gt;""),"HỢP LỆ","CẦN SỬA"),IF(D5="choice",IF(AND(E5&lt;&gt;"",H5&lt;&gt;"",I5&lt;&gt;"",J5&lt;&gt;""),"HỢP LỆ","CẦN SỬA"),IF(D5="act",IF(K5&lt;&gt;"","HỢP LỆ","CẦN SỬA"),IF(D5="end","HỢP LỆ","CẦN SỬA")))))</f>
        <v>HỢP LỆ</v>
      </c>
    </row>
    <row r="6" customFormat="false" ht="42" hidden="false" customHeight="true" outlineLevel="0" collapsed="false">
      <c r="A6" s="6" t="n">
        <v>2</v>
      </c>
      <c r="B6" s="6" t="s">
        <v>173</v>
      </c>
      <c r="C6" s="6" t="n">
        <v>1</v>
      </c>
      <c r="D6" s="6" t="s">
        <v>174</v>
      </c>
      <c r="E6" s="6"/>
      <c r="F6" s="6"/>
      <c r="G6" s="6"/>
      <c r="H6" s="6" t="s">
        <v>175</v>
      </c>
      <c r="I6" s="6"/>
      <c r="J6" s="6" t="s">
        <v>176</v>
      </c>
      <c r="K6" s="6"/>
      <c r="L6" s="6"/>
      <c r="M6" s="7" t="str">
        <f aca="false">IF(D6="scene",IF(AND(F6&lt;&gt;"",C6&lt;&gt;"",G6&lt;&gt;""),"HỢP LỆ","CẦN SỬA"),IF(D6="say",IF(AND(H6&lt;&gt;"",J6&lt;&gt;""),"HỢP LỆ","CẦN SỬA"),IF(D6="choice",IF(AND(E6&lt;&gt;"",H6&lt;&gt;"",I6&lt;&gt;"",J6&lt;&gt;""),"HỢP LỆ","CẦN SỬA"),IF(D6="act",IF(K6&lt;&gt;"","HỢP LỆ","CẦN SỬA"),IF(D6="end","HỢP LỆ","CẦN SỬA")))))</f>
        <v>HỢP LỆ</v>
      </c>
    </row>
    <row r="7" customFormat="false" ht="42" hidden="false" customHeight="true" outlineLevel="0" collapsed="false">
      <c r="A7" s="6" t="n">
        <v>3</v>
      </c>
      <c r="B7" s="6" t="s">
        <v>177</v>
      </c>
      <c r="C7" s="6" t="n">
        <v>1</v>
      </c>
      <c r="D7" s="6" t="s">
        <v>174</v>
      </c>
      <c r="E7" s="6"/>
      <c r="F7" s="6"/>
      <c r="G7" s="6"/>
      <c r="H7" s="6" t="s">
        <v>178</v>
      </c>
      <c r="I7" s="6" t="s">
        <v>179</v>
      </c>
      <c r="J7" s="6" t="s">
        <v>180</v>
      </c>
      <c r="K7" s="6"/>
      <c r="L7" s="6"/>
      <c r="M7" s="7" t="str">
        <f aca="false">IF(D7="scene",IF(AND(F7&lt;&gt;"",C7&lt;&gt;"",G7&lt;&gt;""),"HỢP LỆ","CẦN SỬA"),IF(D7="say",IF(AND(H7&lt;&gt;"",J7&lt;&gt;""),"HỢP LỆ","CẦN SỬA"),IF(D7="choice",IF(AND(E7&lt;&gt;"",H7&lt;&gt;"",I7&lt;&gt;"",J7&lt;&gt;""),"HỢP LỆ","CẦN SỬA"),IF(D7="act",IF(K7&lt;&gt;"","HỢP LỆ","CẦN SỬA"),IF(D7="end","HỢP LỆ","CẦN SỬA")))))</f>
        <v>HỢP LỆ</v>
      </c>
    </row>
    <row r="8" customFormat="false" ht="42" hidden="false" customHeight="true" outlineLevel="0" collapsed="false">
      <c r="A8" s="6" t="n">
        <v>4</v>
      </c>
      <c r="B8" s="6" t="s">
        <v>181</v>
      </c>
      <c r="C8" s="6" t="n">
        <v>1</v>
      </c>
      <c r="D8" s="6" t="s">
        <v>182</v>
      </c>
      <c r="E8" s="6" t="s">
        <v>183</v>
      </c>
      <c r="F8" s="6"/>
      <c r="G8" s="6"/>
      <c r="H8" s="6" t="s">
        <v>178</v>
      </c>
      <c r="I8" s="6" t="s">
        <v>179</v>
      </c>
      <c r="J8" s="6" t="s">
        <v>184</v>
      </c>
      <c r="K8" s="6"/>
      <c r="L8" s="6" t="s">
        <v>185</v>
      </c>
      <c r="M8" s="7" t="str">
        <f aca="false">IF(D8="scene",IF(AND(F8&lt;&gt;"",C8&lt;&gt;"",G8&lt;&gt;""),"HỢP LỆ","CẦN SỬA"),IF(D8="say",IF(AND(H8&lt;&gt;"",J8&lt;&gt;""),"HỢP LỆ","CẦN SỬA"),IF(D8="choice",IF(AND(E8&lt;&gt;"",H8&lt;&gt;"",I8&lt;&gt;"",J8&lt;&gt;""),"HỢP LỆ","CẦN SỬA"),IF(D8="act",IF(K8&lt;&gt;"","HỢP LỆ","CẦN SỬA"),IF(D8="end","HỢP LỆ","CẦN SỬA")))))</f>
        <v>HỢP LỆ</v>
      </c>
    </row>
    <row r="9" customFormat="false" ht="42" hidden="false" customHeight="true" outlineLevel="0" collapsed="false">
      <c r="A9" s="6" t="n">
        <v>5</v>
      </c>
      <c r="B9" s="6" t="s">
        <v>186</v>
      </c>
      <c r="C9" s="6" t="n">
        <v>1</v>
      </c>
      <c r="D9" s="6" t="s">
        <v>174</v>
      </c>
      <c r="E9" s="6"/>
      <c r="F9" s="6"/>
      <c r="G9" s="6"/>
      <c r="H9" s="6" t="s">
        <v>178</v>
      </c>
      <c r="I9" s="6" t="s">
        <v>179</v>
      </c>
      <c r="J9" s="6" t="s">
        <v>187</v>
      </c>
      <c r="K9" s="6"/>
      <c r="L9" s="6"/>
      <c r="M9" s="7" t="str">
        <f aca="false">IF(D9="scene",IF(AND(F9&lt;&gt;"",C9&lt;&gt;"",G9&lt;&gt;""),"HỢP LỆ","CẦN SỬA"),IF(D9="say",IF(AND(H9&lt;&gt;"",J9&lt;&gt;""),"HỢP LỆ","CẦN SỬA"),IF(D9="choice",IF(AND(E9&lt;&gt;"",H9&lt;&gt;"",I9&lt;&gt;"",J9&lt;&gt;""),"HỢP LỆ","CẦN SỬA"),IF(D9="act",IF(K9&lt;&gt;"","HỢP LỆ","CẦN SỬA"),IF(D9="end","HỢP LỆ","CẦN SỬA")))))</f>
        <v>HỢP LỆ</v>
      </c>
    </row>
    <row r="10" customFormat="false" ht="42" hidden="false" customHeight="true" outlineLevel="0" collapsed="false">
      <c r="A10" s="6" t="n">
        <v>6</v>
      </c>
      <c r="B10" s="6" t="s">
        <v>188</v>
      </c>
      <c r="C10" s="6" t="n">
        <v>1</v>
      </c>
      <c r="D10" s="6" t="s">
        <v>182</v>
      </c>
      <c r="E10" s="6" t="s">
        <v>183</v>
      </c>
      <c r="F10" s="6"/>
      <c r="G10" s="6"/>
      <c r="H10" s="6" t="s">
        <v>178</v>
      </c>
      <c r="I10" s="6" t="s">
        <v>179</v>
      </c>
      <c r="J10" s="6" t="s">
        <v>189</v>
      </c>
      <c r="K10" s="6"/>
      <c r="L10" s="6" t="s">
        <v>185</v>
      </c>
      <c r="M10" s="7" t="str">
        <f aca="false">IF(D10="scene",IF(AND(F10&lt;&gt;"",C10&lt;&gt;"",G10&lt;&gt;""),"HỢP LỆ","CẦN SỬA"),IF(D10="say",IF(AND(H10&lt;&gt;"",J10&lt;&gt;""),"HỢP LỆ","CẦN SỬA"),IF(D10="choice",IF(AND(E10&lt;&gt;"",H10&lt;&gt;"",I10&lt;&gt;"",J10&lt;&gt;""),"HỢP LỆ","CẦN SỬA"),IF(D10="act",IF(K10&lt;&gt;"","HỢP LỆ","CẦN SỬA"),IF(D10="end","HỢP LỆ","CẦN SỬA")))))</f>
        <v>HỢP LỆ</v>
      </c>
    </row>
    <row r="11" customFormat="false" ht="42" hidden="false" customHeight="true" outlineLevel="0" collapsed="false">
      <c r="A11" s="6" t="n">
        <v>7</v>
      </c>
      <c r="B11" s="6" t="s">
        <v>190</v>
      </c>
      <c r="C11" s="6" t="n">
        <v>1</v>
      </c>
      <c r="D11" s="6" t="s">
        <v>191</v>
      </c>
      <c r="E11" s="6"/>
      <c r="F11" s="6"/>
      <c r="G11" s="6"/>
      <c r="H11" s="6"/>
      <c r="I11" s="6"/>
      <c r="J11" s="6"/>
      <c r="K11" s="6" t="s">
        <v>192</v>
      </c>
      <c r="L11" s="6" t="s">
        <v>193</v>
      </c>
      <c r="M11" s="7" t="str">
        <f aca="false">IF(D11="scene",IF(AND(F11&lt;&gt;"",C11&lt;&gt;"",G11&lt;&gt;""),"HỢP LỆ","CẦN SỬA"),IF(D11="say",IF(AND(H11&lt;&gt;"",J11&lt;&gt;""),"HỢP LỆ","CẦN SỬA"),IF(D11="choice",IF(AND(E11&lt;&gt;"",H11&lt;&gt;"",I11&lt;&gt;"",J11&lt;&gt;""),"HỢP LỆ","CẦN SỬA"),IF(D11="act",IF(K11&lt;&gt;"","HỢP LỆ","CẦN SỬA"),IF(D11="end","HỢP LỆ","CẦN SỬA")))))</f>
        <v>HỢP LỆ</v>
      </c>
    </row>
    <row r="12" customFormat="false" ht="42" hidden="false" customHeight="true" outlineLevel="0" collapsed="false">
      <c r="A12" s="6" t="n">
        <v>8</v>
      </c>
      <c r="B12" s="6" t="s">
        <v>194</v>
      </c>
      <c r="C12" s="6" t="n">
        <v>2</v>
      </c>
      <c r="D12" s="6" t="s">
        <v>169</v>
      </c>
      <c r="E12" s="6"/>
      <c r="F12" s="6" t="s">
        <v>195</v>
      </c>
      <c r="G12" s="6" t="s">
        <v>196</v>
      </c>
      <c r="H12" s="6"/>
      <c r="I12" s="6"/>
      <c r="J12" s="6"/>
      <c r="K12" s="6"/>
      <c r="L12" s="6" t="s">
        <v>197</v>
      </c>
      <c r="M12" s="7" t="str">
        <f aca="false">IF(D12="scene",IF(AND(F12&lt;&gt;"",C12&lt;&gt;"",G12&lt;&gt;""),"HỢP LỆ","CẦN SỬA"),IF(D12="say",IF(AND(H12&lt;&gt;"",J12&lt;&gt;""),"HỢP LỆ","CẦN SỬA"),IF(D12="choice",IF(AND(E12&lt;&gt;"",H12&lt;&gt;"",I12&lt;&gt;"",J12&lt;&gt;""),"HỢP LỆ","CẦN SỬA"),IF(D12="act",IF(K12&lt;&gt;"","HỢP LỆ","CẦN SỬA"),IF(D12="end","HỢP LỆ","CẦN SỬA")))))</f>
        <v>HỢP LỆ</v>
      </c>
    </row>
    <row r="13" customFormat="false" ht="42" hidden="false" customHeight="true" outlineLevel="0" collapsed="false">
      <c r="A13" s="6" t="n">
        <v>9</v>
      </c>
      <c r="B13" s="6" t="s">
        <v>198</v>
      </c>
      <c r="C13" s="6" t="n">
        <v>2</v>
      </c>
      <c r="D13" s="6" t="s">
        <v>174</v>
      </c>
      <c r="E13" s="6"/>
      <c r="F13" s="6"/>
      <c r="G13" s="6"/>
      <c r="H13" s="6" t="s">
        <v>175</v>
      </c>
      <c r="I13" s="6"/>
      <c r="J13" s="6" t="s">
        <v>199</v>
      </c>
      <c r="K13" s="6"/>
      <c r="L13" s="6"/>
      <c r="M13" s="7" t="str">
        <f aca="false">IF(D13="scene",IF(AND(F13&lt;&gt;"",C13&lt;&gt;"",G13&lt;&gt;""),"HỢP LỆ","CẦN SỬA"),IF(D13="say",IF(AND(H13&lt;&gt;"",J13&lt;&gt;""),"HỢP LỆ","CẦN SỬA"),IF(D13="choice",IF(AND(E13&lt;&gt;"",H13&lt;&gt;"",I13&lt;&gt;"",J13&lt;&gt;""),"HỢP LỆ","CẦN SỬA"),IF(D13="act",IF(K13&lt;&gt;"","HỢP LỆ","CẦN SỬA"),IF(D13="end","HỢP LỆ","CẦN SỬA")))))</f>
        <v>HỢP LỆ</v>
      </c>
    </row>
    <row r="14" customFormat="false" ht="42" hidden="false" customHeight="true" outlineLevel="0" collapsed="false">
      <c r="A14" s="6" t="n">
        <v>10</v>
      </c>
      <c r="B14" s="6" t="s">
        <v>200</v>
      </c>
      <c r="C14" s="6" t="n">
        <v>2</v>
      </c>
      <c r="D14" s="6" t="s">
        <v>174</v>
      </c>
      <c r="E14" s="6"/>
      <c r="F14" s="6"/>
      <c r="G14" s="6"/>
      <c r="H14" s="6" t="s">
        <v>201</v>
      </c>
      <c r="I14" s="6" t="s">
        <v>202</v>
      </c>
      <c r="J14" s="6" t="s">
        <v>203</v>
      </c>
      <c r="K14" s="6"/>
      <c r="L14" s="6"/>
      <c r="M14" s="7" t="str">
        <f aca="false">IF(D14="scene",IF(AND(F14&lt;&gt;"",C14&lt;&gt;"",G14&lt;&gt;""),"HỢP LỆ","CẦN SỬA"),IF(D14="say",IF(AND(H14&lt;&gt;"",J14&lt;&gt;""),"HỢP LỆ","CẦN SỬA"),IF(D14="choice",IF(AND(E14&lt;&gt;"",H14&lt;&gt;"",I14&lt;&gt;"",J14&lt;&gt;""),"HỢP LỆ","CẦN SỬA"),IF(D14="act",IF(K14&lt;&gt;"","HỢP LỆ","CẦN SỬA"),IF(D14="end","HỢP LỆ","CẦN SỬA")))))</f>
        <v>HỢP LỆ</v>
      </c>
    </row>
    <row r="15" customFormat="false" ht="42" hidden="false" customHeight="true" outlineLevel="0" collapsed="false">
      <c r="A15" s="6" t="n">
        <v>11</v>
      </c>
      <c r="B15" s="6" t="s">
        <v>204</v>
      </c>
      <c r="C15" s="6" t="n">
        <v>2</v>
      </c>
      <c r="D15" s="6" t="s">
        <v>182</v>
      </c>
      <c r="E15" s="6" t="s">
        <v>183</v>
      </c>
      <c r="F15" s="6"/>
      <c r="G15" s="6"/>
      <c r="H15" s="6" t="s">
        <v>201</v>
      </c>
      <c r="I15" s="6" t="s">
        <v>202</v>
      </c>
      <c r="J15" s="6" t="s">
        <v>205</v>
      </c>
      <c r="K15" s="6"/>
      <c r="L15" s="6" t="s">
        <v>185</v>
      </c>
      <c r="M15" s="7" t="str">
        <f aca="false">IF(D15="scene",IF(AND(F15&lt;&gt;"",C15&lt;&gt;"",G15&lt;&gt;""),"HỢP LỆ","CẦN SỬA"),IF(D15="say",IF(AND(H15&lt;&gt;"",J15&lt;&gt;""),"HỢP LỆ","CẦN SỬA"),IF(D15="choice",IF(AND(E15&lt;&gt;"",H15&lt;&gt;"",I15&lt;&gt;"",J15&lt;&gt;""),"HỢP LỆ","CẦN SỬA"),IF(D15="act",IF(K15&lt;&gt;"","HỢP LỆ","CẦN SỬA"),IF(D15="end","HỢP LỆ","CẦN SỬA")))))</f>
        <v>HỢP LỆ</v>
      </c>
    </row>
    <row r="16" customFormat="false" ht="42" hidden="false" customHeight="true" outlineLevel="0" collapsed="false">
      <c r="A16" s="6" t="n">
        <v>12</v>
      </c>
      <c r="B16" s="6" t="s">
        <v>206</v>
      </c>
      <c r="C16" s="6" t="n">
        <v>2</v>
      </c>
      <c r="D16" s="6" t="s">
        <v>191</v>
      </c>
      <c r="E16" s="6"/>
      <c r="F16" s="6"/>
      <c r="G16" s="6"/>
      <c r="H16" s="6"/>
      <c r="I16" s="6"/>
      <c r="J16" s="6"/>
      <c r="K16" s="6" t="s">
        <v>207</v>
      </c>
      <c r="L16" s="6" t="s">
        <v>208</v>
      </c>
      <c r="M16" s="7" t="str">
        <f aca="false">IF(D16="scene",IF(AND(F16&lt;&gt;"",C16&lt;&gt;"",G16&lt;&gt;""),"HỢP LỆ","CẦN SỬA"),IF(D16="say",IF(AND(H16&lt;&gt;"",J16&lt;&gt;""),"HỢP LỆ","CẦN SỬA"),IF(D16="choice",IF(AND(E16&lt;&gt;"",H16&lt;&gt;"",I16&lt;&gt;"",J16&lt;&gt;""),"HỢP LỆ","CẦN SỬA"),IF(D16="act",IF(K16&lt;&gt;"","HỢP LỆ","CẦN SỬA"),IF(D16="end","HỢP LỆ","CẦN SỬA")))))</f>
        <v>HỢP LỆ</v>
      </c>
    </row>
    <row r="17" customFormat="false" ht="42" hidden="false" customHeight="true" outlineLevel="0" collapsed="false">
      <c r="A17" s="6" t="n">
        <v>13</v>
      </c>
      <c r="B17" s="6" t="s">
        <v>209</v>
      </c>
      <c r="C17" s="6" t="n">
        <v>3</v>
      </c>
      <c r="D17" s="6" t="s">
        <v>169</v>
      </c>
      <c r="E17" s="6"/>
      <c r="F17" s="6" t="s">
        <v>210</v>
      </c>
      <c r="G17" s="6" t="s">
        <v>211</v>
      </c>
      <c r="H17" s="6"/>
      <c r="I17" s="6"/>
      <c r="J17" s="6"/>
      <c r="K17" s="6"/>
      <c r="L17" s="6" t="s">
        <v>212</v>
      </c>
      <c r="M17" s="7" t="str">
        <f aca="false">IF(D17="scene",IF(AND(F17&lt;&gt;"",C17&lt;&gt;"",G17&lt;&gt;""),"HỢP LỆ","CẦN SỬA"),IF(D17="say",IF(AND(H17&lt;&gt;"",J17&lt;&gt;""),"HỢP LỆ","CẦN SỬA"),IF(D17="choice",IF(AND(E17&lt;&gt;"",H17&lt;&gt;"",I17&lt;&gt;"",J17&lt;&gt;""),"HỢP LỆ","CẦN SỬA"),IF(D17="act",IF(K17&lt;&gt;"","HỢP LỆ","CẦN SỬA"),IF(D17="end","HỢP LỆ","CẦN SỬA")))))</f>
        <v>HỢP LỆ</v>
      </c>
    </row>
    <row r="18" customFormat="false" ht="42" hidden="false" customHeight="true" outlineLevel="0" collapsed="false">
      <c r="A18" s="6" t="n">
        <v>14</v>
      </c>
      <c r="B18" s="6" t="s">
        <v>213</v>
      </c>
      <c r="C18" s="6" t="n">
        <v>3</v>
      </c>
      <c r="D18" s="6" t="s">
        <v>174</v>
      </c>
      <c r="E18" s="6"/>
      <c r="F18" s="6"/>
      <c r="G18" s="6"/>
      <c r="H18" s="6" t="s">
        <v>175</v>
      </c>
      <c r="I18" s="6"/>
      <c r="J18" s="6" t="s">
        <v>214</v>
      </c>
      <c r="K18" s="6"/>
      <c r="L18" s="6"/>
      <c r="M18" s="7" t="str">
        <f aca="false">IF(D18="scene",IF(AND(F18&lt;&gt;"",C18&lt;&gt;"",G18&lt;&gt;""),"HỢP LỆ","CẦN SỬA"),IF(D18="say",IF(AND(H18&lt;&gt;"",J18&lt;&gt;""),"HỢP LỆ","CẦN SỬA"),IF(D18="choice",IF(AND(E18&lt;&gt;"",H18&lt;&gt;"",I18&lt;&gt;"",J18&lt;&gt;""),"HỢP LỆ","CẦN SỬA"),IF(D18="act",IF(K18&lt;&gt;"","HỢP LỆ","CẦN SỬA"),IF(D18="end","HỢP LỆ","CẦN SỬA")))))</f>
        <v>HỢP LỆ</v>
      </c>
    </row>
    <row r="19" customFormat="false" ht="42" hidden="false" customHeight="true" outlineLevel="0" collapsed="false">
      <c r="A19" s="6" t="n">
        <v>15</v>
      </c>
      <c r="B19" s="6" t="s">
        <v>215</v>
      </c>
      <c r="C19" s="6" t="n">
        <v>3</v>
      </c>
      <c r="D19" s="6" t="s">
        <v>174</v>
      </c>
      <c r="E19" s="6"/>
      <c r="F19" s="6"/>
      <c r="G19" s="6"/>
      <c r="H19" s="6" t="s">
        <v>216</v>
      </c>
      <c r="I19" s="6" t="s">
        <v>179</v>
      </c>
      <c r="J19" s="6" t="s">
        <v>217</v>
      </c>
      <c r="K19" s="6"/>
      <c r="L19" s="6"/>
      <c r="M19" s="7" t="str">
        <f aca="false">IF(D19="scene",IF(AND(F19&lt;&gt;"",C19&lt;&gt;"",G19&lt;&gt;""),"HỢP LỆ","CẦN SỬA"),IF(D19="say",IF(AND(H19&lt;&gt;"",J19&lt;&gt;""),"HỢP LỆ","CẦN SỬA"),IF(D19="choice",IF(AND(E19&lt;&gt;"",H19&lt;&gt;"",I19&lt;&gt;"",J19&lt;&gt;""),"HỢP LỆ","CẦN SỬA"),IF(D19="act",IF(K19&lt;&gt;"","HỢP LỆ","CẦN SỬA"),IF(D19="end","HỢP LỆ","CẦN SỬA")))))</f>
        <v>HỢP LỆ</v>
      </c>
    </row>
    <row r="20" customFormat="false" ht="42" hidden="false" customHeight="true" outlineLevel="0" collapsed="false">
      <c r="A20" s="6" t="n">
        <v>16</v>
      </c>
      <c r="B20" s="6" t="s">
        <v>218</v>
      </c>
      <c r="C20" s="6" t="n">
        <v>3</v>
      </c>
      <c r="D20" s="6" t="s">
        <v>182</v>
      </c>
      <c r="E20" s="6" t="s">
        <v>183</v>
      </c>
      <c r="F20" s="6"/>
      <c r="G20" s="6"/>
      <c r="H20" s="6" t="s">
        <v>216</v>
      </c>
      <c r="I20" s="6" t="s">
        <v>179</v>
      </c>
      <c r="J20" s="6" t="s">
        <v>219</v>
      </c>
      <c r="K20" s="6"/>
      <c r="L20" s="6" t="s">
        <v>185</v>
      </c>
      <c r="M20" s="7" t="str">
        <f aca="false">IF(D20="scene",IF(AND(F20&lt;&gt;"",C20&lt;&gt;"",G20&lt;&gt;""),"HỢP LỆ","CẦN SỬA"),IF(D20="say",IF(AND(H20&lt;&gt;"",J20&lt;&gt;""),"HỢP LỆ","CẦN SỬA"),IF(D20="choice",IF(AND(E20&lt;&gt;"",H20&lt;&gt;"",I20&lt;&gt;"",J20&lt;&gt;""),"HỢP LỆ","CẦN SỬA"),IF(D20="act",IF(K20&lt;&gt;"","HỢP LỆ","CẦN SỬA"),IF(D20="end","HỢP LỆ","CẦN SỬA")))))</f>
        <v>HỢP LỆ</v>
      </c>
    </row>
    <row r="21" customFormat="false" ht="42" hidden="false" customHeight="true" outlineLevel="0" collapsed="false">
      <c r="A21" s="6" t="n">
        <v>17</v>
      </c>
      <c r="B21" s="6" t="s">
        <v>220</v>
      </c>
      <c r="C21" s="6" t="n">
        <v>3</v>
      </c>
      <c r="D21" s="6" t="s">
        <v>191</v>
      </c>
      <c r="E21" s="6"/>
      <c r="F21" s="6"/>
      <c r="G21" s="6"/>
      <c r="H21" s="6"/>
      <c r="I21" s="6"/>
      <c r="J21" s="6"/>
      <c r="K21" s="6" t="s">
        <v>221</v>
      </c>
      <c r="L21" s="6" t="s">
        <v>222</v>
      </c>
      <c r="M21" s="7" t="str">
        <f aca="false">IF(D21="scene",IF(AND(F21&lt;&gt;"",C21&lt;&gt;"",G21&lt;&gt;""),"HỢP LỆ","CẦN SỬA"),IF(D21="say",IF(AND(H21&lt;&gt;"",J21&lt;&gt;""),"HỢP LỆ","CẦN SỬA"),IF(D21="choice",IF(AND(E21&lt;&gt;"",H21&lt;&gt;"",I21&lt;&gt;"",J21&lt;&gt;""),"HỢP LỆ","CẦN SỬA"),IF(D21="act",IF(K21&lt;&gt;"","HỢP LỆ","CẦN SỬA"),IF(D21="end","HỢP LỆ","CẦN SỬA")))))</f>
        <v>HỢP LỆ</v>
      </c>
    </row>
    <row r="22" customFormat="false" ht="42" hidden="false" customHeight="true" outlineLevel="0" collapsed="false">
      <c r="A22" s="6" t="n">
        <v>18</v>
      </c>
      <c r="B22" s="6" t="s">
        <v>223</v>
      </c>
      <c r="C22" s="6"/>
      <c r="D22" s="6" t="s">
        <v>224</v>
      </c>
      <c r="E22" s="6"/>
      <c r="F22" s="6"/>
      <c r="G22" s="6"/>
      <c r="H22" s="6"/>
      <c r="I22" s="6"/>
      <c r="J22" s="6"/>
      <c r="K22" s="6"/>
      <c r="L22" s="6" t="s">
        <v>225</v>
      </c>
      <c r="M22" s="7" t="str">
        <f aca="false">IF(D22="scene",IF(AND(F22&lt;&gt;"",C22&lt;&gt;"",G22&lt;&gt;""),"HỢP LỆ","CẦN SỬA"),IF(D22="say",IF(AND(H22&lt;&gt;"",J22&lt;&gt;""),"HỢP LỆ","CẦN SỬA"),IF(D22="choice",IF(AND(E22&lt;&gt;"",H22&lt;&gt;"",I22&lt;&gt;"",J22&lt;&gt;""),"HỢP LỆ","CẦN SỬA"),IF(D22="act",IF(K22&lt;&gt;"","HỢP LỆ","CẦN SỬA"),IF(D22="end","HỢP LỆ","CẦN SỬA")))))</f>
        <v>HỢP LỆ</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42"/>
    <col collapsed="false" customWidth="true" hidden="false" outlineLevel="0" max="4" min="4" style="0" width="10"/>
    <col collapsed="false" customWidth="true" hidden="false" outlineLevel="0" max="5" min="5" style="0" width="6"/>
    <col collapsed="false" customWidth="true" hidden="false" outlineLevel="0" max="6" min="6" style="0" width="13"/>
    <col collapsed="false" customWidth="true" hidden="false" outlineLevel="0" max="7" min="7" style="0" width="11"/>
    <col collapsed="false" customWidth="true" hidden="false" outlineLevel="0" max="8" min="8" style="0" width="40"/>
    <col collapsed="false" customWidth="true" hidden="false" outlineLevel="0" max="9" min="9" style="0" width="16"/>
    <col collapsed="false" customWidth="true" hidden="false" outlineLevel="0" max="10" min="10" style="0" width="14"/>
  </cols>
  <sheetData>
    <row r="1" customFormat="false" ht="19.7" hidden="false" customHeight="false" outlineLevel="0" collapsed="false">
      <c r="A1" s="1" t="s">
        <v>226</v>
      </c>
    </row>
    <row r="2" customFormat="false" ht="15" hidden="false" customHeight="false" outlineLevel="0" collapsed="false">
      <c r="A2" s="8" t="s">
        <v>227</v>
      </c>
      <c r="B2" s="8"/>
      <c r="C2" s="8"/>
      <c r="D2" s="8"/>
      <c r="E2" s="8"/>
      <c r="F2" s="8"/>
      <c r="G2" s="8"/>
      <c r="H2" s="8"/>
      <c r="I2" s="8"/>
      <c r="J2" s="8"/>
    </row>
    <row r="4" customFormat="false" ht="23.85" hidden="false" customHeight="false" outlineLevel="0" collapsed="false">
      <c r="A4" s="4" t="s">
        <v>228</v>
      </c>
      <c r="B4" s="4" t="s">
        <v>229</v>
      </c>
      <c r="C4" s="4" t="s">
        <v>230</v>
      </c>
      <c r="D4" s="4" t="s">
        <v>231</v>
      </c>
      <c r="E4" s="4" t="s">
        <v>232</v>
      </c>
      <c r="F4" s="4" t="s">
        <v>233</v>
      </c>
      <c r="G4" s="4" t="s">
        <v>234</v>
      </c>
      <c r="H4" s="4" t="s">
        <v>235</v>
      </c>
      <c r="I4" s="4" t="s">
        <v>148</v>
      </c>
      <c r="J4" s="4" t="s">
        <v>167</v>
      </c>
    </row>
    <row r="5" customFormat="false" ht="39.75" hidden="false" customHeight="true" outlineLevel="0" collapsed="false">
      <c r="A5" s="6" t="s">
        <v>181</v>
      </c>
      <c r="B5" s="6" t="n">
        <v>1</v>
      </c>
      <c r="C5" s="6" t="s">
        <v>236</v>
      </c>
      <c r="D5" s="6" t="s">
        <v>96</v>
      </c>
      <c r="E5" s="6"/>
      <c r="F5" s="6" t="s">
        <v>178</v>
      </c>
      <c r="G5" s="6" t="s">
        <v>237</v>
      </c>
      <c r="H5" s="6" t="s">
        <v>238</v>
      </c>
      <c r="I5" s="6" t="s">
        <v>239</v>
      </c>
      <c r="J5" s="7" t="str">
        <f aca="false">IF(AND(C5&lt;&gt;"",D5&lt;&gt;"",F5&lt;&gt;"",H5&lt;&gt;""),"HỢP LỆ","CẦN SỬA")</f>
        <v>HỢP LỆ</v>
      </c>
    </row>
    <row r="6" customFormat="false" ht="39.75" hidden="false" customHeight="true" outlineLevel="0" collapsed="false">
      <c r="A6" s="6" t="s">
        <v>181</v>
      </c>
      <c r="B6" s="6" t="n">
        <v>2</v>
      </c>
      <c r="C6" s="6" t="s">
        <v>240</v>
      </c>
      <c r="D6" s="6" t="s">
        <v>137</v>
      </c>
      <c r="E6" s="6"/>
      <c r="F6" s="6" t="s">
        <v>178</v>
      </c>
      <c r="G6" s="6" t="s">
        <v>241</v>
      </c>
      <c r="H6" s="6" t="s">
        <v>242</v>
      </c>
      <c r="I6" s="6" t="s">
        <v>243</v>
      </c>
      <c r="J6" s="7" t="str">
        <f aca="false">IF(AND(C6&lt;&gt;"",D6&lt;&gt;"",F6&lt;&gt;"",H6&lt;&gt;""),"HỢP LỆ","CẦN SỬA")</f>
        <v>HỢP LỆ</v>
      </c>
    </row>
    <row r="7" customFormat="false" ht="39.75" hidden="false" customHeight="true" outlineLevel="0" collapsed="false">
      <c r="A7" s="6" t="s">
        <v>181</v>
      </c>
      <c r="B7" s="6" t="n">
        <v>3</v>
      </c>
      <c r="C7" s="6" t="s">
        <v>244</v>
      </c>
      <c r="D7" s="6" t="s">
        <v>137</v>
      </c>
      <c r="E7" s="6"/>
      <c r="F7" s="6" t="s">
        <v>178</v>
      </c>
      <c r="G7" s="6" t="s">
        <v>241</v>
      </c>
      <c r="H7" s="6" t="s">
        <v>245</v>
      </c>
      <c r="I7" s="6" t="s">
        <v>243</v>
      </c>
      <c r="J7" s="7" t="str">
        <f aca="false">IF(AND(C7&lt;&gt;"",D7&lt;&gt;"",F7&lt;&gt;"",H7&lt;&gt;""),"HỢP LỆ","CẦN SỬA")</f>
        <v>HỢP LỆ</v>
      </c>
    </row>
    <row r="8" customFormat="false" ht="39.75" hidden="false" customHeight="true" outlineLevel="0" collapsed="false">
      <c r="A8" s="6" t="s">
        <v>188</v>
      </c>
      <c r="B8" s="6" t="n">
        <v>1</v>
      </c>
      <c r="C8" s="6" t="s">
        <v>246</v>
      </c>
      <c r="D8" s="6" t="s">
        <v>96</v>
      </c>
      <c r="E8" s="6"/>
      <c r="F8" s="6" t="s">
        <v>178</v>
      </c>
      <c r="G8" s="6" t="s">
        <v>237</v>
      </c>
      <c r="H8" s="6" t="s">
        <v>247</v>
      </c>
      <c r="I8" s="6" t="s">
        <v>239</v>
      </c>
      <c r="J8" s="7" t="str">
        <f aca="false">IF(AND(C8&lt;&gt;"",D8&lt;&gt;"",F8&lt;&gt;"",H8&lt;&gt;""),"HỢP LỆ","CẦN SỬA")</f>
        <v>HỢP LỆ</v>
      </c>
    </row>
    <row r="9" customFormat="false" ht="39.75" hidden="false" customHeight="true" outlineLevel="0" collapsed="false">
      <c r="A9" s="6" t="s">
        <v>188</v>
      </c>
      <c r="B9" s="6" t="n">
        <v>2</v>
      </c>
      <c r="C9" s="6" t="s">
        <v>248</v>
      </c>
      <c r="D9" s="6" t="s">
        <v>137</v>
      </c>
      <c r="E9" s="6"/>
      <c r="F9" s="6" t="s">
        <v>178</v>
      </c>
      <c r="G9" s="6" t="s">
        <v>241</v>
      </c>
      <c r="H9" s="6" t="s">
        <v>249</v>
      </c>
      <c r="I9" s="6" t="s">
        <v>243</v>
      </c>
      <c r="J9" s="7" t="str">
        <f aca="false">IF(AND(C9&lt;&gt;"",D9&lt;&gt;"",F9&lt;&gt;"",H9&lt;&gt;""),"HỢP LỆ","CẦN SỬA")</f>
        <v>HỢP LỆ</v>
      </c>
    </row>
    <row r="10" customFormat="false" ht="39.75" hidden="false" customHeight="true" outlineLevel="0" collapsed="false">
      <c r="A10" s="6" t="s">
        <v>188</v>
      </c>
      <c r="B10" s="6" t="n">
        <v>3</v>
      </c>
      <c r="C10" s="6" t="s">
        <v>250</v>
      </c>
      <c r="D10" s="6" t="s">
        <v>137</v>
      </c>
      <c r="E10" s="6"/>
      <c r="F10" s="6" t="s">
        <v>178</v>
      </c>
      <c r="G10" s="6" t="s">
        <v>241</v>
      </c>
      <c r="H10" s="6" t="s">
        <v>251</v>
      </c>
      <c r="I10" s="6" t="s">
        <v>243</v>
      </c>
      <c r="J10" s="7" t="str">
        <f aca="false">IF(AND(C10&lt;&gt;"",D10&lt;&gt;"",F10&lt;&gt;"",H10&lt;&gt;""),"HỢP LỆ","CẦN SỬA")</f>
        <v>HỢP LỆ</v>
      </c>
    </row>
    <row r="11" customFormat="false" ht="39.75" hidden="false" customHeight="true" outlineLevel="0" collapsed="false">
      <c r="A11" s="6" t="s">
        <v>204</v>
      </c>
      <c r="B11" s="6" t="n">
        <v>1</v>
      </c>
      <c r="C11" s="6" t="s">
        <v>252</v>
      </c>
      <c r="D11" s="6" t="s">
        <v>96</v>
      </c>
      <c r="E11" s="6"/>
      <c r="F11" s="6" t="s">
        <v>201</v>
      </c>
      <c r="G11" s="6" t="s">
        <v>179</v>
      </c>
      <c r="H11" s="6" t="s">
        <v>253</v>
      </c>
      <c r="I11" s="6" t="s">
        <v>239</v>
      </c>
      <c r="J11" s="7" t="str">
        <f aca="false">IF(AND(C11&lt;&gt;"",D11&lt;&gt;"",F11&lt;&gt;"",H11&lt;&gt;""),"HỢP LỆ","CẦN SỬA")</f>
        <v>HỢP LỆ</v>
      </c>
    </row>
    <row r="12" customFormat="false" ht="39.75" hidden="false" customHeight="true" outlineLevel="0" collapsed="false">
      <c r="A12" s="6" t="s">
        <v>204</v>
      </c>
      <c r="B12" s="6" t="n">
        <v>2</v>
      </c>
      <c r="C12" s="6" t="s">
        <v>254</v>
      </c>
      <c r="D12" s="6" t="s">
        <v>137</v>
      </c>
      <c r="E12" s="6"/>
      <c r="F12" s="6" t="s">
        <v>201</v>
      </c>
      <c r="G12" s="6" t="s">
        <v>202</v>
      </c>
      <c r="H12" s="6" t="s">
        <v>255</v>
      </c>
      <c r="I12" s="6" t="s">
        <v>243</v>
      </c>
      <c r="J12" s="7" t="str">
        <f aca="false">IF(AND(C12&lt;&gt;"",D12&lt;&gt;"",F12&lt;&gt;"",H12&lt;&gt;""),"HỢP LỆ","CẦN SỬA")</f>
        <v>HỢP LỆ</v>
      </c>
    </row>
    <row r="13" customFormat="false" ht="39.75" hidden="false" customHeight="true" outlineLevel="0" collapsed="false">
      <c r="A13" s="6" t="s">
        <v>204</v>
      </c>
      <c r="B13" s="6" t="n">
        <v>3</v>
      </c>
      <c r="C13" s="6" t="s">
        <v>256</v>
      </c>
      <c r="D13" s="6" t="s">
        <v>137</v>
      </c>
      <c r="E13" s="6"/>
      <c r="F13" s="6" t="s">
        <v>201</v>
      </c>
      <c r="G13" s="6" t="s">
        <v>202</v>
      </c>
      <c r="H13" s="6" t="s">
        <v>257</v>
      </c>
      <c r="I13" s="6" t="s">
        <v>243</v>
      </c>
      <c r="J13" s="7" t="str">
        <f aca="false">IF(AND(C13&lt;&gt;"",D13&lt;&gt;"",F13&lt;&gt;"",H13&lt;&gt;""),"HỢP LỆ","CẦN SỬA")</f>
        <v>HỢP LỆ</v>
      </c>
    </row>
    <row r="14" customFormat="false" ht="39.75" hidden="false" customHeight="true" outlineLevel="0" collapsed="false">
      <c r="A14" s="6" t="s">
        <v>218</v>
      </c>
      <c r="B14" s="6" t="n">
        <v>1</v>
      </c>
      <c r="C14" s="6" t="s">
        <v>258</v>
      </c>
      <c r="D14" s="6" t="s">
        <v>96</v>
      </c>
      <c r="E14" s="6"/>
      <c r="F14" s="6" t="s">
        <v>216</v>
      </c>
      <c r="G14" s="6" t="s">
        <v>237</v>
      </c>
      <c r="H14" s="6" t="s">
        <v>259</v>
      </c>
      <c r="I14" s="6" t="s">
        <v>239</v>
      </c>
      <c r="J14" s="7" t="str">
        <f aca="false">IF(AND(C14&lt;&gt;"",D14&lt;&gt;"",F14&lt;&gt;"",H14&lt;&gt;""),"HỢP LỆ","CẦN SỬA")</f>
        <v>HỢP LỆ</v>
      </c>
    </row>
    <row r="15" customFormat="false" ht="39.75" hidden="false" customHeight="true" outlineLevel="0" collapsed="false">
      <c r="A15" s="6" t="s">
        <v>218</v>
      </c>
      <c r="B15" s="6" t="n">
        <v>2</v>
      </c>
      <c r="C15" s="6" t="s">
        <v>260</v>
      </c>
      <c r="D15" s="6" t="s">
        <v>137</v>
      </c>
      <c r="E15" s="6"/>
      <c r="F15" s="6" t="s">
        <v>178</v>
      </c>
      <c r="G15" s="6" t="s">
        <v>241</v>
      </c>
      <c r="H15" s="6" t="s">
        <v>261</v>
      </c>
      <c r="I15" s="6" t="s">
        <v>243</v>
      </c>
      <c r="J15" s="7" t="str">
        <f aca="false">IF(AND(C15&lt;&gt;"",D15&lt;&gt;"",F15&lt;&gt;"",H15&lt;&gt;""),"HỢP LỆ","CẦN SỬA")</f>
        <v>HỢP LỆ</v>
      </c>
    </row>
    <row r="16" customFormat="false" ht="39.75" hidden="false" customHeight="true" outlineLevel="0" collapsed="false">
      <c r="A16" s="6" t="s">
        <v>218</v>
      </c>
      <c r="B16" s="6" t="n">
        <v>3</v>
      </c>
      <c r="C16" s="6" t="s">
        <v>262</v>
      </c>
      <c r="D16" s="6" t="s">
        <v>137</v>
      </c>
      <c r="E16" s="6"/>
      <c r="F16" s="6" t="s">
        <v>178</v>
      </c>
      <c r="G16" s="6" t="s">
        <v>241</v>
      </c>
      <c r="H16" s="6" t="s">
        <v>263</v>
      </c>
      <c r="I16" s="6" t="s">
        <v>243</v>
      </c>
      <c r="J16" s="7" t="str">
        <f aca="false">IF(AND(C16&lt;&gt;"",D16&lt;&gt;"",F16&lt;&gt;"",H16&lt;&gt;""),"HỢP LỆ","CẦN SỬA")</f>
        <v>HỢP LỆ</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2"/>
    <col collapsed="false" customWidth="true" hidden="false" outlineLevel="0" max="4" min="4" style="0" width="20"/>
    <col collapsed="false" customWidth="true" hidden="false" outlineLevel="0" max="5" min="5" style="0" width="14"/>
    <col collapsed="false" customWidth="true" hidden="false" outlineLevel="0" max="6" min="6" style="0" width="12"/>
  </cols>
  <sheetData>
    <row r="1" customFormat="false" ht="19.7" hidden="false" customHeight="false" outlineLevel="0" collapsed="false">
      <c r="A1" s="1" t="s">
        <v>264</v>
      </c>
    </row>
    <row r="2" customFormat="false" ht="15" hidden="false" customHeight="false" outlineLevel="0" collapsed="false">
      <c r="A2" s="8" t="s">
        <v>265</v>
      </c>
      <c r="B2" s="8"/>
      <c r="C2" s="8"/>
      <c r="D2" s="8"/>
      <c r="E2" s="8"/>
      <c r="F2" s="8"/>
      <c r="G2" s="8"/>
      <c r="H2" s="8"/>
      <c r="I2" s="8"/>
      <c r="J2" s="8"/>
    </row>
    <row r="4" customFormat="false" ht="15" hidden="false" customHeight="false" outlineLevel="0" collapsed="false">
      <c r="A4" s="3" t="s">
        <v>266</v>
      </c>
    </row>
    <row r="5" customFormat="false" ht="15" hidden="false" customHeight="false" outlineLevel="0" collapsed="false">
      <c r="A5" s="4" t="s">
        <v>162</v>
      </c>
      <c r="B5" s="4" t="s">
        <v>267</v>
      </c>
      <c r="C5" s="4" t="s">
        <v>268</v>
      </c>
    </row>
    <row r="6" customFormat="false" ht="15" hidden="false" customHeight="false" outlineLevel="0" collapsed="false">
      <c r="A6" s="5" t="s">
        <v>175</v>
      </c>
      <c r="B6" s="5" t="s">
        <v>76</v>
      </c>
      <c r="C6" s="5"/>
    </row>
    <row r="7" customFormat="false" ht="15" hidden="false" customHeight="false" outlineLevel="0" collapsed="false">
      <c r="A7" s="5" t="s">
        <v>269</v>
      </c>
      <c r="B7" s="5" t="s">
        <v>270</v>
      </c>
      <c r="C7" s="5" t="s">
        <v>271</v>
      </c>
    </row>
    <row r="8" customFormat="false" ht="15" hidden="false" customHeight="false" outlineLevel="0" collapsed="false">
      <c r="A8" s="5" t="s">
        <v>178</v>
      </c>
      <c r="B8" s="5" t="s">
        <v>272</v>
      </c>
      <c r="C8" s="5" t="s">
        <v>273</v>
      </c>
    </row>
    <row r="9" customFormat="false" ht="15" hidden="false" customHeight="false" outlineLevel="0" collapsed="false">
      <c r="A9" s="5" t="s">
        <v>274</v>
      </c>
      <c r="B9" s="5" t="s">
        <v>275</v>
      </c>
      <c r="C9" s="5" t="s">
        <v>276</v>
      </c>
    </row>
    <row r="10" customFormat="false" ht="15" hidden="false" customHeight="false" outlineLevel="0" collapsed="false">
      <c r="A10" s="5" t="s">
        <v>201</v>
      </c>
      <c r="B10" s="5" t="s">
        <v>277</v>
      </c>
      <c r="C10" s="5" t="s">
        <v>278</v>
      </c>
    </row>
    <row r="11" customFormat="false" ht="15" hidden="false" customHeight="false" outlineLevel="0" collapsed="false">
      <c r="A11" s="5" t="s">
        <v>216</v>
      </c>
      <c r="B11" s="5" t="s">
        <v>279</v>
      </c>
      <c r="C11" s="5" t="s">
        <v>280</v>
      </c>
    </row>
    <row r="13" customFormat="false" ht="15" hidden="false" customHeight="false" outlineLevel="0" collapsed="false">
      <c r="A13" s="3" t="s">
        <v>281</v>
      </c>
    </row>
    <row r="14" customFormat="false" ht="15" hidden="false" customHeight="false" outlineLevel="0" collapsed="false">
      <c r="A14" s="4" t="s">
        <v>282</v>
      </c>
      <c r="B14" s="4" t="s">
        <v>283</v>
      </c>
      <c r="C14" s="4" t="s">
        <v>284</v>
      </c>
    </row>
    <row r="15" customFormat="false" ht="23.85" hidden="false" customHeight="false" outlineLevel="0" collapsed="false">
      <c r="A15" s="5" t="s">
        <v>170</v>
      </c>
      <c r="B15" s="5" t="s">
        <v>285</v>
      </c>
      <c r="C15" s="5" t="s">
        <v>286</v>
      </c>
    </row>
    <row r="16" customFormat="false" ht="23.85" hidden="false" customHeight="false" outlineLevel="0" collapsed="false">
      <c r="A16" s="5" t="s">
        <v>195</v>
      </c>
      <c r="B16" s="5" t="s">
        <v>287</v>
      </c>
      <c r="C16" s="5" t="s">
        <v>286</v>
      </c>
    </row>
    <row r="17" customFormat="false" ht="23.85" hidden="false" customHeight="false" outlineLevel="0" collapsed="false">
      <c r="A17" s="5" t="s">
        <v>210</v>
      </c>
      <c r="B17" s="5" t="s">
        <v>288</v>
      </c>
      <c r="C17" s="5" t="s">
        <v>286</v>
      </c>
    </row>
    <row r="19" customFormat="false" ht="15" hidden="false" customHeight="false" outlineLevel="0" collapsed="false">
      <c r="A19" s="3" t="s">
        <v>289</v>
      </c>
    </row>
    <row r="20" customFormat="false" ht="15" hidden="false" customHeight="false" outlineLevel="0" collapsed="false">
      <c r="A20" s="4" t="s">
        <v>290</v>
      </c>
      <c r="B20" s="4" t="s">
        <v>291</v>
      </c>
    </row>
    <row r="21" customFormat="false" ht="15" hidden="false" customHeight="false" outlineLevel="0" collapsed="false">
      <c r="A21" s="5" t="s">
        <v>179</v>
      </c>
      <c r="B21" s="5" t="s">
        <v>292</v>
      </c>
    </row>
    <row r="22" customFormat="false" ht="15" hidden="false" customHeight="false" outlineLevel="0" collapsed="false">
      <c r="A22" s="5" t="s">
        <v>237</v>
      </c>
      <c r="B22" s="5" t="s">
        <v>293</v>
      </c>
    </row>
    <row r="23" customFormat="false" ht="23.85" hidden="false" customHeight="false" outlineLevel="0" collapsed="false">
      <c r="A23" s="5" t="s">
        <v>241</v>
      </c>
      <c r="B23" s="5" t="s">
        <v>294</v>
      </c>
    </row>
    <row r="24" customFormat="false" ht="15" hidden="false" customHeight="false" outlineLevel="0" collapsed="false">
      <c r="A24" s="5" t="s">
        <v>202</v>
      </c>
      <c r="B24" s="5" t="s">
        <v>295</v>
      </c>
    </row>
    <row r="26" customFormat="false" ht="15" hidden="false" customHeight="false" outlineLevel="0" collapsed="false">
      <c r="A26" s="3" t="s">
        <v>296</v>
      </c>
    </row>
    <row r="27" customFormat="false" ht="15" hidden="false" customHeight="false" outlineLevel="0" collapsed="false">
      <c r="A27" s="4" t="s">
        <v>297</v>
      </c>
      <c r="B27" s="4" t="s">
        <v>298</v>
      </c>
      <c r="C27" s="4" t="s">
        <v>299</v>
      </c>
    </row>
    <row r="28" customFormat="false" ht="23.85" hidden="false" customHeight="false" outlineLevel="0" collapsed="false">
      <c r="A28" s="5" t="s">
        <v>169</v>
      </c>
      <c r="B28" s="5" t="s">
        <v>300</v>
      </c>
      <c r="C28" s="5" t="s">
        <v>301</v>
      </c>
    </row>
    <row r="29" customFormat="false" ht="23.85" hidden="false" customHeight="false" outlineLevel="0" collapsed="false">
      <c r="A29" s="5" t="s">
        <v>174</v>
      </c>
      <c r="B29" s="5" t="s">
        <v>302</v>
      </c>
      <c r="C29" s="5" t="s">
        <v>303</v>
      </c>
    </row>
    <row r="30" customFormat="false" ht="35.05" hidden="false" customHeight="false" outlineLevel="0" collapsed="false">
      <c r="A30" s="5" t="s">
        <v>182</v>
      </c>
      <c r="B30" s="5" t="s">
        <v>304</v>
      </c>
      <c r="C30" s="5" t="s">
        <v>305</v>
      </c>
    </row>
    <row r="31" customFormat="false" ht="15" hidden="false" customHeight="false" outlineLevel="0" collapsed="false">
      <c r="A31" s="5" t="s">
        <v>191</v>
      </c>
      <c r="B31" s="5" t="s">
        <v>165</v>
      </c>
      <c r="C31" s="5" t="s">
        <v>306</v>
      </c>
    </row>
    <row r="32" customFormat="false" ht="15" hidden="false" customHeight="false" outlineLevel="0" collapsed="false">
      <c r="A32" s="5" t="s">
        <v>224</v>
      </c>
      <c r="B32" s="5" t="s">
        <v>307</v>
      </c>
      <c r="C32" s="5" t="s">
        <v>308</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22"/>
    <col collapsed="false" customWidth="true" hidden="false" outlineLevel="0" max="6" min="6" style="0" width="34"/>
    <col collapsed="false" customWidth="true" hidden="false" outlineLevel="0" max="7" min="7" style="0" width="14"/>
  </cols>
  <sheetData>
    <row r="1" customFormat="false" ht="19.7" hidden="false" customHeight="false" outlineLevel="0" collapsed="false">
      <c r="A1" s="1" t="s">
        <v>309</v>
      </c>
    </row>
    <row r="2" customFormat="false" ht="15" hidden="false" customHeight="false" outlineLevel="0" collapsed="false">
      <c r="A2" s="8" t="s">
        <v>310</v>
      </c>
      <c r="B2" s="8"/>
      <c r="C2" s="8"/>
      <c r="D2" s="8"/>
      <c r="E2" s="8"/>
      <c r="F2" s="8"/>
      <c r="G2" s="8"/>
      <c r="H2" s="8"/>
    </row>
    <row r="4" customFormat="false" ht="15" hidden="false" customHeight="false" outlineLevel="0" collapsed="false">
      <c r="A4" s="3" t="s">
        <v>311</v>
      </c>
    </row>
    <row r="5" customFormat="false" ht="15" hidden="false" customHeight="false" outlineLevel="0" collapsed="false">
      <c r="A5" s="4" t="s">
        <v>312</v>
      </c>
      <c r="B5" s="4" t="s">
        <v>313</v>
      </c>
      <c r="C5" s="4" t="s">
        <v>314</v>
      </c>
      <c r="D5" s="4" t="s">
        <v>315</v>
      </c>
      <c r="E5" s="4" t="s">
        <v>316</v>
      </c>
      <c r="F5" s="4" t="s">
        <v>317</v>
      </c>
      <c r="G5" s="4" t="s">
        <v>318</v>
      </c>
      <c r="H5" s="4" t="s">
        <v>319</v>
      </c>
    </row>
    <row r="6" customFormat="false" ht="15" hidden="false" customHeight="false" outlineLevel="0" collapsed="false">
      <c r="A6" s="7" t="n">
        <f aca="false">COUNTA(02_KICH_BAN_NODES!B5:B22)</f>
        <v>18</v>
      </c>
      <c r="B6" s="7" t="n">
        <f aca="false">COUNTIF(02_KICH_BAN_NODES!D5:D22,"scene")</f>
        <v>3</v>
      </c>
      <c r="C6" s="7" t="n">
        <f aca="false">COUNTIF(02_KICH_BAN_NODES!D5:D22,"say")</f>
        <v>7</v>
      </c>
      <c r="D6" s="7" t="n">
        <f aca="false">COUNTIF(02_KICH_BAN_NODES!D5:D22,"choice")</f>
        <v>4</v>
      </c>
      <c r="E6" s="7" t="n">
        <f aca="false">COUNTIF(02_KICH_BAN_NODES!D5:D22,"act")</f>
        <v>3</v>
      </c>
      <c r="F6" s="7" t="n">
        <f aca="false">COUNTIF(02_KICH_BAN_NODES!D5:D22,"end")</f>
        <v>1</v>
      </c>
      <c r="G6" s="7" t="n">
        <f aca="false">COUNTIF(02_KICH_BAN_NODES!M5:M22,"CẦN SỬA")</f>
        <v>0</v>
      </c>
      <c r="H6" s="7" t="n">
        <f aca="false">COUNTIF(03_LUA_CHON!J5:J16,"CẦN SỬA")</f>
        <v>0</v>
      </c>
    </row>
    <row r="8" customFormat="false" ht="15" hidden="false" customHeight="false" outlineLevel="0" collapsed="false">
      <c r="A8" s="3" t="s">
        <v>320</v>
      </c>
    </row>
    <row r="9" customFormat="false" ht="15" hidden="false" customHeight="false" outlineLevel="0" collapsed="false">
      <c r="A9" s="4" t="s">
        <v>321</v>
      </c>
      <c r="B9" s="4" t="s">
        <v>85</v>
      </c>
      <c r="C9" s="4" t="s">
        <v>322</v>
      </c>
      <c r="D9" s="4" t="s">
        <v>75</v>
      </c>
    </row>
    <row r="10" customFormat="false" ht="23.85" hidden="false" customHeight="false" outlineLevel="0" collapsed="false">
      <c r="A10" s="5" t="s">
        <v>323</v>
      </c>
      <c r="B10" s="5" t="n">
        <f aca="false">F6</f>
        <v>1</v>
      </c>
      <c r="C10" s="5" t="str">
        <f aca="false">IF(F6=1,"HỢP LỆ","CẦN SỬA")</f>
        <v>HỢP LỆ</v>
      </c>
      <c r="D10" s="5" t="s">
        <v>324</v>
      </c>
    </row>
    <row r="11" customFormat="false" ht="23.85" hidden="false" customHeight="false" outlineLevel="0" collapsed="false">
      <c r="A11" s="5" t="s">
        <v>325</v>
      </c>
      <c r="B11" s="5" t="n">
        <f aca="false">G6</f>
        <v>0</v>
      </c>
      <c r="C11" s="5" t="str">
        <f aca="false">IF(G6=0,"HỢP LỆ","CẦN SỬA")</f>
        <v>HỢP LỆ</v>
      </c>
      <c r="D11" s="5" t="s">
        <v>326</v>
      </c>
    </row>
    <row r="12" customFormat="false" ht="23.85" hidden="false" customHeight="false" outlineLevel="0" collapsed="false">
      <c r="A12" s="5" t="s">
        <v>327</v>
      </c>
      <c r="B12" s="5" t="n">
        <f aca="false">H6</f>
        <v>0</v>
      </c>
      <c r="C12" s="5" t="str">
        <f aca="false">IF(H6=0,"HỢP LỆ","CẦN SỬA")</f>
        <v>HỢP LỆ</v>
      </c>
      <c r="D12" s="5" t="s">
        <v>328</v>
      </c>
    </row>
    <row r="13" customFormat="false" ht="35.05" hidden="false" customHeight="false" outlineLevel="0" collapsed="false">
      <c r="A13" s="5" t="s">
        <v>329</v>
      </c>
      <c r="B13" s="5" t="n">
        <f aca="false">B6</f>
        <v>3</v>
      </c>
      <c r="C13" s="5" t="str">
        <f aca="false">IF(AND(B6&gt;=2,B6&lt;=4),"HỢP LỆ","NGOÀI KHOẢNG - CẦN REVIEWER")</f>
        <v>HỢP LỆ</v>
      </c>
      <c r="D13" s="5" t="s">
        <v>330</v>
      </c>
    </row>
    <row r="14" customFormat="false" ht="23.85" hidden="false" customHeight="false" outlineLevel="0" collapsed="false">
      <c r="A14" s="5" t="s">
        <v>331</v>
      </c>
      <c r="B14" s="5"/>
      <c r="C14" s="5" t="str">
        <f aca="false">01_THONG_TIN_Game!C22</f>
        <v>CHƯA SẴN SÀNG</v>
      </c>
      <c r="D14" s="5" t="s">
        <v>332</v>
      </c>
    </row>
    <row r="15" customFormat="false" ht="23.85" hidden="false" customHeight="false" outlineLevel="0" collapsed="false">
      <c r="A15" s="5" t="s">
        <v>333</v>
      </c>
      <c r="B15" s="7" t="str">
        <f aca="false">IF(AND(C10="HỢP LỆ",C11="HỢP LỆ",C12="HỢP LỆ",C14="SẴN SÀNG"),"SẴN SÀNG","CHƯA SẴN SÀNG")</f>
        <v>CHƯA SẴN SÀNG</v>
      </c>
      <c r="C15" s="7" t="str">
        <f aca="false">IF(B15="SẴN SÀNG","SẴN SÀNG","CHƯA SẴN SÀNG")</f>
        <v>CHƯA SẴN SÀNG</v>
      </c>
      <c r="D15" s="5" t="s">
        <v>334</v>
      </c>
    </row>
    <row r="17" customFormat="false" ht="15" hidden="false" customHeight="false" outlineLevel="0" collapsed="false">
      <c r="A17" s="3" t="s">
        <v>335</v>
      </c>
    </row>
    <row r="18" customFormat="false" ht="15" hidden="false" customHeight="false" outlineLevel="0" collapsed="false">
      <c r="A18" s="4" t="s">
        <v>336</v>
      </c>
      <c r="B18" s="4" t="s">
        <v>159</v>
      </c>
      <c r="C18" s="4" t="s">
        <v>337</v>
      </c>
      <c r="D18" s="4" t="s">
        <v>338</v>
      </c>
      <c r="E18" s="4" t="s">
        <v>147</v>
      </c>
      <c r="F18" s="4" t="s">
        <v>339</v>
      </c>
    </row>
    <row r="19" customFormat="false" ht="15" hidden="false" customHeight="false" outlineLevel="0" collapsed="false">
      <c r="A19" s="7" t="s">
        <v>181</v>
      </c>
      <c r="B19" s="7" t="str">
        <f aca="false">INDEX(02_KICH_BAN_NODES!E5:E22,MATCH("N004",02_KICH_BAN_NODES!B5:B22,0))</f>
        <v>Kiến thức</v>
      </c>
      <c r="C19" s="7" t="n">
        <f aca="false">COUNTIF(03_LUA_CHON!A5:A16,"N004")</f>
        <v>3</v>
      </c>
      <c r="D19" s="7" t="n">
        <f aca="false">COUNTIFS(03_LUA_CHON!A5:A16,"N004",03_LUA_CHON!D5:D16,"Có")</f>
        <v>1</v>
      </c>
      <c r="E19" s="7" t="str">
        <f aca="false">IF(AND(C19&gt;=2,C19&lt;=4,D19=1),"HỢP LỆ","CẦN SỬA")</f>
        <v>HỢP LỆ</v>
      </c>
      <c r="F19" s="7"/>
    </row>
    <row r="20" customFormat="false" ht="15" hidden="false" customHeight="false" outlineLevel="0" collapsed="false">
      <c r="A20" s="7" t="s">
        <v>188</v>
      </c>
      <c r="B20" s="7" t="str">
        <f aca="false">INDEX(02_KICH_BAN_NODES!E5:E22,MATCH("N006",02_KICH_BAN_NODES!B5:B22,0))</f>
        <v>Kiến thức</v>
      </c>
      <c r="C20" s="7" t="n">
        <f aca="false">COUNTIF(03_LUA_CHON!A5:A16,"N006")</f>
        <v>3</v>
      </c>
      <c r="D20" s="7" t="n">
        <f aca="false">COUNTIFS(03_LUA_CHON!A5:A16,"N006",03_LUA_CHON!D5:D16,"Có")</f>
        <v>1</v>
      </c>
      <c r="E20" s="7" t="str">
        <f aca="false">IF(AND(C20&gt;=2,C20&lt;=4,D20=1),"HỢP LỆ","CẦN SỬA")</f>
        <v>HỢP LỆ</v>
      </c>
      <c r="F20" s="7"/>
    </row>
    <row r="21" customFormat="false" ht="15" hidden="false" customHeight="false" outlineLevel="0" collapsed="false">
      <c r="A21" s="7" t="s">
        <v>204</v>
      </c>
      <c r="B21" s="7" t="str">
        <f aca="false">INDEX(02_KICH_BAN_NODES!E5:E22,MATCH("N011",02_KICH_BAN_NODES!B5:B22,0))</f>
        <v>Kiến thức</v>
      </c>
      <c r="C21" s="7" t="n">
        <f aca="false">COUNTIF(03_LUA_CHON!A5:A16,"N011")</f>
        <v>3</v>
      </c>
      <c r="D21" s="7" t="n">
        <f aca="false">COUNTIFS(03_LUA_CHON!A5:A16,"N011",03_LUA_CHON!D5:D16,"Có")</f>
        <v>1</v>
      </c>
      <c r="E21" s="7" t="str">
        <f aca="false">IF(AND(C21&gt;=2,C21&lt;=4,D21=1),"HỢP LỆ","CẦN SỬA")</f>
        <v>HỢP LỆ</v>
      </c>
      <c r="F21" s="7"/>
    </row>
    <row r="22" customFormat="false" ht="15" hidden="false" customHeight="false" outlineLevel="0" collapsed="false">
      <c r="A22" s="7" t="s">
        <v>218</v>
      </c>
      <c r="B22" s="7" t="str">
        <f aca="false">INDEX(02_KICH_BAN_NODES!E5:E22,MATCH("N016",02_KICH_BAN_NODES!B5:B22,0))</f>
        <v>Kiến thức</v>
      </c>
      <c r="C22" s="7" t="n">
        <f aca="false">COUNTIF(03_LUA_CHON!A5:A16,"N016")</f>
        <v>3</v>
      </c>
      <c r="D22" s="7" t="n">
        <f aca="false">COUNTIFS(03_LUA_CHON!A5:A16,"N016",03_LUA_CHON!D5:D16,"Có")</f>
        <v>1</v>
      </c>
      <c r="E22" s="7" t="str">
        <f aca="false">IF(AND(C22&gt;=2,C22&lt;=4,D22=1),"HỢP LỆ","CẦN SỬA")</f>
        <v>HỢP LỆ</v>
      </c>
      <c r="F22" s="7"/>
    </row>
    <row r="24" customFormat="false" ht="15" hidden="false" customHeight="false" outlineLevel="0" collapsed="false">
      <c r="A24" s="3" t="s">
        <v>340</v>
      </c>
    </row>
    <row r="25" customFormat="false" ht="15" hidden="false" customHeight="false" outlineLevel="0" collapsed="false">
      <c r="A25" s="4" t="s">
        <v>341</v>
      </c>
      <c r="B25" s="4" t="s">
        <v>342</v>
      </c>
    </row>
    <row r="26" customFormat="false" ht="15" hidden="false" customHeight="false" outlineLevel="0" collapsed="false">
      <c r="A26" s="5" t="s">
        <v>343</v>
      </c>
      <c r="B26" s="6" t="s">
        <v>344</v>
      </c>
    </row>
    <row r="27" customFormat="false" ht="15" hidden="false" customHeight="false" outlineLevel="0" collapsed="false">
      <c r="A27" s="5" t="s">
        <v>345</v>
      </c>
      <c r="B27" s="6" t="s">
        <v>344</v>
      </c>
    </row>
    <row r="28" customFormat="false" ht="15" hidden="false" customHeight="false" outlineLevel="0" collapsed="false">
      <c r="A28" s="5" t="s">
        <v>346</v>
      </c>
      <c r="B28" s="6" t="s">
        <v>344</v>
      </c>
    </row>
    <row r="29" customFormat="false" ht="23.85" hidden="false" customHeight="false" outlineLevel="0" collapsed="false">
      <c r="A29" s="5" t="s">
        <v>347</v>
      </c>
      <c r="B29" s="6" t="s">
        <v>344</v>
      </c>
    </row>
    <row r="30" customFormat="false" ht="15" hidden="false" customHeight="false" outlineLevel="0" collapsed="false">
      <c r="A30" s="5" t="s">
        <v>348</v>
      </c>
      <c r="B30" s="6" t="s">
        <v>344</v>
      </c>
    </row>
    <row r="31" customFormat="false" ht="23.85" hidden="false" customHeight="false" outlineLevel="0" collapsed="false">
      <c r="A31" s="5" t="s">
        <v>349</v>
      </c>
      <c r="B31" s="6" t="s">
        <v>344</v>
      </c>
    </row>
    <row r="32" customFormat="false" ht="23.85" hidden="false" customHeight="false" outlineLevel="0" collapsed="false">
      <c r="A32" s="5" t="s">
        <v>350</v>
      </c>
      <c r="B32" s="6" t="s">
        <v>344</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0"/>
    <col collapsed="false" customWidth="true" hidden="false" outlineLevel="0" max="4" min="4" style="0" width="24"/>
    <col collapsed="false" customWidth="true" hidden="false" outlineLevel="0" max="5" min="5" style="0" width="20"/>
    <col collapsed="false" customWidth="true" hidden="false" outlineLevel="0" max="6" min="6" style="0" width="30"/>
    <col collapsed="false" customWidth="true" hidden="false" outlineLevel="0" max="8" min="7" style="0" width="20"/>
  </cols>
  <sheetData>
    <row r="1" customFormat="false" ht="19.7" hidden="false" customHeight="false" outlineLevel="0" collapsed="false">
      <c r="A1" s="1" t="s">
        <v>351</v>
      </c>
    </row>
    <row r="2" customFormat="false" ht="15" hidden="false" customHeight="false" outlineLevel="0" collapsed="false">
      <c r="A2" s="8" t="s">
        <v>352</v>
      </c>
      <c r="B2" s="8"/>
      <c r="C2" s="8"/>
      <c r="D2" s="8"/>
      <c r="E2" s="8"/>
      <c r="F2" s="8"/>
    </row>
    <row r="4" customFormat="false" ht="15" hidden="false" customHeight="false" outlineLevel="0" collapsed="false">
      <c r="A4" s="3" t="s">
        <v>353</v>
      </c>
    </row>
    <row r="5" customFormat="false" ht="15" hidden="false" customHeight="false" outlineLevel="0" collapsed="false">
      <c r="A5" s="4" t="s">
        <v>354</v>
      </c>
      <c r="B5" s="4" t="s">
        <v>355</v>
      </c>
      <c r="C5" s="4" t="s">
        <v>356</v>
      </c>
      <c r="D5" s="4" t="s">
        <v>49</v>
      </c>
      <c r="E5" s="4" t="s">
        <v>148</v>
      </c>
    </row>
    <row r="6" customFormat="false" ht="23.85" hidden="false" customHeight="false" outlineLevel="0" collapsed="false">
      <c r="A6" s="5" t="s">
        <v>357</v>
      </c>
      <c r="B6" s="5" t="s">
        <v>95</v>
      </c>
      <c r="C6" s="5" t="s">
        <v>358</v>
      </c>
      <c r="D6" s="5" t="s">
        <v>96</v>
      </c>
      <c r="E6" s="5" t="s">
        <v>359</v>
      </c>
    </row>
    <row r="7" customFormat="false" ht="23.85" hidden="false" customHeight="false" outlineLevel="0" collapsed="false">
      <c r="A7" s="5" t="s">
        <v>360</v>
      </c>
      <c r="B7" s="5" t="s">
        <v>100</v>
      </c>
      <c r="C7" s="5" t="s">
        <v>361</v>
      </c>
      <c r="D7" s="5" t="s">
        <v>96</v>
      </c>
      <c r="E7" s="5" t="s">
        <v>362</v>
      </c>
    </row>
    <row r="8" customFormat="false" ht="15" hidden="false" customHeight="false" outlineLevel="0" collapsed="false">
      <c r="A8" s="5" t="s">
        <v>363</v>
      </c>
      <c r="B8" s="5" t="s">
        <v>104</v>
      </c>
      <c r="C8" s="5" t="s">
        <v>364</v>
      </c>
      <c r="D8" s="5" t="s">
        <v>96</v>
      </c>
      <c r="E8" s="5" t="s">
        <v>365</v>
      </c>
    </row>
    <row r="9" customFormat="false" ht="15" hidden="false" customHeight="false" outlineLevel="0" collapsed="false">
      <c r="A9" s="5" t="s">
        <v>366</v>
      </c>
      <c r="B9" s="5" t="s">
        <v>367</v>
      </c>
      <c r="C9" s="5" t="s">
        <v>368</v>
      </c>
      <c r="D9" s="5" t="s">
        <v>96</v>
      </c>
      <c r="E9" s="5" t="s">
        <v>369</v>
      </c>
    </row>
    <row r="10" customFormat="false" ht="15" hidden="false" customHeight="false" outlineLevel="0" collapsed="false">
      <c r="A10" s="5" t="s">
        <v>370</v>
      </c>
      <c r="B10" s="5" t="s">
        <v>371</v>
      </c>
      <c r="C10" s="5" t="s">
        <v>372</v>
      </c>
      <c r="D10" s="5" t="s">
        <v>96</v>
      </c>
      <c r="E10" s="5" t="s">
        <v>373</v>
      </c>
    </row>
    <row r="12" customFormat="false" ht="15" hidden="false" customHeight="false" outlineLevel="0" collapsed="false">
      <c r="A12" s="3" t="s">
        <v>374</v>
      </c>
    </row>
    <row r="13" customFormat="false" ht="15" hidden="false" customHeight="false" outlineLevel="0" collapsed="false">
      <c r="A13" s="4" t="s">
        <v>297</v>
      </c>
      <c r="B13" s="4" t="s">
        <v>375</v>
      </c>
      <c r="C13" s="4" t="s">
        <v>299</v>
      </c>
      <c r="D13" s="4" t="s">
        <v>376</v>
      </c>
      <c r="E13" s="4" t="s">
        <v>377</v>
      </c>
      <c r="F13" s="4" t="s">
        <v>70</v>
      </c>
      <c r="G13" s="4" t="s">
        <v>321</v>
      </c>
      <c r="H13" s="4" t="s">
        <v>148</v>
      </c>
    </row>
    <row r="14" customFormat="false" ht="15" hidden="false" customHeight="false" outlineLevel="0" collapsed="false">
      <c r="A14" s="5" t="s">
        <v>169</v>
      </c>
      <c r="B14" s="5" t="s">
        <v>378</v>
      </c>
      <c r="C14" s="5" t="s">
        <v>379</v>
      </c>
      <c r="D14" s="5" t="s">
        <v>137</v>
      </c>
      <c r="E14" s="5" t="s">
        <v>137</v>
      </c>
      <c r="F14" s="5" t="s">
        <v>380</v>
      </c>
      <c r="G14" s="5" t="s">
        <v>381</v>
      </c>
      <c r="H14" s="5" t="s">
        <v>382</v>
      </c>
    </row>
    <row r="15" customFormat="false" ht="23.85" hidden="false" customHeight="false" outlineLevel="0" collapsed="false">
      <c r="A15" s="5" t="s">
        <v>174</v>
      </c>
      <c r="B15" s="5" t="s">
        <v>383</v>
      </c>
      <c r="C15" s="5" t="s">
        <v>384</v>
      </c>
      <c r="D15" s="5" t="s">
        <v>385</v>
      </c>
      <c r="E15" s="5" t="s">
        <v>137</v>
      </c>
      <c r="F15" s="5" t="s">
        <v>380</v>
      </c>
      <c r="G15" s="5" t="s">
        <v>386</v>
      </c>
      <c r="H15" s="5" t="s">
        <v>387</v>
      </c>
    </row>
    <row r="16" customFormat="false" ht="23.85" hidden="false" customHeight="false" outlineLevel="0" collapsed="false">
      <c r="A16" s="5" t="s">
        <v>182</v>
      </c>
      <c r="B16" s="5" t="s">
        <v>388</v>
      </c>
      <c r="C16" s="5" t="s">
        <v>389</v>
      </c>
      <c r="D16" s="5" t="s">
        <v>137</v>
      </c>
      <c r="E16" s="5" t="s">
        <v>390</v>
      </c>
      <c r="F16" s="5" t="s">
        <v>391</v>
      </c>
      <c r="G16" s="5" t="s">
        <v>392</v>
      </c>
      <c r="H16" s="5" t="s">
        <v>393</v>
      </c>
    </row>
    <row r="17" customFormat="false" ht="15" hidden="false" customHeight="false" outlineLevel="0" collapsed="false">
      <c r="A17" s="5" t="s">
        <v>191</v>
      </c>
      <c r="B17" s="5" t="s">
        <v>165</v>
      </c>
      <c r="C17" s="5" t="s">
        <v>394</v>
      </c>
      <c r="D17" s="5" t="s">
        <v>137</v>
      </c>
      <c r="E17" s="5" t="s">
        <v>137</v>
      </c>
      <c r="F17" s="5" t="s">
        <v>380</v>
      </c>
      <c r="G17" s="5" t="s">
        <v>395</v>
      </c>
      <c r="H17" s="5" t="s">
        <v>396</v>
      </c>
    </row>
    <row r="18" customFormat="false" ht="15" hidden="false" customHeight="false" outlineLevel="0" collapsed="false">
      <c r="A18" s="5" t="s">
        <v>224</v>
      </c>
      <c r="B18" s="5" t="s">
        <v>397</v>
      </c>
      <c r="C18" s="5" t="s">
        <v>398</v>
      </c>
      <c r="D18" s="5" t="s">
        <v>399</v>
      </c>
      <c r="E18" s="5" t="s">
        <v>137</v>
      </c>
      <c r="F18" s="5" t="s">
        <v>380</v>
      </c>
      <c r="G18" s="5" t="s">
        <v>400</v>
      </c>
      <c r="H18" s="5" t="s">
        <v>401</v>
      </c>
    </row>
    <row r="20" customFormat="false" ht="15" hidden="false" customHeight="false" outlineLevel="0" collapsed="false">
      <c r="A20" s="3" t="s">
        <v>402</v>
      </c>
    </row>
    <row r="21" customFormat="false" ht="15" hidden="false" customHeight="false" outlineLevel="0" collapsed="false">
      <c r="A21" s="4" t="s">
        <v>403</v>
      </c>
      <c r="B21" s="4" t="s">
        <v>404</v>
      </c>
      <c r="C21" s="4" t="s">
        <v>44</v>
      </c>
      <c r="D21" s="4" t="s">
        <v>93</v>
      </c>
      <c r="E21" s="4" t="s">
        <v>49</v>
      </c>
      <c r="F21" s="4" t="s">
        <v>405</v>
      </c>
    </row>
    <row r="22" customFormat="false" ht="23.85" hidden="false" customHeight="false" outlineLevel="0" collapsed="false">
      <c r="A22" s="5" t="s">
        <v>406</v>
      </c>
      <c r="B22" s="5" t="s">
        <v>407</v>
      </c>
      <c r="C22" s="5" t="s">
        <v>408</v>
      </c>
      <c r="D22" s="5" t="s">
        <v>409</v>
      </c>
      <c r="E22" s="5" t="s">
        <v>96</v>
      </c>
      <c r="F22" s="5" t="s">
        <v>410</v>
      </c>
    </row>
    <row r="23" customFormat="false" ht="23.85" hidden="false" customHeight="false" outlineLevel="0" collapsed="false">
      <c r="A23" s="5" t="s">
        <v>411</v>
      </c>
      <c r="B23" s="5" t="s">
        <v>412</v>
      </c>
      <c r="C23" s="5" t="s">
        <v>413</v>
      </c>
      <c r="D23" s="5" t="s">
        <v>414</v>
      </c>
      <c r="E23" s="5" t="s">
        <v>96</v>
      </c>
      <c r="F23" s="5" t="s">
        <v>415</v>
      </c>
    </row>
    <row r="24" customFormat="false" ht="15" hidden="false" customHeight="false" outlineLevel="0" collapsed="false">
      <c r="A24" s="5" t="s">
        <v>232</v>
      </c>
      <c r="B24" s="5" t="s">
        <v>232</v>
      </c>
      <c r="C24" s="5" t="s">
        <v>416</v>
      </c>
      <c r="D24" s="5" t="s">
        <v>417</v>
      </c>
      <c r="E24" s="5" t="s">
        <v>137</v>
      </c>
      <c r="F24" s="5" t="s">
        <v>418</v>
      </c>
    </row>
    <row r="25" customFormat="false" ht="15" hidden="false" customHeight="false" outlineLevel="0" collapsed="false">
      <c r="A25" s="5" t="s">
        <v>419</v>
      </c>
      <c r="B25" s="5" t="s">
        <v>420</v>
      </c>
      <c r="C25" s="5" t="s">
        <v>421</v>
      </c>
      <c r="D25" s="5" t="s">
        <v>178</v>
      </c>
      <c r="E25" s="5" t="s">
        <v>96</v>
      </c>
      <c r="F25" s="5" t="s">
        <v>422</v>
      </c>
    </row>
    <row r="26" customFormat="false" ht="15" hidden="false" customHeight="false" outlineLevel="0" collapsed="false">
      <c r="A26" s="5" t="s">
        <v>234</v>
      </c>
      <c r="B26" s="5" t="s">
        <v>423</v>
      </c>
      <c r="C26" s="5" t="s">
        <v>424</v>
      </c>
      <c r="D26" s="5" t="s">
        <v>237</v>
      </c>
      <c r="E26" s="5" t="s">
        <v>137</v>
      </c>
      <c r="F26" s="5" t="s">
        <v>425</v>
      </c>
    </row>
    <row r="27" customFormat="false" ht="15" hidden="false" customHeight="false" outlineLevel="0" collapsed="false">
      <c r="A27" s="5" t="s">
        <v>426</v>
      </c>
      <c r="B27" s="5" t="s">
        <v>427</v>
      </c>
      <c r="C27" s="5" t="s">
        <v>428</v>
      </c>
      <c r="D27" s="5" t="s">
        <v>429</v>
      </c>
      <c r="E27" s="5" t="s">
        <v>96</v>
      </c>
      <c r="F27" s="5" t="s">
        <v>430</v>
      </c>
    </row>
    <row r="29" customFormat="false" ht="15" hidden="false" customHeight="false" outlineLevel="0" collapsed="false">
      <c r="A29" s="3" t="s">
        <v>431</v>
      </c>
    </row>
    <row r="30" customFormat="false" ht="15" hidden="false" customHeight="false" outlineLevel="0" collapsed="false">
      <c r="A30" s="4" t="s">
        <v>3</v>
      </c>
      <c r="B30" s="4" t="s">
        <v>432</v>
      </c>
      <c r="C30" s="4" t="s">
        <v>433</v>
      </c>
    </row>
    <row r="31" customFormat="false" ht="23.85" hidden="false" customHeight="false" outlineLevel="0" collapsed="false">
      <c r="A31" s="5" t="n">
        <v>1</v>
      </c>
      <c r="B31" s="5" t="s">
        <v>434</v>
      </c>
      <c r="C31" s="5" t="s">
        <v>435</v>
      </c>
    </row>
    <row r="32" customFormat="false" ht="23.85" hidden="false" customHeight="false" outlineLevel="0" collapsed="false">
      <c r="A32" s="5" t="n">
        <v>2</v>
      </c>
      <c r="B32" s="5" t="s">
        <v>436</v>
      </c>
      <c r="C32" s="5" t="s">
        <v>437</v>
      </c>
    </row>
    <row r="33" customFormat="false" ht="23.85" hidden="false" customHeight="false" outlineLevel="0" collapsed="false">
      <c r="A33" s="5" t="n">
        <v>3</v>
      </c>
      <c r="B33" s="5" t="s">
        <v>438</v>
      </c>
      <c r="C33" s="5" t="s">
        <v>439</v>
      </c>
    </row>
    <row r="34" customFormat="false" ht="23.85" hidden="false" customHeight="false" outlineLevel="0" collapsed="false">
      <c r="A34" s="5" t="n">
        <v>4</v>
      </c>
      <c r="B34" s="5" t="s">
        <v>440</v>
      </c>
      <c r="C34" s="5" t="s">
        <v>441</v>
      </c>
    </row>
    <row r="35" customFormat="false" ht="23.85" hidden="false" customHeight="false" outlineLevel="0" collapsed="false">
      <c r="A35" s="5" t="n">
        <v>5</v>
      </c>
      <c r="B35" s="5" t="s">
        <v>442</v>
      </c>
      <c r="C35" s="5" t="s">
        <v>443</v>
      </c>
    </row>
    <row r="36" customFormat="false" ht="23.85" hidden="false" customHeight="false" outlineLevel="0" collapsed="false">
      <c r="A36" s="5" t="n">
        <v>6</v>
      </c>
      <c r="B36" s="5" t="s">
        <v>444</v>
      </c>
      <c r="C36" s="5" t="s">
        <v>445</v>
      </c>
    </row>
    <row r="37" customFormat="false" ht="23.85" hidden="false" customHeight="false" outlineLevel="0" collapsed="false">
      <c r="A37" s="5" t="n">
        <v>7</v>
      </c>
      <c r="B37" s="5" t="s">
        <v>446</v>
      </c>
      <c r="C37" s="5" t="s">
        <v>447</v>
      </c>
    </row>
    <row r="39" customFormat="false" ht="15" hidden="false" customHeight="false" outlineLevel="0" collapsed="false">
      <c r="A39" s="3" t="s">
        <v>448</v>
      </c>
    </row>
    <row r="40" customFormat="false" ht="23.85" hidden="false" customHeight="false" outlineLevel="0" collapsed="false">
      <c r="A40" s="4" t="s">
        <v>449</v>
      </c>
      <c r="B40" s="4" t="s">
        <v>450</v>
      </c>
    </row>
    <row r="41" customFormat="false" ht="23.85" hidden="false" customHeight="false" outlineLevel="0" collapsed="false">
      <c r="A41" s="5" t="s">
        <v>169</v>
      </c>
      <c r="B41" s="5" t="s">
        <v>451</v>
      </c>
    </row>
    <row r="42" customFormat="false" ht="35.05" hidden="false" customHeight="false" outlineLevel="0" collapsed="false">
      <c r="A42" s="5" t="s">
        <v>174</v>
      </c>
      <c r="B42" s="5" t="s">
        <v>452</v>
      </c>
    </row>
    <row r="43" customFormat="false" ht="35.05" hidden="false" customHeight="false" outlineLevel="0" collapsed="false">
      <c r="A43" s="5" t="s">
        <v>182</v>
      </c>
      <c r="B43" s="5" t="s">
        <v>453</v>
      </c>
    </row>
    <row r="44" customFormat="false" ht="15" hidden="false" customHeight="false" outlineLevel="0" collapsed="false">
      <c r="A44" s="5" t="s">
        <v>191</v>
      </c>
      <c r="B44" s="5" t="s">
        <v>454</v>
      </c>
    </row>
    <row r="45" customFormat="false" ht="15" hidden="false" customHeight="false" outlineLevel="0" collapsed="false">
      <c r="A45" s="5" t="s">
        <v>224</v>
      </c>
      <c r="B45" s="5" t="s">
        <v>308</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2026-07-12T13:10:25Z</dcterms:created>
  <dc:creator>openpyxl</dc:creator>
  <dc:description/>
  <dc:language>en-US</dc:language>
  <cp:lastModifiedBy/>
  <dcterms:modified xsi:type="dcterms:W3CDTF">2026-07-12T13:10:25Z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